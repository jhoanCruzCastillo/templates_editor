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EQUIPO ANTERIOR - KLEVER C\KLEVER-DOCUMENTOS\X Atender 2018\OPMI 2018\Invierte_trabajo\FTE_Simplificada_Riego_Tecnficado_Enero2018 ok\"/>
    </mc:Choice>
  </mc:AlternateContent>
  <bookViews>
    <workbookView xWindow="0" yWindow="0" windowWidth="28800" windowHeight="13425" firstSheet="6" activeTab="6"/>
  </bookViews>
  <sheets>
    <sheet name="Ficha Mejoramiento Sist Riego" sheetId="12" state="hidden" r:id="rId1"/>
    <sheet name="Kc" sheetId="13" state="hidden" r:id="rId2"/>
    <sheet name="Ficha Automática" sheetId="16" state="hidden" r:id="rId3"/>
    <sheet name="Balance" sheetId="10" state="hidden" r:id="rId4"/>
    <sheet name="Demanda" sheetId="8" state="hidden" r:id="rId5"/>
    <sheet name="Oferta" sheetId="9" state="hidden" r:id="rId6"/>
    <sheet name="1. Identificación" sheetId="21" r:id="rId7"/>
    <sheet name="2. Balance Hídrico" sheetId="20" r:id="rId8"/>
    <sheet name="3. Costos" sheetId="19" r:id="rId9"/>
    <sheet name="4. Beneficios" sheetId="23" r:id="rId10"/>
    <sheet name="5. Sostenibilidad" sheetId="15" r:id="rId11"/>
    <sheet name="Selección de Datos" sheetId="22" state="hidden" r:id="rId12"/>
    <sheet name="Datos" sheetId="14" state="hidden" r:id="rId13"/>
    <sheet name="Ppto Ref" sheetId="17" state="hidden" r:id="rId14"/>
  </sheets>
  <externalReferences>
    <externalReference r:id="rId15"/>
    <externalReference r:id="rId16"/>
  </externalReferences>
  <definedNames>
    <definedName name="_xlnm.Print_Area" localSheetId="6">'1. Identificación'!$A$1:$J$178</definedName>
    <definedName name="_xlnm.Print_Area" localSheetId="7">'2. Balance Hídrico'!$B$2:$J$156</definedName>
    <definedName name="_xlnm.Print_Area" localSheetId="8">'3. Costos'!$B$6:$J$135</definedName>
    <definedName name="_xlnm.Print_Area" localSheetId="10">'5. Sostenibilidad'!$B$2:$J$94</definedName>
    <definedName name="_xlnm.Print_Area" localSheetId="4">Demanda!$B$5:$R$26,Demanda!$B$41:$R$59,Demanda!$B$72:$R$89</definedName>
    <definedName name="_xlnm.Print_Area" localSheetId="0">'Ficha Mejoramiento Sist Riego'!$B$1:$P$436</definedName>
  </definedNames>
  <calcPr calcId="152511"/>
</workbook>
</file>

<file path=xl/calcChain.xml><?xml version="1.0" encoding="utf-8"?>
<calcChain xmlns="http://schemas.openxmlformats.org/spreadsheetml/2006/main">
  <c r="B71" i="23" l="1"/>
  <c r="B25" i="23"/>
  <c r="B61" i="23"/>
  <c r="D15" i="23" l="1"/>
  <c r="C72" i="23" l="1"/>
  <c r="C62" i="23"/>
  <c r="D50" i="23"/>
  <c r="C50" i="23"/>
  <c r="C53" i="23" s="1"/>
  <c r="D49" i="23"/>
  <c r="C49" i="23"/>
  <c r="C26" i="23"/>
  <c r="C29" i="23" s="1"/>
  <c r="C32" i="23" s="1"/>
  <c r="D18" i="23"/>
  <c r="D21" i="23" s="1"/>
  <c r="C15" i="23"/>
  <c r="D14" i="23"/>
  <c r="C14" i="23"/>
  <c r="D89" i="23"/>
  <c r="D90" i="23" s="1"/>
  <c r="D91" i="23" s="1"/>
  <c r="D92" i="23" s="1"/>
  <c r="D88" i="23"/>
  <c r="E88" i="23" s="1"/>
  <c r="E77" i="23"/>
  <c r="F77" i="23" s="1"/>
  <c r="G77" i="23" s="1"/>
  <c r="H77" i="23" s="1"/>
  <c r="I77" i="23" s="1"/>
  <c r="J77" i="23" s="1"/>
  <c r="K77" i="23" s="1"/>
  <c r="L77" i="23" s="1"/>
  <c r="D74" i="23"/>
  <c r="E74" i="23" s="1"/>
  <c r="F74" i="23" s="1"/>
  <c r="G74" i="23" s="1"/>
  <c r="H74" i="23" s="1"/>
  <c r="I74" i="23" s="1"/>
  <c r="J74" i="23" s="1"/>
  <c r="K74" i="23" s="1"/>
  <c r="L74" i="23" s="1"/>
  <c r="J73" i="23"/>
  <c r="K73" i="23" s="1"/>
  <c r="L73" i="23" s="1"/>
  <c r="C75" i="23"/>
  <c r="C78" i="23" s="1"/>
  <c r="D67" i="23"/>
  <c r="E67" i="23" s="1"/>
  <c r="F67" i="23" s="1"/>
  <c r="G67" i="23" s="1"/>
  <c r="H67" i="23" s="1"/>
  <c r="I67" i="23" s="1"/>
  <c r="J67" i="23" s="1"/>
  <c r="K67" i="23" s="1"/>
  <c r="L67" i="23" s="1"/>
  <c r="D64" i="23"/>
  <c r="E64" i="23" s="1"/>
  <c r="F64" i="23" s="1"/>
  <c r="G64" i="23" s="1"/>
  <c r="H64" i="23" s="1"/>
  <c r="I64" i="23" s="1"/>
  <c r="J64" i="23" s="1"/>
  <c r="K64" i="23" s="1"/>
  <c r="L64" i="23" s="1"/>
  <c r="E63" i="23"/>
  <c r="F63" i="23" s="1"/>
  <c r="G63" i="23" s="1"/>
  <c r="H63" i="23" s="1"/>
  <c r="I63" i="23" s="1"/>
  <c r="J63" i="23" s="1"/>
  <c r="K63" i="23" s="1"/>
  <c r="L63" i="23" s="1"/>
  <c r="D63" i="23"/>
  <c r="D62" i="23"/>
  <c r="E62" i="23" s="1"/>
  <c r="G53" i="23"/>
  <c r="G56" i="23" s="1"/>
  <c r="F53" i="23"/>
  <c r="F56" i="23" s="1"/>
  <c r="E53" i="23"/>
  <c r="E56" i="23" s="1"/>
  <c r="D53" i="23"/>
  <c r="D38" i="23"/>
  <c r="E38" i="23" s="1"/>
  <c r="C36" i="23"/>
  <c r="C39" i="23" s="1"/>
  <c r="C42" i="23" s="1"/>
  <c r="D31" i="23"/>
  <c r="E31" i="23" s="1"/>
  <c r="F31" i="23" s="1"/>
  <c r="G31" i="23" s="1"/>
  <c r="H31" i="23" s="1"/>
  <c r="I31" i="23" s="1"/>
  <c r="J31" i="23" s="1"/>
  <c r="K31" i="23" s="1"/>
  <c r="L31" i="23" s="1"/>
  <c r="D28" i="23"/>
  <c r="E28" i="23" s="1"/>
  <c r="F28" i="23" s="1"/>
  <c r="G28" i="23" s="1"/>
  <c r="H28" i="23" s="1"/>
  <c r="I28" i="23" s="1"/>
  <c r="J28" i="23" s="1"/>
  <c r="K28" i="23" s="1"/>
  <c r="L28" i="23" s="1"/>
  <c r="E27" i="23"/>
  <c r="F27" i="23" s="1"/>
  <c r="G27" i="23" s="1"/>
  <c r="H27" i="23" s="1"/>
  <c r="I27" i="23" s="1"/>
  <c r="J27" i="23" s="1"/>
  <c r="K27" i="23" s="1"/>
  <c r="L27" i="23" s="1"/>
  <c r="D27" i="23"/>
  <c r="G18" i="23"/>
  <c r="G21" i="23" s="1"/>
  <c r="F18" i="23"/>
  <c r="F21" i="23" s="1"/>
  <c r="E18" i="23"/>
  <c r="E21" i="23" s="1"/>
  <c r="C18" i="23"/>
  <c r="G38" i="23" l="1"/>
  <c r="H38" i="23" s="1"/>
  <c r="I38" i="23" s="1"/>
  <c r="J38" i="23" s="1"/>
  <c r="K38" i="23" s="1"/>
  <c r="L38" i="23" s="1"/>
  <c r="F38" i="23"/>
  <c r="D94" i="23"/>
  <c r="D95" i="23" s="1"/>
  <c r="D96" i="23" s="1"/>
  <c r="D97" i="23" s="1"/>
  <c r="D98" i="23" s="1"/>
  <c r="D93" i="23"/>
  <c r="D26" i="23"/>
  <c r="E26" i="23" s="1"/>
  <c r="E29" i="23" s="1"/>
  <c r="E32" i="23" s="1"/>
  <c r="C65" i="23"/>
  <c r="C68" i="23" s="1"/>
  <c r="D72" i="23"/>
  <c r="C21" i="23"/>
  <c r="Q89" i="23"/>
  <c r="D56" i="23"/>
  <c r="F62" i="23"/>
  <c r="E65" i="23"/>
  <c r="E68" i="23" s="1"/>
  <c r="D65" i="23"/>
  <c r="D68" i="23" s="1"/>
  <c r="D36" i="23"/>
  <c r="R89" i="23"/>
  <c r="C56" i="23"/>
  <c r="F26" i="23" l="1"/>
  <c r="F29" i="23" s="1"/>
  <c r="F32" i="23" s="1"/>
  <c r="U92" i="23" s="1"/>
  <c r="D29" i="23"/>
  <c r="D32" i="23" s="1"/>
  <c r="E72" i="23"/>
  <c r="D75" i="23"/>
  <c r="D78" i="23" s="1"/>
  <c r="F65" i="23"/>
  <c r="G62" i="23"/>
  <c r="U90" i="23"/>
  <c r="D39" i="23"/>
  <c r="D42" i="23" s="1"/>
  <c r="E36" i="23"/>
  <c r="F36" i="23" s="1"/>
  <c r="U91" i="23"/>
  <c r="U89" i="23"/>
  <c r="R90" i="23"/>
  <c r="V89" i="23"/>
  <c r="V90" i="23"/>
  <c r="Q90" i="23"/>
  <c r="Q91" i="23" s="1"/>
  <c r="Q92" i="23" s="1"/>
  <c r="Q93" i="23" s="1"/>
  <c r="Q94" i="23" s="1"/>
  <c r="Q95" i="23" s="1"/>
  <c r="Q96" i="23" s="1"/>
  <c r="Q97" i="23" s="1"/>
  <c r="Q98" i="23" s="1"/>
  <c r="Q99" i="23" s="1"/>
  <c r="F72" i="23" l="1"/>
  <c r="E75" i="23"/>
  <c r="G26" i="23"/>
  <c r="G29" i="23" s="1"/>
  <c r="G32" i="23" s="1"/>
  <c r="U93" i="23" s="1"/>
  <c r="C90" i="23"/>
  <c r="E90" i="23" s="1"/>
  <c r="F68" i="23"/>
  <c r="E39" i="23"/>
  <c r="E42" i="23" s="1"/>
  <c r="G65" i="23"/>
  <c r="H62" i="23"/>
  <c r="C89" i="23"/>
  <c r="E89" i="23" s="1"/>
  <c r="E78" i="23" l="1"/>
  <c r="V91" i="23" s="1"/>
  <c r="C91" i="23" s="1"/>
  <c r="E91" i="23" s="1"/>
  <c r="R91" i="23"/>
  <c r="G72" i="23"/>
  <c r="F75" i="23"/>
  <c r="H26" i="23"/>
  <c r="I26" i="23" s="1"/>
  <c r="G68" i="23"/>
  <c r="H65" i="23"/>
  <c r="I62" i="23"/>
  <c r="F39" i="23"/>
  <c r="F42" i="23" s="1"/>
  <c r="G36" i="23"/>
  <c r="H29" i="23" l="1"/>
  <c r="H32" i="23" s="1"/>
  <c r="U94" i="23" s="1"/>
  <c r="H72" i="23"/>
  <c r="I72" i="23" s="1"/>
  <c r="G75" i="23"/>
  <c r="F78" i="23"/>
  <c r="V92" i="23" s="1"/>
  <c r="C92" i="23" s="1"/>
  <c r="E92" i="23" s="1"/>
  <c r="R92" i="23"/>
  <c r="H36" i="23"/>
  <c r="G39" i="23"/>
  <c r="G42" i="23" s="1"/>
  <c r="J26" i="23"/>
  <c r="I29" i="23"/>
  <c r="I32" i="23" s="1"/>
  <c r="U95" i="23" s="1"/>
  <c r="J62" i="23"/>
  <c r="I65" i="23"/>
  <c r="H68" i="23"/>
  <c r="G78" i="23" l="1"/>
  <c r="V93" i="23" s="1"/>
  <c r="C93" i="23" s="1"/>
  <c r="E93" i="23" s="1"/>
  <c r="R93" i="23"/>
  <c r="H75" i="23"/>
  <c r="I68" i="23"/>
  <c r="K62" i="23"/>
  <c r="J65" i="23"/>
  <c r="J29" i="23"/>
  <c r="J32" i="23" s="1"/>
  <c r="U96" i="23" s="1"/>
  <c r="K26" i="23"/>
  <c r="I36" i="23"/>
  <c r="H39" i="23"/>
  <c r="H42" i="23" s="1"/>
  <c r="H78" i="23" l="1"/>
  <c r="V94" i="23" s="1"/>
  <c r="C94" i="23" s="1"/>
  <c r="E94" i="23" s="1"/>
  <c r="R94" i="23"/>
  <c r="I75" i="23"/>
  <c r="J72" i="23"/>
  <c r="K29" i="23"/>
  <c r="K32" i="23" s="1"/>
  <c r="U97" i="23" s="1"/>
  <c r="L26" i="23"/>
  <c r="L29" i="23" s="1"/>
  <c r="L32" i="23" s="1"/>
  <c r="U98" i="23" s="1"/>
  <c r="J68" i="23"/>
  <c r="L62" i="23"/>
  <c r="L65" i="23" s="1"/>
  <c r="K65" i="23"/>
  <c r="J36" i="23"/>
  <c r="I39" i="23"/>
  <c r="I42" i="23" s="1"/>
  <c r="I78" i="23" l="1"/>
  <c r="V95" i="23" s="1"/>
  <c r="C95" i="23" s="1"/>
  <c r="E95" i="23" s="1"/>
  <c r="R95" i="23"/>
  <c r="J75" i="23"/>
  <c r="K72" i="23"/>
  <c r="K36" i="23"/>
  <c r="J39" i="23"/>
  <c r="J42" i="23" s="1"/>
  <c r="L68" i="23"/>
  <c r="K68" i="23"/>
  <c r="K75" i="23" l="1"/>
  <c r="L72" i="23"/>
  <c r="L75" i="23" s="1"/>
  <c r="J78" i="23"/>
  <c r="V96" i="23" s="1"/>
  <c r="C96" i="23" s="1"/>
  <c r="E96" i="23" s="1"/>
  <c r="R96" i="23"/>
  <c r="L36" i="23"/>
  <c r="L39" i="23" s="1"/>
  <c r="L42" i="23" s="1"/>
  <c r="K39" i="23"/>
  <c r="K42" i="23" s="1"/>
  <c r="L78" i="23" l="1"/>
  <c r="V98" i="23" s="1"/>
  <c r="C98" i="23" s="1"/>
  <c r="E98" i="23" s="1"/>
  <c r="R98" i="23"/>
  <c r="K78" i="23"/>
  <c r="V97" i="23" s="1"/>
  <c r="C97" i="23" s="1"/>
  <c r="E97" i="23" s="1"/>
  <c r="R97" i="23"/>
  <c r="R99" i="23" l="1"/>
  <c r="C105" i="23"/>
  <c r="C103" i="23"/>
  <c r="C104" i="23"/>
  <c r="C51" i="15" l="1"/>
  <c r="C24" i="15"/>
  <c r="H96" i="21"/>
  <c r="G79" i="8" l="1"/>
  <c r="H79" i="8"/>
  <c r="I79" i="8"/>
  <c r="J79" i="8"/>
  <c r="K79" i="8"/>
  <c r="L79" i="8"/>
  <c r="M79" i="8"/>
  <c r="N79" i="8"/>
  <c r="O79" i="8"/>
  <c r="P79" i="8"/>
  <c r="Q79" i="8"/>
  <c r="F79" i="8"/>
  <c r="F15" i="8"/>
  <c r="G15" i="8" s="1"/>
  <c r="G48" i="8"/>
  <c r="H48" i="8"/>
  <c r="I48" i="8"/>
  <c r="J48" i="8"/>
  <c r="K48" i="8"/>
  <c r="L48" i="8"/>
  <c r="M48" i="8"/>
  <c r="N48" i="8"/>
  <c r="O48" i="8"/>
  <c r="P48" i="8"/>
  <c r="Q48" i="8"/>
  <c r="F48" i="8"/>
  <c r="D41" i="13"/>
  <c r="D53" i="13" s="1"/>
  <c r="D12" i="13"/>
  <c r="D23" i="13" s="1"/>
  <c r="J60" i="15" l="1"/>
  <c r="J56" i="15"/>
  <c r="J44" i="15"/>
  <c r="E57" i="20"/>
  <c r="J64" i="15" l="1"/>
  <c r="C121" i="19"/>
  <c r="G68" i="20" l="1"/>
  <c r="D142" i="21"/>
  <c r="G11" i="9"/>
  <c r="D149" i="21" l="1"/>
  <c r="B11" i="19"/>
  <c r="F52" i="19" l="1"/>
  <c r="J52" i="19" l="1"/>
  <c r="I53" i="19" s="1"/>
  <c r="J53" i="19" l="1"/>
  <c r="J54" i="19" s="1"/>
  <c r="I55" i="19" s="1"/>
  <c r="J55" i="19" s="1"/>
  <c r="I54" i="19"/>
  <c r="H40" i="19"/>
  <c r="B99" i="19" l="1"/>
  <c r="B100" i="19"/>
  <c r="B101" i="19"/>
  <c r="B98" i="19"/>
  <c r="I125" i="19" l="1"/>
  <c r="I126" i="19"/>
  <c r="F55" i="19"/>
  <c r="E101" i="19" l="1"/>
  <c r="F101" i="19"/>
  <c r="G101" i="19"/>
  <c r="H101" i="19"/>
  <c r="I101" i="19"/>
  <c r="D101" i="19"/>
  <c r="D98" i="19"/>
  <c r="G52" i="19"/>
  <c r="G55" i="19"/>
  <c r="H98" i="19"/>
  <c r="G98" i="19"/>
  <c r="F98" i="19"/>
  <c r="E98" i="19"/>
  <c r="I98" i="19"/>
  <c r="H121" i="19"/>
  <c r="F38" i="19"/>
  <c r="H38" i="19" s="1"/>
  <c r="H23" i="19"/>
  <c r="H29" i="19"/>
  <c r="H30" i="19"/>
  <c r="H25" i="19"/>
  <c r="H28" i="19"/>
  <c r="H27" i="19"/>
  <c r="H26" i="19"/>
  <c r="H32" i="19"/>
  <c r="H24" i="19"/>
  <c r="H31" i="19"/>
  <c r="H35" i="19"/>
  <c r="H33" i="19"/>
  <c r="H34" i="19"/>
  <c r="H36" i="19"/>
  <c r="H22" i="19"/>
  <c r="G39" i="19"/>
  <c r="B16" i="15"/>
  <c r="B17" i="15" s="1"/>
  <c r="J91" i="19"/>
  <c r="J90" i="19"/>
  <c r="J89" i="19"/>
  <c r="J88" i="19"/>
  <c r="B38" i="20"/>
  <c r="B39" i="20"/>
  <c r="B40" i="20"/>
  <c r="B41" i="20"/>
  <c r="B42" i="20"/>
  <c r="B43" i="20"/>
  <c r="B44" i="20"/>
  <c r="B45" i="20"/>
  <c r="B46" i="20"/>
  <c r="B47" i="20"/>
  <c r="B48" i="20"/>
  <c r="B37" i="20"/>
  <c r="B93" i="20"/>
  <c r="B114" i="20" s="1"/>
  <c r="B132" i="20" s="1"/>
  <c r="B94" i="20"/>
  <c r="B115" i="20" s="1"/>
  <c r="B133" i="20" s="1"/>
  <c r="B95" i="20"/>
  <c r="B116" i="20" s="1"/>
  <c r="B134" i="20" s="1"/>
  <c r="B96" i="20"/>
  <c r="B117" i="20" s="1"/>
  <c r="B135" i="20" s="1"/>
  <c r="B97" i="20"/>
  <c r="B118" i="20" s="1"/>
  <c r="B136" i="20" s="1"/>
  <c r="B98" i="20"/>
  <c r="B119" i="20" s="1"/>
  <c r="B137" i="20" s="1"/>
  <c r="B99" i="20"/>
  <c r="B120" i="20" s="1"/>
  <c r="B138" i="20" s="1"/>
  <c r="B100" i="20"/>
  <c r="B121" i="20" s="1"/>
  <c r="B139" i="20" s="1"/>
  <c r="B101" i="20"/>
  <c r="B122" i="20" s="1"/>
  <c r="B140" i="20" s="1"/>
  <c r="B102" i="20"/>
  <c r="B123" i="20" s="1"/>
  <c r="B141" i="20" s="1"/>
  <c r="B103" i="20"/>
  <c r="B124" i="20" s="1"/>
  <c r="B142" i="20" s="1"/>
  <c r="B92" i="20"/>
  <c r="B113" i="20" s="1"/>
  <c r="B131" i="20" s="1"/>
  <c r="C74" i="13"/>
  <c r="O67" i="13"/>
  <c r="N67" i="13"/>
  <c r="N79" i="13" s="1"/>
  <c r="P77" i="8" s="1"/>
  <c r="M67" i="13"/>
  <c r="L67" i="13"/>
  <c r="L79" i="13" s="1"/>
  <c r="N77" i="8" s="1"/>
  <c r="K67" i="13"/>
  <c r="M86" i="8" s="1"/>
  <c r="J67" i="13"/>
  <c r="L86" i="8" s="1"/>
  <c r="I67" i="13"/>
  <c r="I79" i="13" s="1"/>
  <c r="K77" i="8" s="1"/>
  <c r="H67" i="13"/>
  <c r="J86" i="8" s="1"/>
  <c r="G67" i="13"/>
  <c r="I86" i="8" s="1"/>
  <c r="F67" i="13"/>
  <c r="H86" i="8" s="1"/>
  <c r="E67" i="13"/>
  <c r="E79" i="13" s="1"/>
  <c r="G77" i="8" s="1"/>
  <c r="D67" i="13"/>
  <c r="G81" i="8"/>
  <c r="H81" i="8" s="1"/>
  <c r="I81" i="8" s="1"/>
  <c r="J81" i="8" s="1"/>
  <c r="K81" i="8" s="1"/>
  <c r="L81" i="8" s="1"/>
  <c r="M81" i="8" s="1"/>
  <c r="N81" i="8" s="1"/>
  <c r="O81" i="8" s="1"/>
  <c r="P81" i="8" s="1"/>
  <c r="Q81" i="8" s="1"/>
  <c r="D37" i="20"/>
  <c r="C37" i="20"/>
  <c r="E37" i="20"/>
  <c r="D62" i="8"/>
  <c r="D93" i="8" s="1"/>
  <c r="F11" i="8"/>
  <c r="F12" i="8" s="1"/>
  <c r="C49" i="13"/>
  <c r="C50" i="13"/>
  <c r="C48" i="13"/>
  <c r="C20" i="13"/>
  <c r="C21" i="13"/>
  <c r="C19" i="13"/>
  <c r="F55" i="8"/>
  <c r="E41" i="13"/>
  <c r="G55" i="8" s="1"/>
  <c r="F41" i="13"/>
  <c r="G41" i="13"/>
  <c r="G53" i="13" s="1"/>
  <c r="I46" i="8" s="1"/>
  <c r="H41" i="13"/>
  <c r="H53" i="13" s="1"/>
  <c r="J46" i="8" s="1"/>
  <c r="I41" i="13"/>
  <c r="I53" i="13" s="1"/>
  <c r="K46" i="8" s="1"/>
  <c r="J41" i="13"/>
  <c r="J53" i="13" s="1"/>
  <c r="L46" i="8" s="1"/>
  <c r="K41" i="13"/>
  <c r="L41" i="13"/>
  <c r="L53" i="13" s="1"/>
  <c r="N46" i="8" s="1"/>
  <c r="M41" i="13"/>
  <c r="M53" i="13" s="1"/>
  <c r="O46" i="8" s="1"/>
  <c r="N41" i="13"/>
  <c r="N53" i="13" s="1"/>
  <c r="P46" i="8" s="1"/>
  <c r="O41" i="13"/>
  <c r="O12" i="13"/>
  <c r="Q20" i="8" s="1"/>
  <c r="N12" i="13"/>
  <c r="P20" i="8" s="1"/>
  <c r="M12" i="13"/>
  <c r="M23" i="13" s="1"/>
  <c r="O11" i="8" s="1"/>
  <c r="O12" i="8" s="1"/>
  <c r="L12" i="13"/>
  <c r="L23" i="13" s="1"/>
  <c r="N11" i="8" s="1"/>
  <c r="N12" i="8" s="1"/>
  <c r="K12" i="13"/>
  <c r="K23" i="13" s="1"/>
  <c r="M11" i="8" s="1"/>
  <c r="M12" i="8" s="1"/>
  <c r="J12" i="13"/>
  <c r="I12" i="13"/>
  <c r="H12" i="13"/>
  <c r="J20" i="8" s="1"/>
  <c r="G12" i="13"/>
  <c r="G23" i="13" s="1"/>
  <c r="I11" i="8" s="1"/>
  <c r="I12" i="8" s="1"/>
  <c r="F12" i="13"/>
  <c r="H20" i="8" s="1"/>
  <c r="E12" i="13"/>
  <c r="G20" i="8" s="1"/>
  <c r="G45" i="8"/>
  <c r="H45" i="8"/>
  <c r="H76" i="8" s="1"/>
  <c r="I45" i="8"/>
  <c r="J45" i="8"/>
  <c r="J76" i="8" s="1"/>
  <c r="K45" i="8"/>
  <c r="L45" i="8"/>
  <c r="M45" i="8"/>
  <c r="M76" i="8" s="1"/>
  <c r="N45" i="8"/>
  <c r="N76" i="8" s="1"/>
  <c r="O45" i="8"/>
  <c r="P45" i="8"/>
  <c r="P76" i="8" s="1"/>
  <c r="Q45" i="8"/>
  <c r="Q76" i="8" s="1"/>
  <c r="F45" i="8"/>
  <c r="F76" i="8" s="1"/>
  <c r="J55" i="8"/>
  <c r="G103" i="20"/>
  <c r="G102" i="20"/>
  <c r="G101" i="20"/>
  <c r="G100" i="20"/>
  <c r="G99" i="20"/>
  <c r="G98" i="20"/>
  <c r="G97" i="20"/>
  <c r="G96" i="20"/>
  <c r="G95" i="20"/>
  <c r="G94" i="20"/>
  <c r="G93" i="20"/>
  <c r="G92" i="20"/>
  <c r="G74" i="20"/>
  <c r="G73" i="20"/>
  <c r="G72" i="20"/>
  <c r="G71" i="20"/>
  <c r="G70" i="20"/>
  <c r="G69" i="20"/>
  <c r="G67" i="20"/>
  <c r="G66" i="20"/>
  <c r="G65" i="20"/>
  <c r="G64" i="20"/>
  <c r="G63" i="20"/>
  <c r="C379" i="16"/>
  <c r="C380" i="16"/>
  <c r="D357" i="16"/>
  <c r="C357" i="16"/>
  <c r="C369" i="16"/>
  <c r="C356" i="16"/>
  <c r="D356" i="16"/>
  <c r="C368" i="16"/>
  <c r="D333" i="16"/>
  <c r="C333" i="16"/>
  <c r="C344" i="16"/>
  <c r="C332" i="16"/>
  <c r="D332" i="16"/>
  <c r="C343" i="16"/>
  <c r="H8" i="9"/>
  <c r="G8" i="9"/>
  <c r="G15" i="9" s="1"/>
  <c r="F8" i="10" s="1"/>
  <c r="F25" i="10" s="1"/>
  <c r="D38" i="20"/>
  <c r="F272" i="17"/>
  <c r="F273" i="17"/>
  <c r="F274" i="17"/>
  <c r="F277" i="17"/>
  <c r="F278" i="17"/>
  <c r="F279" i="17"/>
  <c r="F282" i="17"/>
  <c r="F283" i="17"/>
  <c r="F281" i="17" s="1"/>
  <c r="F280" i="17" s="1"/>
  <c r="F299" i="17"/>
  <c r="F300" i="17"/>
  <c r="F302" i="17"/>
  <c r="F301" i="17" s="1"/>
  <c r="F304" i="17"/>
  <c r="F303" i="17" s="1"/>
  <c r="F309" i="17"/>
  <c r="G182" i="16"/>
  <c r="G183" i="16"/>
  <c r="G184" i="16"/>
  <c r="G185" i="16"/>
  <c r="G186" i="16"/>
  <c r="G187" i="16"/>
  <c r="G188" i="16"/>
  <c r="G189" i="16"/>
  <c r="G190" i="16"/>
  <c r="G191" i="16"/>
  <c r="G192" i="16"/>
  <c r="G193" i="16"/>
  <c r="G210" i="16"/>
  <c r="G211" i="16"/>
  <c r="G212" i="16"/>
  <c r="G213" i="16"/>
  <c r="G214" i="16"/>
  <c r="G215" i="16"/>
  <c r="G216" i="16"/>
  <c r="G217" i="16"/>
  <c r="G218" i="16"/>
  <c r="G219" i="16"/>
  <c r="G220" i="16"/>
  <c r="G221" i="16"/>
  <c r="H15" i="8"/>
  <c r="I15" i="8" s="1"/>
  <c r="J15" i="8" s="1"/>
  <c r="K15" i="8" s="1"/>
  <c r="L15" i="8" s="1"/>
  <c r="M15" i="8" s="1"/>
  <c r="N15" i="8" s="1"/>
  <c r="O15" i="8" s="1"/>
  <c r="P15" i="8" s="1"/>
  <c r="Q15" i="8" s="1"/>
  <c r="F53" i="8"/>
  <c r="F84" i="8" s="1"/>
  <c r="G53" i="8"/>
  <c r="G84" i="8" s="1"/>
  <c r="H53" i="8"/>
  <c r="H84" i="8" s="1"/>
  <c r="I53" i="8"/>
  <c r="I84" i="8" s="1"/>
  <c r="J53" i="8"/>
  <c r="J84" i="8" s="1"/>
  <c r="K53" i="8"/>
  <c r="K84" i="8" s="1"/>
  <c r="L53" i="8"/>
  <c r="L84" i="8" s="1"/>
  <c r="M53" i="8"/>
  <c r="M84" i="8" s="1"/>
  <c r="N53" i="8"/>
  <c r="N84" i="8" s="1"/>
  <c r="O53" i="8"/>
  <c r="O84" i="8" s="1"/>
  <c r="P53" i="8"/>
  <c r="P84" i="8" s="1"/>
  <c r="Q53" i="8"/>
  <c r="Q84" i="8" s="1"/>
  <c r="G50" i="8"/>
  <c r="H50" i="8" s="1"/>
  <c r="I50" i="8" s="1"/>
  <c r="J50" i="8" s="1"/>
  <c r="K50" i="8" s="1"/>
  <c r="L50" i="8" s="1"/>
  <c r="M50" i="8" s="1"/>
  <c r="N50" i="8" s="1"/>
  <c r="O50" i="8" s="1"/>
  <c r="P50" i="8" s="1"/>
  <c r="Q50" i="8" s="1"/>
  <c r="K207" i="12"/>
  <c r="L207" i="12"/>
  <c r="M207" i="12"/>
  <c r="N207" i="12"/>
  <c r="O207" i="12"/>
  <c r="K220" i="12"/>
  <c r="L220" i="12"/>
  <c r="M220" i="12"/>
  <c r="N220" i="12"/>
  <c r="O220" i="12"/>
  <c r="G254" i="12"/>
  <c r="H254" i="12" s="1"/>
  <c r="I254" i="12" s="1"/>
  <c r="G256" i="12"/>
  <c r="G257" i="12"/>
  <c r="H257" i="12" s="1"/>
  <c r="I257" i="12" s="1"/>
  <c r="G258" i="12"/>
  <c r="H258" i="12" s="1"/>
  <c r="I258" i="12" s="1"/>
  <c r="H261" i="12"/>
  <c r="I261" i="12" s="1"/>
  <c r="G263" i="12"/>
  <c r="H263" i="12"/>
  <c r="I263" i="12" s="1"/>
  <c r="K266" i="12"/>
  <c r="L266" i="12"/>
  <c r="M266" i="12"/>
  <c r="N266" i="12"/>
  <c r="O266" i="12"/>
  <c r="E277" i="12"/>
  <c r="E282" i="12"/>
  <c r="F282" i="12"/>
  <c r="G282" i="12" s="1"/>
  <c r="D284" i="12"/>
  <c r="E284" i="12" s="1"/>
  <c r="H284" i="12" s="1"/>
  <c r="I284" i="12"/>
  <c r="J284" i="12" s="1"/>
  <c r="K284" i="12"/>
  <c r="L284" i="12" s="1"/>
  <c r="M284" i="12" s="1"/>
  <c r="E288" i="12"/>
  <c r="E293" i="12"/>
  <c r="F293" i="12" s="1"/>
  <c r="G293" i="12" s="1"/>
  <c r="H293" i="12" s="1"/>
  <c r="I293" i="12" s="1"/>
  <c r="J293" i="12" s="1"/>
  <c r="E300" i="12"/>
  <c r="F300" i="12" s="1"/>
  <c r="G300" i="12" s="1"/>
  <c r="H300" i="12" s="1"/>
  <c r="I300" i="12" s="1"/>
  <c r="J300" i="12" s="1"/>
  <c r="L300" i="12" s="1"/>
  <c r="M300" i="12" s="1"/>
  <c r="N300" i="12" s="1"/>
  <c r="E302" i="12"/>
  <c r="F302" i="12" s="1"/>
  <c r="G302" i="12" s="1"/>
  <c r="H302" i="12" s="1"/>
  <c r="I302" i="12" s="1"/>
  <c r="J302" i="12" s="1"/>
  <c r="L302" i="12" s="1"/>
  <c r="M302" i="12" s="1"/>
  <c r="N302" i="12" s="1"/>
  <c r="E305" i="12"/>
  <c r="F305" i="12" s="1"/>
  <c r="G305" i="12" s="1"/>
  <c r="H305" i="12" s="1"/>
  <c r="I305" i="12" s="1"/>
  <c r="J305" i="12" s="1"/>
  <c r="L305" i="12" s="1"/>
  <c r="M305" i="12" s="1"/>
  <c r="N305" i="12" s="1"/>
  <c r="E306" i="12"/>
  <c r="F306" i="12" s="1"/>
  <c r="G306" i="12" s="1"/>
  <c r="H306" i="12" s="1"/>
  <c r="I306" i="12" s="1"/>
  <c r="J306" i="12" s="1"/>
  <c r="L306" i="12" s="1"/>
  <c r="M306" i="12" s="1"/>
  <c r="N306" i="12" s="1"/>
  <c r="D307" i="12"/>
  <c r="E307" i="12" s="1"/>
  <c r="H307" i="12" s="1"/>
  <c r="I307" i="12"/>
  <c r="J307" i="12" s="1"/>
  <c r="K307" i="12"/>
  <c r="L307" i="12" s="1"/>
  <c r="M307" i="12" s="1"/>
  <c r="E311" i="12"/>
  <c r="F311" i="12" s="1"/>
  <c r="E316" i="12"/>
  <c r="F316" i="12" s="1"/>
  <c r="G316" i="12" s="1"/>
  <c r="H316" i="12" s="1"/>
  <c r="I316" i="12" s="1"/>
  <c r="J316" i="12" s="1"/>
  <c r="G323" i="12"/>
  <c r="F325" i="12"/>
  <c r="E332" i="12"/>
  <c r="F332" i="12" s="1"/>
  <c r="G332" i="12" s="1"/>
  <c r="H332" i="12" s="1"/>
  <c r="I332" i="12" s="1"/>
  <c r="J360" i="12"/>
  <c r="J361" i="12"/>
  <c r="J362" i="12"/>
  <c r="J363" i="12"/>
  <c r="J368" i="12"/>
  <c r="J369" i="12"/>
  <c r="J370" i="12"/>
  <c r="J371" i="12"/>
  <c r="F20" i="8"/>
  <c r="O55" i="8"/>
  <c r="F277" i="12"/>
  <c r="G277" i="12" s="1"/>
  <c r="H277" i="12" s="1"/>
  <c r="I277" i="12" s="1"/>
  <c r="J277" i="12" s="1"/>
  <c r="L277" i="12" s="1"/>
  <c r="L55" i="8" l="1"/>
  <c r="E53" i="13"/>
  <c r="G46" i="8" s="1"/>
  <c r="J263" i="12"/>
  <c r="K79" i="13"/>
  <c r="M77" i="8" s="1"/>
  <c r="M78" i="8" s="1"/>
  <c r="M80" i="8" s="1"/>
  <c r="M82" i="8" s="1"/>
  <c r="D79" i="13"/>
  <c r="F77" i="8" s="1"/>
  <c r="F78" i="8" s="1"/>
  <c r="F80" i="8" s="1"/>
  <c r="K86" i="8"/>
  <c r="E283" i="12"/>
  <c r="I47" i="8"/>
  <c r="I49" i="8" s="1"/>
  <c r="I51" i="8" s="1"/>
  <c r="I66" i="8" s="1"/>
  <c r="N23" i="13"/>
  <c r="P11" i="8" s="1"/>
  <c r="P12" i="8" s="1"/>
  <c r="P14" i="8" s="1"/>
  <c r="P16" i="8" s="1"/>
  <c r="F37" i="20"/>
  <c r="P86" i="8"/>
  <c r="E23" i="13"/>
  <c r="G11" i="8" s="1"/>
  <c r="G12" i="8" s="1"/>
  <c r="G14" i="8" s="1"/>
  <c r="G16" i="8" s="1"/>
  <c r="G35" i="8" s="1"/>
  <c r="G36" i="8" s="1"/>
  <c r="O20" i="8"/>
  <c r="L332" i="12"/>
  <c r="M332" i="12" s="1"/>
  <c r="J332" i="12"/>
  <c r="F298" i="17"/>
  <c r="F271" i="17"/>
  <c r="F270" i="17" s="1"/>
  <c r="O14" i="8"/>
  <c r="O16" i="8" s="1"/>
  <c r="G79" i="13"/>
  <c r="I77" i="8" s="1"/>
  <c r="J79" i="13"/>
  <c r="L77" i="8" s="1"/>
  <c r="N20" i="8"/>
  <c r="P55" i="8"/>
  <c r="J47" i="8"/>
  <c r="J49" i="8" s="1"/>
  <c r="J51" i="8" s="1"/>
  <c r="E317" i="12"/>
  <c r="N14" i="8"/>
  <c r="N16" i="8" s="1"/>
  <c r="I14" i="8"/>
  <c r="M14" i="8"/>
  <c r="M16" i="8" s="1"/>
  <c r="I20" i="8"/>
  <c r="E220" i="12"/>
  <c r="F7" i="10"/>
  <c r="F24" i="10" s="1"/>
  <c r="G16" i="9"/>
  <c r="G17" i="9" s="1"/>
  <c r="M234" i="12"/>
  <c r="L234" i="12"/>
  <c r="H53" i="19"/>
  <c r="H57" i="19" s="1"/>
  <c r="G107" i="19"/>
  <c r="G53" i="19"/>
  <c r="F54" i="19"/>
  <c r="G54" i="19" s="1"/>
  <c r="H39" i="19"/>
  <c r="H41" i="19" s="1"/>
  <c r="F86" i="8"/>
  <c r="P47" i="8"/>
  <c r="P49" i="8" s="1"/>
  <c r="P51" i="8" s="1"/>
  <c r="H23" i="13"/>
  <c r="J11" i="8" s="1"/>
  <c r="J12" i="8" s="1"/>
  <c r="J14" i="8" s="1"/>
  <c r="J16" i="8" s="1"/>
  <c r="J35" i="8" s="1"/>
  <c r="J36" i="8" s="1"/>
  <c r="H79" i="13"/>
  <c r="J77" i="8" s="1"/>
  <c r="J78" i="8" s="1"/>
  <c r="J80" i="8" s="1"/>
  <c r="J82" i="8" s="1"/>
  <c r="F283" i="12"/>
  <c r="F79" i="13"/>
  <c r="H77" i="8" s="1"/>
  <c r="H78" i="8" s="1"/>
  <c r="H80" i="8" s="1"/>
  <c r="H82" i="8" s="1"/>
  <c r="H83" i="8" s="1"/>
  <c r="H85" i="8" s="1"/>
  <c r="H87" i="8" s="1"/>
  <c r="H88" i="8" s="1"/>
  <c r="F23" i="13"/>
  <c r="H11" i="8" s="1"/>
  <c r="H12" i="8" s="1"/>
  <c r="H14" i="8" s="1"/>
  <c r="H16" i="8" s="1"/>
  <c r="M20" i="8"/>
  <c r="K55" i="8"/>
  <c r="I76" i="8"/>
  <c r="F46" i="8"/>
  <c r="F47" i="8" s="1"/>
  <c r="I55" i="8"/>
  <c r="N86" i="8"/>
  <c r="C38" i="20"/>
  <c r="G86" i="8"/>
  <c r="O23" i="13"/>
  <c r="Q11" i="8" s="1"/>
  <c r="Q12" i="8" s="1"/>
  <c r="Q14" i="8" s="1"/>
  <c r="Q16" i="8" s="1"/>
  <c r="N47" i="8"/>
  <c r="N49" i="8" s="1"/>
  <c r="N51" i="8" s="1"/>
  <c r="N66" i="8" s="1"/>
  <c r="J101" i="19"/>
  <c r="J98" i="19"/>
  <c r="J11" i="9"/>
  <c r="M277" i="12"/>
  <c r="G311" i="12"/>
  <c r="F317" i="12"/>
  <c r="N234" i="12"/>
  <c r="N55" i="8"/>
  <c r="L20" i="8"/>
  <c r="J23" i="13"/>
  <c r="L11" i="8" s="1"/>
  <c r="L12" i="8" s="1"/>
  <c r="L14" i="8" s="1"/>
  <c r="L16" i="8" s="1"/>
  <c r="M55" i="8"/>
  <c r="K53" i="13"/>
  <c r="M46" i="8" s="1"/>
  <c r="M47" i="8" s="1"/>
  <c r="M49" i="8" s="1"/>
  <c r="M51" i="8" s="1"/>
  <c r="H282" i="12"/>
  <c r="G283" i="12"/>
  <c r="F276" i="17"/>
  <c r="F275" i="17" s="1"/>
  <c r="F305" i="17" s="1"/>
  <c r="I16" i="8"/>
  <c r="K76" i="8"/>
  <c r="K78" i="8" s="1"/>
  <c r="K80" i="8" s="1"/>
  <c r="K82" i="8" s="1"/>
  <c r="K47" i="8"/>
  <c r="K49" i="8" s="1"/>
  <c r="K51" i="8" s="1"/>
  <c r="O53" i="13"/>
  <c r="Q46" i="8" s="1"/>
  <c r="Q47" i="8" s="1"/>
  <c r="Q49" i="8" s="1"/>
  <c r="Q51" i="8" s="1"/>
  <c r="Q55" i="8"/>
  <c r="G76" i="8"/>
  <c r="G78" i="8" s="1"/>
  <c r="G80" i="8" s="1"/>
  <c r="G82" i="8" s="1"/>
  <c r="G47" i="8"/>
  <c r="G49" i="8" s="1"/>
  <c r="G51" i="8" s="1"/>
  <c r="M79" i="13"/>
  <c r="O77" i="8" s="1"/>
  <c r="O86" i="8"/>
  <c r="I11" i="9"/>
  <c r="E39" i="20" s="1"/>
  <c r="K20" i="8"/>
  <c r="I23" i="13"/>
  <c r="K11" i="8" s="1"/>
  <c r="K12" i="8" s="1"/>
  <c r="K14" i="8" s="1"/>
  <c r="K16" i="8" s="1"/>
  <c r="F288" i="12"/>
  <c r="E294" i="12"/>
  <c r="L47" i="8"/>
  <c r="L49" i="8" s="1"/>
  <c r="L51" i="8" s="1"/>
  <c r="L76" i="8"/>
  <c r="Q86" i="8"/>
  <c r="O79" i="13"/>
  <c r="Q77" i="8" s="1"/>
  <c r="Q78" i="8" s="1"/>
  <c r="Q80" i="8" s="1"/>
  <c r="Q82" i="8" s="1"/>
  <c r="G262" i="12"/>
  <c r="H262" i="12" s="1"/>
  <c r="I262" i="12" s="1"/>
  <c r="G260" i="12"/>
  <c r="H260" i="12" s="1"/>
  <c r="H256" i="12"/>
  <c r="O76" i="8"/>
  <c r="O47" i="8"/>
  <c r="O49" i="8" s="1"/>
  <c r="O51" i="8" s="1"/>
  <c r="H55" i="8"/>
  <c r="F53" i="13"/>
  <c r="H46" i="8" s="1"/>
  <c r="H47" i="8" s="1"/>
  <c r="H49" i="8" s="1"/>
  <c r="H51" i="8" s="1"/>
  <c r="P78" i="8"/>
  <c r="P80" i="8" s="1"/>
  <c r="P82" i="8" s="1"/>
  <c r="H11" i="9"/>
  <c r="N78" i="8"/>
  <c r="N80" i="8" s="1"/>
  <c r="N82" i="8" s="1"/>
  <c r="I78" i="8" l="1"/>
  <c r="I80" i="8" s="1"/>
  <c r="I82" i="8" s="1"/>
  <c r="I83" i="8" s="1"/>
  <c r="I85" i="8" s="1"/>
  <c r="I87" i="8" s="1"/>
  <c r="O35" i="8"/>
  <c r="O36" i="8" s="1"/>
  <c r="O10" i="10" s="1"/>
  <c r="O17" i="8"/>
  <c r="O19" i="8" s="1"/>
  <c r="O21" i="8" s="1"/>
  <c r="H72" i="20" s="1"/>
  <c r="L78" i="8"/>
  <c r="L80" i="8" s="1"/>
  <c r="L82" i="8" s="1"/>
  <c r="L97" i="8" s="1"/>
  <c r="L98" i="8" s="1"/>
  <c r="L99" i="8" s="1"/>
  <c r="I52" i="8"/>
  <c r="I54" i="8" s="1"/>
  <c r="I56" i="8" s="1"/>
  <c r="N52" i="8"/>
  <c r="N54" i="8" s="1"/>
  <c r="N56" i="8" s="1"/>
  <c r="E335" i="12"/>
  <c r="J52" i="8"/>
  <c r="J54" i="8" s="1"/>
  <c r="J56" i="8" s="1"/>
  <c r="J66" i="8"/>
  <c r="J67" i="8" s="1"/>
  <c r="J68" i="8" s="1"/>
  <c r="E40" i="20"/>
  <c r="F53" i="19"/>
  <c r="F57" i="19" s="1"/>
  <c r="G57" i="19"/>
  <c r="I100" i="19"/>
  <c r="G100" i="19"/>
  <c r="F100" i="19"/>
  <c r="E100" i="19"/>
  <c r="D100" i="19"/>
  <c r="H100" i="19"/>
  <c r="H17" i="8"/>
  <c r="H19" i="8" s="1"/>
  <c r="H21" i="8" s="1"/>
  <c r="H35" i="8"/>
  <c r="H36" i="8" s="1"/>
  <c r="H37" i="8" s="1"/>
  <c r="H9" i="10" s="1"/>
  <c r="I8" i="9"/>
  <c r="C39" i="20"/>
  <c r="J17" i="8"/>
  <c r="J19" i="8" s="1"/>
  <c r="J21" i="8" s="1"/>
  <c r="H67" i="20" s="1"/>
  <c r="H97" i="8"/>
  <c r="H98" i="8" s="1"/>
  <c r="H99" i="8" s="1"/>
  <c r="G17" i="8"/>
  <c r="G19" i="8" s="1"/>
  <c r="G21" i="8" s="1"/>
  <c r="G22" i="8" s="1"/>
  <c r="O78" i="8"/>
  <c r="O80" i="8" s="1"/>
  <c r="O82" i="8" s="1"/>
  <c r="O97" i="8" s="1"/>
  <c r="O98" i="8" s="1"/>
  <c r="O99" i="8" s="1"/>
  <c r="I67" i="8"/>
  <c r="I68" i="8" s="1"/>
  <c r="F306" i="17"/>
  <c r="F311" i="17" s="1"/>
  <c r="Q11" i="9"/>
  <c r="E47" i="20" s="1"/>
  <c r="G66" i="8"/>
  <c r="G67" i="8" s="1"/>
  <c r="G68" i="8" s="1"/>
  <c r="G52" i="8"/>
  <c r="G54" i="8" s="1"/>
  <c r="G56" i="8" s="1"/>
  <c r="Q97" i="8"/>
  <c r="Q98" i="8" s="1"/>
  <c r="Q99" i="8" s="1"/>
  <c r="Q83" i="8"/>
  <c r="Q85" i="8" s="1"/>
  <c r="Q87" i="8" s="1"/>
  <c r="Q88" i="8" s="1"/>
  <c r="K52" i="8"/>
  <c r="K54" i="8" s="1"/>
  <c r="K56" i="8" s="1"/>
  <c r="K66" i="8"/>
  <c r="K67" i="8" s="1"/>
  <c r="K68" i="8" s="1"/>
  <c r="F82" i="8"/>
  <c r="J97" i="8"/>
  <c r="J98" i="8" s="1"/>
  <c r="J99" i="8" s="1"/>
  <c r="J83" i="8"/>
  <c r="J85" i="8" s="1"/>
  <c r="J87" i="8" s="1"/>
  <c r="M97" i="8"/>
  <c r="M98" i="8" s="1"/>
  <c r="M99" i="8" s="1"/>
  <c r="M83" i="8"/>
  <c r="M85" i="8" s="1"/>
  <c r="M87" i="8" s="1"/>
  <c r="M88" i="8" s="1"/>
  <c r="K11" i="9"/>
  <c r="E41" i="20" s="1"/>
  <c r="N35" i="8"/>
  <c r="N36" i="8" s="1"/>
  <c r="N17" i="8"/>
  <c r="N19" i="8" s="1"/>
  <c r="N21" i="8" s="1"/>
  <c r="P52" i="8"/>
  <c r="P54" i="8" s="1"/>
  <c r="P56" i="8" s="1"/>
  <c r="P66" i="8"/>
  <c r="P67" i="8" s="1"/>
  <c r="P68" i="8" s="1"/>
  <c r="L17" i="8"/>
  <c r="L19" i="8" s="1"/>
  <c r="L21" i="8" s="1"/>
  <c r="L35" i="8"/>
  <c r="L36" i="8" s="1"/>
  <c r="P35" i="8"/>
  <c r="P36" i="8" s="1"/>
  <c r="P17" i="8"/>
  <c r="P19" i="8" s="1"/>
  <c r="P21" i="8" s="1"/>
  <c r="G97" i="8"/>
  <c r="G98" i="8" s="1"/>
  <c r="G99" i="8" s="1"/>
  <c r="G83" i="8"/>
  <c r="G85" i="8" s="1"/>
  <c r="G87" i="8" s="1"/>
  <c r="G88" i="8" s="1"/>
  <c r="M35" i="8"/>
  <c r="M36" i="8" s="1"/>
  <c r="M17" i="8"/>
  <c r="M19" i="8" s="1"/>
  <c r="M21" i="8" s="1"/>
  <c r="K83" i="8"/>
  <c r="K85" i="8" s="1"/>
  <c r="K87" i="8" s="1"/>
  <c r="K88" i="8" s="1"/>
  <c r="K97" i="8"/>
  <c r="K98" i="8" s="1"/>
  <c r="K99" i="8" s="1"/>
  <c r="O66" i="8"/>
  <c r="O67" i="8" s="1"/>
  <c r="O68" i="8" s="1"/>
  <c r="O52" i="8"/>
  <c r="O54" i="8" s="1"/>
  <c r="O56" i="8" s="1"/>
  <c r="L11" i="9"/>
  <c r="E42" i="20" s="1"/>
  <c r="H311" i="12"/>
  <c r="G317" i="12"/>
  <c r="N83" i="8"/>
  <c r="N85" i="8" s="1"/>
  <c r="N87" i="8" s="1"/>
  <c r="N88" i="8" s="1"/>
  <c r="N97" i="8"/>
  <c r="N98" i="8" s="1"/>
  <c r="N99" i="8" s="1"/>
  <c r="D39" i="20"/>
  <c r="N67" i="8"/>
  <c r="N68" i="8" s="1"/>
  <c r="Q35" i="8"/>
  <c r="Q36" i="8" s="1"/>
  <c r="Q17" i="8"/>
  <c r="Q19" i="8" s="1"/>
  <c r="Q21" i="8" s="1"/>
  <c r="I260" i="12"/>
  <c r="H259" i="12"/>
  <c r="Q66" i="8"/>
  <c r="Q67" i="8" s="1"/>
  <c r="Q68" i="8" s="1"/>
  <c r="Q52" i="8"/>
  <c r="Q54" i="8" s="1"/>
  <c r="Q56" i="8" s="1"/>
  <c r="J37" i="8"/>
  <c r="J9" i="10" s="1"/>
  <c r="J10" i="10"/>
  <c r="P83" i="8"/>
  <c r="P85" i="8" s="1"/>
  <c r="P87" i="8" s="1"/>
  <c r="P88" i="8" s="1"/>
  <c r="P97" i="8"/>
  <c r="P98" i="8" s="1"/>
  <c r="P99" i="8" s="1"/>
  <c r="F294" i="12"/>
  <c r="G288" i="12"/>
  <c r="I282" i="12"/>
  <c r="H283" i="12"/>
  <c r="H52" i="8"/>
  <c r="H54" i="8" s="1"/>
  <c r="H56" i="8" s="1"/>
  <c r="H66" i="8"/>
  <c r="H67" i="8" s="1"/>
  <c r="H68" i="8" s="1"/>
  <c r="I35" i="8"/>
  <c r="I36" i="8" s="1"/>
  <c r="I17" i="8"/>
  <c r="L66" i="8"/>
  <c r="L67" i="8" s="1"/>
  <c r="L68" i="8" s="1"/>
  <c r="L52" i="8"/>
  <c r="L54" i="8" s="1"/>
  <c r="L56" i="8" s="1"/>
  <c r="E38" i="20"/>
  <c r="F38" i="20" s="1"/>
  <c r="H15" i="9"/>
  <c r="E271" i="12"/>
  <c r="I256" i="12"/>
  <c r="J256" i="12"/>
  <c r="J266" i="12" s="1"/>
  <c r="E270" i="12" s="1"/>
  <c r="H255" i="12"/>
  <c r="K35" i="8"/>
  <c r="K36" i="8" s="1"/>
  <c r="K17" i="8"/>
  <c r="K19" i="8" s="1"/>
  <c r="K21" i="8" s="1"/>
  <c r="M66" i="8"/>
  <c r="M67" i="8" s="1"/>
  <c r="M68" i="8" s="1"/>
  <c r="M52" i="8"/>
  <c r="M54" i="8" s="1"/>
  <c r="M56" i="8" s="1"/>
  <c r="N277" i="12"/>
  <c r="G37" i="8"/>
  <c r="G9" i="10" s="1"/>
  <c r="G10" i="10"/>
  <c r="I97" i="8" l="1"/>
  <c r="I98" i="8" s="1"/>
  <c r="I99" i="8" s="1"/>
  <c r="O22" i="8"/>
  <c r="L83" i="8"/>
  <c r="L85" i="8" s="1"/>
  <c r="L87" i="8" s="1"/>
  <c r="L88" i="8" s="1"/>
  <c r="O37" i="8"/>
  <c r="O9" i="10" s="1"/>
  <c r="H10" i="10"/>
  <c r="G210" i="12"/>
  <c r="N57" i="8"/>
  <c r="N27" i="10" s="1"/>
  <c r="O83" i="8"/>
  <c r="O85" i="8" s="1"/>
  <c r="O87" i="8" s="1"/>
  <c r="O88" i="8" s="1"/>
  <c r="H264" i="12"/>
  <c r="H265" i="12" s="1"/>
  <c r="I265" i="12" s="1"/>
  <c r="I266" i="12" s="1"/>
  <c r="R80" i="8"/>
  <c r="J57" i="8"/>
  <c r="I207" i="12"/>
  <c r="H64" i="20"/>
  <c r="C114" i="20" s="1"/>
  <c r="J22" i="8"/>
  <c r="J100" i="19"/>
  <c r="I15" i="9"/>
  <c r="H8" i="10" s="1"/>
  <c r="C40" i="20"/>
  <c r="J8" i="9"/>
  <c r="N26" i="10"/>
  <c r="H100" i="20" s="1"/>
  <c r="H207" i="12"/>
  <c r="I57" i="8"/>
  <c r="F39" i="20"/>
  <c r="H22" i="8"/>
  <c r="H65" i="20"/>
  <c r="K6" i="17"/>
  <c r="F313" i="17"/>
  <c r="F97" i="8"/>
  <c r="F98" i="8" s="1"/>
  <c r="F83" i="8"/>
  <c r="R82" i="8"/>
  <c r="H57" i="8"/>
  <c r="H27" i="10" s="1"/>
  <c r="H26" i="10"/>
  <c r="H94" i="20" s="1"/>
  <c r="G207" i="12"/>
  <c r="D40" i="20"/>
  <c r="P37" i="8"/>
  <c r="P9" i="10" s="1"/>
  <c r="P10" i="10"/>
  <c r="N10" i="10"/>
  <c r="N37" i="8"/>
  <c r="N9" i="10" s="1"/>
  <c r="J282" i="12"/>
  <c r="I283" i="12"/>
  <c r="J210" i="12"/>
  <c r="Q57" i="8"/>
  <c r="Q27" i="10" s="1"/>
  <c r="Q26" i="10"/>
  <c r="H103" i="20" s="1"/>
  <c r="L10" i="10"/>
  <c r="L37" i="8"/>
  <c r="L9" i="10" s="1"/>
  <c r="P22" i="8"/>
  <c r="H73" i="20"/>
  <c r="L57" i="8"/>
  <c r="E210" i="12"/>
  <c r="L26" i="10"/>
  <c r="H98" i="20" s="1"/>
  <c r="I19" i="8"/>
  <c r="H69" i="20"/>
  <c r="L22" i="8"/>
  <c r="K57" i="8"/>
  <c r="K27" i="10" s="1"/>
  <c r="K26" i="10"/>
  <c r="H97" i="20" s="1"/>
  <c r="J207" i="12"/>
  <c r="G7" i="10"/>
  <c r="H16" i="9"/>
  <c r="F220" i="12"/>
  <c r="G8" i="10"/>
  <c r="H288" i="12"/>
  <c r="G294" i="12"/>
  <c r="M11" i="9"/>
  <c r="E43" i="20" s="1"/>
  <c r="K22" i="8"/>
  <c r="H68" i="20"/>
  <c r="Q37" i="8"/>
  <c r="Q9" i="10" s="1"/>
  <c r="Q10" i="10"/>
  <c r="O57" i="8"/>
  <c r="H210" i="12"/>
  <c r="M37" i="8"/>
  <c r="M9" i="10" s="1"/>
  <c r="M10" i="10"/>
  <c r="I88" i="8"/>
  <c r="I26" i="10"/>
  <c r="H95" i="20" s="1"/>
  <c r="J88" i="8"/>
  <c r="J26" i="10"/>
  <c r="H96" i="20" s="1"/>
  <c r="H317" i="12"/>
  <c r="I311" i="12"/>
  <c r="P26" i="10"/>
  <c r="H102" i="20" s="1"/>
  <c r="I210" i="12"/>
  <c r="P57" i="8"/>
  <c r="P27" i="10" s="1"/>
  <c r="G57" i="8"/>
  <c r="G27" i="10" s="1"/>
  <c r="G26" i="10"/>
  <c r="H93" i="20" s="1"/>
  <c r="C132" i="20" s="1"/>
  <c r="F207" i="12"/>
  <c r="H71" i="20"/>
  <c r="N22" i="8"/>
  <c r="M57" i="8"/>
  <c r="M27" i="10" s="1"/>
  <c r="M26" i="10"/>
  <c r="H99" i="20" s="1"/>
  <c r="F210" i="12"/>
  <c r="R11" i="9"/>
  <c r="E48" i="20" s="1"/>
  <c r="I10" i="10"/>
  <c r="I37" i="8"/>
  <c r="Q22" i="8"/>
  <c r="H74" i="20"/>
  <c r="H70" i="20"/>
  <c r="M22" i="8"/>
  <c r="K10" i="10"/>
  <c r="K37" i="8"/>
  <c r="K9" i="10" s="1"/>
  <c r="L27" i="10" l="1"/>
  <c r="O26" i="10"/>
  <c r="H101" i="20" s="1"/>
  <c r="I16" i="9"/>
  <c r="I17" i="9" s="1"/>
  <c r="H7" i="10"/>
  <c r="H24" i="10" s="1"/>
  <c r="H29" i="10" s="1"/>
  <c r="G220" i="12"/>
  <c r="G234" i="12" s="1"/>
  <c r="J27" i="10"/>
  <c r="O27" i="10"/>
  <c r="I27" i="10"/>
  <c r="C115" i="20"/>
  <c r="F40" i="20"/>
  <c r="C134" i="20" s="1"/>
  <c r="C133" i="20"/>
  <c r="C41" i="20"/>
  <c r="K8" i="9"/>
  <c r="I288" i="12"/>
  <c r="H294" i="12"/>
  <c r="I21" i="8"/>
  <c r="G12" i="10"/>
  <c r="G24" i="10"/>
  <c r="G29" i="10" s="1"/>
  <c r="F85" i="8"/>
  <c r="R83" i="8"/>
  <c r="I9" i="10"/>
  <c r="R98" i="8"/>
  <c r="F99" i="8"/>
  <c r="R99" i="8" s="1"/>
  <c r="G25" i="10"/>
  <c r="G30" i="10" s="1"/>
  <c r="G13" i="10"/>
  <c r="H13" i="10"/>
  <c r="H25" i="10"/>
  <c r="H30" i="10" s="1"/>
  <c r="F234" i="12"/>
  <c r="L282" i="12"/>
  <c r="J283" i="12"/>
  <c r="H266" i="12"/>
  <c r="J15" i="9"/>
  <c r="N11" i="9"/>
  <c r="E44" i="20" s="1"/>
  <c r="I317" i="12"/>
  <c r="J311" i="12"/>
  <c r="J317" i="12" s="1"/>
  <c r="H17" i="9"/>
  <c r="D41" i="20"/>
  <c r="K15" i="9"/>
  <c r="H12" i="10" l="1"/>
  <c r="F41" i="20"/>
  <c r="C135" i="20" s="1"/>
  <c r="L8" i="9"/>
  <c r="C42" i="20"/>
  <c r="H66" i="20"/>
  <c r="I22" i="8"/>
  <c r="O11" i="9"/>
  <c r="E45" i="20" s="1"/>
  <c r="P11" i="9"/>
  <c r="E46" i="20" s="1"/>
  <c r="E269" i="12"/>
  <c r="E324" i="12"/>
  <c r="J288" i="12"/>
  <c r="J294" i="12" s="1"/>
  <c r="I294" i="12"/>
  <c r="I7" i="10"/>
  <c r="I8" i="10"/>
  <c r="H220" i="12"/>
  <c r="H234" i="12" s="1"/>
  <c r="J16" i="9"/>
  <c r="D42" i="20"/>
  <c r="M282" i="12"/>
  <c r="L283" i="12"/>
  <c r="F87" i="8"/>
  <c r="R85" i="8"/>
  <c r="J7" i="10"/>
  <c r="K16" i="9"/>
  <c r="K17" i="9" s="1"/>
  <c r="J8" i="10"/>
  <c r="I220" i="12"/>
  <c r="I234" i="12" s="1"/>
  <c r="F42" i="20" l="1"/>
  <c r="C118" i="20" s="1"/>
  <c r="C117" i="20"/>
  <c r="M8" i="9"/>
  <c r="C43" i="20"/>
  <c r="G63" i="19"/>
  <c r="G74" i="19" s="1"/>
  <c r="D99" i="19"/>
  <c r="E99" i="19"/>
  <c r="E102" i="19" s="1"/>
  <c r="F99" i="19"/>
  <c r="F102" i="19" s="1"/>
  <c r="G99" i="19"/>
  <c r="G102" i="19" s="1"/>
  <c r="H99" i="19"/>
  <c r="H102" i="19" s="1"/>
  <c r="I99" i="19"/>
  <c r="I102" i="19" s="1"/>
  <c r="J17" i="9"/>
  <c r="D43" i="20"/>
  <c r="G324" i="12"/>
  <c r="G325" i="12" s="1"/>
  <c r="E352" i="12" s="1"/>
  <c r="E325" i="12"/>
  <c r="I25" i="10"/>
  <c r="I30" i="10" s="1"/>
  <c r="I13" i="10"/>
  <c r="J13" i="10"/>
  <c r="J25" i="10"/>
  <c r="J30" i="10" s="1"/>
  <c r="I12" i="10"/>
  <c r="I24" i="10"/>
  <c r="I29" i="10" s="1"/>
  <c r="R87" i="8"/>
  <c r="F88" i="8"/>
  <c r="R88" i="8" s="1"/>
  <c r="N282" i="12"/>
  <c r="N283" i="12" s="1"/>
  <c r="M283" i="12"/>
  <c r="C116" i="20"/>
  <c r="L15" i="9"/>
  <c r="J24" i="10"/>
  <c r="J29" i="10" s="1"/>
  <c r="J12" i="10"/>
  <c r="M15" i="9" l="1"/>
  <c r="L7" i="10" s="1"/>
  <c r="F43" i="20"/>
  <c r="C119" i="20" s="1"/>
  <c r="C136" i="20"/>
  <c r="N8" i="9"/>
  <c r="C44" i="20"/>
  <c r="J99" i="19"/>
  <c r="J102" i="19" s="1"/>
  <c r="D102" i="19"/>
  <c r="K8" i="10"/>
  <c r="K7" i="10"/>
  <c r="J220" i="12"/>
  <c r="J234" i="12" s="1"/>
  <c r="L16" i="9"/>
  <c r="D44" i="20"/>
  <c r="H63" i="19"/>
  <c r="G67" i="19"/>
  <c r="M16" i="9" l="1"/>
  <c r="M17" i="9" s="1"/>
  <c r="L8" i="10"/>
  <c r="L13" i="10" s="1"/>
  <c r="E223" i="12"/>
  <c r="E237" i="12" s="1"/>
  <c r="N15" i="9"/>
  <c r="M7" i="10" s="1"/>
  <c r="C137" i="20"/>
  <c r="F44" i="20"/>
  <c r="C120" i="20" s="1"/>
  <c r="O8" i="9"/>
  <c r="C45" i="20"/>
  <c r="D45" i="20"/>
  <c r="L17" i="9"/>
  <c r="L12" i="10"/>
  <c r="L24" i="10"/>
  <c r="L29" i="10" s="1"/>
  <c r="K24" i="10"/>
  <c r="K29" i="10" s="1"/>
  <c r="K12" i="10"/>
  <c r="K13" i="10"/>
  <c r="K25" i="10"/>
  <c r="K30" i="10" s="1"/>
  <c r="H67" i="19"/>
  <c r="N16" i="9" l="1"/>
  <c r="N17" i="9" s="1"/>
  <c r="F223" i="12"/>
  <c r="F237" i="12" s="1"/>
  <c r="L25" i="10"/>
  <c r="L30" i="10" s="1"/>
  <c r="M8" i="10"/>
  <c r="M13" i="10" s="1"/>
  <c r="O15" i="9"/>
  <c r="O16" i="9" s="1"/>
  <c r="C138" i="20"/>
  <c r="F45" i="20"/>
  <c r="C139" i="20" s="1"/>
  <c r="P8" i="9"/>
  <c r="C46" i="20"/>
  <c r="D46" i="20"/>
  <c r="M24" i="10"/>
  <c r="M29" i="10" s="1"/>
  <c r="M12" i="10"/>
  <c r="M25" i="10" l="1"/>
  <c r="M30" i="10" s="1"/>
  <c r="G223" i="12"/>
  <c r="G237" i="12" s="1"/>
  <c r="P15" i="9"/>
  <c r="O7" i="10" s="1"/>
  <c r="N7" i="10"/>
  <c r="N12" i="10" s="1"/>
  <c r="N8" i="10"/>
  <c r="N13" i="10" s="1"/>
  <c r="F46" i="20"/>
  <c r="C122" i="20" s="1"/>
  <c r="C121" i="20"/>
  <c r="Q8" i="9"/>
  <c r="C47" i="20"/>
  <c r="D47" i="20"/>
  <c r="O17" i="9"/>
  <c r="P16" i="9" l="1"/>
  <c r="P17" i="9" s="1"/>
  <c r="N24" i="10"/>
  <c r="N29" i="10" s="1"/>
  <c r="N25" i="10"/>
  <c r="N30" i="10" s="1"/>
  <c r="C140" i="20"/>
  <c r="O8" i="10"/>
  <c r="O25" i="10" s="1"/>
  <c r="O30" i="10" s="1"/>
  <c r="H223" i="12"/>
  <c r="H237" i="12" s="1"/>
  <c r="Q15" i="9"/>
  <c r="P8" i="10" s="1"/>
  <c r="F47" i="20"/>
  <c r="C123" i="20" s="1"/>
  <c r="C48" i="20"/>
  <c r="R8" i="9"/>
  <c r="O24" i="10"/>
  <c r="O29" i="10" s="1"/>
  <c r="O12" i="10"/>
  <c r="D48" i="20"/>
  <c r="O13" i="10" l="1"/>
  <c r="P7" i="10"/>
  <c r="P12" i="10" s="1"/>
  <c r="Q16" i="9"/>
  <c r="Q17" i="9" s="1"/>
  <c r="I223" i="12"/>
  <c r="I237" i="12" s="1"/>
  <c r="F48" i="20"/>
  <c r="C142" i="20" s="1"/>
  <c r="C141" i="20"/>
  <c r="S14" i="9"/>
  <c r="R15" i="9"/>
  <c r="P13" i="10"/>
  <c r="P25" i="10"/>
  <c r="P30" i="10" s="1"/>
  <c r="P24" i="10" l="1"/>
  <c r="P29" i="10" s="1"/>
  <c r="F49" i="20"/>
  <c r="C124" i="20"/>
  <c r="Q8" i="10"/>
  <c r="R16" i="9"/>
  <c r="Q7" i="10"/>
  <c r="J223" i="12"/>
  <c r="J237" i="12" s="1"/>
  <c r="S15" i="9"/>
  <c r="R17" i="9" l="1"/>
  <c r="S17" i="9" s="1"/>
  <c r="S16" i="9"/>
  <c r="Q24" i="10"/>
  <c r="Q29" i="10" s="1"/>
  <c r="Q12" i="10"/>
  <c r="Q13" i="10"/>
  <c r="Q25" i="10"/>
  <c r="Q30" i="10" s="1"/>
  <c r="G65" i="19" l="1"/>
  <c r="H65" i="19" s="1"/>
  <c r="G69" i="19" s="1"/>
  <c r="H69" i="19" s="1"/>
  <c r="G64" i="19" l="1"/>
  <c r="H64" i="19" s="1"/>
  <c r="G68" i="19" s="1"/>
  <c r="H68" i="19" s="1"/>
  <c r="F49" i="8" l="1"/>
  <c r="R49" i="8" s="1"/>
  <c r="F14" i="8"/>
  <c r="F16" i="8" s="1"/>
  <c r="F51" i="8" l="1"/>
  <c r="F52" i="8" s="1"/>
  <c r="F54" i="8" s="1"/>
  <c r="F17" i="8"/>
  <c r="F19" i="8" s="1"/>
  <c r="F21" i="8" s="1"/>
  <c r="F35" i="8"/>
  <c r="F36" i="8" s="1"/>
  <c r="F66" i="8" l="1"/>
  <c r="F67" i="8" s="1"/>
  <c r="R67" i="8" s="1"/>
  <c r="R52" i="8"/>
  <c r="R51" i="8"/>
  <c r="R21" i="8"/>
  <c r="F22" i="8"/>
  <c r="R22" i="8" s="1"/>
  <c r="H63" i="20"/>
  <c r="R54" i="8"/>
  <c r="F56" i="8"/>
  <c r="R36" i="8"/>
  <c r="F10" i="10"/>
  <c r="F13" i="10" s="1"/>
  <c r="F37" i="8"/>
  <c r="F68" i="8" l="1"/>
  <c r="R68" i="8" s="1"/>
  <c r="R37" i="8"/>
  <c r="F9" i="10"/>
  <c r="F12" i="10" s="1"/>
  <c r="R56" i="8"/>
  <c r="E207" i="12"/>
  <c r="E234" i="12" s="1"/>
  <c r="F26" i="10"/>
  <c r="F57" i="8"/>
  <c r="H75" i="20"/>
  <c r="C113" i="20"/>
  <c r="C125" i="20" s="1"/>
  <c r="R57" i="8" l="1"/>
  <c r="F27" i="10"/>
  <c r="F30" i="10" s="1"/>
  <c r="F29" i="10"/>
  <c r="H92" i="20"/>
  <c r="C131" i="20" l="1"/>
  <c r="C143" i="20" s="1"/>
  <c r="H104" i="20"/>
</calcChain>
</file>

<file path=xl/sharedStrings.xml><?xml version="1.0" encoding="utf-8"?>
<sst xmlns="http://schemas.openxmlformats.org/spreadsheetml/2006/main" count="3339" uniqueCount="1486">
  <si>
    <t>PROVINCIA</t>
  </si>
  <si>
    <t>DISTRITO</t>
  </si>
  <si>
    <t>NOMBRE</t>
  </si>
  <si>
    <t>TOTAL</t>
  </si>
  <si>
    <t>8. PROBLEMA CENTRAL Y SUS CAUSAS</t>
  </si>
  <si>
    <t>COSTO (S/.)</t>
  </si>
  <si>
    <t>No</t>
  </si>
  <si>
    <t>Si</t>
  </si>
  <si>
    <t>Acción 1</t>
  </si>
  <si>
    <t>Acción 2</t>
  </si>
  <si>
    <t>IMPACTOS NEGATIVOS</t>
  </si>
  <si>
    <t>Durante la Operación</t>
  </si>
  <si>
    <t>Medidas consideradas en el proyecto para mitigar el desastre</t>
  </si>
  <si>
    <t>Persona Responsable de la Unidad Ejecutora</t>
  </si>
  <si>
    <t>FUNCIÓN</t>
  </si>
  <si>
    <t>7. DESCRIPCIÓN DE LA SITUACIÓN ACTUAL</t>
  </si>
  <si>
    <t>MEDIDAS DE MITIGACIÓN</t>
  </si>
  <si>
    <t xml:space="preserve">4. UNIDAD FORMULADORA </t>
  </si>
  <si>
    <t>Documentos que sustentan los acuerdos institucionales u otros que garantizan el financiamiento de los gastos de operación y mantenimiento</t>
  </si>
  <si>
    <t>Documento</t>
  </si>
  <si>
    <t>Compromiso</t>
  </si>
  <si>
    <t xml:space="preserve">Persona Responsable de la Unidad Formuladora </t>
  </si>
  <si>
    <t>Responsable de la Formulación del Perfil</t>
  </si>
  <si>
    <t>RESPONSABLE FUNCIONAL</t>
  </si>
  <si>
    <t>Descripción</t>
  </si>
  <si>
    <t>Unidad de Medida</t>
  </si>
  <si>
    <t>Costo Unitario</t>
  </si>
  <si>
    <t>Beneficios</t>
  </si>
  <si>
    <t>Cantidad</t>
  </si>
  <si>
    <t>I.  ASPECTOS GENERALES</t>
  </si>
  <si>
    <t>Año 1</t>
  </si>
  <si>
    <t>Año 2</t>
  </si>
  <si>
    <t>Año 10</t>
  </si>
  <si>
    <t>Total</t>
  </si>
  <si>
    <t>Items de gasto</t>
  </si>
  <si>
    <t>n</t>
  </si>
  <si>
    <t>Entidad / Organización</t>
  </si>
  <si>
    <t>Acción "n"</t>
  </si>
  <si>
    <t>Componentes (Resultados necesarios para lograr el Objetivo)</t>
  </si>
  <si>
    <t>Enunciar los principales parámetros y supuestos considerados para la proyección de la demanda</t>
  </si>
  <si>
    <t>Situación sin Proyecto</t>
  </si>
  <si>
    <t>Costo de Inversión</t>
  </si>
  <si>
    <t>Personal (*)</t>
  </si>
  <si>
    <t>Equipos (*)</t>
  </si>
  <si>
    <t>Insumos (*)</t>
  </si>
  <si>
    <t>Servicios (*)</t>
  </si>
  <si>
    <t>Combustibles (*)</t>
  </si>
  <si>
    <t>Otros(*)</t>
  </si>
  <si>
    <t>Expediente Técnico</t>
  </si>
  <si>
    <t>Supervisión</t>
  </si>
  <si>
    <t>Principales Rubros</t>
  </si>
  <si>
    <t>Total a precios de mercado</t>
  </si>
  <si>
    <t>Total a precios sociales (*)</t>
  </si>
  <si>
    <t>Sector</t>
  </si>
  <si>
    <t>Organo Técnico Responsable</t>
  </si>
  <si>
    <t>Departamento</t>
  </si>
  <si>
    <t>Causas Indirectas</t>
  </si>
  <si>
    <t>Nº</t>
  </si>
  <si>
    <t>TIPO DE EJECUCIÓN</t>
  </si>
  <si>
    <t>ADMINISTRACIÓN DIRECTA</t>
  </si>
  <si>
    <t>ADMINISTRACIÓN INDIRECTA – POR CONTRATA</t>
  </si>
  <si>
    <t>ADMINISTRACIÓN INDIRECTA – ASOCIACIÓN PÚBLICA PRIVADO (APP)</t>
  </si>
  <si>
    <t xml:space="preserve">ADMINISTRACIÓN INDIRECTA – NÚCLEO EJECUTOR </t>
  </si>
  <si>
    <t>ADMINISTRACIÓN INDIRECTA – ley 29230 (OBRAS POR IMPUESTOS)</t>
  </si>
  <si>
    <t>Utilidad</t>
  </si>
  <si>
    <t>Gobierno Nacional/Regional</t>
  </si>
  <si>
    <t>Gobierno Distrital</t>
  </si>
  <si>
    <t>Unidad Ejecutora</t>
  </si>
  <si>
    <t>Distrito</t>
  </si>
  <si>
    <t>9.1. Objetivo</t>
  </si>
  <si>
    <t>9.2. Medios Fundamentales</t>
  </si>
  <si>
    <t>N°</t>
  </si>
  <si>
    <t>Año 3</t>
  </si>
  <si>
    <t>Durante la Ejecución</t>
  </si>
  <si>
    <t>Causa 2</t>
  </si>
  <si>
    <t>Causa 1</t>
  </si>
  <si>
    <t>9. OBJETIVO Y MEDIOS FUNDAMENTALES</t>
  </si>
  <si>
    <t>Impacto 1:</t>
  </si>
  <si>
    <t>Impacto n:</t>
  </si>
  <si>
    <t>Año 8</t>
  </si>
  <si>
    <t>Año 9</t>
  </si>
  <si>
    <t>DIVISIÓN FUNCIONAL</t>
  </si>
  <si>
    <t>GRUPO FUNCIONAL</t>
  </si>
  <si>
    <t xml:space="preserve">AGROPECUARIA </t>
  </si>
  <si>
    <t xml:space="preserve">RIEGO </t>
  </si>
  <si>
    <t xml:space="preserve">HUANCAVELICA </t>
  </si>
  <si>
    <t>CHURCAMPA</t>
  </si>
  <si>
    <t>LOCROJA</t>
  </si>
  <si>
    <t>MUNICIPALIDAD DISTRITAL DE LOCROJA</t>
  </si>
  <si>
    <t>SECTOR</t>
  </si>
  <si>
    <t>PLIEGO</t>
  </si>
  <si>
    <t xml:space="preserve">GOBIERNOS LOCALES </t>
  </si>
  <si>
    <t>UNIDAD FORMULADORA DE DESARROLLO SOCIAL Y ECONÓMICO</t>
  </si>
  <si>
    <t xml:space="preserve">GERENCIA DE INFRAESTRUCTURA Y OBRAS PÚBLICAS </t>
  </si>
  <si>
    <t>ING. JUAN PORTILLA CUETO</t>
  </si>
  <si>
    <t>SAN LUIS</t>
  </si>
  <si>
    <t>10 AÑOS</t>
  </si>
  <si>
    <t>X</t>
  </si>
  <si>
    <t>El horizonte de evaluación del proyecto está asociado al tiempo de vida útil de los materiales e insumos que se utilizarán en la infraestructura.</t>
  </si>
  <si>
    <t>m3</t>
  </si>
  <si>
    <t xml:space="preserve">CÁLCULO DE LA DEMANDA HÍDRICA "SIN PROYECTO" </t>
  </si>
  <si>
    <t>Cálculo</t>
  </si>
  <si>
    <t>Unidad</t>
  </si>
  <si>
    <t>Meses</t>
  </si>
  <si>
    <t>Ene</t>
  </si>
  <si>
    <t>Feb</t>
  </si>
  <si>
    <t>Mar</t>
  </si>
  <si>
    <t>Abr</t>
  </si>
  <si>
    <t>May</t>
  </si>
  <si>
    <t>Jun</t>
  </si>
  <si>
    <t>Jul</t>
  </si>
  <si>
    <t>Ago</t>
  </si>
  <si>
    <t>Sep</t>
  </si>
  <si>
    <t>Oct</t>
  </si>
  <si>
    <t>Nov</t>
  </si>
  <si>
    <t>Dic</t>
  </si>
  <si>
    <t>a</t>
  </si>
  <si>
    <t>Eto</t>
  </si>
  <si>
    <t>Dato</t>
  </si>
  <si>
    <t>mm/dia</t>
  </si>
  <si>
    <t>b</t>
  </si>
  <si>
    <t>c</t>
  </si>
  <si>
    <t xml:space="preserve">Uso Consultivo o Evaporación Real  </t>
  </si>
  <si>
    <t>(a x b)</t>
  </si>
  <si>
    <t>d</t>
  </si>
  <si>
    <t>Precipitación Efectiva</t>
  </si>
  <si>
    <t>e</t>
  </si>
  <si>
    <t xml:space="preserve">Necesidades Netas del Cultivo  </t>
  </si>
  <si>
    <t>(c - d)</t>
  </si>
  <si>
    <t>f</t>
  </si>
  <si>
    <t>%</t>
  </si>
  <si>
    <t>g</t>
  </si>
  <si>
    <t xml:space="preserve">Necesidades Totales del Cultivo  </t>
  </si>
  <si>
    <t>(e / f)</t>
  </si>
  <si>
    <t>h</t>
  </si>
  <si>
    <t>(e / f) x 10</t>
  </si>
  <si>
    <t>m3-ha/dia</t>
  </si>
  <si>
    <t>i</t>
  </si>
  <si>
    <t>N° de Días del Mes</t>
  </si>
  <si>
    <t>j</t>
  </si>
  <si>
    <t>Demanda Total Unitaria - Mensual</t>
  </si>
  <si>
    <t>(h x i)</t>
  </si>
  <si>
    <t>m3/ha/mes</t>
  </si>
  <si>
    <t>k</t>
  </si>
  <si>
    <t>Área de Riego</t>
  </si>
  <si>
    <t>ha</t>
  </si>
  <si>
    <t>l</t>
  </si>
  <si>
    <t>Demanda Total - Mensual</t>
  </si>
  <si>
    <t>(j x k)</t>
  </si>
  <si>
    <t>m3/mes</t>
  </si>
  <si>
    <t>m</t>
  </si>
  <si>
    <t>o</t>
  </si>
  <si>
    <t>m3/ha/dia</t>
  </si>
  <si>
    <t>Caudal Asignado por la OUA</t>
  </si>
  <si>
    <t>l/s</t>
  </si>
  <si>
    <t>m3/hr</t>
  </si>
  <si>
    <t>Tiempo de Riego por Dotación</t>
  </si>
  <si>
    <t>hr/ha</t>
  </si>
  <si>
    <t xml:space="preserve">Tiempo de Riego Total por Dotación </t>
  </si>
  <si>
    <t>(c x d)</t>
  </si>
  <si>
    <t>hr</t>
  </si>
  <si>
    <t>días</t>
  </si>
  <si>
    <t>Frecuencia de cada Dotacion de Riego Parcelario</t>
  </si>
  <si>
    <t>Número de Riegos al Mes</t>
  </si>
  <si>
    <t>(f / g)</t>
  </si>
  <si>
    <t>Volumen Ofertado para el Proyecto</t>
  </si>
  <si>
    <t>(b x e x h)</t>
  </si>
  <si>
    <t>(i / d)</t>
  </si>
  <si>
    <t>(j / f)</t>
  </si>
  <si>
    <t>Estudio</t>
  </si>
  <si>
    <t>Global</t>
  </si>
  <si>
    <t xml:space="preserve">Oferta </t>
  </si>
  <si>
    <t>Dato de Oferta</t>
  </si>
  <si>
    <t>(m3/ha/mes)</t>
  </si>
  <si>
    <t>(m3/ha/dia)</t>
  </si>
  <si>
    <t>Demanda</t>
  </si>
  <si>
    <t>Dato de Demanda</t>
  </si>
  <si>
    <t>Balance Hídrico</t>
  </si>
  <si>
    <t>(a - c)</t>
  </si>
  <si>
    <t>(b - d)</t>
  </si>
  <si>
    <t>Acta de Compromisos</t>
  </si>
  <si>
    <t>Incremento en el Valor Neto de la Producción</t>
  </si>
  <si>
    <t>Para el cálculo de los beneficios se ha estimado el Valor Neto de la Producción, que resulta de la diferencia entre el Valor Bruto de la Producción y los Costos Totales de la Producción.  El Valor Bruto de la Producción se calcula en base al área del proyecto, el precio y el rendimiento de los cultivos. El supuesto principal es que la totalidad de la producción es comercializada.</t>
  </si>
  <si>
    <t>Gracias al incremento de la productividad de los cultivos los usuarios de agua beneficiados elevan sus ingresos económicos, con lo que pueden mejorar sus condiciones de vida, y por ende el bienestar familiar.</t>
  </si>
  <si>
    <t>Gobierno Provincial</t>
  </si>
  <si>
    <t>Pertenece a: (Elegir la Unidad Ejecutora y llenar solo el punto que corresponda)</t>
  </si>
  <si>
    <t>Descripción del Objetivo Central</t>
  </si>
  <si>
    <t>Descripción Medios Fundamentales</t>
  </si>
  <si>
    <t>Número de Años del Horizonte de Evaluación</t>
  </si>
  <si>
    <t>Sustento Técnico del Horizonte de Evaluación Elegido</t>
  </si>
  <si>
    <t>Costos Incrementales</t>
  </si>
  <si>
    <t>1. CÓDIGO DEL PROYECTO</t>
  </si>
  <si>
    <t>2. NOMBRE DEL PROYECTO DE INVERSIÓN</t>
  </si>
  <si>
    <t xml:space="preserve">3. RESPONSABILIDAD FUNCIONAL </t>
  </si>
  <si>
    <t>Descripción de las Principales Causas</t>
  </si>
  <si>
    <t>Descripción del Problema Central</t>
  </si>
  <si>
    <t>Unida de Medida</t>
  </si>
  <si>
    <r>
      <t xml:space="preserve">Impacto 1:
</t>
    </r>
    <r>
      <rPr>
        <sz val="10"/>
        <color indexed="10"/>
        <rFont val="Arial"/>
        <family val="2"/>
      </rPr>
      <t xml:space="preserve">Acumulación de residuos sólidos de construcción y otros </t>
    </r>
  </si>
  <si>
    <t>Alternativa de Solución</t>
  </si>
  <si>
    <t xml:space="preserve">5. UNIDAD EJECUTORA DE INVERSIÓN RECOMENDADA </t>
  </si>
  <si>
    <t>Persona Responsable de Formular la Ficha Técnica</t>
  </si>
  <si>
    <t xml:space="preserve">Enunciar los principales parámetros y supuestos para la estimación de los beneficios </t>
  </si>
  <si>
    <t>12. HORIZONTE DE EVALUACIÓN (*)</t>
  </si>
  <si>
    <t>13. ANÁLISIS DE LA DEMANDA (*)</t>
  </si>
  <si>
    <t>14. ANÁLISIS DE LA OFERTA (*)</t>
  </si>
  <si>
    <t>16. COSTOS DEL PROYECTO</t>
  </si>
  <si>
    <t>16.1 Modalidad de Ejecución</t>
  </si>
  <si>
    <t>16.3 Costos de Operación y Mantenimiento Sin Proyecto</t>
  </si>
  <si>
    <t>17.2 Beneficios (Cualitativo)</t>
  </si>
  <si>
    <t>18.1 Costo-Beneficio</t>
  </si>
  <si>
    <t>19. CRONOGRAMA DE EJECUCIÓN</t>
  </si>
  <si>
    <t>19.1 Cronograma de Ejecución Física  (% de avance)</t>
  </si>
  <si>
    <t>19.2 Cronograma de Ejecución Financiera (% de avance)</t>
  </si>
  <si>
    <t>20. SOSTENIBILIDAD</t>
  </si>
  <si>
    <t>20.1  Responsable de la Operación y Mantenimiento del PIP</t>
  </si>
  <si>
    <t xml:space="preserve">(La información registrada en esta ficha tiene carácter de Declaración Jurada)  </t>
  </si>
  <si>
    <t>Nivel de Servicio</t>
  </si>
  <si>
    <t xml:space="preserve">II.  DEFINICIÓN DEL PROBLEMA Y OBJETIVOS </t>
  </si>
  <si>
    <t>III.  CUANTIFICACIÓN DE SU CONTRIBUCIÓN AL CIERRE DE BRECHAS</t>
  </si>
  <si>
    <t xml:space="preserve">18.EVALUACIÓN </t>
  </si>
  <si>
    <t>TIR</t>
  </si>
  <si>
    <t>11. CONTRIBUCIÓN AL CIERRE DE BRECHAS</t>
  </si>
  <si>
    <t>IV.  FORMULACION Y EVALUACION</t>
  </si>
  <si>
    <t>V.  REQUISITOS INSTITUCIONALES Y/O NORMATIVOS</t>
  </si>
  <si>
    <t xml:space="preserve">mensual </t>
  </si>
  <si>
    <t>mensual</t>
  </si>
  <si>
    <t xml:space="preserve">ESTE </t>
  </si>
  <si>
    <t xml:space="preserve">NORTE </t>
  </si>
  <si>
    <t>ALTURA (msnm)</t>
  </si>
  <si>
    <t xml:space="preserve">JUNTA DE USUARIOS </t>
  </si>
  <si>
    <t xml:space="preserve">COMITÉ DE USUARIOS </t>
  </si>
  <si>
    <t xml:space="preserve">7.1. Administración del Agua con Fines Agrícolas </t>
  </si>
  <si>
    <t>7 PAGOS</t>
  </si>
  <si>
    <t>Demanda Hídrica Con Proyecto</t>
  </si>
  <si>
    <t>ENE</t>
  </si>
  <si>
    <t>FEB</t>
  </si>
  <si>
    <t>MAR</t>
  </si>
  <si>
    <t>ABR</t>
  </si>
  <si>
    <t>MAY</t>
  </si>
  <si>
    <t>JUN</t>
  </si>
  <si>
    <t>JUL</t>
  </si>
  <si>
    <t>AGO</t>
  </si>
  <si>
    <t>SEP</t>
  </si>
  <si>
    <t>OCT</t>
  </si>
  <si>
    <t>NOV</t>
  </si>
  <si>
    <t>DIC</t>
  </si>
  <si>
    <t>Oferta Hídrica Con Proyecto</t>
  </si>
  <si>
    <t>16.2 Costos de Inversión de la Alternativa Seleccionada (a precios de mercado en Soles)</t>
  </si>
  <si>
    <t>Año (…)</t>
  </si>
  <si>
    <t>Sierra</t>
  </si>
  <si>
    <t>REGIÓN NATURAL</t>
  </si>
  <si>
    <t>AGRICULTURA  Y RIEGO</t>
  </si>
  <si>
    <t>6.2. Ubicación Geográfica</t>
  </si>
  <si>
    <t>ZONA</t>
  </si>
  <si>
    <t xml:space="preserve">6.3. Ubicación Hidrografica </t>
  </si>
  <si>
    <t>Cuenca</t>
  </si>
  <si>
    <t>Microcuenca</t>
  </si>
  <si>
    <t>Vertiente</t>
  </si>
  <si>
    <t>6. UBICACIÓN  Y ACCESOS</t>
  </si>
  <si>
    <t>Distancia (km)</t>
  </si>
  <si>
    <t>Tiempo (Horas)</t>
  </si>
  <si>
    <t>Tipo de vía</t>
  </si>
  <si>
    <t>Estado</t>
  </si>
  <si>
    <t>6.4. Vias de acceso al proyecto</t>
  </si>
  <si>
    <t>Si (   )  No (   )</t>
  </si>
  <si>
    <t>ORGANIZACIÓN FORMALIZADA POR LA ANA</t>
  </si>
  <si>
    <t>OTROS</t>
  </si>
  <si>
    <t xml:space="preserve">Ubicación geográfica UTM WGS84 </t>
  </si>
  <si>
    <t>Este</t>
  </si>
  <si>
    <t>Norte</t>
  </si>
  <si>
    <t>Zona</t>
  </si>
  <si>
    <t>Altitud (m.s.n.m)</t>
  </si>
  <si>
    <t>Rio</t>
  </si>
  <si>
    <t>Manantial (Puquial)</t>
  </si>
  <si>
    <t>Quebrada</t>
  </si>
  <si>
    <t>¿Existen conflictos por la distribución del agua?</t>
  </si>
  <si>
    <t>¿Pertenece a una zona de mesa de dialogo?</t>
  </si>
  <si>
    <t>¿Existen conflictos por los accesos?</t>
  </si>
  <si>
    <t>¿Existen personas que estan en desacuerdo con el proyecto?</t>
  </si>
  <si>
    <t>SI (    )                       NO (    )</t>
  </si>
  <si>
    <t>IGV</t>
  </si>
  <si>
    <t>El responsable de la operación y mantenimiento del sistema de riego estará a cargo de la organización de usuarios beneficiarios del sector San Luis, velando por el adecuado funcionamiento de los equipos de riego</t>
  </si>
  <si>
    <t>Impacto 2:</t>
  </si>
  <si>
    <t>Eficiencia de Riego</t>
  </si>
  <si>
    <t>PROFESION:</t>
  </si>
  <si>
    <t>GRAVEDAD</t>
  </si>
  <si>
    <t>PRESURIZADO</t>
  </si>
  <si>
    <t>TIPO</t>
  </si>
  <si>
    <t>ALFALFA</t>
  </si>
  <si>
    <t>PASTOS</t>
  </si>
  <si>
    <t>AUTOCONSUMO</t>
  </si>
  <si>
    <t>MDO. EXPORTACION</t>
  </si>
  <si>
    <t xml:space="preserve">ÁREA DE RIEGO A BENEFICIAR </t>
  </si>
  <si>
    <t>NÚMERO DE USUARIOS  BENEFICIADOS</t>
  </si>
  <si>
    <t>agricultores</t>
  </si>
  <si>
    <t>SELECCIONADO</t>
  </si>
  <si>
    <t>16.3.1  COSTOS DE OPERACIÓN</t>
  </si>
  <si>
    <t>16.3.2  COSTOS DE MANTENIMIENTO</t>
  </si>
  <si>
    <t>16.4.1  COSTOS DE OPERACIÓN</t>
  </si>
  <si>
    <t>16.4.2  COSTOS DE MANTENIMIENTO</t>
  </si>
  <si>
    <t>21. RIESGOS</t>
  </si>
  <si>
    <t>21.1  ¿El área donde se ubica el proyecto ha sido afectada por algún desastre natural?</t>
  </si>
  <si>
    <t>22. IMPACTO AMBIENTAL</t>
  </si>
  <si>
    <t>Flujo de Caja</t>
  </si>
  <si>
    <t>Presupuesto</t>
  </si>
  <si>
    <t>Panel Fotográfico</t>
  </si>
  <si>
    <t>COMISIÓN DE USUARIOS</t>
  </si>
  <si>
    <t>AUTORIDAD ADMINISTRATIVA DEL AGUA (AAA)</t>
  </si>
  <si>
    <t>AUTORIDAD LOCAL DEL AGUA (ALA)</t>
  </si>
  <si>
    <t>Fuente</t>
  </si>
  <si>
    <t>Nombre</t>
  </si>
  <si>
    <t>SURCO</t>
  </si>
  <si>
    <t>Acciones Necesarias para lograr cada Resultado</t>
  </si>
  <si>
    <t>24. ANEXOS</t>
  </si>
  <si>
    <t>25.  FECHA DE  FORMULACIÓN</t>
  </si>
  <si>
    <t>26. FIRMAS</t>
  </si>
  <si>
    <t>RIEGO TECNIFICADO</t>
  </si>
  <si>
    <t>Pacifico</t>
  </si>
  <si>
    <t>Mantaro</t>
  </si>
  <si>
    <t>Churcampa</t>
  </si>
  <si>
    <t xml:space="preserve">Baja productividad agrícola en el ámbito de la JU Huancavelica – Sector San Luis – Distrito de Locroja – Churcampa – Huancavelica </t>
  </si>
  <si>
    <t xml:space="preserve">Ineficiencias en el uso del recurso hídrico </t>
  </si>
  <si>
    <t xml:space="preserve">   i. Uso deficiente de técnicas de riego por gravedad (inundación, surco, etc.)
   ii. Poco conocimiento de técnicas de riego  de mayor eficiencia</t>
  </si>
  <si>
    <t xml:space="preserve">Inadecuada disponibilidad del recurso hídrico </t>
  </si>
  <si>
    <t xml:space="preserve">   i. Insuficiente infraestructura hidráulica
   ii. Inadecuada conservación de la infraestructura hidráulica
   iii. Poca capacidad de gestión del recurso hídrico entre usuarios </t>
  </si>
  <si>
    <t xml:space="preserve">Incremento de la productividad agrícola en el ámbito de la JU Huancavelica – Sector San Luis – Distrito de Locroja – Churcampa – Huancavelica </t>
  </si>
  <si>
    <t>Utilización de técnicas de riego presurizado</t>
  </si>
  <si>
    <t>Mayor conocimiento de técnicas de riego más eficientes</t>
  </si>
  <si>
    <t>10. DESCRIPCIÓN DE LA ALTERNATIVA DE SOLUCIÓN AL PROBLEMA</t>
  </si>
  <si>
    <t>Mejoramiento de la toma lateral en el canal y desarenador en concreto armado</t>
  </si>
  <si>
    <t>Construcción de un reservorio revestido de geomembrana de PVC de 1.0 mm, de 1,500 m3 de capacidad neta, más obras complementarias</t>
  </si>
  <si>
    <t>Construcción del sistema entubado de conducción y distribución de PVC</t>
  </si>
  <si>
    <t>Instalación de un sistema de riego parcelario por aspersión fijo para 20 ha</t>
  </si>
  <si>
    <t xml:space="preserve">Módulos de capacitación en operación y mantenimiento de sistemas de riego tecnificado </t>
  </si>
  <si>
    <t>Módulos de capacitación en prácticas agrícolas en parcelas con sistemas de riego tecnificado</t>
  </si>
  <si>
    <t>Brecha</t>
  </si>
  <si>
    <t>Brecha Nacional</t>
  </si>
  <si>
    <t xml:space="preserve">Contribución al Cierre de Brecha </t>
  </si>
  <si>
    <t>Área Bajo Riego Sin Riego Tecnificado</t>
  </si>
  <si>
    <t>Para el cálculo de la demanda hídrica se han considerado los datos de: evapotranspiración potencial, el Kc de los cultivos propuestos, la precipitación efectiva, la eficiencia de aplicación, el área del proyecto.
Como supuesto se asume que la cédula de cultivo y el área bajo riego es constante en el tiempo, y se mantienen las condiciones meteorológicas de la zona de estudio.</t>
  </si>
  <si>
    <t>Para el cálculo de la oferta hídrica se han considerado los datos de: caudal ofertado por la fuente hídrica (autorizada por la ANA - acreditacion o licencia), el tiempo de riego, la frecuencia de riego, el área del proyecto.
Como supuesto se asume que el área bajo riego es constante en el tiempo, y se mantienen los regímenes de oferta hídrica por parte de la organización de usuarios de agua.</t>
  </si>
  <si>
    <t>Componente 02 CAPACITACION</t>
  </si>
  <si>
    <r>
      <t xml:space="preserve">PLANTEAMIENTO
</t>
    </r>
    <r>
      <rPr>
        <sz val="9"/>
        <color indexed="10"/>
        <rFont val="Arial"/>
        <family val="2"/>
      </rPr>
      <t>Se captará el agua del canal Rumichaca (progresiva 0+390), con un caudal de 15 l/s. A partir de este punto se conducirá el agua mediante una tubería de PVC hasta un desarenador. De la estructura de sedimentación se almacenará el agua en un reservorio revestido de geomembrana PVC 1.0 mm. Desde este punto se irrigarán un total de 20 ha mediante el sistema de riego por aspersión.</t>
    </r>
  </si>
  <si>
    <r>
      <t xml:space="preserve">COMPONENTE 01:
</t>
    </r>
    <r>
      <rPr>
        <sz val="10"/>
        <color indexed="10"/>
        <rFont val="Arial"/>
        <family val="2"/>
      </rPr>
      <t>Instalación de un sistema de riego por aspersión utilizando agua superficial.</t>
    </r>
  </si>
  <si>
    <r>
      <t xml:space="preserve">COMPONENTE 02:
</t>
    </r>
    <r>
      <rPr>
        <sz val="10"/>
        <color indexed="10"/>
        <rFont val="Arial"/>
        <family val="2"/>
      </rPr>
      <t>Capacitación en operación y mantenimiento de sistemas de riego tecnificado.</t>
    </r>
  </si>
  <si>
    <r>
      <t xml:space="preserve">COMPONENTE 03:
</t>
    </r>
    <r>
      <rPr>
        <sz val="10"/>
        <color indexed="10"/>
        <rFont val="Arial"/>
        <family val="2"/>
      </rPr>
      <t>Asistencia tecnica en prácticas agrícolas en parcelas con sistemas de riego tecnificado.</t>
    </r>
  </si>
  <si>
    <t>Componente 03 ASISTENCIA TECNICA</t>
  </si>
  <si>
    <t>AÑO DE APLIACIÓN DEL COSTO DE REPOSICIÓN</t>
  </si>
  <si>
    <t>16.4 Costos de Operación y Mantenimiento Con Proyecto</t>
  </si>
  <si>
    <t>17. BENEFICIOS</t>
  </si>
  <si>
    <t>Operar y mantener de forma adecuada el sistema de riego tecnificado, acorde con las recomendaciones impartidas durante el proceso de capacitación.</t>
  </si>
  <si>
    <t>Grupo beneficiario</t>
  </si>
  <si>
    <t>Eliminación en depósitos de materiales excedentes</t>
  </si>
  <si>
    <t>FICHA TÉCNICA - MEJORAMIENTO DE SISTEMA DE RIEGO SIMPLIFICADO - RIEGO TECNIFICADO</t>
  </si>
  <si>
    <t>* Fuente: Talleres, asambleas participativos desarrollados en el ambito del Proyecto</t>
  </si>
  <si>
    <t>Gastos Generales</t>
  </si>
  <si>
    <t>Costo Directo</t>
  </si>
  <si>
    <t>CARLOS NATIVIDAD TORERO</t>
  </si>
  <si>
    <t>LUIS LIVORA CANTELLA</t>
  </si>
  <si>
    <t xml:space="preserve">ING. AGRICOLA </t>
  </si>
  <si>
    <t>6.1. Ubicación Política</t>
  </si>
  <si>
    <t>REGIÓN</t>
  </si>
  <si>
    <t xml:space="preserve">LOCALIDAD </t>
  </si>
  <si>
    <t>CENTRO POBLADO SAN LUIS</t>
  </si>
  <si>
    <t>18 - M</t>
  </si>
  <si>
    <t xml:space="preserve">Lima </t>
  </si>
  <si>
    <t>Huancayo</t>
  </si>
  <si>
    <t xml:space="preserve">Huancayo </t>
  </si>
  <si>
    <t xml:space="preserve">Churcampa </t>
  </si>
  <si>
    <t xml:space="preserve">San Luis </t>
  </si>
  <si>
    <t>Asfaltado</t>
  </si>
  <si>
    <t>Asfaltado - Afirmado</t>
  </si>
  <si>
    <t xml:space="preserve">Afirmado </t>
  </si>
  <si>
    <t xml:space="preserve">Proyecto </t>
  </si>
  <si>
    <t>Trocha carrozable</t>
  </si>
  <si>
    <t>B</t>
  </si>
  <si>
    <t>R</t>
  </si>
  <si>
    <t>M</t>
  </si>
  <si>
    <t xml:space="preserve">Canal </t>
  </si>
  <si>
    <t>Pozo</t>
  </si>
  <si>
    <t xml:space="preserve">Otros: </t>
  </si>
  <si>
    <t>CAUDAL DE LA FUENTE AUTORIZADO</t>
  </si>
  <si>
    <t>VOLUMEN DE LA FUENTE AUTORIZADO</t>
  </si>
  <si>
    <t>MÉTODO DE RIEGO A NIVEL PARCELARIO</t>
  </si>
  <si>
    <t>7.3. Descripción de la Situación Actual</t>
  </si>
  <si>
    <t xml:space="preserve">CÉDULA DE CULTIVO ACTUAL </t>
  </si>
  <si>
    <t xml:space="preserve">RENDIMIENTO DEL CULTIVO Kg/ha  </t>
  </si>
  <si>
    <t>DESTINO DE LA PRODUCCIÓN</t>
  </si>
  <si>
    <t>EFICIENCIA DE APLICACIÓN SIN PROYECTO (%)</t>
  </si>
  <si>
    <t>MDO. LOCAL / REGIONAL</t>
  </si>
  <si>
    <t>ADMINISTRACIÓN INDIRECTA - LEY N° 28585 PRT</t>
  </si>
  <si>
    <t>Descripción  de la Propuesta</t>
  </si>
  <si>
    <t>Gatos de Gestión (IGA - CIRA - PMA - Otros)</t>
  </si>
  <si>
    <t>Costo Indirecto</t>
  </si>
  <si>
    <t>Componente 01 RIEGO TECNIFICADO</t>
  </si>
  <si>
    <t>Costo Total del Proyecto</t>
  </si>
  <si>
    <t xml:space="preserve">Obras Comunes </t>
  </si>
  <si>
    <t>Obras Parcelarias</t>
  </si>
  <si>
    <t>Resolución Administrativa N° 007-2015-ALA-HUANCAVELICA</t>
  </si>
  <si>
    <t>7.3. Acreditación Hídrica</t>
  </si>
  <si>
    <t xml:space="preserve">DOCUMENTO DE ACREDITACIÓN HÍDRICA </t>
  </si>
  <si>
    <t xml:space="preserve">LICENCIA </t>
  </si>
  <si>
    <t>ACREDITACIÓN</t>
  </si>
  <si>
    <t>DOCUMENTO DE LA ANA QUE SUSTENTA LA ACREDITACIÓN</t>
  </si>
  <si>
    <t>ING. AGRÍCOLA</t>
  </si>
  <si>
    <t>MEJORAMIENTO DEL SERVICIO DE AGUA A NIVEL PARCELARIO CON UN SISTEMA DE RIEGO TECNIFICADO EN EL SECTOR “SAN LUIS” – DISTRITO DE LOCROJA – CHURCAMPA – HUANCAVELICA</t>
  </si>
  <si>
    <t xml:space="preserve">Tramo
(DE) </t>
  </si>
  <si>
    <t>Tramo 
(HASTA)</t>
  </si>
  <si>
    <t>Valores posibles para el Estado: (B) bueno, (R) regular, (M) malo</t>
  </si>
  <si>
    <t>7.2 Fuente Hídrica</t>
  </si>
  <si>
    <t>m3/año</t>
  </si>
  <si>
    <t>PRECIO EN CHACRA (Soles/Kg)</t>
  </si>
  <si>
    <t>COSTO DE PRODUCCION (Soles/ha)</t>
  </si>
  <si>
    <t>7.5 Aspectos Sociales*</t>
  </si>
  <si>
    <t>7.3. Características de la Producción Agrícola - Situación Actual</t>
  </si>
  <si>
    <t>10.3. Características de la Producción Agrícola - Situación Con Proyecto</t>
  </si>
  <si>
    <t>23. Documentos para la viabilidad</t>
  </si>
  <si>
    <t>TECNIFICADO A GRAVEDAD</t>
  </si>
  <si>
    <t>ASPERSIÓN - FIJO</t>
  </si>
  <si>
    <t>10.1. Alternativa de Solución Propuesta</t>
  </si>
  <si>
    <t>10.2. Descripción de la Alternativa de Solución Propuesta</t>
  </si>
  <si>
    <t>Balance Hídrico Con Proyecto</t>
  </si>
  <si>
    <t xml:space="preserve">15. BALANCE OFERTA - DEMANDA </t>
  </si>
  <si>
    <t>Describir los factores de producción que determinan la oferta actual del servicio. Enunciar los principales parámetros y supuestos considerados para la proyección de la oferta.</t>
  </si>
  <si>
    <t>Obra</t>
  </si>
  <si>
    <t>COSTO DE INVERSION POR HECTÁREA BENEFICIADA (Soles/ha)</t>
  </si>
  <si>
    <t>COSTOS DE REPOSICIÓN (Soles)</t>
  </si>
  <si>
    <t>Costo Parcial</t>
  </si>
  <si>
    <t>Sub Total (ET + CD + CI)</t>
  </si>
  <si>
    <t>APORTE REFERENCIAL DE LOS BENEFICIARIOS (S/.)</t>
  </si>
  <si>
    <t>VP. Costo O&amp;M</t>
  </si>
  <si>
    <t>VP. Costo Total</t>
  </si>
  <si>
    <t>mes 1-2</t>
  </si>
  <si>
    <t>mes 3-4</t>
  </si>
  <si>
    <t>mes 5-6</t>
  </si>
  <si>
    <t>mes 7-8</t>
  </si>
  <si>
    <t>mes 9-10</t>
  </si>
  <si>
    <t>mes 11-12</t>
  </si>
  <si>
    <t>Componente 1 RIEGO TECNIFICADO</t>
  </si>
  <si>
    <t>Componente 2 CAPACITACION</t>
  </si>
  <si>
    <t>Componente 3 ASISTENCIA TECNICA</t>
  </si>
  <si>
    <t>Responsable de la Unidad Formuladora</t>
  </si>
  <si>
    <t>16.5 Comparación de Costos entre la Situación Sin y Con Proyecto (en Soles)</t>
  </si>
  <si>
    <t>VALOR PRESENTE DE LOS BENEFICIOS (Soles)</t>
  </si>
  <si>
    <t>TASA DE DESCUESTO (%)</t>
  </si>
  <si>
    <t>17.1 Beneficios (Cuantitativo) - En Soles</t>
  </si>
  <si>
    <t>VAN (Soles)</t>
  </si>
  <si>
    <t>Croquis de Ubicación</t>
  </si>
  <si>
    <t>Adjunta la constancia de disponibilidad hídrica emitida por la ANA.</t>
  </si>
  <si>
    <t>Adjuntan documentos de acreditación de propiedad del terreno de los beneficiarios.</t>
  </si>
  <si>
    <t>Adjunta la acreditración como usuario de agua emitida por la Organización de Usuarios de Agua.</t>
  </si>
  <si>
    <t>Adjunta acta de compromiso de aporte de contrapartida económica de los beneficiarios.</t>
  </si>
  <si>
    <t>Adjunta acta de libre disponibilidad de terreno.</t>
  </si>
  <si>
    <t>Adjunta constancia de rol de distribución de agua emitido por la OUA.</t>
  </si>
  <si>
    <t>EXPLICAR / PROFUNDIZAR - DGIAR</t>
  </si>
  <si>
    <t>(WGS84)</t>
  </si>
  <si>
    <t>COORDENADAS UTM (m)</t>
  </si>
  <si>
    <t>ETO</t>
  </si>
  <si>
    <t>Kc</t>
  </si>
  <si>
    <t xml:space="preserve">Precipitación Efectiva </t>
  </si>
  <si>
    <t>Mensual</t>
  </si>
  <si>
    <t xml:space="preserve">Eficiencia de Riego </t>
  </si>
  <si>
    <t>Área de Cultivo</t>
  </si>
  <si>
    <t>Cédula de Cultivo</t>
  </si>
  <si>
    <t xml:space="preserve">DATOS A INGRESAR </t>
  </si>
  <si>
    <t xml:space="preserve">Ubicación Geográfica </t>
  </si>
  <si>
    <t>Caudal Autorizado</t>
  </si>
  <si>
    <t xml:space="preserve">Tiempo de Riego por ha </t>
  </si>
  <si>
    <t>Frecuencia de Dotación</t>
  </si>
  <si>
    <t>Tipo de Riego Tecnificado</t>
  </si>
  <si>
    <t>Costos de Producción</t>
  </si>
  <si>
    <t>Precio de Venta en Chacra</t>
  </si>
  <si>
    <t xml:space="preserve">Rendimiento Agrícola </t>
  </si>
  <si>
    <t xml:space="preserve">Estimación de Incremento del Rendimiento </t>
  </si>
  <si>
    <t>Estimación del Incremento del Costo de Producción</t>
  </si>
  <si>
    <t>NOMBRE DEL PIP</t>
  </si>
  <si>
    <t>BALANCE HÍDRICO</t>
  </si>
  <si>
    <t xml:space="preserve">PRESUPUESTO </t>
  </si>
  <si>
    <t xml:space="preserve">FLUJO DE CAJA </t>
  </si>
  <si>
    <t>Uso de Energía a Utilizar</t>
  </si>
  <si>
    <t>BASE DE DATOS BALANCE HÍDRICO</t>
  </si>
  <si>
    <t xml:space="preserve">BASE DE DATOS FLUJO DE CAJA </t>
  </si>
  <si>
    <t>Componentes de Captación</t>
  </si>
  <si>
    <t xml:space="preserve">Componentes de Aducción </t>
  </si>
  <si>
    <t xml:space="preserve">Componentes de Conducción </t>
  </si>
  <si>
    <t xml:space="preserve">Componentes de Distribución </t>
  </si>
  <si>
    <t xml:space="preserve">Componentes de Almacenamiento </t>
  </si>
  <si>
    <t>Componentes de Automatización</t>
  </si>
  <si>
    <t xml:space="preserve">Componentes de Filtrado </t>
  </si>
  <si>
    <t>Componentes de Impulsión (Unidad de Bombeo)</t>
  </si>
  <si>
    <t xml:space="preserve">Obras de Arte </t>
  </si>
  <si>
    <t xml:space="preserve">Equipos Especiales </t>
  </si>
  <si>
    <t>Obras a Nivel Parcelario</t>
  </si>
  <si>
    <t>Campaña o Anual</t>
  </si>
  <si>
    <t>Periodo de Siembra y Cosecha</t>
  </si>
  <si>
    <t xml:space="preserve">UNIDAD DE MEDIDA </t>
  </si>
  <si>
    <t>TIEMPO</t>
  </si>
  <si>
    <t>mm/mes</t>
  </si>
  <si>
    <t>Soles/ha</t>
  </si>
  <si>
    <t>Kg/ha</t>
  </si>
  <si>
    <t>Soles/Kg</t>
  </si>
  <si>
    <t>Anual</t>
  </si>
  <si>
    <t>Altitud 
(m.s.n.m)</t>
  </si>
  <si>
    <t xml:space="preserve">ENERO </t>
  </si>
  <si>
    <t>FEBRERO</t>
  </si>
  <si>
    <t>MARZO</t>
  </si>
  <si>
    <t>ABRIL</t>
  </si>
  <si>
    <t>MAYO</t>
  </si>
  <si>
    <t>JUNIO</t>
  </si>
  <si>
    <t>JULIO</t>
  </si>
  <si>
    <t>AGOSTO</t>
  </si>
  <si>
    <t>SEPTIEMBRE</t>
  </si>
  <si>
    <t>OCTUBRE</t>
  </si>
  <si>
    <t>NOVIEMBRE</t>
  </si>
  <si>
    <t>DICIEMBRE</t>
  </si>
  <si>
    <t>CAUDAL 
(l/s)</t>
  </si>
  <si>
    <t>FRECUENCIA DE DOTACIÓN
(cada x días)</t>
  </si>
  <si>
    <t>TIEMPO DE RIEGO
(horas por bloque)</t>
  </si>
  <si>
    <t>VOLUMEN DISPONIBLE 
(m3)</t>
  </si>
  <si>
    <t>MES PROMEDIO</t>
  </si>
  <si>
    <t xml:space="preserve">VOLUMEN TOTAL </t>
  </si>
  <si>
    <t>VOLUMEN AUTORIZADO</t>
  </si>
  <si>
    <t xml:space="preserve">7.3. Cálculo de la Oferta Hídrica </t>
  </si>
  <si>
    <t xml:space="preserve">7.3. Cálculo de la Demanda Hídrica - Sin Proyecto </t>
  </si>
  <si>
    <t xml:space="preserve">ÁREA A BENEFICIAR </t>
  </si>
  <si>
    <t>EFICIENCIA DE APLICACIÓN</t>
  </si>
  <si>
    <t>MAIZ</t>
  </si>
  <si>
    <t>PAPA</t>
  </si>
  <si>
    <t>CROPWAT</t>
  </si>
  <si>
    <t>MANUAL N° 56 DE LA FAO - CROPWAT</t>
  </si>
  <si>
    <t>M3</t>
  </si>
  <si>
    <t xml:space="preserve">7.3. Cálculo de la Demanda Hídrica - Con Proyecto </t>
  </si>
  <si>
    <t>ASPERSIÓN</t>
  </si>
  <si>
    <t>QUINUA</t>
  </si>
  <si>
    <t>HABA</t>
  </si>
  <si>
    <t>PALTO</t>
  </si>
  <si>
    <t>GOTEO</t>
  </si>
  <si>
    <t xml:space="preserve">CEDULA </t>
  </si>
  <si>
    <t>MÉTODO DE RIEGO</t>
  </si>
  <si>
    <t xml:space="preserve">ÁREA A IRRIGAR </t>
  </si>
  <si>
    <t>VOLUMEN DEMANDADO</t>
  </si>
  <si>
    <t>Oferta Hídrica 
(m3)</t>
  </si>
  <si>
    <t>Demanda Hídrica Sin Proyecto
(m3)</t>
  </si>
  <si>
    <t>Balance Hídrico Sin Proyecto 
(m3)</t>
  </si>
  <si>
    <t>Atlántico</t>
  </si>
  <si>
    <t>INSERTAR GRÁFICO</t>
  </si>
  <si>
    <t xml:space="preserve">7.3. Cálculo del Balance Hídrico - Sin Proyecto </t>
  </si>
  <si>
    <t xml:space="preserve">7.3. Cálculo del Balance Hídrico - Con Proyecto </t>
  </si>
  <si>
    <t>Demanda Hídrica Con Proyecto
(m3)</t>
  </si>
  <si>
    <t>Balance Hídrico Con Proyecto 
(m3)</t>
  </si>
  <si>
    <t>6. BALANCE HÍDRICO</t>
  </si>
  <si>
    <t>Presupuesto Desagregado</t>
  </si>
  <si>
    <t>Cliente</t>
  </si>
  <si>
    <t>AREA (HA)</t>
  </si>
  <si>
    <t>Lugar</t>
  </si>
  <si>
    <t>Item</t>
  </si>
  <si>
    <t>Und.</t>
  </si>
  <si>
    <t>Metrado</t>
  </si>
  <si>
    <t>Precio S/.</t>
  </si>
  <si>
    <t>Parcial S/.</t>
  </si>
  <si>
    <t>01.00</t>
  </si>
  <si>
    <t>OBRAS PROVISIONALES</t>
  </si>
  <si>
    <t>01.01</t>
  </si>
  <si>
    <t>CARTEL DE OBRA</t>
  </si>
  <si>
    <t>UND</t>
  </si>
  <si>
    <t>01.02</t>
  </si>
  <si>
    <t>CAMPAMENTO PROVISIONAL DE LA OBRA (1)</t>
  </si>
  <si>
    <t>GLB</t>
  </si>
  <si>
    <t>02.00</t>
  </si>
  <si>
    <t>TOMA CAPTACION</t>
  </si>
  <si>
    <t>02.01</t>
  </si>
  <si>
    <t>TRABAJOS PRELIMINARES</t>
  </si>
  <si>
    <t>02.01.01</t>
  </si>
  <si>
    <t>LIMPIEZA DE TERRENO MANUAL</t>
  </si>
  <si>
    <t>M²</t>
  </si>
  <si>
    <t>02.01.02</t>
  </si>
  <si>
    <t>TRAZO Y REPLANTEO</t>
  </si>
  <si>
    <t>02.02</t>
  </si>
  <si>
    <t>MOVIMIENTO DE TIERRAS</t>
  </si>
  <si>
    <t>02.02.01</t>
  </si>
  <si>
    <t>EXCAVACION DE ESTRUCTURAS</t>
  </si>
  <si>
    <t>02.02.02</t>
  </si>
  <si>
    <t>REFINE DE CARAS LATERALES</t>
  </si>
  <si>
    <t>02.03</t>
  </si>
  <si>
    <t>OBRAS DE CONCRETO ARMADO</t>
  </si>
  <si>
    <t>02.03.01</t>
  </si>
  <si>
    <t>CONCRETO F'C=175 KG/CM2  SIN MEZCLADORA (HORMIGON)</t>
  </si>
  <si>
    <t>02.03.02</t>
  </si>
  <si>
    <t>ENCOFRADO Y DESENCOFRADO MANUAL</t>
  </si>
  <si>
    <t>02.03.03</t>
  </si>
  <si>
    <t>ACERO  ESTRUCTURAL  Fy = 4200 kg/ cm2</t>
  </si>
  <si>
    <t>KG</t>
  </si>
  <si>
    <t>02.04</t>
  </si>
  <si>
    <t>REVOQUES ENLUCIDOS Y MOLDURAS</t>
  </si>
  <si>
    <t>02.04.01</t>
  </si>
  <si>
    <t>TARRAJEO CON IMPERMEABILIZANTE 1.3. e=1.5cm</t>
  </si>
  <si>
    <t>02.04.02</t>
  </si>
  <si>
    <t>TARRAJEO CON MORTERO 1:3  e= 1.5cm</t>
  </si>
  <si>
    <t>02.05</t>
  </si>
  <si>
    <t>ACCESORIOS PARA LA CAPTACIÓN</t>
  </si>
  <si>
    <t>02.05.01</t>
  </si>
  <si>
    <t>INSTALACION DE COMPUERTA METALICA  0.30 x 1.10 M</t>
  </si>
  <si>
    <t>02.05.02</t>
  </si>
  <si>
    <t>ACCESORIOS DE CAPTACION</t>
  </si>
  <si>
    <t>03.00</t>
  </si>
  <si>
    <t>LINEA DE CONDUCCION (10 M)</t>
  </si>
  <si>
    <t>03.01</t>
  </si>
  <si>
    <t>03.01.01</t>
  </si>
  <si>
    <t>LIMPIEZA DE TERRENO MANUAL LINEAL</t>
  </si>
  <si>
    <t>ML</t>
  </si>
  <si>
    <t>03.01.02</t>
  </si>
  <si>
    <t>TRAZO Y REPLANTEO LONGITUDINAL</t>
  </si>
  <si>
    <t>03.02</t>
  </si>
  <si>
    <t>03.02.01</t>
  </si>
  <si>
    <t>EXCAVACION DE ZANJA EN MATERIAL  SUELTO, PARA  TUB</t>
  </si>
  <si>
    <t>03.02.02</t>
  </si>
  <si>
    <t>REFINE Y NIVELACION DE ZANJA EN TERRENO NORMAL PARA TUB. =&lt; 200 mm.</t>
  </si>
  <si>
    <t>03.02.03</t>
  </si>
  <si>
    <t>RELLENO CON MATERIAL ZARANDEADO</t>
  </si>
  <si>
    <t>03.02.04</t>
  </si>
  <si>
    <t>RELLENO CON MATERIAL PROPIO</t>
  </si>
  <si>
    <t>03.03</t>
  </si>
  <si>
    <t>TUBERIAS PVC-U UF</t>
  </si>
  <si>
    <t>03.03.01</t>
  </si>
  <si>
    <t>INSTALACION DE TUBERIA PVC-U DN: 110 mm PN-5</t>
  </si>
  <si>
    <t>03.04</t>
  </si>
  <si>
    <t>ACCESORIOS EN LINEA DE CONDUCCIÓN</t>
  </si>
  <si>
    <t>03.04.01</t>
  </si>
  <si>
    <t>ACCESORIOS PVC UF-U 110mm</t>
  </si>
  <si>
    <t>04.00</t>
  </si>
  <si>
    <t>RESERVORIO DE GEOMEMBRANA (240 M3)</t>
  </si>
  <si>
    <t>04.01</t>
  </si>
  <si>
    <t>04.01.01</t>
  </si>
  <si>
    <t>04.01.02</t>
  </si>
  <si>
    <t>04.02</t>
  </si>
  <si>
    <t>04.02.01</t>
  </si>
  <si>
    <t>EXCAVACION MANUAL PARA RESERVORIO</t>
  </si>
  <si>
    <t>04.02.02</t>
  </si>
  <si>
    <t>SERVICIO DE VOLADURA EN ROCAS MEDIANAS</t>
  </si>
  <si>
    <t>PTO</t>
  </si>
  <si>
    <t>04.02.03</t>
  </si>
  <si>
    <t>ELIMINACION MANUAL DEL MATERIAL  EXCAVADO MAX. 30 M.</t>
  </si>
  <si>
    <t>04.02.04</t>
  </si>
  <si>
    <t>04.02.05</t>
  </si>
  <si>
    <t>04.02.06</t>
  </si>
  <si>
    <t>PERFILADO Y COMPACTADO CON EQUIPO Y RELLENO CON MATERIAL PROPIO</t>
  </si>
  <si>
    <t>04.03</t>
  </si>
  <si>
    <t>IMPERMEABILIZACIÓN DE RESERVORIO CON GEOMEMBRANA PVC</t>
  </si>
  <si>
    <t>04.03.01</t>
  </si>
  <si>
    <t>TARRAJEO CON ARCILLA MAS ICHU  E=5.0 CM TALUD, 10 CM BASE, DEL RESERVORIO</t>
  </si>
  <si>
    <t>04.03.02</t>
  </si>
  <si>
    <t>SUMINISTRO E INSTALACION DE GEOMEMBRANA PVC DE 1.0 mm DE ESPESOR.</t>
  </si>
  <si>
    <t>04.04</t>
  </si>
  <si>
    <t>ACCESORIOS  EN RESERVORIO</t>
  </si>
  <si>
    <t>04.04.01</t>
  </si>
  <si>
    <t>ACCESORIOS EN EL RESERVORIO</t>
  </si>
  <si>
    <t>04.05</t>
  </si>
  <si>
    <t>CERCO PERIMÉTRICO</t>
  </si>
  <si>
    <t>04.05.01</t>
  </si>
  <si>
    <t>04.05.02</t>
  </si>
  <si>
    <t>CERCO PERIMETRICO CON ALAMBRE DE PUAS</t>
  </si>
  <si>
    <t>04.05.03</t>
  </si>
  <si>
    <t>PUERTA DE MADERA RÚSTICA</t>
  </si>
  <si>
    <t>05.00</t>
  </si>
  <si>
    <t>CAJA DE VALVULA  RESERVORIO (02 UND)</t>
  </si>
  <si>
    <t>05.01</t>
  </si>
  <si>
    <t>05.01.01</t>
  </si>
  <si>
    <t>05.01.02</t>
  </si>
  <si>
    <t>05.02</t>
  </si>
  <si>
    <t>05.02.01</t>
  </si>
  <si>
    <t>05.02.02</t>
  </si>
  <si>
    <t>05.03</t>
  </si>
  <si>
    <t>05.03.01</t>
  </si>
  <si>
    <t>05.03.02</t>
  </si>
  <si>
    <t>05.04</t>
  </si>
  <si>
    <t>05.04.01</t>
  </si>
  <si>
    <t>05.05</t>
  </si>
  <si>
    <t>ACCESORIOS</t>
  </si>
  <si>
    <t>05.05.01</t>
  </si>
  <si>
    <t>INSTALACION DE VALVULA COMPUERTA FO. FDO. LUFLEX  110 mm.</t>
  </si>
  <si>
    <t>05.05.02</t>
  </si>
  <si>
    <t>INSTALACION DE VALVULA COMPUERTA FO. FDO. LUFLEX  90 mm.</t>
  </si>
  <si>
    <t>05.05.03</t>
  </si>
  <si>
    <t>INSTALACION DE TAPA METÁLICA DE 0.50x0.50 m.</t>
  </si>
  <si>
    <t>06.00</t>
  </si>
  <si>
    <t>CABEZAL DE FILTRADO</t>
  </si>
  <si>
    <t>06.01</t>
  </si>
  <si>
    <t>06.01.01</t>
  </si>
  <si>
    <t>06.01.02</t>
  </si>
  <si>
    <t>06.02</t>
  </si>
  <si>
    <t>06.02.01</t>
  </si>
  <si>
    <t>06.03</t>
  </si>
  <si>
    <t>06.03.01</t>
  </si>
  <si>
    <t>06.03.02</t>
  </si>
  <si>
    <t>06.04</t>
  </si>
  <si>
    <t>ACCESORIOS DE CABEZAL DE FILTRADO</t>
  </si>
  <si>
    <t>06.04.01</t>
  </si>
  <si>
    <t>SUMINISTRO DE FILTRO DE ANILLOS DE 3"</t>
  </si>
  <si>
    <t>06.04.02</t>
  </si>
  <si>
    <t>SUMINISTRO E INSTALACION DE VALVULA PVC TIPO MARIPOSA DE 90 MM</t>
  </si>
  <si>
    <t>06.04.03</t>
  </si>
  <si>
    <t>INSTALACION DE COLLARIN DE 90 mm. x 1"</t>
  </si>
  <si>
    <t>06.04.04</t>
  </si>
  <si>
    <t>INSTALACION DE VAL. DE AIRE 2" (DOBLE EFECTO)</t>
  </si>
  <si>
    <t>06.04.05</t>
  </si>
  <si>
    <t>ACCESORIOS DE CABEZAL DE RIEGO</t>
  </si>
  <si>
    <t>07.00</t>
  </si>
  <si>
    <t>LINEA DE TUBERIA PRINCIPAL (1098 m)</t>
  </si>
  <si>
    <t>07.01</t>
  </si>
  <si>
    <t>07.01.01</t>
  </si>
  <si>
    <t>07.01.02</t>
  </si>
  <si>
    <t>TRAZO Y REPLANTEO LONGITUDINAL (M)</t>
  </si>
  <si>
    <t>07.02</t>
  </si>
  <si>
    <t>07.02.01</t>
  </si>
  <si>
    <t>07.02.02</t>
  </si>
  <si>
    <t>EXCAVACION EN ROCA SUELTA</t>
  </si>
  <si>
    <t>07.02.03</t>
  </si>
  <si>
    <t>REFINE Y NIVELACION DE ZANJA EN TERRENO NORMAL PARA TUB. &lt;= 110 mm.</t>
  </si>
  <si>
    <t>07.02.04</t>
  </si>
  <si>
    <t>07.02.05</t>
  </si>
  <si>
    <t>07.03</t>
  </si>
  <si>
    <t>07.03.01</t>
  </si>
  <si>
    <t>INSTALACION DE TUBERIA PVC-U DN: 90 mm PN-5</t>
  </si>
  <si>
    <t>07.03.02</t>
  </si>
  <si>
    <t>INSTALACION DE TUBERIA PVC-U DN: 90 mm PN-7.5</t>
  </si>
  <si>
    <t>07.04</t>
  </si>
  <si>
    <t>07.04.01</t>
  </si>
  <si>
    <t>ACCESORIOS PVC UF-U 90mm</t>
  </si>
  <si>
    <t>07.05</t>
  </si>
  <si>
    <t>PRUEBA HIDRAULICA</t>
  </si>
  <si>
    <t>07.05.01</t>
  </si>
  <si>
    <t>PRUEBA HIDRAULICA  A PRESION  EN TUBERIAS &lt;= 110 mm</t>
  </si>
  <si>
    <t>07.06</t>
  </si>
  <si>
    <t>DADOS DE ANCLAJE</t>
  </si>
  <si>
    <t>07.06.01</t>
  </si>
  <si>
    <t>CONCRETO F'C=140 KG/CM2  PARA DADO DE ANCLAJE</t>
  </si>
  <si>
    <t>07.06.02</t>
  </si>
  <si>
    <t>COLOCACION DE DADOS DE ANCLAJE</t>
  </si>
  <si>
    <t>08.00</t>
  </si>
  <si>
    <t>VALVULA  DE  CONTROL PRINCIPAL (10 UND)</t>
  </si>
  <si>
    <t>08.01</t>
  </si>
  <si>
    <t>08.01.01</t>
  </si>
  <si>
    <t>08.01.02</t>
  </si>
  <si>
    <t>TRAZO Y REPLANTEO PARA UBICACION DE  ESTRUCTURAS</t>
  </si>
  <si>
    <t>08.02</t>
  </si>
  <si>
    <t>08.02.01</t>
  </si>
  <si>
    <t>08.02.02</t>
  </si>
  <si>
    <t>08.03</t>
  </si>
  <si>
    <t>OBRAS DE CONCRETO</t>
  </si>
  <si>
    <t>08.03.01</t>
  </si>
  <si>
    <t>08.03.02</t>
  </si>
  <si>
    <t>08.04</t>
  </si>
  <si>
    <t>VALVULA  DE  CONTROL</t>
  </si>
  <si>
    <t>08.04.01</t>
  </si>
  <si>
    <t>08.05</t>
  </si>
  <si>
    <t>08.05.01</t>
  </si>
  <si>
    <t>08.05.02</t>
  </si>
  <si>
    <t>INSTALACION DE VAL. DE AIRE 1" (SIMPLE EFECTO)</t>
  </si>
  <si>
    <t>08.05.03</t>
  </si>
  <si>
    <t>CAJA PE DE PROTECCION JUMBO PARA VALVULAS DE CONTROL</t>
  </si>
  <si>
    <t>09.00</t>
  </si>
  <si>
    <t>CAMARA ROMPE PRESION CON CONTROL DE NIVEL (4 UND)</t>
  </si>
  <si>
    <t>09.01</t>
  </si>
  <si>
    <t>09.01.01</t>
  </si>
  <si>
    <t>09.01.02</t>
  </si>
  <si>
    <t>09.02</t>
  </si>
  <si>
    <t>09.02.01</t>
  </si>
  <si>
    <t>09.02.02</t>
  </si>
  <si>
    <t>09.03</t>
  </si>
  <si>
    <t>09.03.01</t>
  </si>
  <si>
    <t>SOLADO DE CONCRETO FC=100 KG/CM2 SIN MEZCLADORA (HORMIGON)</t>
  </si>
  <si>
    <t>09.03.02</t>
  </si>
  <si>
    <t>09.03.03</t>
  </si>
  <si>
    <t>09.03.04</t>
  </si>
  <si>
    <t>CONCRETO F'C=210 KG/CM2  SIN MEZCLADORA (HORMIGON)</t>
  </si>
  <si>
    <t>09.03.05</t>
  </si>
  <si>
    <t>09.04</t>
  </si>
  <si>
    <t>09.04.01</t>
  </si>
  <si>
    <t>09.04.02</t>
  </si>
  <si>
    <t>09.04.03</t>
  </si>
  <si>
    <t>PINTURA ESMALTE EXTERIOR</t>
  </si>
  <si>
    <t>09.05</t>
  </si>
  <si>
    <t>ACCESORIOS DE CRP</t>
  </si>
  <si>
    <t>09.05.01</t>
  </si>
  <si>
    <t>SUMINISTRO E INSTALACION DE VALV. HIDRAULICA DE 3"</t>
  </si>
  <si>
    <t>09.05.02</t>
  </si>
  <si>
    <t>INSTALACION DE TAPA METÁLICA DE 0.90x1.10 m.</t>
  </si>
  <si>
    <t>09.05.03</t>
  </si>
  <si>
    <t>ACCESORIOS DE CRP 3"/90mm</t>
  </si>
  <si>
    <t>10.00</t>
  </si>
  <si>
    <t>REGULADORAS DE PRESION PRV T-I -3" (7 UND)</t>
  </si>
  <si>
    <t>10.01</t>
  </si>
  <si>
    <t>10.01.01</t>
  </si>
  <si>
    <t>10.02</t>
  </si>
  <si>
    <t>10.02.01</t>
  </si>
  <si>
    <t>10.03</t>
  </si>
  <si>
    <t>10.03.01</t>
  </si>
  <si>
    <t>10.03.02</t>
  </si>
  <si>
    <t>10.04</t>
  </si>
  <si>
    <t>ACCESORIOS  PRV</t>
  </si>
  <si>
    <t>10.04.01</t>
  </si>
  <si>
    <t>SUMINISTRO DE REGULADORA PRV  PRXF-LV 30 PSI 3"</t>
  </si>
  <si>
    <t>10.04.02</t>
  </si>
  <si>
    <t>ACCESORIOS PRV 3" B/1 EN TUB. 63 MM</t>
  </si>
  <si>
    <t>11.00</t>
  </si>
  <si>
    <t>REGULADORAS DE PRESION PRV T-II - 3"(6 UND)</t>
  </si>
  <si>
    <t>11.01</t>
  </si>
  <si>
    <t>11.01.01</t>
  </si>
  <si>
    <t>11.02</t>
  </si>
  <si>
    <t>11.02.01</t>
  </si>
  <si>
    <t>11.03</t>
  </si>
  <si>
    <t>11.03.01</t>
  </si>
  <si>
    <t>11.03.02</t>
  </si>
  <si>
    <t>11.04</t>
  </si>
  <si>
    <t>11.04.01</t>
  </si>
  <si>
    <t>ACCESORIOS PRV 3" B/2 EN TUB. 90 MM</t>
  </si>
  <si>
    <t>11.04.02</t>
  </si>
  <si>
    <t>11.04.03</t>
  </si>
  <si>
    <t>SUMINISTRO DE REGULADORA PRV  PRXF-LV 40 PSI 3"</t>
  </si>
  <si>
    <t>12.00</t>
  </si>
  <si>
    <t>REGULADORAS DE PRESION PRV T-II  1 1/2 (5 UND)</t>
  </si>
  <si>
    <t>12.01</t>
  </si>
  <si>
    <t>12.01.01</t>
  </si>
  <si>
    <t>12.02</t>
  </si>
  <si>
    <t>12.02.01</t>
  </si>
  <si>
    <t>12.03</t>
  </si>
  <si>
    <t>12.03.01</t>
  </si>
  <si>
    <t>12.03.02</t>
  </si>
  <si>
    <t>12.04</t>
  </si>
  <si>
    <t>12.04.01</t>
  </si>
  <si>
    <t>SUMINISTRO DE REGULADORA PRV  PRXF-LV 30 PSI 1"</t>
  </si>
  <si>
    <t>12.04.02</t>
  </si>
  <si>
    <t>ACCESORIOS PRV 1" B/2 EN TUB. 1 1/2"</t>
  </si>
  <si>
    <t>13.00</t>
  </si>
  <si>
    <t>VALVULA  DE  AIRE DE 1" (5 UND)</t>
  </si>
  <si>
    <t>13.01</t>
  </si>
  <si>
    <t>13.01.01</t>
  </si>
  <si>
    <t>13.02</t>
  </si>
  <si>
    <t>13.02.01</t>
  </si>
  <si>
    <t>13.03</t>
  </si>
  <si>
    <t>13.03.01</t>
  </si>
  <si>
    <t>13.03.02</t>
  </si>
  <si>
    <t>CONCRETO F'C=140 KG/CM2  SIN MEZCLADORA (HORMIGON)</t>
  </si>
  <si>
    <t>13.04</t>
  </si>
  <si>
    <t>ACCESORIOS VAL. AIRE</t>
  </si>
  <si>
    <t>13.04.01</t>
  </si>
  <si>
    <t>13.04.02</t>
  </si>
  <si>
    <t>INSTALACION DE VAL. DE AIRE 1" (DOBLE EFECTO)</t>
  </si>
  <si>
    <t>13.04.03</t>
  </si>
  <si>
    <t>CONO PE DE PROTECCION DE PARA  VALVULAS DE AIRE 1</t>
  </si>
  <si>
    <t>14.00</t>
  </si>
  <si>
    <t>LINEA DE TUBERIA DISTRIBUIDORA (2857 m)</t>
  </si>
  <si>
    <t>14.01</t>
  </si>
  <si>
    <t>14.01.01</t>
  </si>
  <si>
    <t>14.01.02</t>
  </si>
  <si>
    <t>14.02</t>
  </si>
  <si>
    <t>14.02.01</t>
  </si>
  <si>
    <t>14.02.02</t>
  </si>
  <si>
    <t>14.02.03</t>
  </si>
  <si>
    <t>14.02.04</t>
  </si>
  <si>
    <t>14.02.05</t>
  </si>
  <si>
    <t>14.03</t>
  </si>
  <si>
    <t>14.03.01</t>
  </si>
  <si>
    <t>14.03.02</t>
  </si>
  <si>
    <t>14.03.03</t>
  </si>
  <si>
    <t>INSTALACION DE TUBERIA PVC-U DN: 63 mm PN-5</t>
  </si>
  <si>
    <t>14.03.04</t>
  </si>
  <si>
    <t>INSTALACION DE TUBERIA PVC-U DN: 63 mm PN-7.5</t>
  </si>
  <si>
    <t>14.03.05</t>
  </si>
  <si>
    <t>INSTALACION DE TUBERIA PVC SP 1 1/2" C-7.5</t>
  </si>
  <si>
    <t>14.04</t>
  </si>
  <si>
    <t>14.04.01</t>
  </si>
  <si>
    <t>14.04.02</t>
  </si>
  <si>
    <t>ACCESORIOS PVC UF-U 63mm</t>
  </si>
  <si>
    <t>14.04.03</t>
  </si>
  <si>
    <t>ACCESORIOS PVC SP 1 1/2"</t>
  </si>
  <si>
    <t>14.05</t>
  </si>
  <si>
    <t>14.05.01</t>
  </si>
  <si>
    <t>14.06</t>
  </si>
  <si>
    <t>14.06.01</t>
  </si>
  <si>
    <t>14.06.02</t>
  </si>
  <si>
    <t>15.00</t>
  </si>
  <si>
    <t>VALVULA  DE  CONTROL DISTRIBUIDORA (10 UND)</t>
  </si>
  <si>
    <t>15.01</t>
  </si>
  <si>
    <t>15.01.01</t>
  </si>
  <si>
    <t>15.01.02</t>
  </si>
  <si>
    <t>15.02</t>
  </si>
  <si>
    <t>15.02.01</t>
  </si>
  <si>
    <t>15.02.02</t>
  </si>
  <si>
    <t>15.03</t>
  </si>
  <si>
    <t>15.03.01</t>
  </si>
  <si>
    <t>15.03.02</t>
  </si>
  <si>
    <t>15.04</t>
  </si>
  <si>
    <t>15.04.01</t>
  </si>
  <si>
    <t>15.04.02</t>
  </si>
  <si>
    <t>SUMINISTRO E INSTALACION DE VALVULA PVC TIPO MARIPOSA DE 63 MM</t>
  </si>
  <si>
    <t>15.05</t>
  </si>
  <si>
    <t>15.05.01</t>
  </si>
  <si>
    <t>15.05.02</t>
  </si>
  <si>
    <t>INSTALACION DE COLLARIN DE 63 mm. x 1"</t>
  </si>
  <si>
    <t>15.05.03</t>
  </si>
  <si>
    <t>15.05.04</t>
  </si>
  <si>
    <t>16.00</t>
  </si>
  <si>
    <t>VALVULA  DE  PURGA (22 UND)</t>
  </si>
  <si>
    <t>16.01</t>
  </si>
  <si>
    <t>16.01.01</t>
  </si>
  <si>
    <t>16.02</t>
  </si>
  <si>
    <t>16.02.01</t>
  </si>
  <si>
    <t>16.03</t>
  </si>
  <si>
    <t>16.03.01</t>
  </si>
  <si>
    <t>16.03.02</t>
  </si>
  <si>
    <t>16.04</t>
  </si>
  <si>
    <t>ACCESORIOS DE VAL. PURGA</t>
  </si>
  <si>
    <t>16.04.01</t>
  </si>
  <si>
    <t>INSTALACION DE PURGA DE 1 1/2", TAPON CON ROSCA</t>
  </si>
  <si>
    <t>17.00</t>
  </si>
  <si>
    <t>TOMA  HIDRANTE DE 1" (27 UND)</t>
  </si>
  <si>
    <t>17.01</t>
  </si>
  <si>
    <t>17.01.01</t>
  </si>
  <si>
    <t>17.02</t>
  </si>
  <si>
    <t>17.02.01</t>
  </si>
  <si>
    <t>17.02.02</t>
  </si>
  <si>
    <t>CONCRETO F'C=175 KG/CM2  PARA PROTECCION DE HIDRANTES</t>
  </si>
  <si>
    <t>17.02.03</t>
  </si>
  <si>
    <t>ELAB. TRASL Y COLOCACION DADO DE PROTECCION DEL HIDRANTE</t>
  </si>
  <si>
    <t>17.03</t>
  </si>
  <si>
    <t>ACCESORIOS DE TOMAS HIDRANTES</t>
  </si>
  <si>
    <t>17.03.01</t>
  </si>
  <si>
    <t>17.03.02</t>
  </si>
  <si>
    <t>17.03.03</t>
  </si>
  <si>
    <t>INSTALACION DE TEE 1 1/2" x 1"</t>
  </si>
  <si>
    <t>17.03.04</t>
  </si>
  <si>
    <t>INSTALACION DE TOMAS HIDRANTES DE 1" (2A)</t>
  </si>
  <si>
    <t>18.00</t>
  </si>
  <si>
    <t>TOMA  HIDRANTE DE 1 1/2" (24 UND)</t>
  </si>
  <si>
    <t>18.01</t>
  </si>
  <si>
    <t>18.01.01</t>
  </si>
  <si>
    <t>18.02</t>
  </si>
  <si>
    <t>18.02.01</t>
  </si>
  <si>
    <t>18.02.02</t>
  </si>
  <si>
    <t>18.02.03</t>
  </si>
  <si>
    <t>18.03</t>
  </si>
  <si>
    <t>18.03.01</t>
  </si>
  <si>
    <t>INSTALACION DE COLLARIN DE 90 mm. 1 1/2"</t>
  </si>
  <si>
    <t>18.03.02</t>
  </si>
  <si>
    <t>INSTALACION DE COLLARIN DE 63 mm. 1 1/2"</t>
  </si>
  <si>
    <t>18.03.03</t>
  </si>
  <si>
    <t>INSTALACION DE TEE 1 1/2" x 1 1/2"</t>
  </si>
  <si>
    <t>18.03.04</t>
  </si>
  <si>
    <t>INSTALACION DE TOMAS HIDRANTES DE 1 1/2" (2B)</t>
  </si>
  <si>
    <t>19.00</t>
  </si>
  <si>
    <t>LATERAL MÓVIL DE 1" PARA RIEGO POR  ASPERSION</t>
  </si>
  <si>
    <t>19.01</t>
  </si>
  <si>
    <t>INSTALACION DE MANGUERA PE DE 32 mm.</t>
  </si>
  <si>
    <t>19.01.01</t>
  </si>
  <si>
    <t>Instalacion de Manguera PE de 32 mm. PN 6</t>
  </si>
  <si>
    <t>19.01.02</t>
  </si>
  <si>
    <t>INSTALACION DE ELEVADORES Y SOPORTES EN CAMPO</t>
  </si>
  <si>
    <t>19.01.03</t>
  </si>
  <si>
    <t>SUMINISTRO E INSTALACION DE ASPERSORES 3/4 VYR 66</t>
  </si>
  <si>
    <t>20.00</t>
  </si>
  <si>
    <t>RIEGO POR MICROASPERSION</t>
  </si>
  <si>
    <t>20.01</t>
  </si>
  <si>
    <t>INSTALACION DE  LATERALES DE RIEGO POR MICROASPERSIÓN</t>
  </si>
  <si>
    <t>20.01.01</t>
  </si>
  <si>
    <t>Instalacion de Manguera PE de 16 mm. PN 4</t>
  </si>
  <si>
    <t>20.01.02</t>
  </si>
  <si>
    <t>INSTALACION DE CONECTORES TIPO BIGOTE DE 16 mm</t>
  </si>
  <si>
    <t>20.01.03</t>
  </si>
  <si>
    <t>INSTALACION DE KID DE MICROASPERSORES</t>
  </si>
  <si>
    <t>21.00</t>
  </si>
  <si>
    <t>ARCO DE RIEGO (16 UND)</t>
  </si>
  <si>
    <t>21.01</t>
  </si>
  <si>
    <t>21.01.01</t>
  </si>
  <si>
    <t>21.01.02</t>
  </si>
  <si>
    <t>21.02</t>
  </si>
  <si>
    <t>21.02.01</t>
  </si>
  <si>
    <t>21.03</t>
  </si>
  <si>
    <t>21.03.01</t>
  </si>
  <si>
    <t>21.03.02</t>
  </si>
  <si>
    <t>21.04</t>
  </si>
  <si>
    <t>ACCESORIOS EN ARCO DE RIEGO</t>
  </si>
  <si>
    <t>21.04.01</t>
  </si>
  <si>
    <t>ACCESORIOS ARCO DE RIEGO DE 3"</t>
  </si>
  <si>
    <t>21.04.02</t>
  </si>
  <si>
    <t>ACCESORIOS ARCO DE RIEGO DE 2"</t>
  </si>
  <si>
    <t>21.04.03</t>
  </si>
  <si>
    <t>ACCESORIOS ARCO DE RIEGO DE 1 1/2"</t>
  </si>
  <si>
    <t>21.04.04</t>
  </si>
  <si>
    <t>INSTALACION DE FILTRO DE ANILLOS DE 2"</t>
  </si>
  <si>
    <t>21.04.05</t>
  </si>
  <si>
    <t>21.04.06</t>
  </si>
  <si>
    <t>21.04.07</t>
  </si>
  <si>
    <t>INSTALACION DE COLLARIN DE 50 mm. x 1"</t>
  </si>
  <si>
    <t>21.04.08</t>
  </si>
  <si>
    <t>22.00</t>
  </si>
  <si>
    <t>FLETE</t>
  </si>
  <si>
    <t>22.01</t>
  </si>
  <si>
    <t>FLETE TERRESTRE</t>
  </si>
  <si>
    <t>22.02</t>
  </si>
  <si>
    <t>FLETE RURAL</t>
  </si>
  <si>
    <t>23.00</t>
  </si>
  <si>
    <t>MITIGACION AMBIENTAL</t>
  </si>
  <si>
    <t>23.01</t>
  </si>
  <si>
    <t>24.00</t>
  </si>
  <si>
    <t>CAPAPACITACION Y ASISTENCIA TÉCNICA</t>
  </si>
  <si>
    <t>24.01</t>
  </si>
  <si>
    <t>CAPACITACION Y ASTENCIA TECNICA</t>
  </si>
  <si>
    <t>IGV (18% ST)  YA ESTAN INCLUIDOS EN EL COSTO DIRECTO DEL PROYECTO</t>
  </si>
  <si>
    <t>ELABORACION DE ESTUDIOS (EXPEDIENTE TECNICO)</t>
  </si>
  <si>
    <t>SUPERVISIÓN DEL PROYECTO</t>
  </si>
  <si>
    <t>TRÁMITE PARA PMA</t>
  </si>
  <si>
    <t>PMA - Plan de Monitoreo Arqueológico</t>
  </si>
  <si>
    <t>TOTAL PRESUPUESTO</t>
  </si>
  <si>
    <t xml:space="preserve">SON :      </t>
  </si>
  <si>
    <t>COSTO UNITARIO</t>
  </si>
  <si>
    <t>S/. - Ha</t>
  </si>
  <si>
    <t>OJO COORDINAR CON EQUIPO OTR</t>
  </si>
  <si>
    <t xml:space="preserve">7.3. Cálculo del Valor Neto de la Producción - Sin Proyecto </t>
  </si>
  <si>
    <t xml:space="preserve">Rendimiento </t>
  </si>
  <si>
    <t xml:space="preserve">Precio en Chacra </t>
  </si>
  <si>
    <t>VBP</t>
  </si>
  <si>
    <t>Costo de Producción</t>
  </si>
  <si>
    <t>VNP</t>
  </si>
  <si>
    <t xml:space="preserve">Área de Cédula </t>
  </si>
  <si>
    <t xml:space="preserve">AÑOS </t>
  </si>
  <si>
    <t>Tiempo de vida útil de los materiales y equipos que se utilizarán en el proyecto</t>
  </si>
  <si>
    <t>Periodo de productividad del cultivo (proyectos agroforestales)</t>
  </si>
  <si>
    <t xml:space="preserve">7.3. Cálculo del Valor Neto de la Producción - Con Proyecto </t>
  </si>
  <si>
    <t xml:space="preserve">CULTIVOS ESTACIONALES </t>
  </si>
  <si>
    <t>CULTIVOS PERMANENTES</t>
  </si>
  <si>
    <t>AÑO 1</t>
  </si>
  <si>
    <t>AÑO 2</t>
  </si>
  <si>
    <t>AÑO 3</t>
  </si>
  <si>
    <t>AÑO 4</t>
  </si>
  <si>
    <t>AÑO 5</t>
  </si>
  <si>
    <t>AÑO 6</t>
  </si>
  <si>
    <t>AÑO 7</t>
  </si>
  <si>
    <t>AÑO 8</t>
  </si>
  <si>
    <t>AÑO 9</t>
  </si>
  <si>
    <t>AÑO 10</t>
  </si>
  <si>
    <t xml:space="preserve">COSTOS DE REPOSICIÓN </t>
  </si>
  <si>
    <t>COSTOS DE OPERACIÓN Y MANTENIMIENTO</t>
  </si>
  <si>
    <t>6. ESTIMACIÓN DE LOS COSTOS DEL PROYECTO</t>
  </si>
  <si>
    <t>6. ESTIMACIÓN DE LOS BENEFICIOS DEL PROYECTO</t>
  </si>
  <si>
    <t>JUAN PORTILLA CUETO</t>
  </si>
  <si>
    <t>SI</t>
  </si>
  <si>
    <t>NO</t>
  </si>
  <si>
    <t xml:space="preserve">Baja productividad agrícola en el ámbito del Centro Poblado San Luis – Distrito de Locroja – Provincia de Churcampa – Huancavelica </t>
  </si>
  <si>
    <t xml:space="preserve">Incremento de la productividad agrícola en el ámbito del Centro Poblado San Luis – Distrito de Locroja – Provincia Churcampa – Huancavelica </t>
  </si>
  <si>
    <t xml:space="preserve">1. RESPONSABILIDAD FUNCIONAL </t>
  </si>
  <si>
    <t xml:space="preserve">2. UNIDAD FORMULADORA </t>
  </si>
  <si>
    <t>3. UNIDAD EJECUTORA DE INVERSIONES</t>
  </si>
  <si>
    <t>4. UBICACIÓN  Y ACCESOS</t>
  </si>
  <si>
    <t>4.1. Ubicación Política</t>
  </si>
  <si>
    <t>4.2. Ubicación Geográfica</t>
  </si>
  <si>
    <t xml:space="preserve">4.3. Ubicación Hidrografica </t>
  </si>
  <si>
    <t>4.4. Vias de acceso al proyecto</t>
  </si>
  <si>
    <t>5. DESCRIPCIÓN DE LA SITUACIÓN ACTUAL</t>
  </si>
  <si>
    <t xml:space="preserve">5.1. Administración del Agua con Fines Agrícolas </t>
  </si>
  <si>
    <t>5.2 Fuente Hídrica</t>
  </si>
  <si>
    <t>5.3 Beneficiarios Directos</t>
  </si>
  <si>
    <t>6. PROBLEMA CENTRAL Y SUS CAUSAS</t>
  </si>
  <si>
    <t>7. OBJETIVO Y MEDIOS FUNDAMENTALES</t>
  </si>
  <si>
    <t>6.1. Problema Central</t>
  </si>
  <si>
    <t>6.2. Causas que Generan el Problema</t>
  </si>
  <si>
    <t>7.1. Objetivo</t>
  </si>
  <si>
    <t>7.2. Medios Fundamentales</t>
  </si>
  <si>
    <t>COORDENADAS UTM (m) - WGS84</t>
  </si>
  <si>
    <t xml:space="preserve">CAUDAL AUTORIZADO DE LA FUENTE </t>
  </si>
  <si>
    <t>FRECUENCIA DE DOTACIÓN
(cada cuántos días)</t>
  </si>
  <si>
    <t>m3/día</t>
  </si>
  <si>
    <t>CÁLCULO DEL VOLUMEN DEMANDADO</t>
  </si>
  <si>
    <t>TIEMPO DE OPERACIÓN DIARIO</t>
  </si>
  <si>
    <t>HORAS</t>
  </si>
  <si>
    <t xml:space="preserve">Módulo de Riego </t>
  </si>
  <si>
    <t xml:space="preserve">l/s / ha </t>
  </si>
  <si>
    <t>Kc Ponderado</t>
  </si>
  <si>
    <t xml:space="preserve">CULTIVOS </t>
  </si>
  <si>
    <t>ÁREA  (ha)</t>
  </si>
  <si>
    <t>SUBTOTAL</t>
  </si>
  <si>
    <t>Kc PONDERADO</t>
  </si>
  <si>
    <t xml:space="preserve">CÉDULA DE CULTIVO </t>
  </si>
  <si>
    <t xml:space="preserve">DETERMINACIÓN DEL Kc PONDERADO </t>
  </si>
  <si>
    <t>DETERMINACIÓN DEL Kc PONDERADO - SIN PROYECTO</t>
  </si>
  <si>
    <t>DETERMINACIÓN DEL Kc PONDERADO - CON PROYECTO</t>
  </si>
  <si>
    <t>Maiz Amarillo Duro</t>
  </si>
  <si>
    <t>Papa</t>
  </si>
  <si>
    <t>Alfalfa</t>
  </si>
  <si>
    <t>Quinua</t>
  </si>
  <si>
    <t>Palto</t>
  </si>
  <si>
    <t>Arverja</t>
  </si>
  <si>
    <t>OFERTA HÍDRICA</t>
  </si>
  <si>
    <t>Demanda Total Diaria</t>
  </si>
  <si>
    <t>Demanda Total Mensual</t>
  </si>
  <si>
    <t>(m3/mes)</t>
  </si>
  <si>
    <t>(m3/dia)</t>
  </si>
  <si>
    <t>BALANCE HÍDRICO  - SIN PROYECTO</t>
  </si>
  <si>
    <t>BALANCE HÍDRICO  - CON PROYECTO</t>
  </si>
  <si>
    <t>mm/día</t>
  </si>
  <si>
    <t>m3-ha/día</t>
  </si>
  <si>
    <t>Demanda Total - Diaria</t>
  </si>
  <si>
    <t>(l / i)</t>
  </si>
  <si>
    <t>CÁLCULO DE LA DEMANDA HÍDRICA "CON PROYECTO" - ASPERSIÓN</t>
  </si>
  <si>
    <t>CÁLCULO DE LA DEMANDA HÍDRICA "CON PROYECTO" - GOTEO</t>
  </si>
  <si>
    <t>Si el horizonte de evaluación del proyecto es mayor a 10 años, deberá sustentar el tiempo adicional:</t>
  </si>
  <si>
    <t xml:space="preserve">Otros. Especificar </t>
  </si>
  <si>
    <t>Periodo de productividad del cultivo (frutales de rendimiento tardío)</t>
  </si>
  <si>
    <t>HUANCAVELICA - CHURCAMPA - CHURCAMPA</t>
  </si>
  <si>
    <t>APORTE REFERENCIAL DE LOS BENEFICIARIOS (S/ )</t>
  </si>
  <si>
    <t>COSTO REFERENCIAL SIN PROYECTO (ANUAL)</t>
  </si>
  <si>
    <t>COSTO REFERENCIAL CON PROYECTO (ANUAL)</t>
  </si>
  <si>
    <t>APORTE REFERENCIAL DEL ESTADO (S/ )</t>
  </si>
  <si>
    <t>COSTO DE INVERSION TOTAL (S/ )</t>
  </si>
  <si>
    <t>Número de Años del Horizonte de Evaluación (AÑOS)</t>
  </si>
  <si>
    <t>5. UNIDAD EJECUTORA DE INVERSIONES</t>
  </si>
  <si>
    <r>
      <rPr>
        <sz val="10"/>
        <rFont val="Arial"/>
        <family val="2"/>
      </rPr>
      <t>Baja productividad agrícola en el ámbito del</t>
    </r>
    <r>
      <rPr>
        <sz val="10"/>
        <color indexed="10"/>
        <rFont val="Arial"/>
        <family val="2"/>
      </rPr>
      <t xml:space="preserve"> Centro Poblado San Luis – Distrito de Locroja – Provincia de Churcampa – Huancavelica </t>
    </r>
  </si>
  <si>
    <r>
      <rPr>
        <sz val="10"/>
        <rFont val="Arial"/>
        <family val="2"/>
      </rPr>
      <t>Incremento de la productividad agrícola en el ámbito del</t>
    </r>
    <r>
      <rPr>
        <sz val="10"/>
        <color indexed="10"/>
        <rFont val="Arial"/>
        <family val="2"/>
      </rPr>
      <t xml:space="preserve"> Centro Poblado San Luis – Distrito de Locroja – Provincia Churcampa – Huancavelica </t>
    </r>
  </si>
  <si>
    <t>Utilización de técnicas de riego tecnificado</t>
  </si>
  <si>
    <t>Acción 1:</t>
  </si>
  <si>
    <t>Acción 2:</t>
  </si>
  <si>
    <t>Acción 3:</t>
  </si>
  <si>
    <t xml:space="preserve">Impactos Negativos </t>
  </si>
  <si>
    <t>Medidas de Mitigación</t>
  </si>
  <si>
    <t>Plano de Planteamiento Hidráulico</t>
  </si>
  <si>
    <t>Persona Responsable de la Unidad Ejecutora de Inversiones</t>
  </si>
  <si>
    <t>TIEMPO DE RIEGO
(horas según área del PIP) (*)</t>
  </si>
  <si>
    <t>(*) Medida en la punto de toma del PIP</t>
  </si>
  <si>
    <t>Cumplir con implementar la cédula de cultivo propuesta.</t>
  </si>
  <si>
    <t>metrado</t>
  </si>
  <si>
    <t>Concreto</t>
  </si>
  <si>
    <t>Costo</t>
  </si>
  <si>
    <t>und</t>
  </si>
  <si>
    <t>gbl</t>
  </si>
  <si>
    <t>Caracteristicas (*)</t>
  </si>
  <si>
    <t>(*) Descripción en forma breve y concisa</t>
  </si>
  <si>
    <t>Toma en quebrada o rio</t>
  </si>
  <si>
    <t>Toma en manantial</t>
  </si>
  <si>
    <t>Toma en canal</t>
  </si>
  <si>
    <t>Otros</t>
  </si>
  <si>
    <t>Canal de concreto</t>
  </si>
  <si>
    <t>Tuberia de pvc</t>
  </si>
  <si>
    <t>Tuberia de hdpe</t>
  </si>
  <si>
    <t xml:space="preserve">Canal mamposteria </t>
  </si>
  <si>
    <t>Revestimiento con geoemenbrana</t>
  </si>
  <si>
    <t xml:space="preserve">Revestimiento con concreto </t>
  </si>
  <si>
    <t>Revestimiento con mampostería</t>
  </si>
  <si>
    <t>Revestimiento con arcilla</t>
  </si>
  <si>
    <t>Capacidad de filtrado</t>
  </si>
  <si>
    <t>Componente de Fertirrigación</t>
  </si>
  <si>
    <t>Inyector tipo venturi</t>
  </si>
  <si>
    <t>Tanque fertilizante</t>
  </si>
  <si>
    <t>Inyector hidráulico</t>
  </si>
  <si>
    <t xml:space="preserve">Bomba accionada con motor petrolero </t>
  </si>
  <si>
    <t>Bomba accionada con motor gasolinero</t>
  </si>
  <si>
    <t>Bomba accionada con motor eléctrico</t>
  </si>
  <si>
    <t>Semiautomático</t>
  </si>
  <si>
    <t>Automático</t>
  </si>
  <si>
    <t>Equipos de Control y Protección</t>
  </si>
  <si>
    <t>Obras de sedimentación</t>
  </si>
  <si>
    <t>Caseta de Control</t>
  </si>
  <si>
    <t>Material noble</t>
  </si>
  <si>
    <t>Material noble con techo de calamina</t>
  </si>
  <si>
    <t xml:space="preserve">Arcos de Riego </t>
  </si>
  <si>
    <t xml:space="preserve">Válvulas Hidráulicas </t>
  </si>
  <si>
    <t xml:space="preserve">Válvulas Esféricas </t>
  </si>
  <si>
    <t>Válvulas Tipo Compuerta</t>
  </si>
  <si>
    <t>Válvulas Tipo Angular</t>
  </si>
  <si>
    <t>Varios</t>
  </si>
  <si>
    <t>Toma en quebrada o río</t>
  </si>
  <si>
    <t xml:space="preserve">Canal de mamposteria </t>
  </si>
  <si>
    <t>Tuberia de PVC</t>
  </si>
  <si>
    <t>Tuberia de HDPE</t>
  </si>
  <si>
    <t>Componentes de Filtrado 
(indicar capacidad de filtrado en m3/hr)</t>
  </si>
  <si>
    <t>Componentes de Impulsión 
(unidad de bombeo) (*)</t>
  </si>
  <si>
    <t>Riego por goteo</t>
  </si>
  <si>
    <t>Riego por aspersión fijo</t>
  </si>
  <si>
    <t>Riego por microaspersión</t>
  </si>
  <si>
    <t>Riego por asperión semifijo</t>
  </si>
  <si>
    <t>Riego por aspersión móvil</t>
  </si>
  <si>
    <t xml:space="preserve">Riego por multicompuertas </t>
  </si>
  <si>
    <t xml:space="preserve">Riego por mangas </t>
  </si>
  <si>
    <t xml:space="preserve">Válvulas hidráulicas </t>
  </si>
  <si>
    <t xml:space="preserve">Válvulas esféricas </t>
  </si>
  <si>
    <t>Válvulas tipo angular</t>
  </si>
  <si>
    <t>Válvulas tipo compuerta</t>
  </si>
  <si>
    <t>No comtempla</t>
  </si>
  <si>
    <t xml:space="preserve">COSTO DE ASISTENCIA TÉCNICA </t>
  </si>
  <si>
    <t>Costo unitario por ha</t>
  </si>
  <si>
    <t>COSTO DE CAPACITACIÓN EN O&amp;M</t>
  </si>
  <si>
    <t xml:space="preserve">COSTO TOTAL DE INVERSIÓN DEL PROYECTO </t>
  </si>
  <si>
    <t>COSTO EXPEDIENTE TÉCNICO</t>
  </si>
  <si>
    <t xml:space="preserve">MES </t>
  </si>
  <si>
    <t>COSTO (S/)</t>
  </si>
  <si>
    <t>APORTE REFERENCIAL DEL ESTADO (Soles/ha)</t>
  </si>
  <si>
    <t>APORTE REFERENCIAL DE LOS BENEFICIARIOS (Soles/ha)</t>
  </si>
  <si>
    <t>OBRAS COMUNES 
(S/)</t>
  </si>
  <si>
    <t>OBRAS PARCELARIAS
(S/)</t>
  </si>
  <si>
    <t>PARCIAL
(S/)</t>
  </si>
  <si>
    <t>COSTO
(S/)</t>
  </si>
  <si>
    <t>PORCENTAJE
(%)</t>
  </si>
  <si>
    <t xml:space="preserve">MODALIDAD DE EJECUCIÓN </t>
  </si>
  <si>
    <t>COSTO REFERENCIAL ANUAL (S/)</t>
  </si>
  <si>
    <t xml:space="preserve">Mano de Obra </t>
  </si>
  <si>
    <t xml:space="preserve">Materiales </t>
  </si>
  <si>
    <t xml:space="preserve">Herramientas </t>
  </si>
  <si>
    <t xml:space="preserve">INSUMO </t>
  </si>
  <si>
    <t>SUBTOTAL (S/)</t>
  </si>
  <si>
    <t xml:space="preserve">DESCRIPCIÓN </t>
  </si>
  <si>
    <t>DESCRIPCIÓN</t>
  </si>
  <si>
    <t>Revestimiento con geomenbrana</t>
  </si>
  <si>
    <t>Componentes de Almacenamiento o Cámara de Carga</t>
  </si>
  <si>
    <t>Obras de Sedimentación</t>
  </si>
  <si>
    <t>(*) Potencia acumulada (Hp)</t>
  </si>
  <si>
    <t>mes 1-3</t>
  </si>
  <si>
    <t>mes 4-6</t>
  </si>
  <si>
    <t>mes 7-9</t>
  </si>
  <si>
    <t>mes 10-12</t>
  </si>
  <si>
    <t>Gastos para Impulsión (*)</t>
  </si>
  <si>
    <t>Potencia en Kw</t>
  </si>
  <si>
    <t>Tiempo de operación diario promerio (hr)</t>
  </si>
  <si>
    <t xml:space="preserve">Tipo de Motor </t>
  </si>
  <si>
    <t xml:space="preserve">Eléctrico </t>
  </si>
  <si>
    <t xml:space="preserve">Combustión </t>
  </si>
  <si>
    <t>Potencia en Hp</t>
  </si>
  <si>
    <t>Costo del combustible (Soles/gal)</t>
  </si>
  <si>
    <t>CONVERSIÓN HP - Kw</t>
  </si>
  <si>
    <t>Tarfia de consumo eléctrico (Soles/Kw x hr)</t>
  </si>
  <si>
    <t xml:space="preserve">DIAS DEL AÑO </t>
  </si>
  <si>
    <t>Consumo promedio de combustible (gal/Hp x hr)</t>
  </si>
  <si>
    <t>Motor eléctrico:</t>
  </si>
  <si>
    <t>Motor a combustión:</t>
  </si>
  <si>
    <t>Número de días de operación promerio (días)</t>
  </si>
  <si>
    <t>(*) DATOS PARA GASTOS DE IMPULSIÓN (SIN PROYECTO)</t>
  </si>
  <si>
    <t>(*) DATOS PARA GASTOS DE IMPULSIÓN (CON PROYECTO)</t>
  </si>
  <si>
    <t>OFICINA DE ESTUDIOS Y PROYECTOS</t>
  </si>
  <si>
    <t>FUENTE DE INFORMACIÓN:</t>
  </si>
  <si>
    <t xml:space="preserve">ALA Huancavelica - JU Huancavelica </t>
  </si>
  <si>
    <t>FAO (Eto, Kc, Precipitación)</t>
  </si>
  <si>
    <t>Involucrado</t>
  </si>
  <si>
    <t>Ámbito del participante (Nacional, Regional, Local, Otros)</t>
  </si>
  <si>
    <t>Entidad a la que pertenece</t>
  </si>
  <si>
    <t>Posición (Cooperante, Beneficiario, Oponente, Perjudicado)</t>
  </si>
  <si>
    <t>Intereses</t>
  </si>
  <si>
    <t>Contribución</t>
  </si>
  <si>
    <t xml:space="preserve">Local </t>
  </si>
  <si>
    <t xml:space="preserve">Cooperante </t>
  </si>
  <si>
    <t>Mejorar los niveles de producción agropecuaria, propiciando su desarrollo competitivo y sostenible</t>
  </si>
  <si>
    <t>Financiamiento de las obras comunes y parte de las obras parcelarias</t>
  </si>
  <si>
    <t xml:space="preserve">Grupo de Gestión Empresarial San Luis </t>
  </si>
  <si>
    <t>Beneficiario</t>
  </si>
  <si>
    <t>Mejorar los niveles de productividad agropecuaria</t>
  </si>
  <si>
    <t>Financiamiento de parte de las obras parcelarias</t>
  </si>
  <si>
    <t xml:space="preserve">Formalización del uso de los recursos hídricos </t>
  </si>
  <si>
    <t>Brindar facilidades para la obtención de la licencia de uso de agua</t>
  </si>
  <si>
    <t>Nacional</t>
  </si>
  <si>
    <t>Fomentar el uso eficiente del recurso hídrico</t>
  </si>
  <si>
    <t xml:space="preserve">Asistencia técnica </t>
  </si>
  <si>
    <t xml:space="preserve">Tipo de Sistema de Riego </t>
  </si>
  <si>
    <t>El proyecto abarca un área de 20.0 ha, de acuerdo con la disponibilidad de área bajo riego de los beneficiarios directos del proyecto, y considerando la acreditación hídrica emitida por la ALA Huancavelica.</t>
  </si>
  <si>
    <t xml:space="preserve">Se ha optado por los sistemas de riego tecnificado por aspersión y goteo, de acuerdo con la cédula de cultivo propuesta, y las condiciones topográficas </t>
  </si>
  <si>
    <t>Costo (S/)</t>
  </si>
  <si>
    <t xml:space="preserve">I.  DATOS GENERALES </t>
  </si>
  <si>
    <t>II.  IDENTIFICACIÓN</t>
  </si>
  <si>
    <t>Valor Actual</t>
  </si>
  <si>
    <t>Principales indicadores de la situación actual</t>
  </si>
  <si>
    <t xml:space="preserve">1.- Bajo rendimiento agrícola del cultivo de alfalfa </t>
  </si>
  <si>
    <t>2.- Baja eficiencia de aplicación de agua de riego a nivel parcelario</t>
  </si>
  <si>
    <t>Descipción de la situación actual</t>
  </si>
  <si>
    <t xml:space="preserve">Los beneficiarios del proyecto pertenecen al sector San Luis y al Comité de Riego del mismo nombre, que corresponde a la Comisión de Usuarios 7 Pagos, de la Junta de Usuarios Huancavelica. La fuente hídrica del sector es la quebrada San Luis, cuyo caudal en época de estiaje es de 15 l/s. 
En la actualidad el riego parcelario es por surcos (gravedad), con una baja eficiencia de aplicación de agua de riego a nivel parcelario, lo que no ha posibilitado incrementar un desarrollo tecnológico que permita innovar nuevos cultivos con tendencia a la agro-exportación y de mayor rentabilidad. Actualmente los rendimientos de sus principales cultivos (pastos y alfalfa), inducen a los agricultores a dirigir una agricultura de subsistencia regida en una informalidad de mercado destino, comprador y precio refugio. 
El proyecto contempla beneficiar a un total de 20 ha bajo riego, que vienen siendo conducidas por 12 familias dedicadas a la agricultura.    </t>
  </si>
  <si>
    <t>Componente 2: Estimación de los Costos de Instalación de Equipos de Riego</t>
  </si>
  <si>
    <t>Componente 1: Costos del Estudio Definitivo (Expediente Técnico, CIRA, Certificación Ambiental, otros)</t>
  </si>
  <si>
    <t>Componente 3: Costos de Capacitación en Operación y Mantenimiento del Sistema de Riego</t>
  </si>
  <si>
    <t>Componente 4: Costos de Asistencia Técnica en el Manejo de Cultivos con Riego Tecnificado</t>
  </si>
  <si>
    <t>Componente 1: Estudio Definitivo</t>
  </si>
  <si>
    <t>Componente 2: Riego Tecnificado</t>
  </si>
  <si>
    <t>Componente 3: Capacitación en O&amp;M</t>
  </si>
  <si>
    <t xml:space="preserve">Componente 4: Asistencia Técnica </t>
  </si>
  <si>
    <t>13. ESTUDIO DE MERCADO DEL SERVICIO PÚBLICO</t>
  </si>
  <si>
    <t xml:space="preserve">14. ESTIMACIÓN DE LA OFERTA HÍDRICA </t>
  </si>
  <si>
    <t>14.1. Acreditación Hídrica</t>
  </si>
  <si>
    <t xml:space="preserve">14.2. Cálculo de la Oferta Hídrica </t>
  </si>
  <si>
    <t xml:space="preserve">15. ESTIMACIÓN DE LA DEMANDA HÍDRICA </t>
  </si>
  <si>
    <t xml:space="preserve">15.1. Cálculo de la Demanda Hídrica - Sin Proyecto </t>
  </si>
  <si>
    <t xml:space="preserve">15.2. Cálculo de la Demanda Hídrica - Con Proyecto </t>
  </si>
  <si>
    <t xml:space="preserve">16. ESTIMACIÓN DEL BALANCE HÍDRICO </t>
  </si>
  <si>
    <t xml:space="preserve">16.1. Cálculo del Balance Hídrico - Sin Proyecto </t>
  </si>
  <si>
    <t xml:space="preserve">16.2. Cálculo del Balance Hídrico - Con Proyecto </t>
  </si>
  <si>
    <t>17. ANALISIS TECNICO</t>
  </si>
  <si>
    <t>17.1 Análisis de tamaño</t>
  </si>
  <si>
    <t>17.2 Análisis de localización</t>
  </si>
  <si>
    <t>17.3 Análisis de tecnología</t>
  </si>
  <si>
    <t>Definición del servicio público o de la cartera de servicios</t>
  </si>
  <si>
    <t>El servicio es la Tecnificación del Riego, que es el conjunto de componentes y tecnologías aplicadas para el riego de cultivos que permiten optimizar la eficiencia en el uso de los recursos hídricos, y lograr el incremento de la productividad agrícola (Ley N° 28585 y su Reglamento).</t>
  </si>
  <si>
    <t>ANA</t>
  </si>
  <si>
    <t>UF Municipalidad Distrital de Locroja</t>
  </si>
  <si>
    <t>MDL</t>
  </si>
  <si>
    <t>MINAGRI</t>
  </si>
  <si>
    <t>Autoridad Local de Agua (ALA) HUANCAVELICA</t>
  </si>
  <si>
    <t>Los beneficiarios forman parte de la JU Huancavelica, que conforma la CU 7 Pagos, y el Comité de Ususarios San Luis, los mismos que cumplen con los requisitos establecidos en la Ley N° 28585 y su Reglamento, para acceder a los incentivos de riego tecnificado promovidos por el Estado.</t>
  </si>
  <si>
    <t>JU Huancavelica</t>
  </si>
  <si>
    <t>Programa Subsectorial de Irrigaciones (PSI)</t>
  </si>
  <si>
    <t>DESCRIPCIÓN DEL PRODUCTO</t>
  </si>
  <si>
    <t>DESCRIPCIÓN DE LAS ACCIONES</t>
  </si>
  <si>
    <t>META</t>
  </si>
  <si>
    <t>TIPO DE ÍTEM</t>
  </si>
  <si>
    <t xml:space="preserve">Capacitación y Asistencia Técnica </t>
  </si>
  <si>
    <t>COSTO UNITARIO
(S/)</t>
  </si>
  <si>
    <t>UNIDAD DE MEDIDA</t>
  </si>
  <si>
    <t>UNIDAD DE PRODUCCIÓN</t>
  </si>
  <si>
    <t>CAPACIDAD DE PRODUCCIÓN</t>
  </si>
  <si>
    <t>Capacitación en Operación y Mantenimiento del Sistema de Riego</t>
  </si>
  <si>
    <t>Asistencia Técnica en el Manejo de Cultivos con Riego Tecnificado</t>
  </si>
  <si>
    <t>COSTO A PRECIOS DE MERCADO
(S/)</t>
  </si>
  <si>
    <t xml:space="preserve">Estudios </t>
  </si>
  <si>
    <t xml:space="preserve">m3 </t>
  </si>
  <si>
    <t>l/hr</t>
  </si>
  <si>
    <t>Cabezal de filtrado</t>
  </si>
  <si>
    <t>Otros equipos</t>
  </si>
  <si>
    <t>Módulo de capacitación</t>
  </si>
  <si>
    <t>Cotizaciones de proveedores de equipos de riego y de servicios</t>
  </si>
  <si>
    <t>Estudios Definitivos</t>
  </si>
  <si>
    <t>Obras Comunes</t>
  </si>
  <si>
    <t>FECHA DE INICIO</t>
  </si>
  <si>
    <t>FECHA DE TÉRMINO</t>
  </si>
  <si>
    <t>Presurizado: Aspersión Semifijo y Goteo</t>
  </si>
  <si>
    <t xml:space="preserve">AGRICULTURA </t>
  </si>
  <si>
    <t>Instalación de Equipos de Riego</t>
  </si>
  <si>
    <t>Basado en la Directiva N° 002-2017-EF/63.01, aprobada por Resolución Directoral N° 002-2017-EF/63.01</t>
  </si>
  <si>
    <t>ADMINISTRACIÓN LOCAL DEL AGUA (ALA)</t>
  </si>
  <si>
    <t>FICHA TÉCNICA ESPECÍFICA SIMPLIFICADA - MEJORAMIENTO DEL SISTEMA DE RIEGO PARCELARIO</t>
  </si>
  <si>
    <t>NATURALEZA DE INTERVENCIÓN</t>
  </si>
  <si>
    <t>OBJETO</t>
  </si>
  <si>
    <t>LOCALIZACIÓN</t>
  </si>
  <si>
    <t>EN EL CENTRO POBLADO SAN LUIS – DISTRITO DE LOCROJA – PROVINCIA DE CHURCAMPA – REGIÓN HUANCAVELICA</t>
  </si>
  <si>
    <t xml:space="preserve"> CON UN SISTEMA DE RIEGO TECNIFICADO </t>
  </si>
  <si>
    <t>MEJORAMIENTO DEL SERVICIO DE AGUA A NIVEL PARCELARIO</t>
  </si>
  <si>
    <t>UBIGEO</t>
  </si>
  <si>
    <t>Subcuenca</t>
  </si>
  <si>
    <t>7. PROBLEMA CENTRAL, CAUSAS Y EFECTOS</t>
  </si>
  <si>
    <t>7.2. Problema Central</t>
  </si>
  <si>
    <t xml:space="preserve">7.1. Descripción de la Situación Actual </t>
  </si>
  <si>
    <t>7.3. Causas que Generan el Problema</t>
  </si>
  <si>
    <t>8. POBLACIÓN AFECTADA Y POBLACIÓN OBJETIVO</t>
  </si>
  <si>
    <t>Tipo de Población</t>
  </si>
  <si>
    <t>Fuente de Información</t>
  </si>
  <si>
    <t>8.1. Población Afectada</t>
  </si>
  <si>
    <t>9. DEFINICIÓN DE LOS OBJETIVOS DEL PROYECTO</t>
  </si>
  <si>
    <t>7.4. Efectos Generados por el Problema</t>
  </si>
  <si>
    <t xml:space="preserve">Efectos Directos </t>
  </si>
  <si>
    <t>Efectos Indirectas</t>
  </si>
  <si>
    <t>Efecto 1</t>
  </si>
  <si>
    <t>Efecto 2</t>
  </si>
  <si>
    <t>9.2. Indicadores del Objetivo</t>
  </si>
  <si>
    <t xml:space="preserve">Meta </t>
  </si>
  <si>
    <t>Fuente de Verificación</t>
  </si>
  <si>
    <t>Información propia</t>
  </si>
  <si>
    <t>9.3. Medios Fundamentales</t>
  </si>
  <si>
    <t>6.4. Vias de Acceso al Proyecto</t>
  </si>
  <si>
    <t xml:space="preserve">6.5. Administración del Agua con Fines Agrícolas </t>
  </si>
  <si>
    <t>6.6. Fuente Hídrica</t>
  </si>
  <si>
    <t>Servicio de Riego Tecnificado</t>
  </si>
  <si>
    <t>Porcentaje de Superficie Sin Tecnificación</t>
  </si>
  <si>
    <t>Rural</t>
  </si>
  <si>
    <t>Padrón de Usuarios</t>
  </si>
  <si>
    <t>Número de Personas</t>
  </si>
  <si>
    <t>8.2. Población Objetivo / Beneficiarios Directos</t>
  </si>
  <si>
    <t xml:space="preserve">1.1. Servicios Públicos con Brecha Identificada y Priorizada:   </t>
  </si>
  <si>
    <t>1.2.  Indicador de Producto Asociado a la Brecha de Servicios:</t>
  </si>
  <si>
    <t>1.3. Contribución al Cierre de Brechas</t>
  </si>
  <si>
    <t>Alternativas más Frecuentes</t>
  </si>
  <si>
    <t>Alternativa 1</t>
  </si>
  <si>
    <t>Alternativa 2</t>
  </si>
  <si>
    <t>No hay Alternativa 2</t>
  </si>
  <si>
    <t>III.  FORMULACION Y EVALUACIÓN</t>
  </si>
  <si>
    <t>Sustento técnico del horizonte de evaluación elegido</t>
  </si>
  <si>
    <t>090506</t>
  </si>
  <si>
    <t>Número de Usuarios (Familias)</t>
  </si>
  <si>
    <t>Bajos ingresos de los productores agrarios</t>
  </si>
  <si>
    <t>Disminución del grado de integración al mercado</t>
  </si>
  <si>
    <t xml:space="preserve">   i. Pérdida de capital de trabajo
   ii. Abandono de la actividad agrícola
   iii. Migración</t>
  </si>
  <si>
    <t>El horizonte de evaluación del proyecto de riego tecnificado se ha determinado en base a los siguientes criterios: a) La obsolescencia tecnológica esperada en el sector que se va a intervenir, y b) El periodo de vida útil de los activos principales.</t>
  </si>
  <si>
    <t>COSTO DE INVERSIÓN POR BENEFICIARIO DIRECTO  (S/ )  (*)</t>
  </si>
  <si>
    <t>(*) Este valor se puede considerar como el ratio Costo / Eficiencia, debido a que, por lo general, el 100% de la inversión se realiza en el Año 0 (cero).</t>
  </si>
  <si>
    <t>Medidas de Reducción de Riesgo en Contexto de Cambio Climático</t>
  </si>
  <si>
    <t>Sismos</t>
  </si>
  <si>
    <t>Deslizamientos</t>
  </si>
  <si>
    <t>Inundaciones</t>
  </si>
  <si>
    <t>Vientos fuertes</t>
  </si>
  <si>
    <t>Tsunamis</t>
  </si>
  <si>
    <t>Heladas</t>
  </si>
  <si>
    <t>Friajes</t>
  </si>
  <si>
    <t>Erupciones Volcánicas</t>
  </si>
  <si>
    <t>Sequías</t>
  </si>
  <si>
    <t>Granizadas</t>
  </si>
  <si>
    <t>Lluvias intensas.</t>
  </si>
  <si>
    <t>Avalanchas</t>
  </si>
  <si>
    <t>Flujos de lodo (Huaicos)</t>
  </si>
  <si>
    <t>Otros (Especificar):</t>
  </si>
  <si>
    <t>Nivel (BAJO, MEDIO, ALTO)</t>
  </si>
  <si>
    <t>Peligros</t>
  </si>
  <si>
    <t>12. HORIZONTE DE EVALUACIÓN</t>
  </si>
  <si>
    <t>18. DESCRIPCION DE LA ALTERNATIVA DE SOLUCIÓN AL PROBLEMA</t>
  </si>
  <si>
    <t>19. ESTIMACIÓN DE LOS COSTOS DE INVERSIÓN, METAS FÍSICAS Y PLAZOS DEL PROYECTO</t>
  </si>
  <si>
    <t>19.1. Estimación del Costo de Inversión del Proyecto</t>
  </si>
  <si>
    <t>19.2. Resumen del Costo de Inversión del Proyecto y Plazos Referenciales de Ejecución</t>
  </si>
  <si>
    <t>19.3. Estimación de Indicadores de los Costos de Inversión del Proyecto</t>
  </si>
  <si>
    <t>19.4. Costo de Inversión por Beneficiario Directo</t>
  </si>
  <si>
    <t>19.5. Modalidad de Ejecución</t>
  </si>
  <si>
    <t>20. CRONOGRAMA DE EJECUCIÓN</t>
  </si>
  <si>
    <t>20.1 Cronograma de Ejecución Física  (% de avance)</t>
  </si>
  <si>
    <t>20.2 Cronograma de Inversión según Componentes  (Soles)</t>
  </si>
  <si>
    <t>21. ESTIMACIÓN DE LOS COSTOS DE REPOSICIÓN</t>
  </si>
  <si>
    <t>22. ESTIMACIÓN DE LOS COSTOS DE OPERACIÓN Y MANTENIMIENTO DEL SISTEMA DE RIEGO</t>
  </si>
  <si>
    <t>GRUPO DE GESTIÓN EMPRESARIAL SAN LUIS</t>
  </si>
  <si>
    <t>Documentos de acreditación de propiedad o posesión del terreno de los beneficiarios.</t>
  </si>
  <si>
    <t>Acreditaciones como usuarios de agua emitida por la Organización de Usuarios de Agua.</t>
  </si>
  <si>
    <t>Acta de compromiso de operación y mantenimiento del sistema de riego instalado.</t>
  </si>
  <si>
    <t>Acta de compromiso de implementación de cédula de cultivo.</t>
  </si>
  <si>
    <t>Acta de compromiso de aporte de contrapartida económica de los beneficiarios.</t>
  </si>
  <si>
    <t>Acta de libre disponibilidad de terreno.</t>
  </si>
  <si>
    <t>Constancia de rol de distribución de agua emitido por la OUA.</t>
  </si>
  <si>
    <t>Acta de constitución del Grupo de Gestión Empresarial (Grupo de Beneficiarios).</t>
  </si>
  <si>
    <t>Constancia de disponibilidad hídrica o licencia para uso de agua de riego, otorgada por la Autoridad Nacional del Agua - ANA.</t>
  </si>
  <si>
    <t>Copia de DNI de los beneficiarios directos del proyecto.</t>
  </si>
  <si>
    <t>IV.  REQUISITOS INSTITUCIONALES Y/O NORMATIVOS</t>
  </si>
  <si>
    <t>1. ARTICULACIÓN CON EL PROGRAMA MULTIANUAL DE INVERSIONES (PMI)</t>
  </si>
  <si>
    <t>CÓDIGO DEL PROYECTO</t>
  </si>
  <si>
    <t>Hectáreas</t>
  </si>
  <si>
    <t>Estado (*)</t>
  </si>
  <si>
    <t>(*) Valores posibles para el Estado: (B) bueno, (R) regular, (M) malo</t>
  </si>
  <si>
    <t>6. UBICACIÓN, ACCESOS Y ADMINISTRACIÓN DEL AGUA</t>
  </si>
  <si>
    <t xml:space="preserve">Junta </t>
  </si>
  <si>
    <t xml:space="preserve">Comisión </t>
  </si>
  <si>
    <t>Nivel mayor de la OUA</t>
  </si>
  <si>
    <t xml:space="preserve">Comité </t>
  </si>
  <si>
    <t>Bloque</t>
  </si>
  <si>
    <t>GGE (*)</t>
  </si>
  <si>
    <t>GRUPO DE GESTIÓN EMPRESARIAL (*)</t>
  </si>
  <si>
    <t>11. PLANTEAMIENTO DE LAS ALTERNATIVAS DE SOLUCIÓN AL PROBLEMA</t>
  </si>
  <si>
    <t>10. ANÁLISIS DE INVOLUCRADOS</t>
  </si>
  <si>
    <t>El recurso hídrico se captará en la Quebrada San Luis (Toma Huambasi), con un caudal de 15 l/s, para lo cual se mejorará la estructura existente con concreto. A partir de este punto se construirá un canal de aducción de concreto hasta un desarenador, antes de ingresar a un reservorio revestido de geomembrana de HDPE (e=1.0 mm). Desde este punto se instalará un sistema de conducción con tubería de HDPE, y para la distribución se utilizará tubería de PVC. Se irrigarán un total de 20 ha mediante el sistema de riego por aspersión semifijo (15 ha) y goteo (5 ha). El proyecto contempla la capacitación en operación y mantenimiento del sistema de riego instalado, y la asistencia técnica para el manejo del cultivo con un sistema de riego tecnificado.</t>
  </si>
  <si>
    <t>AÑO DE APLICACIÓN DEL COSTO DE REPOSICIÓN</t>
  </si>
  <si>
    <t>EJEMPLOS DE FUENTE DE INFORMACIÓN ETO y PRECIPITACIÓN EFECTIVA</t>
  </si>
  <si>
    <t>Cultivo</t>
  </si>
  <si>
    <t>Área de Cédula (ha)</t>
  </si>
  <si>
    <t>Rendimiento (Kg/ha)</t>
  </si>
  <si>
    <t>Precio en Chacra (Soles/Kg)</t>
  </si>
  <si>
    <t>VBP (S/ )</t>
  </si>
  <si>
    <t>Costo de Producción Unitario (Soles/ha)</t>
  </si>
  <si>
    <t>VNP (S/ )</t>
  </si>
  <si>
    <t>TASA DE DESCUENTO</t>
  </si>
  <si>
    <t>AÑO DE EVALUACIÓN</t>
  </si>
  <si>
    <t>BENEFICIOS INCREMENTALES (S/ )</t>
  </si>
  <si>
    <t>COSTOS INCREMENTALES (S/ )</t>
  </si>
  <si>
    <t>FLUJO DE CAJA (S/ )</t>
  </si>
  <si>
    <t>VBP
SIN PROY</t>
  </si>
  <si>
    <t>VBP
CON PROY</t>
  </si>
  <si>
    <t>BENEFICIOS SIN PROYECTO</t>
  </si>
  <si>
    <t>BENEFICIOS CON PROYECTO</t>
  </si>
  <si>
    <t>AÑO 0</t>
  </si>
  <si>
    <t>VAN (S/ )</t>
  </si>
  <si>
    <t>TIR (%)</t>
  </si>
  <si>
    <t>B/C</t>
  </si>
  <si>
    <t>23. ESTIMACIÓN DE LOS BENEFICIOS DEL PROYECTO</t>
  </si>
  <si>
    <t xml:space="preserve">23.1. Cálculo del Valor Neto de la Producción - Sin Proyecto </t>
  </si>
  <si>
    <t xml:space="preserve">23.2. Cálculo del Valor Neto de la Producción - Con Proyecto </t>
  </si>
  <si>
    <t>24. EVALUACIÓN COSTO - BENEFICIO</t>
  </si>
  <si>
    <t>24.1. Estimación del Flujo de Caja Privado</t>
  </si>
  <si>
    <t xml:space="preserve">24.2. Estimación de los Indicadores de Rentabilidad </t>
  </si>
  <si>
    <t>III.  FORMULACION Y EVALUACION</t>
  </si>
  <si>
    <t>25. SOSTENIBILIDAD</t>
  </si>
  <si>
    <t>25.1.  Responsable de la Operación y Mantenimiento del PIP</t>
  </si>
  <si>
    <t>25.2. Documentos que sustentan los acuerdos institucionales u otros que garantizan el financiamiento de los gastos de operación y mantenimiento</t>
  </si>
  <si>
    <t xml:space="preserve">26. GESTIÓN DEL RIESGO EN CONTEXTO DE CAMBIO CLIMÁTICO </t>
  </si>
  <si>
    <t>26.1.  ¿El área donde se ubica el proyecto ha sido afectada por algún desastre natural?</t>
  </si>
  <si>
    <t>26.2.  ¿Qué medidas de reducción de riesgos se están incluyendo en el proyecto de inversión?</t>
  </si>
  <si>
    <t>27. CERTIFICACIÓN AMBIENTAL</t>
  </si>
  <si>
    <t>27.1.  ¿El PIP cuenta con la certificación ambiental emitida por la DGAAA - MINAGRI?</t>
  </si>
  <si>
    <t>27.2.  Impactos Ambientales Negativos y Medidas de Mitigación</t>
  </si>
  <si>
    <t>28. DOCUMENTOS PARA VIABILIDAD</t>
  </si>
  <si>
    <t>29. ANEXOS</t>
  </si>
  <si>
    <t>30.  FECHA DE  FORMULACIÓN</t>
  </si>
  <si>
    <t>31. FIRMAS</t>
  </si>
  <si>
    <t>(RIEGO TECNIFICADO)</t>
  </si>
  <si>
    <t>Monto de Inversión a Precios de Mercado hasta 750 UIT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</si>
</sst>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 #,##0.00_ ;_ * \-#,##0.00_ ;_ * &quot;-&quot;??_ ;_ @_ "/>
    <numFmt numFmtId="165" formatCode="_-* #,##0.00\ _€_-;\-* #,##0.00\ _€_-;_-* &quot;-&quot;??\ _€_-;_-@_-"/>
    <numFmt numFmtId="166" formatCode="#,##0.00_ ;\-#,##0.00\ "/>
    <numFmt numFmtId="167" formatCode="#,##0_ ;\-#,##0\ "/>
    <numFmt numFmtId="168" formatCode="#,##0.0"/>
    <numFmt numFmtId="169" formatCode="#,##0.000"/>
    <numFmt numFmtId="170" formatCode="0.0%"/>
    <numFmt numFmtId="171" formatCode="0.0"/>
    <numFmt numFmtId="172" formatCode="_-* #,##0\ _€_-;\-* #,##0\ _€_-;_-* &quot;-&quot;??\ _€_-;_-@_-"/>
    <numFmt numFmtId="173" formatCode="&quot;S/.&quot;#,##0.00"/>
    <numFmt numFmtId="174" formatCode="###,##0.00"/>
    <numFmt numFmtId="175" formatCode="#,##0.00;\(#,##0.00\);#"/>
    <numFmt numFmtId="176" formatCode="0.000%"/>
  </numFmts>
  <fonts count="66" x14ac:knownFonts="1">
    <font>
      <sz val="10"/>
      <name val="Arial"/>
    </font>
    <font>
      <b/>
      <sz val="10"/>
      <name val="Arial"/>
      <family val="2"/>
    </font>
    <font>
      <sz val="10"/>
      <name val="Arial"/>
      <family val="2"/>
    </font>
    <font>
      <sz val="12"/>
      <name val="Times New Roman"/>
      <family val="1"/>
    </font>
    <font>
      <u/>
      <sz val="6"/>
      <color indexed="12"/>
      <name val="Arial"/>
      <family val="2"/>
    </font>
    <font>
      <u/>
      <sz val="10"/>
      <color indexed="12"/>
      <name val="Arial"/>
      <family val="2"/>
    </font>
    <font>
      <sz val="14"/>
      <name val="Arial"/>
      <family val="2"/>
    </font>
    <font>
      <b/>
      <sz val="10"/>
      <color indexed="9"/>
      <name val="Arial"/>
      <family val="2"/>
    </font>
    <font>
      <sz val="10"/>
      <color indexed="9"/>
      <name val="Arial"/>
      <family val="2"/>
    </font>
    <font>
      <sz val="10"/>
      <color indexed="53"/>
      <name val="Arial"/>
      <family val="2"/>
    </font>
    <font>
      <b/>
      <sz val="9"/>
      <name val="Arial"/>
      <family val="2"/>
    </font>
    <font>
      <sz val="10"/>
      <name val="Arial"/>
      <family val="2"/>
    </font>
    <font>
      <sz val="9"/>
      <name val="Arial"/>
      <family val="2"/>
    </font>
    <font>
      <sz val="9"/>
      <color indexed="10"/>
      <name val="Arial"/>
      <family val="2"/>
    </font>
    <font>
      <sz val="10"/>
      <color indexed="8"/>
      <name val="Trebuchet MS"/>
      <family val="2"/>
    </font>
    <font>
      <b/>
      <sz val="10"/>
      <color indexed="8"/>
      <name val="Trebuchet MS"/>
      <family val="2"/>
    </font>
    <font>
      <b/>
      <sz val="16"/>
      <color indexed="8"/>
      <name val="Trebuchet MS"/>
      <family val="2"/>
    </font>
    <font>
      <b/>
      <sz val="11"/>
      <color indexed="8"/>
      <name val="Trebuchet MS"/>
      <family val="2"/>
    </font>
    <font>
      <sz val="10"/>
      <name val="Trebuchet MS"/>
      <family val="2"/>
    </font>
    <font>
      <b/>
      <sz val="16"/>
      <name val="Trebuchet MS"/>
      <family val="2"/>
    </font>
    <font>
      <b/>
      <sz val="10"/>
      <name val="Trebuchet MS"/>
      <family val="2"/>
    </font>
    <font>
      <b/>
      <i/>
      <sz val="10"/>
      <name val="Trebuchet MS"/>
      <family val="2"/>
    </font>
    <font>
      <b/>
      <i/>
      <sz val="10"/>
      <color indexed="18"/>
      <name val="Trebuchet MS"/>
      <family val="2"/>
    </font>
    <font>
      <i/>
      <sz val="10"/>
      <name val="Trebuchet MS"/>
      <family val="2"/>
    </font>
    <font>
      <sz val="10"/>
      <color indexed="10"/>
      <name val="Arial"/>
      <family val="2"/>
    </font>
    <font>
      <sz val="8"/>
      <name val="Arial"/>
      <family val="2"/>
    </font>
    <font>
      <b/>
      <sz val="14"/>
      <color indexed="8"/>
      <name val="Arial Narrow"/>
      <family val="2"/>
    </font>
    <font>
      <sz val="9"/>
      <name val="Arial Narrow"/>
      <family val="2"/>
    </font>
    <font>
      <b/>
      <sz val="9"/>
      <color indexed="8"/>
      <name val="Arial Narrow"/>
      <family val="2"/>
    </font>
    <font>
      <b/>
      <sz val="8"/>
      <color indexed="8"/>
      <name val="Arial"/>
      <family val="2"/>
    </font>
    <font>
      <sz val="9"/>
      <color indexed="8"/>
      <name val="Arial"/>
      <family val="2"/>
    </font>
    <font>
      <sz val="9"/>
      <color indexed="8"/>
      <name val="Arial Narrow"/>
      <family val="2"/>
    </font>
    <font>
      <b/>
      <sz val="9"/>
      <name val="Arial Narrow"/>
      <family val="2"/>
    </font>
    <font>
      <i/>
      <sz val="9"/>
      <color indexed="8"/>
      <name val="Arial Narrow"/>
      <family val="2"/>
    </font>
    <font>
      <sz val="8"/>
      <color indexed="8"/>
      <name val="Arial Narrow"/>
      <family val="2"/>
    </font>
    <font>
      <b/>
      <sz val="11"/>
      <name val="Arial"/>
      <family val="2"/>
    </font>
    <font>
      <sz val="11"/>
      <color rgb="FFFF0000"/>
      <name val="Calibri"/>
      <family val="2"/>
      <scheme val="minor"/>
    </font>
    <font>
      <b/>
      <sz val="11"/>
      <color theme="1"/>
      <name val="Calibri"/>
      <family val="2"/>
      <scheme val="minor"/>
    </font>
    <font>
      <b/>
      <sz val="9"/>
      <color rgb="FF000000"/>
      <name val="Arial"/>
      <family val="2"/>
    </font>
    <font>
      <sz val="10"/>
      <color theme="3" tint="0.39997558519241921"/>
      <name val="Arial"/>
      <family val="2"/>
    </font>
    <font>
      <sz val="10"/>
      <color rgb="FF0070C0"/>
      <name val="Arial"/>
      <family val="2"/>
    </font>
    <font>
      <sz val="8"/>
      <color rgb="FF000000"/>
      <name val="Arial"/>
      <family val="2"/>
    </font>
    <font>
      <sz val="10"/>
      <color rgb="FFFF0000"/>
      <name val="Arial"/>
      <family val="2"/>
    </font>
    <font>
      <sz val="8"/>
      <color rgb="FFFF0000"/>
      <name val="Arial"/>
      <family val="2"/>
    </font>
    <font>
      <b/>
      <sz val="10"/>
      <color rgb="FFFF0000"/>
      <name val="Arial"/>
      <family val="2"/>
    </font>
    <font>
      <sz val="9"/>
      <color rgb="FFFF0000"/>
      <name val="Arial"/>
      <family val="2"/>
    </font>
    <font>
      <sz val="10"/>
      <color theme="0"/>
      <name val="Arial"/>
      <family val="2"/>
    </font>
    <font>
      <b/>
      <sz val="10"/>
      <color theme="0"/>
      <name val="Arial"/>
      <family val="2"/>
    </font>
    <font>
      <sz val="12"/>
      <color theme="0"/>
      <name val="Times New Roman"/>
      <family val="1"/>
    </font>
    <font>
      <b/>
      <sz val="10"/>
      <color theme="1"/>
      <name val="Arial"/>
      <family val="2"/>
    </font>
    <font>
      <sz val="10"/>
      <color rgb="FF002060"/>
      <name val="Arial"/>
      <family val="2"/>
    </font>
    <font>
      <sz val="9"/>
      <color rgb="FFFF0000"/>
      <name val="Arial Narrow"/>
      <family val="2"/>
    </font>
    <font>
      <b/>
      <sz val="9"/>
      <color rgb="FF000000"/>
      <name val="Arial Narrow"/>
      <family val="2"/>
    </font>
    <font>
      <b/>
      <sz val="8"/>
      <color theme="1"/>
      <name val="Arial Narrow"/>
      <family val="2"/>
    </font>
    <font>
      <sz val="8"/>
      <color theme="1"/>
      <name val="Arial Narrow"/>
      <family val="2"/>
    </font>
    <font>
      <sz val="9"/>
      <color theme="1"/>
      <name val="Arial Narrow"/>
      <family val="2"/>
    </font>
    <font>
      <b/>
      <sz val="8"/>
      <color rgb="FFFF0000"/>
      <name val="Arial Narrow"/>
      <family val="2"/>
    </font>
    <font>
      <sz val="9"/>
      <color theme="9"/>
      <name val="Arial Narrow"/>
      <family val="2"/>
    </font>
    <font>
      <sz val="10"/>
      <color rgb="FF000000"/>
      <name val="Arial Narrow"/>
      <family val="2"/>
    </font>
    <font>
      <b/>
      <sz val="16"/>
      <color theme="1"/>
      <name val="Calibri"/>
      <family val="2"/>
      <scheme val="minor"/>
    </font>
    <font>
      <sz val="11"/>
      <name val="Calibri"/>
      <family val="2"/>
      <scheme val="minor"/>
    </font>
    <font>
      <sz val="10"/>
      <color rgb="FF92D050"/>
      <name val="Arial"/>
      <family val="2"/>
    </font>
    <font>
      <b/>
      <sz val="11"/>
      <name val="Calibri"/>
      <family val="2"/>
    </font>
    <font>
      <sz val="11"/>
      <color rgb="FFFF0000"/>
      <name val="Calibri"/>
      <family val="2"/>
    </font>
    <font>
      <b/>
      <sz val="14"/>
      <name val="Arial"/>
      <family val="2"/>
    </font>
    <font>
      <b/>
      <u/>
      <sz val="11"/>
      <color indexed="8"/>
      <name val="Trebuchet MS"/>
      <family val="2"/>
    </font>
  </fonts>
  <fills count="14">
    <fill>
      <patternFill patternType="none"/>
    </fill>
    <fill>
      <patternFill patternType="gray125"/>
    </fill>
    <fill>
      <patternFill patternType="solid">
        <fgColor indexed="9"/>
        <bgColor indexed="64"/>
      </patternFill>
    </fill>
    <fill>
      <patternFill patternType="solid">
        <fgColor indexed="63"/>
        <bgColor indexed="64"/>
      </patternFill>
    </fill>
    <fill>
      <patternFill patternType="solid">
        <fgColor indexed="8"/>
        <bgColor indexed="64"/>
      </patternFill>
    </fill>
    <fill>
      <patternFill patternType="solid">
        <fgColor theme="0"/>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66"/>
        <bgColor indexed="64"/>
      </patternFill>
    </fill>
    <fill>
      <patternFill patternType="solid">
        <fgColor rgb="FFFFFF99"/>
        <bgColor indexed="64"/>
      </patternFill>
    </fill>
  </fills>
  <borders count="31">
    <border>
      <left/>
      <right/>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rgb="FF000000"/>
      </right>
      <top/>
      <bottom style="medium">
        <color rgb="FF000000"/>
      </bottom>
      <diagonal/>
    </border>
  </borders>
  <cellStyleXfs count="14">
    <xf numFmtId="0" fontId="0" fillId="0" borderId="0"/>
    <xf numFmtId="0" fontId="4" fillId="0" borderId="0" applyNumberFormat="0" applyFill="0" applyBorder="0" applyAlignment="0" applyProtection="0">
      <alignment vertical="top"/>
      <protection locked="0"/>
    </xf>
    <xf numFmtId="165" fontId="11"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9" fontId="11" fillId="0" borderId="0" applyFont="0" applyFill="0" applyBorder="0" applyAlignment="0" applyProtection="0"/>
    <xf numFmtId="9" fontId="2" fillId="0" borderId="0" applyFont="0" applyFill="0" applyBorder="0" applyAlignment="0" applyProtection="0"/>
  </cellStyleXfs>
  <cellXfs count="1137">
    <xf numFmtId="0" fontId="0" fillId="0" borderId="0" xfId="0"/>
    <xf numFmtId="0" fontId="2" fillId="0" borderId="1" xfId="0" applyFont="1" applyBorder="1" applyAlignment="1">
      <alignment horizontal="left" vertical="center"/>
    </xf>
    <xf numFmtId="0" fontId="2" fillId="0" borderId="0" xfId="0" applyFont="1" applyBorder="1" applyAlignment="1">
      <alignment horizontal="left" vertical="center"/>
    </xf>
    <xf numFmtId="0" fontId="2" fillId="0" borderId="2" xfId="0" applyFont="1" applyBorder="1" applyAlignment="1">
      <alignment horizontal="left" vertical="center"/>
    </xf>
    <xf numFmtId="0" fontId="2" fillId="0" borderId="0" xfId="0" applyFont="1" applyAlignment="1">
      <alignment vertical="center"/>
    </xf>
    <xf numFmtId="0" fontId="2" fillId="0" borderId="3" xfId="0" applyFont="1" applyBorder="1" applyAlignment="1">
      <alignment vertical="center"/>
    </xf>
    <xf numFmtId="0" fontId="2" fillId="0" borderId="0" xfId="0" applyFont="1" applyBorder="1" applyAlignment="1">
      <alignment vertical="center"/>
    </xf>
    <xf numFmtId="0" fontId="2" fillId="0" borderId="4" xfId="0" applyFont="1" applyBorder="1" applyAlignment="1">
      <alignment vertical="center"/>
    </xf>
    <xf numFmtId="0" fontId="1" fillId="2" borderId="0" xfId="0" applyFont="1" applyFill="1" applyBorder="1" applyAlignment="1">
      <alignment vertical="center"/>
    </xf>
    <xf numFmtId="0" fontId="2" fillId="0" borderId="0" xfId="0" applyFont="1" applyBorder="1" applyAlignment="1">
      <alignment horizontal="centerContinuous" vertical="center"/>
    </xf>
    <xf numFmtId="0" fontId="2" fillId="0" borderId="0" xfId="0" applyFont="1" applyFill="1" applyBorder="1" applyAlignment="1">
      <alignment vertical="center"/>
    </xf>
    <xf numFmtId="0" fontId="1" fillId="5" borderId="5" xfId="0" applyFont="1" applyFill="1" applyBorder="1" applyAlignment="1">
      <alignment horizontal="left" vertical="center"/>
    </xf>
    <xf numFmtId="0" fontId="1" fillId="0" borderId="0" xfId="0" applyFont="1" applyBorder="1" applyAlignment="1">
      <alignment horizontal="left" vertical="center"/>
    </xf>
    <xf numFmtId="0" fontId="2" fillId="0" borderId="0" xfId="0" applyFont="1" applyFill="1" applyBorder="1" applyAlignment="1">
      <alignment horizontal="center" vertical="center" wrapText="1"/>
    </xf>
    <xf numFmtId="0" fontId="2" fillId="0" borderId="1" xfId="0" applyFont="1" applyBorder="1" applyAlignment="1">
      <alignment vertical="center"/>
    </xf>
    <xf numFmtId="0" fontId="2" fillId="0" borderId="6" xfId="0" applyFont="1" applyBorder="1" applyAlignment="1">
      <alignment horizontal="center" vertical="center"/>
    </xf>
    <xf numFmtId="0" fontId="1" fillId="6" borderId="5" xfId="0" applyFont="1" applyFill="1" applyBorder="1" applyAlignment="1">
      <alignment horizontal="centerContinuous" vertical="center" wrapText="1"/>
    </xf>
    <xf numFmtId="0" fontId="1" fillId="6" borderId="3" xfId="0" applyFont="1" applyFill="1" applyBorder="1" applyAlignment="1">
      <alignment horizontal="centerContinuous" vertical="center" wrapText="1"/>
    </xf>
    <xf numFmtId="0" fontId="38" fillId="6" borderId="6" xfId="0" applyFont="1" applyFill="1" applyBorder="1" applyAlignment="1">
      <alignment horizontal="center" vertical="center" wrapText="1"/>
    </xf>
    <xf numFmtId="0" fontId="2" fillId="0" borderId="7" xfId="0" applyFont="1" applyBorder="1" applyAlignment="1">
      <alignment horizontal="left" vertical="center"/>
    </xf>
    <xf numFmtId="0" fontId="2" fillId="0" borderId="8"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9"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0" xfId="0" applyFont="1" applyBorder="1" applyAlignment="1">
      <alignment horizontal="center" vertical="center"/>
    </xf>
    <xf numFmtId="0" fontId="2" fillId="0" borderId="0" xfId="0" applyFont="1" applyAlignment="1">
      <alignment horizontal="center" vertical="center"/>
    </xf>
    <xf numFmtId="0" fontId="7" fillId="3" borderId="0" xfId="0" applyFont="1" applyFill="1" applyAlignment="1">
      <alignment horizontal="left" vertical="center"/>
    </xf>
    <xf numFmtId="0" fontId="8" fillId="3" borderId="0" xfId="0" applyFont="1" applyFill="1" applyAlignment="1">
      <alignment horizontal="left" vertical="center"/>
    </xf>
    <xf numFmtId="0" fontId="2" fillId="2" borderId="0" xfId="0" applyFont="1" applyFill="1" applyAlignment="1">
      <alignment vertical="center"/>
    </xf>
    <xf numFmtId="0" fontId="7" fillId="2" borderId="0" xfId="0" applyFont="1" applyFill="1" applyAlignment="1">
      <alignment horizontal="left" vertical="center"/>
    </xf>
    <xf numFmtId="0" fontId="8" fillId="2" borderId="0" xfId="0" applyFont="1" applyFill="1" applyAlignment="1">
      <alignment horizontal="left" vertical="center"/>
    </xf>
    <xf numFmtId="0" fontId="1" fillId="0" borderId="0" xfId="0" applyFont="1" applyAlignment="1">
      <alignment vertical="center"/>
    </xf>
    <xf numFmtId="0" fontId="1" fillId="0" borderId="0" xfId="0" applyFont="1" applyFill="1" applyBorder="1" applyAlignment="1">
      <alignment vertical="center"/>
    </xf>
    <xf numFmtId="0" fontId="2" fillId="0" borderId="0" xfId="0" applyFont="1" applyAlignment="1">
      <alignment horizontal="left" vertical="center"/>
    </xf>
    <xf numFmtId="0" fontId="39" fillId="0" borderId="0" xfId="0" applyFont="1" applyAlignment="1">
      <alignment vertical="center"/>
    </xf>
    <xf numFmtId="0" fontId="2" fillId="5" borderId="0" xfId="0" applyFont="1" applyFill="1" applyAlignment="1">
      <alignment vertical="center"/>
    </xf>
    <xf numFmtId="0" fontId="2" fillId="5" borderId="0" xfId="0" applyFont="1" applyFill="1" applyBorder="1" applyAlignment="1">
      <alignment vertical="center"/>
    </xf>
    <xf numFmtId="0" fontId="2" fillId="5" borderId="5" xfId="0" applyFont="1" applyFill="1" applyBorder="1" applyAlignment="1">
      <alignment vertical="center"/>
    </xf>
    <xf numFmtId="0" fontId="2" fillId="5" borderId="3" xfId="0" applyFont="1" applyFill="1" applyBorder="1" applyAlignment="1">
      <alignment vertical="center"/>
    </xf>
    <xf numFmtId="0" fontId="40" fillId="0" borderId="0" xfId="0" applyFont="1" applyAlignment="1">
      <alignment vertical="center"/>
    </xf>
    <xf numFmtId="0" fontId="40" fillId="5" borderId="0" xfId="0" applyFont="1" applyFill="1" applyAlignment="1">
      <alignment vertical="center"/>
    </xf>
    <xf numFmtId="0" fontId="7" fillId="4" borderId="0" xfId="0" applyFont="1" applyFill="1" applyAlignment="1">
      <alignment vertical="center"/>
    </xf>
    <xf numFmtId="0" fontId="8" fillId="4" borderId="0" xfId="0" applyFont="1" applyFill="1" applyAlignment="1">
      <alignment vertical="center"/>
    </xf>
    <xf numFmtId="0" fontId="8" fillId="4" borderId="0" xfId="0" applyFont="1" applyFill="1" applyBorder="1" applyAlignment="1">
      <alignment vertical="center"/>
    </xf>
    <xf numFmtId="0" fontId="2" fillId="0" borderId="11" xfId="0" applyFont="1" applyFill="1" applyBorder="1" applyAlignment="1">
      <alignment horizontal="center" vertical="center"/>
    </xf>
    <xf numFmtId="0" fontId="1" fillId="5" borderId="0" xfId="0" applyFont="1" applyFill="1" applyAlignment="1">
      <alignment vertical="center"/>
    </xf>
    <xf numFmtId="0" fontId="7" fillId="4" borderId="0" xfId="0" applyFont="1" applyFill="1" applyBorder="1" applyAlignment="1">
      <alignment horizontal="left" vertical="center"/>
    </xf>
    <xf numFmtId="0" fontId="8" fillId="4" borderId="0" xfId="0" applyFont="1" applyFill="1" applyBorder="1" applyAlignment="1">
      <alignment vertical="center" wrapText="1"/>
    </xf>
    <xf numFmtId="0" fontId="8" fillId="4" borderId="0" xfId="0" applyFont="1" applyFill="1" applyBorder="1" applyAlignment="1">
      <alignment horizontal="left" vertical="center" wrapText="1"/>
    </xf>
    <xf numFmtId="0" fontId="3" fillId="0" borderId="0" xfId="0" applyFont="1" applyBorder="1" applyAlignment="1">
      <alignment vertical="center" wrapText="1"/>
    </xf>
    <xf numFmtId="0" fontId="7" fillId="5" borderId="0" xfId="0" applyFont="1" applyFill="1" applyBorder="1" applyAlignment="1">
      <alignment horizontal="left" vertical="center"/>
    </xf>
    <xf numFmtId="0" fontId="8" fillId="5" borderId="0" xfId="0" applyFont="1" applyFill="1" applyBorder="1" applyAlignment="1">
      <alignment vertical="center" wrapText="1"/>
    </xf>
    <xf numFmtId="0" fontId="8" fillId="5" borderId="0" xfId="0" applyFont="1" applyFill="1" applyBorder="1" applyAlignment="1">
      <alignment horizontal="left" vertical="center" wrapText="1"/>
    </xf>
    <xf numFmtId="0" fontId="8" fillId="5" borderId="0" xfId="0" applyFont="1" applyFill="1" applyAlignment="1">
      <alignment vertical="center"/>
    </xf>
    <xf numFmtId="0" fontId="3" fillId="5" borderId="0" xfId="0" applyFont="1" applyFill="1" applyBorder="1" applyAlignment="1">
      <alignment vertical="center" wrapText="1"/>
    </xf>
    <xf numFmtId="0" fontId="1" fillId="0" borderId="0" xfId="0" applyFont="1" applyBorder="1" applyAlignment="1">
      <alignment vertical="center"/>
    </xf>
    <xf numFmtId="0" fontId="2" fillId="0" borderId="6" xfId="0" applyFont="1" applyBorder="1" applyAlignment="1">
      <alignment vertical="center"/>
    </xf>
    <xf numFmtId="0" fontId="2" fillId="0" borderId="0" xfId="0" applyFont="1" applyBorder="1" applyAlignment="1">
      <alignment horizontal="justify" vertical="center" wrapText="1"/>
    </xf>
    <xf numFmtId="0" fontId="3" fillId="0" borderId="0" xfId="0" applyFont="1" applyBorder="1" applyAlignment="1">
      <alignment horizontal="justify" vertical="center" wrapText="1"/>
    </xf>
    <xf numFmtId="0" fontId="2" fillId="0" borderId="0" xfId="0" applyFont="1" applyBorder="1" applyAlignment="1">
      <alignment horizontal="left" vertical="center" wrapText="1"/>
    </xf>
    <xf numFmtId="0" fontId="2" fillId="0" borderId="12" xfId="0" applyFont="1" applyBorder="1" applyAlignment="1">
      <alignment vertical="center" wrapText="1"/>
    </xf>
    <xf numFmtId="0" fontId="1" fillId="0" borderId="12" xfId="0" applyFont="1" applyBorder="1" applyAlignment="1">
      <alignment vertical="center"/>
    </xf>
    <xf numFmtId="0" fontId="2" fillId="0" borderId="0" xfId="0" applyFont="1" applyBorder="1" applyAlignment="1">
      <alignment vertical="center" wrapText="1"/>
    </xf>
    <xf numFmtId="0" fontId="9" fillId="0" borderId="0" xfId="0" applyFont="1" applyAlignment="1">
      <alignment vertical="center"/>
    </xf>
    <xf numFmtId="0" fontId="2" fillId="0" borderId="0" xfId="0" applyFont="1" applyFill="1" applyAlignment="1">
      <alignment vertical="center"/>
    </xf>
    <xf numFmtId="0" fontId="41" fillId="5" borderId="6" xfId="0" applyFont="1" applyFill="1" applyBorder="1" applyAlignment="1">
      <alignment horizontal="center" vertical="center" wrapText="1"/>
    </xf>
    <xf numFmtId="0" fontId="1" fillId="6" borderId="3" xfId="0" applyFont="1" applyFill="1" applyBorder="1" applyAlignment="1">
      <alignment vertical="center"/>
    </xf>
    <xf numFmtId="0" fontId="1" fillId="0" borderId="5" xfId="0" applyFont="1" applyBorder="1" applyAlignment="1">
      <alignment vertical="center"/>
    </xf>
    <xf numFmtId="0" fontId="1" fillId="0" borderId="3"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2" xfId="0" applyFont="1" applyFill="1" applyBorder="1" applyAlignment="1">
      <alignment vertical="center"/>
    </xf>
    <xf numFmtId="0" fontId="2" fillId="0" borderId="5" xfId="0" applyFont="1" applyFill="1" applyBorder="1" applyAlignment="1">
      <alignment horizontal="left" vertical="center"/>
    </xf>
    <xf numFmtId="0" fontId="2" fillId="0" borderId="0" xfId="0" applyFont="1" applyFill="1" applyBorder="1" applyAlignment="1">
      <alignment horizontal="left" vertical="center"/>
    </xf>
    <xf numFmtId="0" fontId="1" fillId="5" borderId="0" xfId="0" applyFont="1" applyFill="1" applyBorder="1" applyAlignment="1">
      <alignment vertical="center"/>
    </xf>
    <xf numFmtId="0" fontId="1" fillId="5" borderId="3" xfId="0" applyFont="1" applyFill="1" applyBorder="1" applyAlignment="1">
      <alignment vertical="center"/>
    </xf>
    <xf numFmtId="0" fontId="2" fillId="0" borderId="0" xfId="0" applyFont="1" applyBorder="1" applyAlignment="1">
      <alignment horizontal="right" vertical="center"/>
    </xf>
    <xf numFmtId="0" fontId="5" fillId="0" borderId="0" xfId="1" applyFont="1" applyAlignment="1" applyProtection="1">
      <alignment vertical="center"/>
    </xf>
    <xf numFmtId="0" fontId="42" fillId="5" borderId="0" xfId="0" applyFont="1" applyFill="1" applyBorder="1" applyAlignment="1">
      <alignment horizontal="left" vertical="center"/>
    </xf>
    <xf numFmtId="0" fontId="42" fillId="5" borderId="0" xfId="0" applyFont="1" applyFill="1" applyAlignment="1">
      <alignment horizontal="left" vertical="center"/>
    </xf>
    <xf numFmtId="0" fontId="43" fillId="5" borderId="6" xfId="0" applyFont="1" applyFill="1" applyBorder="1" applyAlignment="1">
      <alignment vertical="center" wrapText="1"/>
    </xf>
    <xf numFmtId="0" fontId="14" fillId="5" borderId="0" xfId="0" applyFont="1" applyFill="1" applyAlignment="1">
      <alignment horizontal="center" vertical="center"/>
    </xf>
    <xf numFmtId="0" fontId="14" fillId="5" borderId="0" xfId="0" applyFont="1" applyFill="1" applyBorder="1" applyAlignment="1">
      <alignment vertical="center"/>
    </xf>
    <xf numFmtId="0" fontId="14" fillId="5" borderId="0" xfId="0" applyFont="1" applyFill="1" applyAlignment="1">
      <alignment vertical="center"/>
    </xf>
    <xf numFmtId="0" fontId="15" fillId="7" borderId="6" xfId="0" applyFont="1" applyFill="1" applyBorder="1" applyAlignment="1">
      <alignment horizontal="center" vertical="center"/>
    </xf>
    <xf numFmtId="0" fontId="14" fillId="5" borderId="0" xfId="0" applyFont="1" applyFill="1" applyBorder="1" applyAlignment="1">
      <alignment horizontal="center" vertical="center"/>
    </xf>
    <xf numFmtId="4" fontId="14" fillId="5" borderId="0" xfId="0" applyNumberFormat="1" applyFont="1" applyFill="1" applyBorder="1" applyAlignment="1">
      <alignment horizontal="center" vertical="center"/>
    </xf>
    <xf numFmtId="3" fontId="42" fillId="0" borderId="6" xfId="0" applyNumberFormat="1" applyFont="1" applyBorder="1" applyAlignment="1">
      <alignment horizontal="center" vertical="center" wrapText="1"/>
    </xf>
    <xf numFmtId="168" fontId="18" fillId="0" borderId="0" xfId="3" applyNumberFormat="1" applyFont="1" applyAlignment="1">
      <alignment horizontal="center" vertical="center"/>
    </xf>
    <xf numFmtId="168" fontId="18" fillId="0" borderId="0" xfId="3" applyNumberFormat="1" applyFont="1" applyAlignment="1">
      <alignment vertical="center"/>
    </xf>
    <xf numFmtId="3" fontId="42" fillId="0" borderId="6" xfId="0" applyNumberFormat="1" applyFont="1" applyBorder="1" applyAlignment="1">
      <alignment horizontal="center" vertical="center"/>
    </xf>
    <xf numFmtId="0" fontId="42" fillId="5" borderId="6" xfId="0" applyFont="1" applyFill="1" applyBorder="1" applyAlignment="1">
      <alignment horizontal="center" vertical="center"/>
    </xf>
    <xf numFmtId="3" fontId="44" fillId="0" borderId="6" xfId="0" applyNumberFormat="1" applyFont="1" applyFill="1" applyBorder="1" applyAlignment="1">
      <alignment horizontal="center" vertical="center"/>
    </xf>
    <xf numFmtId="3" fontId="44" fillId="0" borderId="6" xfId="0" applyNumberFormat="1" applyFont="1" applyBorder="1" applyAlignment="1">
      <alignment horizontal="center" vertical="center"/>
    </xf>
    <xf numFmtId="9" fontId="42" fillId="0" borderId="6" xfId="0" applyNumberFormat="1" applyFont="1" applyBorder="1" applyAlignment="1">
      <alignment horizontal="center" vertical="center"/>
    </xf>
    <xf numFmtId="3" fontId="42" fillId="0" borderId="7" xfId="0" applyNumberFormat="1" applyFont="1" applyFill="1" applyBorder="1" applyAlignment="1">
      <alignment horizontal="center" vertical="center"/>
    </xf>
    <xf numFmtId="3" fontId="42" fillId="0" borderId="13" xfId="0" applyNumberFormat="1" applyFont="1" applyFill="1" applyBorder="1" applyAlignment="1">
      <alignment horizontal="center" vertical="center"/>
    </xf>
    <xf numFmtId="3" fontId="42" fillId="0" borderId="0" xfId="0" applyNumberFormat="1" applyFont="1" applyFill="1" applyBorder="1" applyAlignment="1">
      <alignment horizontal="center" vertical="center"/>
    </xf>
    <xf numFmtId="3" fontId="42" fillId="0" borderId="14" xfId="0" applyNumberFormat="1" applyFont="1" applyFill="1" applyBorder="1" applyAlignment="1">
      <alignment horizontal="center" vertical="center"/>
    </xf>
    <xf numFmtId="3" fontId="42" fillId="0" borderId="15" xfId="0" applyNumberFormat="1" applyFont="1" applyFill="1" applyBorder="1" applyAlignment="1">
      <alignment horizontal="center" vertical="center"/>
    </xf>
    <xf numFmtId="3" fontId="44" fillId="0" borderId="15" xfId="0" applyNumberFormat="1" applyFont="1" applyFill="1" applyBorder="1" applyAlignment="1">
      <alignment horizontal="center" vertical="center"/>
    </xf>
    <xf numFmtId="0" fontId="1" fillId="5" borderId="0" xfId="0" applyFont="1" applyFill="1" applyBorder="1" applyAlignment="1">
      <alignment horizontal="left" vertical="center"/>
    </xf>
    <xf numFmtId="0" fontId="3" fillId="5" borderId="0" xfId="0" applyFont="1" applyFill="1" applyBorder="1" applyAlignment="1">
      <alignment horizontal="justify" vertical="center" wrapText="1"/>
    </xf>
    <xf numFmtId="14" fontId="42" fillId="0" borderId="6" xfId="0" applyNumberFormat="1" applyFont="1" applyBorder="1" applyAlignment="1">
      <alignment horizontal="center" vertical="center"/>
    </xf>
    <xf numFmtId="0" fontId="1" fillId="6" borderId="6" xfId="0" applyFont="1" applyFill="1" applyBorder="1" applyAlignment="1">
      <alignment horizontal="center" vertical="center" wrapText="1"/>
    </xf>
    <xf numFmtId="0" fontId="1" fillId="6" borderId="5" xfId="0" applyFont="1" applyFill="1" applyBorder="1" applyAlignment="1">
      <alignment horizontal="center" vertical="center" wrapText="1"/>
    </xf>
    <xf numFmtId="0" fontId="42" fillId="0" borderId="6" xfId="0" applyFont="1" applyBorder="1" applyAlignment="1">
      <alignment horizontal="center" vertical="center"/>
    </xf>
    <xf numFmtId="0" fontId="42" fillId="0" borderId="6" xfId="0" applyFont="1" applyBorder="1" applyAlignment="1">
      <alignment horizontal="center" vertical="center" wrapText="1"/>
    </xf>
    <xf numFmtId="0" fontId="1" fillId="6" borderId="6" xfId="0" applyFont="1" applyFill="1" applyBorder="1" applyAlignment="1">
      <alignment horizontal="center" vertical="center"/>
    </xf>
    <xf numFmtId="0" fontId="45" fillId="5" borderId="5" xfId="0" applyFont="1" applyFill="1" applyBorder="1" applyAlignment="1">
      <alignment horizontal="left" vertical="center"/>
    </xf>
    <xf numFmtId="0" fontId="2" fillId="5" borderId="0" xfId="0" applyFont="1" applyFill="1" applyBorder="1" applyAlignment="1">
      <alignment horizontal="center" vertical="center"/>
    </xf>
    <xf numFmtId="0" fontId="1" fillId="6" borderId="6" xfId="0" applyFont="1" applyFill="1" applyBorder="1" applyAlignment="1">
      <alignment horizontal="center" vertical="center" wrapText="1"/>
    </xf>
    <xf numFmtId="3" fontId="42" fillId="0" borderId="0" xfId="0" applyNumberFormat="1" applyFont="1" applyBorder="1" applyAlignment="1">
      <alignment horizontal="left" vertical="center"/>
    </xf>
    <xf numFmtId="0" fontId="42" fillId="0" borderId="11" xfId="0" applyFont="1" applyBorder="1" applyAlignment="1">
      <alignment horizontal="center" vertical="center" wrapText="1"/>
    </xf>
    <xf numFmtId="0" fontId="46" fillId="5" borderId="0" xfId="0" applyFont="1" applyFill="1" applyBorder="1" applyAlignment="1">
      <alignment horizontal="center" vertical="center"/>
    </xf>
    <xf numFmtId="0" fontId="46" fillId="5" borderId="0" xfId="0" applyFont="1" applyFill="1" applyBorder="1" applyAlignment="1">
      <alignment vertical="center"/>
    </xf>
    <xf numFmtId="0" fontId="47" fillId="5" borderId="0" xfId="0" applyFont="1" applyFill="1" applyBorder="1" applyAlignment="1">
      <alignment vertical="center"/>
    </xf>
    <xf numFmtId="0" fontId="48" fillId="5" borderId="0" xfId="0" applyFont="1" applyFill="1" applyBorder="1" applyAlignment="1">
      <alignment vertical="center" wrapText="1"/>
    </xf>
    <xf numFmtId="0" fontId="48" fillId="5" borderId="0" xfId="0" applyFont="1" applyFill="1" applyBorder="1" applyAlignment="1">
      <alignment horizontal="justify" vertical="center" wrapText="1"/>
    </xf>
    <xf numFmtId="3" fontId="44" fillId="0" borderId="5" xfId="0" applyNumberFormat="1" applyFont="1" applyFill="1" applyBorder="1" applyAlignment="1">
      <alignment horizontal="center" vertical="center"/>
    </xf>
    <xf numFmtId="0" fontId="47" fillId="5" borderId="0" xfId="0" applyFont="1" applyFill="1" applyBorder="1" applyAlignment="1">
      <alignment horizontal="center" vertical="center" wrapText="1"/>
    </xf>
    <xf numFmtId="3" fontId="46" fillId="5" borderId="0" xfId="0" applyNumberFormat="1" applyFont="1" applyFill="1" applyBorder="1" applyAlignment="1">
      <alignment horizontal="center" vertical="center" wrapText="1"/>
    </xf>
    <xf numFmtId="3" fontId="46" fillId="5" borderId="0" xfId="0" applyNumberFormat="1" applyFont="1" applyFill="1" applyBorder="1" applyAlignment="1">
      <alignment horizontal="center" vertical="center"/>
    </xf>
    <xf numFmtId="3" fontId="47" fillId="5" borderId="0" xfId="0" applyNumberFormat="1" applyFont="1" applyFill="1" applyBorder="1" applyAlignment="1">
      <alignment horizontal="center" vertical="center"/>
    </xf>
    <xf numFmtId="0" fontId="42" fillId="0" borderId="0" xfId="0" applyFont="1" applyBorder="1" applyAlignment="1">
      <alignment horizontal="left" vertical="center"/>
    </xf>
    <xf numFmtId="0" fontId="1" fillId="6" borderId="6" xfId="0" applyFont="1" applyFill="1" applyBorder="1" applyAlignment="1">
      <alignment horizontal="center" vertical="center" wrapText="1"/>
    </xf>
    <xf numFmtId="0" fontId="42" fillId="0" borderId="6" xfId="0" applyFont="1" applyBorder="1" applyAlignment="1">
      <alignment horizontal="center" vertical="center"/>
    </xf>
    <xf numFmtId="0" fontId="2" fillId="0" borderId="12" xfId="0" applyFont="1" applyBorder="1" applyAlignment="1">
      <alignment vertical="center"/>
    </xf>
    <xf numFmtId="0" fontId="42" fillId="0" borderId="0" xfId="0" applyFont="1" applyBorder="1" applyAlignment="1">
      <alignment horizontal="center" vertical="center"/>
    </xf>
    <xf numFmtId="14" fontId="42" fillId="0" borderId="0" xfId="0" applyNumberFormat="1" applyFont="1" applyBorder="1" applyAlignment="1">
      <alignment horizontal="center" vertical="center"/>
    </xf>
    <xf numFmtId="0" fontId="2" fillId="0" borderId="0" xfId="0" applyFont="1" applyFill="1" applyBorder="1" applyAlignment="1">
      <alignment horizontal="left" vertical="center" wrapText="1"/>
    </xf>
    <xf numFmtId="0" fontId="42" fillId="0" borderId="6" xfId="0" applyFont="1" applyFill="1" applyBorder="1" applyAlignment="1">
      <alignment horizontal="center" vertical="center"/>
    </xf>
    <xf numFmtId="0" fontId="42" fillId="5" borderId="0" xfId="0" applyFont="1" applyFill="1" applyBorder="1" applyAlignment="1">
      <alignment horizontal="center" vertical="center"/>
    </xf>
    <xf numFmtId="9" fontId="42" fillId="5" borderId="0" xfId="0" applyNumberFormat="1" applyFont="1" applyFill="1" applyBorder="1" applyAlignment="1">
      <alignment horizontal="center" vertical="center"/>
    </xf>
    <xf numFmtId="9" fontId="42" fillId="0" borderId="0" xfId="0" applyNumberFormat="1" applyFont="1" applyBorder="1" applyAlignment="1">
      <alignment horizontal="center" vertical="center"/>
    </xf>
    <xf numFmtId="0" fontId="42" fillId="0" borderId="0" xfId="0" applyFont="1" applyFill="1" applyBorder="1" applyAlignment="1">
      <alignment horizontal="left" vertical="center" wrapText="1"/>
    </xf>
    <xf numFmtId="0" fontId="1" fillId="0" borderId="0" xfId="0" applyFont="1" applyFill="1" applyBorder="1" applyAlignment="1">
      <alignment horizontal="center" vertical="center" wrapText="1"/>
    </xf>
    <xf numFmtId="0" fontId="42" fillId="0" borderId="0" xfId="0" applyFont="1" applyBorder="1" applyAlignment="1">
      <alignment horizontal="center" vertical="center" wrapText="1"/>
    </xf>
    <xf numFmtId="0" fontId="2" fillId="0" borderId="8" xfId="0" applyFont="1" applyFill="1" applyBorder="1" applyAlignment="1">
      <alignment vertical="center"/>
    </xf>
    <xf numFmtId="0" fontId="46" fillId="0" borderId="0" xfId="0" applyFont="1" applyFill="1" applyBorder="1" applyAlignment="1">
      <alignment vertical="center"/>
    </xf>
    <xf numFmtId="0" fontId="2" fillId="0" borderId="10" xfId="0" applyFont="1" applyFill="1" applyBorder="1" applyAlignment="1">
      <alignment vertical="center"/>
    </xf>
    <xf numFmtId="0" fontId="2" fillId="0" borderId="7" xfId="0" applyFont="1" applyBorder="1" applyAlignment="1">
      <alignment vertical="center" wrapText="1"/>
    </xf>
    <xf numFmtId="0" fontId="42" fillId="0" borderId="6" xfId="0" applyFont="1" applyBorder="1" applyAlignment="1">
      <alignment horizontal="left" vertical="center"/>
    </xf>
    <xf numFmtId="0" fontId="1" fillId="6" borderId="11" xfId="0" applyFont="1" applyFill="1" applyBorder="1" applyAlignment="1">
      <alignment horizontal="center" vertical="center" wrapText="1"/>
    </xf>
    <xf numFmtId="0" fontId="1" fillId="6" borderId="11" xfId="0" applyFont="1" applyFill="1" applyBorder="1" applyAlignment="1">
      <alignment horizontal="center" vertical="center"/>
    </xf>
    <xf numFmtId="0" fontId="2" fillId="5" borderId="11" xfId="0" applyFont="1" applyFill="1" applyBorder="1" applyAlignment="1">
      <alignment horizontal="center" vertical="center"/>
    </xf>
    <xf numFmtId="0" fontId="1" fillId="5" borderId="11" xfId="0" applyFont="1" applyFill="1" applyBorder="1" applyAlignment="1">
      <alignment horizontal="center" vertical="center"/>
    </xf>
    <xf numFmtId="0" fontId="45" fillId="5" borderId="11" xfId="0" applyFont="1" applyFill="1" applyBorder="1" applyAlignment="1">
      <alignment horizontal="left" vertical="center"/>
    </xf>
    <xf numFmtId="0" fontId="10" fillId="6" borderId="11" xfId="0" applyFont="1" applyFill="1" applyBorder="1" applyAlignment="1">
      <alignment horizontal="center" vertical="center" wrapText="1"/>
    </xf>
    <xf numFmtId="0" fontId="42" fillId="0" borderId="6" xfId="0" applyFont="1" applyBorder="1" applyAlignment="1">
      <alignment horizontal="center" vertical="center"/>
    </xf>
    <xf numFmtId="0" fontId="1" fillId="6" borderId="6" xfId="0" applyFont="1" applyFill="1" applyBorder="1" applyAlignment="1">
      <alignment horizontal="center" vertical="center" wrapText="1"/>
    </xf>
    <xf numFmtId="0" fontId="1" fillId="6" borderId="6" xfId="0" applyFont="1" applyFill="1" applyBorder="1" applyAlignment="1">
      <alignment horizontal="center" vertical="center" wrapText="1"/>
    </xf>
    <xf numFmtId="0" fontId="42" fillId="5" borderId="5" xfId="0" applyFont="1" applyFill="1" applyBorder="1" applyAlignment="1">
      <alignment vertical="center"/>
    </xf>
    <xf numFmtId="0" fontId="42" fillId="5" borderId="3" xfId="0" applyFont="1" applyFill="1" applyBorder="1" applyAlignment="1">
      <alignment vertical="center"/>
    </xf>
    <xf numFmtId="0" fontId="42" fillId="5" borderId="11" xfId="0" applyFont="1" applyFill="1" applyBorder="1" applyAlignment="1">
      <alignment vertical="center"/>
    </xf>
    <xf numFmtId="0" fontId="2" fillId="0" borderId="6" xfId="0" applyFont="1" applyBorder="1" applyAlignment="1">
      <alignment horizontal="left" vertical="center"/>
    </xf>
    <xf numFmtId="0" fontId="46" fillId="5" borderId="6" xfId="0" applyFont="1" applyFill="1" applyBorder="1" applyAlignment="1">
      <alignment vertical="center"/>
    </xf>
    <xf numFmtId="3" fontId="44" fillId="0" borderId="0" xfId="0" applyNumberFormat="1" applyFont="1" applyFill="1" applyBorder="1" applyAlignment="1">
      <alignment horizontal="center" vertical="center"/>
    </xf>
    <xf numFmtId="0" fontId="2" fillId="5" borderId="0" xfId="0" applyFont="1" applyFill="1" applyBorder="1" applyAlignment="1">
      <alignment horizontal="left" vertical="center" wrapText="1"/>
    </xf>
    <xf numFmtId="0" fontId="1" fillId="6" borderId="11" xfId="0" applyFont="1" applyFill="1" applyBorder="1" applyAlignment="1">
      <alignment horizontal="center" vertical="center" wrapText="1"/>
    </xf>
    <xf numFmtId="0" fontId="42" fillId="0" borderId="0" xfId="0" applyFont="1" applyBorder="1" applyAlignment="1">
      <alignment horizontal="left" vertical="center"/>
    </xf>
    <xf numFmtId="0" fontId="1" fillId="6" borderId="6" xfId="0" applyFont="1" applyFill="1" applyBorder="1" applyAlignment="1">
      <alignment horizontal="center" vertical="center"/>
    </xf>
    <xf numFmtId="0" fontId="42" fillId="0" borderId="6" xfId="0" applyFont="1" applyBorder="1" applyAlignment="1">
      <alignment horizontal="center" vertical="center"/>
    </xf>
    <xf numFmtId="0" fontId="1" fillId="6" borderId="6" xfId="0" applyFont="1" applyFill="1" applyBorder="1" applyAlignment="1">
      <alignment horizontal="center" vertical="center" wrapText="1"/>
    </xf>
    <xf numFmtId="0" fontId="42" fillId="0" borderId="3" xfId="0" applyFont="1" applyBorder="1" applyAlignment="1">
      <alignment vertical="center"/>
    </xf>
    <xf numFmtId="0" fontId="2" fillId="9" borderId="0" xfId="0" applyFont="1" applyFill="1" applyAlignment="1">
      <alignment vertical="center"/>
    </xf>
    <xf numFmtId="0" fontId="2" fillId="9" borderId="0" xfId="0" applyFont="1" applyFill="1" applyBorder="1" applyAlignment="1">
      <alignment vertical="center"/>
    </xf>
    <xf numFmtId="0" fontId="42" fillId="9" borderId="6" xfId="0" applyFont="1" applyFill="1" applyBorder="1" applyAlignment="1">
      <alignment horizontal="center" vertical="center"/>
    </xf>
    <xf numFmtId="0" fontId="42" fillId="0" borderId="5" xfId="0" applyFont="1" applyBorder="1" applyAlignment="1">
      <alignment vertical="center"/>
    </xf>
    <xf numFmtId="0" fontId="2" fillId="0" borderId="6" xfId="0" applyFont="1" applyFill="1" applyBorder="1" applyAlignment="1">
      <alignment vertical="center"/>
    </xf>
    <xf numFmtId="0" fontId="42" fillId="5" borderId="3" xfId="0" applyFont="1" applyFill="1" applyBorder="1" applyAlignment="1">
      <alignment horizontal="left" vertical="center"/>
    </xf>
    <xf numFmtId="0" fontId="1" fillId="6" borderId="6" xfId="0" applyFont="1" applyFill="1" applyBorder="1" applyAlignment="1">
      <alignment horizontal="center" vertical="center" wrapText="1"/>
    </xf>
    <xf numFmtId="0" fontId="2" fillId="0" borderId="6" xfId="0" applyFont="1" applyFill="1" applyBorder="1" applyAlignment="1">
      <alignment horizontal="center" vertical="center"/>
    </xf>
    <xf numFmtId="0" fontId="1" fillId="6" borderId="6" xfId="0" applyFont="1" applyFill="1" applyBorder="1" applyAlignment="1">
      <alignment horizontal="center" vertical="center" wrapText="1"/>
    </xf>
    <xf numFmtId="0" fontId="1" fillId="0" borderId="5" xfId="0" applyFont="1" applyFill="1" applyBorder="1" applyAlignment="1">
      <alignment horizontal="left" vertical="center"/>
    </xf>
    <xf numFmtId="0" fontId="42" fillId="0" borderId="6" xfId="0" applyFont="1" applyBorder="1" applyAlignment="1">
      <alignment horizontal="center" vertical="center"/>
    </xf>
    <xf numFmtId="0" fontId="42" fillId="0" borderId="0" xfId="0" applyFont="1" applyBorder="1" applyAlignment="1">
      <alignment horizontal="left" vertical="center"/>
    </xf>
    <xf numFmtId="0" fontId="42" fillId="0" borderId="5" xfId="0" applyFont="1" applyBorder="1" applyAlignment="1">
      <alignment horizontal="left" vertical="center"/>
    </xf>
    <xf numFmtId="0" fontId="42" fillId="5" borderId="5" xfId="0" applyFont="1" applyFill="1" applyBorder="1" applyAlignment="1">
      <alignment horizontal="left" vertical="center"/>
    </xf>
    <xf numFmtId="0" fontId="42" fillId="5" borderId="3" xfId="0" applyFont="1" applyFill="1" applyBorder="1" applyAlignment="1">
      <alignment horizontal="left" vertical="center"/>
    </xf>
    <xf numFmtId="0" fontId="42" fillId="5" borderId="11" xfId="0" applyFont="1" applyFill="1" applyBorder="1" applyAlignment="1">
      <alignment horizontal="left" vertical="center"/>
    </xf>
    <xf numFmtId="0" fontId="1" fillId="5" borderId="6" xfId="0" applyFont="1" applyFill="1" applyBorder="1" applyAlignment="1">
      <alignment horizontal="center" vertical="center" wrapText="1"/>
    </xf>
    <xf numFmtId="0" fontId="44" fillId="5" borderId="6" xfId="0" applyFont="1" applyFill="1" applyBorder="1" applyAlignment="1">
      <alignment horizontal="center" vertical="center" wrapText="1"/>
    </xf>
    <xf numFmtId="0" fontId="1" fillId="5" borderId="5" xfId="0" applyFont="1" applyFill="1" applyBorder="1" applyAlignment="1">
      <alignment vertical="center"/>
    </xf>
    <xf numFmtId="0" fontId="2" fillId="5" borderId="0" xfId="0" applyFont="1" applyFill="1" applyAlignment="1">
      <alignment horizontal="left" vertical="center"/>
    </xf>
    <xf numFmtId="0" fontId="1" fillId="0" borderId="0" xfId="0" applyFont="1" applyFill="1" applyAlignment="1">
      <alignment vertical="center"/>
    </xf>
    <xf numFmtId="3" fontId="42" fillId="0" borderId="0" xfId="0" applyNumberFormat="1" applyFont="1" applyFill="1" applyBorder="1" applyAlignment="1">
      <alignment horizontal="left" vertical="center"/>
    </xf>
    <xf numFmtId="0" fontId="42" fillId="0" borderId="0" xfId="0" applyFont="1" applyFill="1" applyBorder="1" applyAlignment="1">
      <alignment horizontal="left" vertical="center"/>
    </xf>
    <xf numFmtId="0" fontId="2" fillId="0" borderId="0" xfId="0" applyFont="1" applyFill="1" applyBorder="1" applyAlignment="1">
      <alignment horizontal="justify" vertical="center" wrapText="1"/>
    </xf>
    <xf numFmtId="0" fontId="1" fillId="0" borderId="0" xfId="0" applyFont="1" applyFill="1" applyBorder="1" applyAlignment="1">
      <alignment horizontal="justify" vertical="center" wrapText="1"/>
    </xf>
    <xf numFmtId="0" fontId="42" fillId="0" borderId="6" xfId="0" applyFont="1" applyFill="1" applyBorder="1" applyAlignment="1">
      <alignment vertical="center"/>
    </xf>
    <xf numFmtId="3" fontId="42" fillId="0" borderId="6" xfId="0" applyNumberFormat="1" applyFont="1" applyFill="1" applyBorder="1" applyAlignment="1">
      <alignment horizontal="center" vertical="center"/>
    </xf>
    <xf numFmtId="0" fontId="2" fillId="0" borderId="5" xfId="0" applyFont="1" applyFill="1" applyBorder="1" applyAlignment="1">
      <alignment vertical="center"/>
    </xf>
    <xf numFmtId="0" fontId="42" fillId="0" borderId="6" xfId="0" applyFont="1" applyFill="1" applyBorder="1" applyAlignment="1">
      <alignment horizontal="justify" vertical="center" wrapText="1"/>
    </xf>
    <xf numFmtId="0" fontId="42" fillId="0" borderId="6" xfId="0" applyFont="1" applyFill="1" applyBorder="1" applyAlignment="1">
      <alignment horizontal="center" vertical="center" wrapText="1"/>
    </xf>
    <xf numFmtId="171" fontId="42" fillId="0" borderId="6" xfId="0" applyNumberFormat="1" applyFont="1" applyFill="1" applyBorder="1" applyAlignment="1">
      <alignment horizontal="center" vertical="center" wrapText="1"/>
    </xf>
    <xf numFmtId="0" fontId="2" fillId="9" borderId="0" xfId="0" applyFont="1" applyFill="1"/>
    <xf numFmtId="0" fontId="2" fillId="0" borderId="6" xfId="0" applyFont="1" applyFill="1" applyBorder="1" applyAlignment="1">
      <alignment vertical="center" wrapText="1"/>
    </xf>
    <xf numFmtId="0" fontId="42" fillId="0" borderId="6" xfId="0" applyFont="1" applyFill="1" applyBorder="1" applyAlignment="1">
      <alignment vertical="center" wrapText="1"/>
    </xf>
    <xf numFmtId="3" fontId="42" fillId="0" borderId="6" xfId="0" applyNumberFormat="1" applyFont="1" applyFill="1" applyBorder="1" applyAlignment="1">
      <alignment horizontal="center" vertical="center" wrapText="1"/>
    </xf>
    <xf numFmtId="0" fontId="42" fillId="0" borderId="6" xfId="0" applyFont="1" applyFill="1" applyBorder="1" applyAlignment="1">
      <alignment horizontal="left" vertical="center"/>
    </xf>
    <xf numFmtId="0" fontId="42" fillId="0" borderId="0" xfId="0" applyFont="1" applyFill="1" applyBorder="1" applyAlignment="1">
      <alignment vertical="center"/>
    </xf>
    <xf numFmtId="0" fontId="44" fillId="0" borderId="0" xfId="0" applyFont="1" applyFill="1" applyBorder="1" applyAlignment="1">
      <alignment horizontal="center" vertical="center"/>
    </xf>
    <xf numFmtId="0" fontId="44" fillId="0" borderId="0" xfId="0" applyFont="1" applyFill="1" applyBorder="1" applyAlignment="1">
      <alignment horizontal="left" vertical="center"/>
    </xf>
    <xf numFmtId="0" fontId="42" fillId="0" borderId="0" xfId="0" applyFont="1" applyFill="1" applyBorder="1" applyAlignment="1">
      <alignment horizontal="center" vertical="center"/>
    </xf>
    <xf numFmtId="10" fontId="42" fillId="0" borderId="0" xfId="0" applyNumberFormat="1" applyFont="1" applyFill="1" applyBorder="1" applyAlignment="1">
      <alignment vertical="center"/>
    </xf>
    <xf numFmtId="0" fontId="44" fillId="0" borderId="0" xfId="0" applyFont="1" applyFill="1" applyBorder="1" applyAlignment="1">
      <alignment vertical="center"/>
    </xf>
    <xf numFmtId="0" fontId="1" fillId="0" borderId="6" xfId="0" applyFont="1" applyFill="1" applyBorder="1" applyAlignment="1">
      <alignment horizontal="center" vertical="center"/>
    </xf>
    <xf numFmtId="0" fontId="2" fillId="0" borderId="13" xfId="0" applyFont="1" applyFill="1" applyBorder="1" applyAlignment="1">
      <alignment horizontal="center" vertical="center"/>
    </xf>
    <xf numFmtId="168" fontId="42" fillId="0" borderId="6" xfId="0" applyNumberFormat="1" applyFont="1" applyFill="1" applyBorder="1" applyAlignment="1">
      <alignment horizontal="center" vertical="center"/>
    </xf>
    <xf numFmtId="9" fontId="42" fillId="0" borderId="6" xfId="0" applyNumberFormat="1" applyFont="1" applyFill="1" applyBorder="1" applyAlignment="1">
      <alignment horizontal="center" vertical="center"/>
    </xf>
    <xf numFmtId="0" fontId="25" fillId="0" borderId="6" xfId="0" applyFont="1" applyFill="1" applyBorder="1" applyAlignment="1">
      <alignment horizontal="center" vertical="center"/>
    </xf>
    <xf numFmtId="0" fontId="25" fillId="0" borderId="6" xfId="0" applyFont="1" applyFill="1" applyBorder="1" applyAlignment="1">
      <alignment horizontal="center" vertical="center" wrapText="1"/>
    </xf>
    <xf numFmtId="0" fontId="46" fillId="0" borderId="0" xfId="0" applyFont="1" applyFill="1" applyBorder="1" applyAlignment="1">
      <alignment horizontal="center" vertical="center"/>
    </xf>
    <xf numFmtId="0" fontId="40" fillId="0" borderId="0" xfId="0" applyFont="1" applyFill="1" applyAlignment="1">
      <alignment vertical="center"/>
    </xf>
    <xf numFmtId="0" fontId="48" fillId="0" borderId="0" xfId="0" applyFont="1" applyFill="1" applyBorder="1" applyAlignment="1">
      <alignment horizontal="justify" vertical="center" wrapText="1"/>
    </xf>
    <xf numFmtId="0" fontId="3" fillId="0" borderId="0" xfId="0" applyFont="1" applyFill="1" applyBorder="1" applyAlignment="1">
      <alignment horizontal="justify" vertical="center" wrapText="1"/>
    </xf>
    <xf numFmtId="0" fontId="1" fillId="0" borderId="0" xfId="0" applyFont="1" applyFill="1" applyBorder="1" applyAlignment="1">
      <alignment horizontal="left" vertical="center"/>
    </xf>
    <xf numFmtId="0" fontId="41" fillId="0" borderId="0" xfId="0" applyFont="1" applyFill="1" applyBorder="1" applyAlignment="1">
      <alignment horizontal="center" vertical="center" wrapText="1"/>
    </xf>
    <xf numFmtId="0" fontId="41" fillId="0" borderId="0" xfId="0" applyFont="1" applyFill="1" applyBorder="1" applyAlignment="1">
      <alignment horizontal="left" vertical="center" wrapText="1"/>
    </xf>
    <xf numFmtId="0" fontId="10" fillId="0" borderId="0" xfId="0" applyFont="1" applyFill="1" applyBorder="1" applyAlignment="1">
      <alignment horizontal="center" vertical="center" wrapText="1"/>
    </xf>
    <xf numFmtId="0" fontId="44" fillId="0" borderId="0" xfId="0" applyFont="1" applyFill="1" applyBorder="1" applyAlignment="1">
      <alignment horizontal="center" vertical="center" wrapText="1"/>
    </xf>
    <xf numFmtId="0" fontId="46" fillId="0" borderId="0" xfId="0" applyFont="1" applyFill="1" applyAlignment="1">
      <alignment vertical="center"/>
    </xf>
    <xf numFmtId="0" fontId="42" fillId="0" borderId="0" xfId="0" applyFont="1" applyFill="1" applyBorder="1" applyAlignment="1">
      <alignment vertical="center" wrapText="1"/>
    </xf>
    <xf numFmtId="0" fontId="1" fillId="0" borderId="3" xfId="0" applyFont="1" applyFill="1" applyBorder="1" applyAlignment="1">
      <alignment horizontal="left" vertical="center"/>
    </xf>
    <xf numFmtId="3" fontId="1" fillId="0" borderId="6" xfId="0" applyNumberFormat="1" applyFont="1" applyFill="1" applyBorder="1" applyAlignment="1">
      <alignment horizontal="center" vertical="center"/>
    </xf>
    <xf numFmtId="3" fontId="2" fillId="0" borderId="6" xfId="0" applyNumberFormat="1" applyFont="1" applyFill="1" applyBorder="1" applyAlignment="1">
      <alignment horizontal="center" vertical="center"/>
    </xf>
    <xf numFmtId="0" fontId="1" fillId="6" borderId="6" xfId="0" applyFont="1" applyFill="1" applyBorder="1" applyAlignment="1">
      <alignment vertical="center" wrapText="1"/>
    </xf>
    <xf numFmtId="0" fontId="42" fillId="0" borderId="6" xfId="0" applyFont="1" applyBorder="1" applyAlignment="1">
      <alignment vertical="center" wrapText="1"/>
    </xf>
    <xf numFmtId="0" fontId="1" fillId="0" borderId="0" xfId="0" applyFont="1" applyFill="1" applyBorder="1" applyAlignment="1">
      <alignment vertical="center" wrapText="1"/>
    </xf>
    <xf numFmtId="0" fontId="7" fillId="0" borderId="0" xfId="0" applyFont="1" applyFill="1" applyBorder="1" applyAlignment="1">
      <alignment horizontal="left" vertical="center"/>
    </xf>
    <xf numFmtId="0" fontId="49" fillId="0" borderId="0" xfId="0" applyFont="1" applyFill="1" applyBorder="1" applyAlignment="1">
      <alignment vertical="center"/>
    </xf>
    <xf numFmtId="0" fontId="25" fillId="9" borderId="6" xfId="0" applyFont="1" applyFill="1" applyBorder="1" applyAlignment="1">
      <alignment horizontal="center" vertical="center"/>
    </xf>
    <xf numFmtId="172" fontId="42" fillId="0" borderId="6" xfId="2" applyNumberFormat="1" applyFont="1" applyBorder="1" applyAlignment="1">
      <alignment horizontal="left" vertical="center"/>
    </xf>
    <xf numFmtId="0" fontId="50" fillId="0" borderId="0" xfId="0" applyFont="1" applyFill="1" applyAlignment="1">
      <alignment vertical="center"/>
    </xf>
    <xf numFmtId="0" fontId="50" fillId="9" borderId="0" xfId="0" applyFont="1" applyFill="1" applyAlignment="1">
      <alignment vertical="center"/>
    </xf>
    <xf numFmtId="0" fontId="2" fillId="0" borderId="6" xfId="0" applyFont="1" applyFill="1" applyBorder="1" applyAlignment="1">
      <alignment horizontal="left" vertical="center"/>
    </xf>
    <xf numFmtId="0" fontId="42" fillId="0" borderId="6" xfId="0" applyFont="1" applyFill="1" applyBorder="1" applyAlignment="1">
      <alignment horizontal="left" vertical="center"/>
    </xf>
    <xf numFmtId="0" fontId="42" fillId="0" borderId="0" xfId="0" applyFont="1" applyFill="1" applyBorder="1" applyAlignment="1">
      <alignment horizontal="center" vertical="center"/>
    </xf>
    <xf numFmtId="0" fontId="1" fillId="6" borderId="6" xfId="0" applyFont="1" applyFill="1" applyBorder="1" applyAlignment="1">
      <alignment horizontal="center" vertical="center" wrapText="1"/>
    </xf>
    <xf numFmtId="0" fontId="42" fillId="0" borderId="0" xfId="0" applyFont="1" applyFill="1" applyBorder="1" applyAlignment="1">
      <alignment horizontal="left" vertical="center"/>
    </xf>
    <xf numFmtId="0" fontId="42" fillId="0" borderId="6" xfId="0" applyFont="1" applyBorder="1" applyAlignment="1">
      <alignment horizontal="left" vertical="center"/>
    </xf>
    <xf numFmtId="0" fontId="42" fillId="0" borderId="0" xfId="0" applyFont="1" applyBorder="1" applyAlignment="1">
      <alignment horizontal="left" vertical="center"/>
    </xf>
    <xf numFmtId="0" fontId="42" fillId="0" borderId="6" xfId="0" applyFont="1" applyFill="1" applyBorder="1" applyAlignment="1">
      <alignment horizontal="center" vertical="center"/>
    </xf>
    <xf numFmtId="0" fontId="0" fillId="0" borderId="0" xfId="0" applyAlignment="1">
      <alignment vertical="center" wrapText="1"/>
    </xf>
    <xf numFmtId="0" fontId="0" fillId="0" borderId="0" xfId="0" applyAlignment="1">
      <alignment vertical="center"/>
    </xf>
    <xf numFmtId="0" fontId="0" fillId="0" borderId="0" xfId="0" applyAlignment="1">
      <alignment horizontal="center" vertical="center" wrapText="1"/>
    </xf>
    <xf numFmtId="0" fontId="0" fillId="0" borderId="6" xfId="0" applyBorder="1" applyAlignment="1">
      <alignment vertical="center" wrapText="1"/>
    </xf>
    <xf numFmtId="0" fontId="0" fillId="0" borderId="6" xfId="0" applyBorder="1" applyAlignment="1">
      <alignment horizontal="center" vertical="center" wrapText="1"/>
    </xf>
    <xf numFmtId="0" fontId="42" fillId="0" borderId="6" xfId="0" applyFont="1" applyFill="1" applyBorder="1" applyAlignment="1">
      <alignment horizontal="center" vertical="center"/>
    </xf>
    <xf numFmtId="0" fontId="42" fillId="0" borderId="0" xfId="0" applyFont="1" applyFill="1" applyBorder="1" applyAlignment="1">
      <alignment horizontal="left" vertical="center"/>
    </xf>
    <xf numFmtId="0" fontId="42" fillId="0" borderId="0" xfId="0" applyFont="1" applyFill="1" applyBorder="1" applyAlignment="1">
      <alignment horizontal="center" vertical="center"/>
    </xf>
    <xf numFmtId="0" fontId="42" fillId="0" borderId="13" xfId="0" applyFont="1" applyFill="1" applyBorder="1" applyAlignment="1">
      <alignment horizontal="center" vertical="center"/>
    </xf>
    <xf numFmtId="0" fontId="2" fillId="0" borderId="6" xfId="0" applyFont="1" applyFill="1" applyBorder="1" applyAlignment="1">
      <alignment horizontal="center" vertical="center" wrapText="1"/>
    </xf>
    <xf numFmtId="0" fontId="42" fillId="0" borderId="0" xfId="0" applyFont="1" applyFill="1" applyBorder="1" applyAlignment="1">
      <alignment horizontal="center" vertical="center" wrapText="1"/>
    </xf>
    <xf numFmtId="0" fontId="2" fillId="0" borderId="0" xfId="0" applyFont="1" applyFill="1" applyAlignment="1">
      <alignment horizontal="center" vertical="center" wrapText="1"/>
    </xf>
    <xf numFmtId="0" fontId="46" fillId="0" borderId="0" xfId="0" applyFont="1" applyFill="1" applyBorder="1" applyAlignment="1">
      <alignment horizontal="center" vertical="center" wrapText="1"/>
    </xf>
    <xf numFmtId="0" fontId="2" fillId="0" borderId="0" xfId="0" applyFont="1" applyAlignment="1">
      <alignment horizontal="center" vertical="center" wrapText="1"/>
    </xf>
    <xf numFmtId="0" fontId="42" fillId="9" borderId="13" xfId="0" applyFont="1" applyFill="1" applyBorder="1" applyAlignment="1">
      <alignment horizontal="center" vertical="center"/>
    </xf>
    <xf numFmtId="0" fontId="2" fillId="9" borderId="6" xfId="0" applyFont="1" applyFill="1" applyBorder="1" applyAlignment="1">
      <alignment horizontal="center" vertical="center" wrapText="1"/>
    </xf>
    <xf numFmtId="0" fontId="2" fillId="9" borderId="6" xfId="0" applyFont="1" applyFill="1" applyBorder="1" applyAlignment="1">
      <alignment horizontal="center" vertical="center"/>
    </xf>
    <xf numFmtId="0" fontId="27" fillId="0" borderId="0" xfId="0" applyFont="1" applyFill="1" applyAlignment="1">
      <alignment vertical="center"/>
    </xf>
    <xf numFmtId="10" fontId="27" fillId="0" borderId="0" xfId="12" applyNumberFormat="1" applyFont="1" applyFill="1" applyAlignment="1">
      <alignment vertical="center"/>
    </xf>
    <xf numFmtId="173" fontId="51" fillId="0" borderId="0" xfId="12" applyNumberFormat="1" applyFont="1" applyFill="1" applyAlignment="1">
      <alignment vertical="center"/>
    </xf>
    <xf numFmtId="0" fontId="28" fillId="0" borderId="16" xfId="0" applyFont="1" applyFill="1" applyBorder="1" applyAlignment="1">
      <alignment horizontal="left" vertical="center" wrapText="1"/>
    </xf>
    <xf numFmtId="0" fontId="28" fillId="0" borderId="17" xfId="0"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0" xfId="0" applyFont="1" applyFill="1" applyBorder="1" applyAlignment="1">
      <alignment horizontal="center" vertical="center" wrapText="1"/>
    </xf>
    <xf numFmtId="2" fontId="52" fillId="0" borderId="0" xfId="0" applyNumberFormat="1" applyFont="1" applyFill="1" applyBorder="1" applyAlignment="1">
      <alignment horizontal="center" vertical="center" wrapText="1"/>
    </xf>
    <xf numFmtId="0" fontId="30" fillId="0" borderId="0" xfId="0" applyFont="1" applyFill="1" applyBorder="1" applyAlignment="1">
      <alignment horizontal="left" vertical="center"/>
    </xf>
    <xf numFmtId="0" fontId="30" fillId="0" borderId="18" xfId="0" applyFont="1" applyFill="1" applyBorder="1" applyAlignment="1">
      <alignment horizontal="left" vertical="center"/>
    </xf>
    <xf numFmtId="0" fontId="28" fillId="0" borderId="6" xfId="0" applyFont="1" applyFill="1" applyBorder="1" applyAlignment="1">
      <alignment horizontal="center" vertical="center"/>
    </xf>
    <xf numFmtId="0" fontId="53" fillId="0" borderId="6" xfId="4" quotePrefix="1" applyFont="1" applyBorder="1"/>
    <xf numFmtId="0" fontId="53" fillId="0" borderId="6" xfId="4" applyFont="1" applyBorder="1"/>
    <xf numFmtId="174" fontId="53" fillId="0" borderId="6" xfId="4" applyNumberFormat="1" applyFont="1" applyBorder="1"/>
    <xf numFmtId="10" fontId="51" fillId="0" borderId="0" xfId="12" applyNumberFormat="1" applyFont="1" applyFill="1" applyAlignment="1">
      <alignment vertical="center"/>
    </xf>
    <xf numFmtId="0" fontId="54" fillId="0" borderId="6" xfId="4" quotePrefix="1" applyFont="1" applyBorder="1"/>
    <xf numFmtId="0" fontId="54" fillId="0" borderId="6" xfId="4" applyFont="1" applyBorder="1"/>
    <xf numFmtId="174" fontId="54" fillId="0" borderId="6" xfId="4" applyNumberFormat="1" applyFont="1" applyBorder="1"/>
    <xf numFmtId="0" fontId="55" fillId="0" borderId="0" xfId="0" applyFont="1" applyFill="1" applyAlignment="1">
      <alignment vertical="center"/>
    </xf>
    <xf numFmtId="10" fontId="55" fillId="0" borderId="0" xfId="12" applyNumberFormat="1" applyFont="1" applyFill="1" applyAlignment="1">
      <alignment vertical="center"/>
    </xf>
    <xf numFmtId="173" fontId="55" fillId="0" borderId="0" xfId="12" applyNumberFormat="1" applyFont="1" applyFill="1" applyAlignment="1">
      <alignment vertical="center"/>
    </xf>
    <xf numFmtId="0" fontId="56" fillId="0" borderId="6" xfId="4" quotePrefix="1" applyFont="1" applyBorder="1"/>
    <xf numFmtId="0" fontId="56" fillId="0" borderId="6" xfId="4" applyFont="1" applyBorder="1"/>
    <xf numFmtId="174" fontId="56" fillId="0" borderId="6" xfId="4" applyNumberFormat="1" applyFont="1" applyBorder="1"/>
    <xf numFmtId="4" fontId="55" fillId="0" borderId="0" xfId="0" applyNumberFormat="1" applyFont="1" applyFill="1" applyAlignment="1">
      <alignment vertical="center"/>
    </xf>
    <xf numFmtId="0" fontId="51" fillId="0" borderId="0" xfId="0" applyFont="1" applyFill="1" applyAlignment="1">
      <alignment vertical="center"/>
    </xf>
    <xf numFmtId="0" fontId="57" fillId="0" borderId="0" xfId="0" applyFont="1" applyFill="1" applyAlignment="1">
      <alignment vertical="center"/>
    </xf>
    <xf numFmtId="10" fontId="57" fillId="0" borderId="0" xfId="12" applyNumberFormat="1" applyFont="1" applyFill="1" applyAlignment="1">
      <alignment vertical="center"/>
    </xf>
    <xf numFmtId="173" fontId="57" fillId="0" borderId="0" xfId="12" applyNumberFormat="1" applyFont="1" applyFill="1" applyAlignment="1">
      <alignment vertical="center"/>
    </xf>
    <xf numFmtId="4" fontId="27" fillId="0" borderId="0" xfId="0" applyNumberFormat="1" applyFont="1" applyFill="1" applyAlignment="1">
      <alignment vertical="center"/>
    </xf>
    <xf numFmtId="0" fontId="27" fillId="9" borderId="0" xfId="0" applyFont="1" applyFill="1" applyAlignment="1">
      <alignment vertical="center"/>
    </xf>
    <xf numFmtId="173" fontId="27" fillId="0" borderId="0" xfId="0" applyNumberFormat="1" applyFont="1" applyFill="1" applyAlignment="1">
      <alignment vertical="center"/>
    </xf>
    <xf numFmtId="0" fontId="31" fillId="0" borderId="0" xfId="0" applyFont="1" applyFill="1" applyAlignment="1">
      <alignment horizontal="left" vertical="center"/>
    </xf>
    <xf numFmtId="0" fontId="28" fillId="0" borderId="19" xfId="0" applyFont="1" applyFill="1" applyBorder="1" applyAlignment="1">
      <alignment horizontal="left" vertical="center" wrapText="1"/>
    </xf>
    <xf numFmtId="0" fontId="31" fillId="0" borderId="20" xfId="0" applyFont="1" applyFill="1" applyBorder="1" applyAlignment="1">
      <alignment horizontal="center" vertical="center"/>
    </xf>
    <xf numFmtId="0" fontId="31" fillId="0" borderId="20" xfId="0" applyFont="1" applyFill="1" applyBorder="1" applyAlignment="1">
      <alignment horizontal="left" vertical="center"/>
    </xf>
    <xf numFmtId="4" fontId="28" fillId="0" borderId="21" xfId="0" applyNumberFormat="1" applyFont="1" applyFill="1" applyBorder="1" applyAlignment="1">
      <alignment horizontal="right" vertical="center"/>
    </xf>
    <xf numFmtId="10" fontId="32" fillId="0" borderId="0" xfId="12" applyNumberFormat="1" applyFont="1" applyFill="1" applyAlignment="1">
      <alignment vertical="center"/>
    </xf>
    <xf numFmtId="4" fontId="58" fillId="9" borderId="30" xfId="0" applyNumberFormat="1" applyFont="1" applyFill="1" applyBorder="1" applyAlignment="1">
      <alignment vertical="center"/>
    </xf>
    <xf numFmtId="4" fontId="33" fillId="0" borderId="22" xfId="0" applyNumberFormat="1" applyFont="1" applyFill="1" applyBorder="1" applyAlignment="1">
      <alignment horizontal="right" vertical="center"/>
    </xf>
    <xf numFmtId="168" fontId="33" fillId="0" borderId="22" xfId="0" applyNumberFormat="1" applyFont="1" applyFill="1" applyBorder="1" applyAlignment="1">
      <alignment horizontal="right" vertical="center"/>
    </xf>
    <xf numFmtId="0" fontId="34" fillId="2" borderId="23" xfId="0" applyFont="1" applyFill="1" applyBorder="1" applyAlignment="1" applyProtection="1">
      <alignment horizontal="left" vertical="center"/>
    </xf>
    <xf numFmtId="0" fontId="34" fillId="2" borderId="6" xfId="0" applyFont="1" applyFill="1" applyBorder="1" applyAlignment="1" applyProtection="1">
      <alignment horizontal="center" vertical="center"/>
    </xf>
    <xf numFmtId="175" fontId="34" fillId="2" borderId="6" xfId="0" applyNumberFormat="1" applyFont="1" applyFill="1" applyBorder="1" applyAlignment="1" applyProtection="1">
      <alignment horizontal="right" vertical="center"/>
    </xf>
    <xf numFmtId="175" fontId="34" fillId="2" borderId="24" xfId="0" applyNumberFormat="1" applyFont="1" applyFill="1" applyBorder="1" applyAlignment="1" applyProtection="1">
      <alignment horizontal="right" vertical="center"/>
    </xf>
    <xf numFmtId="4" fontId="28" fillId="0" borderId="22" xfId="0" applyNumberFormat="1" applyFont="1" applyFill="1" applyBorder="1" applyAlignment="1">
      <alignment horizontal="right" vertical="center"/>
    </xf>
    <xf numFmtId="0" fontId="28" fillId="0" borderId="25" xfId="0" applyFont="1" applyFill="1" applyBorder="1" applyAlignment="1">
      <alignment horizontal="left" vertical="center" wrapText="1"/>
    </xf>
    <xf numFmtId="0" fontId="31" fillId="0" borderId="26" xfId="0" applyFont="1" applyFill="1" applyBorder="1" applyAlignment="1">
      <alignment horizontal="center" vertical="center"/>
    </xf>
    <xf numFmtId="0" fontId="31" fillId="0" borderId="26" xfId="0" applyFont="1" applyFill="1" applyBorder="1" applyAlignment="1">
      <alignment horizontal="left" vertical="center"/>
    </xf>
    <xf numFmtId="0" fontId="28" fillId="0" borderId="26" xfId="0" applyFont="1" applyFill="1" applyBorder="1" applyAlignment="1">
      <alignment horizontal="center" vertical="center"/>
    </xf>
    <xf numFmtId="0" fontId="31" fillId="0" borderId="26" xfId="0" applyFont="1" applyFill="1" applyBorder="1" applyAlignment="1">
      <alignment vertical="center"/>
    </xf>
    <xf numFmtId="4" fontId="28" fillId="0" borderId="22" xfId="0" applyNumberFormat="1" applyFont="1" applyFill="1" applyBorder="1" applyAlignment="1">
      <alignment vertical="center"/>
    </xf>
    <xf numFmtId="0" fontId="27" fillId="0" borderId="0" xfId="0" applyFont="1" applyFill="1" applyAlignment="1">
      <alignment horizontal="center" vertical="center"/>
    </xf>
    <xf numFmtId="0" fontId="1" fillId="6" borderId="6" xfId="0" applyFont="1" applyFill="1" applyBorder="1" applyAlignment="1">
      <alignment horizontal="center" vertical="center"/>
    </xf>
    <xf numFmtId="0" fontId="42" fillId="0" borderId="0" xfId="0" applyFont="1" applyFill="1" applyBorder="1" applyAlignment="1">
      <alignment horizontal="center" vertical="center"/>
    </xf>
    <xf numFmtId="0" fontId="1" fillId="6" borderId="6" xfId="0" applyFont="1" applyFill="1" applyBorder="1" applyAlignment="1">
      <alignment horizontal="center" vertical="center" wrapText="1"/>
    </xf>
    <xf numFmtId="0" fontId="42" fillId="0" borderId="0" xfId="0" applyFont="1" applyFill="1" applyBorder="1" applyAlignment="1">
      <alignment horizontal="left" vertical="center"/>
    </xf>
    <xf numFmtId="0" fontId="42" fillId="0" borderId="0" xfId="0" applyFont="1" applyBorder="1" applyAlignment="1">
      <alignment horizontal="left" vertical="center"/>
    </xf>
    <xf numFmtId="0" fontId="42" fillId="0" borderId="6" xfId="0" applyFont="1" applyBorder="1" applyAlignment="1">
      <alignment horizontal="center" vertical="center"/>
    </xf>
    <xf numFmtId="0" fontId="42" fillId="0" borderId="6" xfId="0" applyFont="1" applyFill="1" applyBorder="1" applyAlignment="1">
      <alignment horizontal="center" vertical="center"/>
    </xf>
    <xf numFmtId="0" fontId="42" fillId="0" borderId="6" xfId="0" applyFont="1" applyBorder="1" applyAlignment="1">
      <alignment horizontal="center" vertical="center" wrapText="1"/>
    </xf>
    <xf numFmtId="0" fontId="42" fillId="0" borderId="0" xfId="0" applyFont="1" applyFill="1" applyBorder="1" applyAlignment="1">
      <alignment horizontal="left" vertical="center" wrapText="1"/>
    </xf>
    <xf numFmtId="0" fontId="15" fillId="5" borderId="0" xfId="0" applyFont="1" applyFill="1" applyBorder="1" applyAlignment="1">
      <alignment horizontal="center" vertical="center"/>
    </xf>
    <xf numFmtId="0" fontId="8" fillId="0" borderId="0" xfId="0" applyFont="1" applyFill="1" applyBorder="1" applyAlignment="1">
      <alignment vertical="center" wrapText="1"/>
    </xf>
    <xf numFmtId="0" fontId="8" fillId="0" borderId="0" xfId="0" applyFont="1" applyFill="1" applyBorder="1" applyAlignment="1">
      <alignment horizontal="left" vertical="center" wrapText="1"/>
    </xf>
    <xf numFmtId="0" fontId="8" fillId="0" borderId="0" xfId="0" applyFont="1" applyFill="1" applyAlignment="1">
      <alignment vertical="center"/>
    </xf>
    <xf numFmtId="0" fontId="48" fillId="0" borderId="0" xfId="0" applyFont="1" applyFill="1" applyBorder="1" applyAlignment="1">
      <alignment vertical="center" wrapText="1"/>
    </xf>
    <xf numFmtId="0" fontId="3" fillId="0" borderId="0" xfId="0" applyFont="1" applyFill="1" applyBorder="1" applyAlignment="1">
      <alignment vertical="center" wrapText="1"/>
    </xf>
    <xf numFmtId="0" fontId="1" fillId="6" borderId="6" xfId="0" applyFont="1" applyFill="1" applyBorder="1" applyAlignment="1">
      <alignment horizontal="center" vertical="center" wrapText="1"/>
    </xf>
    <xf numFmtId="0" fontId="2" fillId="0" borderId="0" xfId="0" applyFont="1" applyFill="1"/>
    <xf numFmtId="0" fontId="2" fillId="0" borderId="6" xfId="0" applyFont="1" applyFill="1" applyBorder="1"/>
    <xf numFmtId="0" fontId="42" fillId="0" borderId="6" xfId="0" applyFont="1" applyFill="1" applyBorder="1" applyAlignment="1">
      <alignment horizontal="center"/>
    </xf>
    <xf numFmtId="0" fontId="2" fillId="9" borderId="5" xfId="0" applyFont="1" applyFill="1" applyBorder="1" applyAlignment="1">
      <alignment vertical="center"/>
    </xf>
    <xf numFmtId="0" fontId="2" fillId="9" borderId="3" xfId="0" applyFont="1" applyFill="1" applyBorder="1" applyAlignment="1">
      <alignment vertical="center"/>
    </xf>
    <xf numFmtId="0" fontId="14" fillId="0" borderId="0" xfId="0" applyFont="1" applyFill="1" applyAlignment="1">
      <alignment vertical="center"/>
    </xf>
    <xf numFmtId="164" fontId="14" fillId="0" borderId="0" xfId="0" applyNumberFormat="1" applyFont="1" applyFill="1" applyAlignment="1">
      <alignment vertical="center"/>
    </xf>
    <xf numFmtId="164" fontId="14" fillId="0" borderId="0" xfId="0" applyNumberFormat="1" applyFont="1" applyFill="1" applyBorder="1" applyAlignment="1">
      <alignment vertical="center"/>
    </xf>
    <xf numFmtId="0" fontId="14" fillId="0" borderId="0" xfId="0" applyFont="1" applyFill="1" applyBorder="1" applyAlignment="1">
      <alignment vertical="center"/>
    </xf>
    <xf numFmtId="4" fontId="15" fillId="5" borderId="0" xfId="0" applyNumberFormat="1" applyFont="1" applyFill="1" applyBorder="1" applyAlignment="1">
      <alignment horizontal="center" vertical="center"/>
    </xf>
    <xf numFmtId="0" fontId="0" fillId="0" borderId="0" xfId="0" applyAlignment="1">
      <alignment horizontal="center" vertical="center"/>
    </xf>
    <xf numFmtId="0" fontId="15" fillId="5" borderId="0" xfId="0" applyFont="1" applyFill="1" applyBorder="1" applyAlignment="1">
      <alignment horizontal="center" vertical="center"/>
    </xf>
    <xf numFmtId="3" fontId="1" fillId="5" borderId="0" xfId="0" applyNumberFormat="1" applyFont="1" applyFill="1" applyBorder="1" applyAlignment="1">
      <alignment horizontal="center" vertical="center"/>
    </xf>
    <xf numFmtId="0" fontId="42" fillId="0" borderId="0" xfId="0" applyFont="1" applyBorder="1" applyAlignment="1">
      <alignment vertical="center" wrapText="1"/>
    </xf>
    <xf numFmtId="0" fontId="0" fillId="9" borderId="0" xfId="0" applyFill="1" applyAlignment="1">
      <alignment horizontal="center" vertical="center" wrapText="1"/>
    </xf>
    <xf numFmtId="0" fontId="0" fillId="9" borderId="6" xfId="0" applyFill="1" applyBorder="1" applyAlignment="1">
      <alignment horizontal="center" vertical="center" wrapText="1"/>
    </xf>
    <xf numFmtId="0" fontId="2" fillId="9" borderId="0" xfId="0" applyFont="1" applyFill="1" applyAlignment="1">
      <alignment horizontal="center" vertical="center" wrapText="1"/>
    </xf>
    <xf numFmtId="0" fontId="0" fillId="9" borderId="6" xfId="0" applyFill="1" applyBorder="1" applyAlignment="1">
      <alignment vertical="center" wrapText="1"/>
    </xf>
    <xf numFmtId="0" fontId="2" fillId="0" borderId="0" xfId="0" applyFont="1" applyAlignment="1">
      <alignment vertical="center" wrapText="1"/>
    </xf>
    <xf numFmtId="0" fontId="42" fillId="0" borderId="0" xfId="0" applyFont="1" applyAlignment="1">
      <alignment horizontal="center" vertical="center" wrapText="1"/>
    </xf>
    <xf numFmtId="0" fontId="2" fillId="0" borderId="6" xfId="0" applyFont="1" applyBorder="1" applyAlignment="1">
      <alignment vertical="center" wrapText="1"/>
    </xf>
    <xf numFmtId="0" fontId="0" fillId="0" borderId="0" xfId="0" applyFill="1" applyAlignment="1">
      <alignment horizontal="center" vertical="center" wrapText="1"/>
    </xf>
    <xf numFmtId="0" fontId="0" fillId="0" borderId="13" xfId="0" applyBorder="1" applyAlignment="1">
      <alignment vertical="center" wrapText="1"/>
    </xf>
    <xf numFmtId="0" fontId="0" fillId="0" borderId="15" xfId="0" applyBorder="1" applyAlignment="1">
      <alignment vertical="center" wrapText="1"/>
    </xf>
    <xf numFmtId="0" fontId="0" fillId="0" borderId="14" xfId="0" applyBorder="1" applyAlignment="1">
      <alignment vertical="center" wrapText="1"/>
    </xf>
    <xf numFmtId="0" fontId="2" fillId="0" borderId="15" xfId="0" applyFont="1" applyBorder="1" applyAlignment="1">
      <alignment vertical="center" wrapText="1"/>
    </xf>
    <xf numFmtId="0" fontId="2" fillId="0" borderId="14" xfId="0" applyFont="1" applyBorder="1" applyAlignment="1">
      <alignment vertical="center" wrapText="1"/>
    </xf>
    <xf numFmtId="0" fontId="42" fillId="0" borderId="15" xfId="0" applyFont="1" applyBorder="1" applyAlignment="1">
      <alignment vertical="center" wrapText="1"/>
    </xf>
    <xf numFmtId="0" fontId="0" fillId="0" borderId="6" xfId="0" applyFill="1" applyBorder="1" applyAlignment="1">
      <alignment horizontal="center" vertical="center" wrapText="1"/>
    </xf>
    <xf numFmtId="0" fontId="0" fillId="0" borderId="6" xfId="0" applyFill="1" applyBorder="1" applyAlignment="1">
      <alignment vertical="center" wrapText="1"/>
    </xf>
    <xf numFmtId="0" fontId="0" fillId="0" borderId="15" xfId="0" applyFill="1" applyBorder="1" applyAlignment="1">
      <alignment vertical="center" wrapText="1"/>
    </xf>
    <xf numFmtId="0" fontId="0" fillId="0" borderId="0" xfId="0" applyFill="1" applyBorder="1" applyAlignment="1">
      <alignment horizontal="center" vertical="center" wrapText="1"/>
    </xf>
    <xf numFmtId="0" fontId="0" fillId="0" borderId="0" xfId="0" applyBorder="1" applyAlignment="1">
      <alignment vertical="center" wrapText="1"/>
    </xf>
    <xf numFmtId="0" fontId="38" fillId="6" borderId="5" xfId="0" applyFont="1" applyFill="1" applyBorder="1" applyAlignment="1">
      <alignment vertical="center"/>
    </xf>
    <xf numFmtId="0" fontId="41" fillId="5" borderId="5" xfId="0" applyFont="1" applyFill="1" applyBorder="1" applyAlignment="1">
      <alignment vertical="center"/>
    </xf>
    <xf numFmtId="176" fontId="27" fillId="0" borderId="0" xfId="12" applyNumberFormat="1" applyFont="1" applyFill="1" applyAlignment="1">
      <alignment vertical="center"/>
    </xf>
    <xf numFmtId="0" fontId="0" fillId="0" borderId="11" xfId="0" applyBorder="1" applyAlignment="1">
      <alignment vertical="center"/>
    </xf>
    <xf numFmtId="0" fontId="2" fillId="0" borderId="5" xfId="0" applyFont="1" applyBorder="1" applyAlignment="1">
      <alignment vertical="center"/>
    </xf>
    <xf numFmtId="0" fontId="1" fillId="6" borderId="6" xfId="0" applyFont="1" applyFill="1" applyBorder="1" applyAlignment="1">
      <alignment horizontal="center" vertical="center" wrapText="1"/>
    </xf>
    <xf numFmtId="0" fontId="2" fillId="0" borderId="0" xfId="0" applyFont="1"/>
    <xf numFmtId="0" fontId="1" fillId="11" borderId="6" xfId="0" applyFont="1" applyFill="1" applyBorder="1" applyAlignment="1">
      <alignment horizontal="center" vertical="center" wrapText="1"/>
    </xf>
    <xf numFmtId="0" fontId="0" fillId="0" borderId="6" xfId="0" applyFill="1" applyBorder="1" applyAlignment="1">
      <alignment vertical="center"/>
    </xf>
    <xf numFmtId="0" fontId="0" fillId="0" borderId="6" xfId="0" applyFill="1" applyBorder="1" applyAlignment="1">
      <alignment horizontal="center" vertical="center"/>
    </xf>
    <xf numFmtId="0" fontId="2" fillId="5" borderId="0" xfId="0" applyFont="1" applyFill="1" applyBorder="1" applyAlignment="1">
      <alignment horizontal="left" vertical="center" wrapText="1"/>
    </xf>
    <xf numFmtId="0" fontId="42" fillId="5" borderId="0" xfId="0" applyFont="1" applyFill="1" applyBorder="1" applyAlignment="1">
      <alignment horizontal="left" vertical="center" wrapText="1"/>
    </xf>
    <xf numFmtId="0" fontId="2" fillId="5" borderId="0" xfId="0" applyFont="1" applyFill="1" applyAlignment="1">
      <alignment horizontal="center" vertical="center"/>
    </xf>
    <xf numFmtId="0" fontId="0" fillId="5" borderId="0" xfId="0" applyFill="1"/>
    <xf numFmtId="0" fontId="2" fillId="5" borderId="0" xfId="0" applyFont="1" applyFill="1" applyBorder="1" applyAlignment="1">
      <alignment horizontal="left" vertical="center"/>
    </xf>
    <xf numFmtId="3" fontId="42" fillId="5" borderId="0" xfId="0" applyNumberFormat="1" applyFont="1" applyFill="1" applyBorder="1" applyAlignment="1">
      <alignment horizontal="left" vertical="center"/>
    </xf>
    <xf numFmtId="0" fontId="42" fillId="5" borderId="6" xfId="0" applyFont="1" applyFill="1" applyBorder="1" applyAlignment="1">
      <alignment horizontal="center" vertical="center"/>
    </xf>
    <xf numFmtId="0" fontId="2" fillId="5" borderId="6" xfId="0" applyFont="1" applyFill="1" applyBorder="1" applyAlignment="1">
      <alignment vertical="center"/>
    </xf>
    <xf numFmtId="0" fontId="1" fillId="5" borderId="0" xfId="0" applyFont="1" applyFill="1" applyBorder="1" applyAlignment="1">
      <alignment horizontal="justify" vertical="center" wrapText="1"/>
    </xf>
    <xf numFmtId="0" fontId="2" fillId="5" borderId="0" xfId="0" applyFont="1" applyFill="1" applyBorder="1" applyAlignment="1">
      <alignment horizontal="justify" vertical="center" wrapText="1"/>
    </xf>
    <xf numFmtId="0" fontId="2" fillId="5" borderId="0" xfId="0" applyFont="1" applyFill="1"/>
    <xf numFmtId="0" fontId="42" fillId="5" borderId="0" xfId="0" applyFont="1" applyFill="1" applyBorder="1" applyAlignment="1">
      <alignment horizontal="left" vertical="center"/>
    </xf>
    <xf numFmtId="0" fontId="42" fillId="5" borderId="6" xfId="0" applyFont="1" applyFill="1" applyBorder="1" applyAlignment="1">
      <alignment vertical="center" wrapText="1"/>
    </xf>
    <xf numFmtId="0" fontId="44" fillId="5" borderId="0" xfId="0" applyFont="1" applyFill="1" applyBorder="1" applyAlignment="1">
      <alignment horizontal="center" vertical="center"/>
    </xf>
    <xf numFmtId="0" fontId="42" fillId="5" borderId="0" xfId="0" applyFont="1" applyFill="1" applyBorder="1" applyAlignment="1">
      <alignment horizontal="center" vertical="center"/>
    </xf>
    <xf numFmtId="0" fontId="2" fillId="5" borderId="0" xfId="0" applyFont="1" applyFill="1" applyBorder="1" applyAlignment="1">
      <alignment horizontal="center" vertical="center" wrapText="1"/>
    </xf>
    <xf numFmtId="0" fontId="1" fillId="5" borderId="0" xfId="0" applyFont="1" applyFill="1" applyBorder="1" applyAlignment="1">
      <alignment horizontal="left" vertical="top"/>
    </xf>
    <xf numFmtId="0" fontId="2" fillId="5" borderId="0" xfId="0" applyFont="1" applyFill="1" applyBorder="1" applyAlignment="1">
      <alignment horizontal="left" vertical="top" wrapText="1"/>
    </xf>
    <xf numFmtId="0" fontId="2" fillId="5" borderId="0" xfId="0" applyFont="1" applyFill="1" applyBorder="1"/>
    <xf numFmtId="0" fontId="3" fillId="5" borderId="0" xfId="0" applyFont="1" applyFill="1" applyBorder="1" applyAlignment="1">
      <alignment horizontal="justify" vertical="top" wrapText="1"/>
    </xf>
    <xf numFmtId="0" fontId="42" fillId="5" borderId="0" xfId="0" applyFont="1" applyFill="1" applyBorder="1" applyAlignment="1">
      <alignment vertical="center"/>
    </xf>
    <xf numFmtId="0" fontId="2" fillId="5" borderId="0" xfId="0" applyFont="1" applyFill="1" applyBorder="1" applyAlignment="1">
      <alignment horizontal="left" vertical="center"/>
    </xf>
    <xf numFmtId="0" fontId="44" fillId="5" borderId="0" xfId="0" applyFont="1" applyFill="1" applyBorder="1" applyAlignment="1">
      <alignment horizontal="center" vertical="center" wrapText="1"/>
    </xf>
    <xf numFmtId="0" fontId="42" fillId="5" borderId="0" xfId="0" applyFont="1" applyFill="1" applyBorder="1" applyAlignment="1">
      <alignment horizontal="center" vertical="center" wrapText="1"/>
    </xf>
    <xf numFmtId="0" fontId="46" fillId="5" borderId="0" xfId="0" applyFont="1" applyFill="1" applyBorder="1" applyAlignment="1">
      <alignment horizontal="left" vertical="center"/>
    </xf>
    <xf numFmtId="0" fontId="2" fillId="5" borderId="0" xfId="0" applyFont="1" applyFill="1" applyAlignment="1">
      <alignment horizontal="center" vertical="center" wrapText="1"/>
    </xf>
    <xf numFmtId="0" fontId="2" fillId="5" borderId="0" xfId="0" applyFont="1" applyFill="1" applyBorder="1" applyAlignment="1">
      <alignment horizontal="center" vertical="top" wrapText="1"/>
    </xf>
    <xf numFmtId="0" fontId="2" fillId="5" borderId="0" xfId="0" applyFont="1" applyFill="1" applyBorder="1" applyAlignment="1">
      <alignment vertical="top" wrapText="1"/>
    </xf>
    <xf numFmtId="0" fontId="2" fillId="5" borderId="0" xfId="0" applyFont="1" applyFill="1" applyBorder="1" applyAlignment="1"/>
    <xf numFmtId="0" fontId="2" fillId="5" borderId="0" xfId="0" applyFont="1" applyFill="1" applyAlignment="1">
      <alignment vertical="center" wrapText="1"/>
    </xf>
    <xf numFmtId="0" fontId="8" fillId="5" borderId="0" xfId="0" applyFont="1" applyFill="1" applyAlignment="1">
      <alignment horizontal="center" vertical="center"/>
    </xf>
    <xf numFmtId="0" fontId="2" fillId="5" borderId="0" xfId="0" applyFont="1" applyFill="1" applyBorder="1" applyAlignment="1">
      <alignment vertical="center" wrapText="1"/>
    </xf>
    <xf numFmtId="0" fontId="1" fillId="5" borderId="0" xfId="0" applyFont="1" applyFill="1" applyBorder="1" applyAlignment="1">
      <alignment horizontal="center" vertical="center"/>
    </xf>
    <xf numFmtId="0" fontId="2" fillId="5" borderId="6" xfId="0" applyFont="1" applyFill="1" applyBorder="1" applyAlignment="1">
      <alignment horizontal="center" vertical="center" wrapText="1"/>
    </xf>
    <xf numFmtId="168" fontId="42" fillId="5" borderId="0" xfId="0" applyNumberFormat="1" applyFont="1" applyFill="1" applyBorder="1" applyAlignment="1">
      <alignment horizontal="center" vertical="center"/>
    </xf>
    <xf numFmtId="3" fontId="42" fillId="5" borderId="0" xfId="0" applyNumberFormat="1" applyFont="1" applyFill="1" applyBorder="1" applyAlignment="1">
      <alignment vertical="center"/>
    </xf>
    <xf numFmtId="0" fontId="0" fillId="5" borderId="0" xfId="0" applyFill="1" applyAlignment="1">
      <alignment horizontal="center" vertical="center"/>
    </xf>
    <xf numFmtId="0" fontId="0" fillId="5" borderId="0" xfId="0" applyFill="1" applyAlignment="1">
      <alignment vertical="center"/>
    </xf>
    <xf numFmtId="0" fontId="1" fillId="5" borderId="0" xfId="0" applyFont="1" applyFill="1" applyBorder="1" applyAlignment="1">
      <alignment horizontal="center" vertical="center" wrapText="1"/>
    </xf>
    <xf numFmtId="3" fontId="2" fillId="5" borderId="0" xfId="0" applyNumberFormat="1" applyFont="1" applyFill="1" applyBorder="1" applyAlignment="1">
      <alignment horizontal="center" vertical="center"/>
    </xf>
    <xf numFmtId="0" fontId="0" fillId="5" borderId="0" xfId="0" applyFill="1" applyAlignment="1">
      <alignment vertical="center" wrapText="1"/>
    </xf>
    <xf numFmtId="168" fontId="0" fillId="5" borderId="0" xfId="0" applyNumberFormat="1" applyFill="1" applyAlignment="1">
      <alignment vertical="center"/>
    </xf>
    <xf numFmtId="0" fontId="42" fillId="5" borderId="0" xfId="0" applyFont="1" applyFill="1" applyAlignment="1">
      <alignment vertical="center"/>
    </xf>
    <xf numFmtId="0" fontId="0" fillId="5" borderId="11" xfId="0" applyFill="1" applyBorder="1" applyAlignment="1">
      <alignment vertical="center"/>
    </xf>
    <xf numFmtId="0" fontId="0" fillId="5" borderId="0" xfId="0" applyFill="1" applyBorder="1" applyAlignment="1">
      <alignment vertical="center" wrapText="1"/>
    </xf>
    <xf numFmtId="0" fontId="0" fillId="5" borderId="0" xfId="0" applyFill="1" applyBorder="1" applyAlignment="1">
      <alignment horizontal="center" vertical="center" wrapText="1"/>
    </xf>
    <xf numFmtId="0" fontId="46" fillId="5" borderId="0" xfId="0" applyFont="1" applyFill="1" applyBorder="1" applyAlignment="1">
      <alignment horizontal="center" vertical="center" wrapText="1"/>
    </xf>
    <xf numFmtId="0" fontId="42" fillId="5" borderId="0" xfId="0" applyFont="1" applyFill="1" applyBorder="1" applyAlignment="1">
      <alignment vertical="center" wrapText="1"/>
    </xf>
    <xf numFmtId="0" fontId="1" fillId="5" borderId="0" xfId="0" applyFont="1" applyFill="1" applyAlignment="1">
      <alignment horizontal="left" vertical="center"/>
    </xf>
    <xf numFmtId="0" fontId="2" fillId="5" borderId="0" xfId="0" applyFont="1" applyFill="1" applyBorder="1" applyAlignment="1">
      <alignment horizontal="right" vertical="center"/>
    </xf>
    <xf numFmtId="0" fontId="49" fillId="5" borderId="0" xfId="0" applyFont="1" applyFill="1" applyBorder="1" applyAlignment="1">
      <alignment vertical="center"/>
    </xf>
    <xf numFmtId="0" fontId="2" fillId="5" borderId="0" xfId="0" applyFont="1" applyFill="1" applyBorder="1" applyAlignment="1">
      <alignment horizontal="center" vertical="center"/>
    </xf>
    <xf numFmtId="14" fontId="42" fillId="5" borderId="0" xfId="0" applyNumberFormat="1" applyFont="1" applyFill="1" applyBorder="1" applyAlignment="1">
      <alignment horizontal="center" vertical="center"/>
    </xf>
    <xf numFmtId="0" fontId="5" fillId="5" borderId="0" xfId="1" applyFont="1" applyFill="1" applyAlignment="1" applyProtection="1">
      <alignment vertical="center"/>
    </xf>
    <xf numFmtId="0" fontId="2" fillId="5" borderId="0" xfId="0" applyFont="1" applyFill="1" applyBorder="1" applyAlignment="1">
      <alignment horizontal="left" vertical="center" wrapText="1"/>
    </xf>
    <xf numFmtId="0" fontId="42" fillId="5" borderId="0" xfId="0" applyFont="1" applyFill="1" applyBorder="1" applyAlignment="1">
      <alignment horizontal="left" vertical="center"/>
    </xf>
    <xf numFmtId="0" fontId="42" fillId="5" borderId="0" xfId="0" applyFont="1" applyFill="1" applyBorder="1" applyAlignment="1">
      <alignment horizontal="center" vertical="center"/>
    </xf>
    <xf numFmtId="0" fontId="2" fillId="5" borderId="0" xfId="0" applyFont="1" applyFill="1" applyBorder="1" applyAlignment="1">
      <alignment horizontal="center" vertical="center"/>
    </xf>
    <xf numFmtId="165" fontId="42" fillId="5" borderId="0" xfId="2" applyFont="1" applyFill="1" applyBorder="1" applyAlignment="1">
      <alignment vertical="center"/>
    </xf>
    <xf numFmtId="168" fontId="42" fillId="5" borderId="0" xfId="0" applyNumberFormat="1" applyFont="1" applyFill="1" applyBorder="1" applyAlignment="1">
      <alignment vertical="center"/>
    </xf>
    <xf numFmtId="0" fontId="42" fillId="5" borderId="0" xfId="0" applyFont="1" applyFill="1" applyBorder="1" applyAlignment="1">
      <alignment horizontal="left" vertical="center" wrapText="1"/>
    </xf>
    <xf numFmtId="0" fontId="1" fillId="6" borderId="6" xfId="0" applyFont="1" applyFill="1" applyBorder="1" applyAlignment="1">
      <alignment horizontal="center" vertical="center" wrapText="1"/>
    </xf>
    <xf numFmtId="0" fontId="2" fillId="5" borderId="6" xfId="0" applyFont="1" applyFill="1" applyBorder="1" applyAlignment="1">
      <alignment horizontal="left" vertical="center"/>
    </xf>
    <xf numFmtId="0" fontId="42" fillId="5" borderId="0" xfId="0" applyFont="1" applyFill="1" applyBorder="1" applyAlignment="1">
      <alignment horizontal="center" vertical="center"/>
    </xf>
    <xf numFmtId="0" fontId="42" fillId="5" borderId="0" xfId="0" applyFont="1" applyFill="1" applyBorder="1" applyAlignment="1">
      <alignment horizontal="left" vertical="center"/>
    </xf>
    <xf numFmtId="0" fontId="2" fillId="5" borderId="5" xfId="0" applyFont="1" applyFill="1" applyBorder="1" applyAlignment="1">
      <alignment horizontal="left" vertical="center"/>
    </xf>
    <xf numFmtId="0" fontId="2" fillId="5" borderId="0" xfId="0" applyFont="1" applyFill="1" applyBorder="1" applyAlignment="1">
      <alignment horizontal="center" vertical="center"/>
    </xf>
    <xf numFmtId="0" fontId="42" fillId="5" borderId="0" xfId="0" applyFont="1" applyFill="1" applyBorder="1" applyAlignment="1">
      <alignment horizontal="center" vertical="center"/>
    </xf>
    <xf numFmtId="0" fontId="1" fillId="6" borderId="5" xfId="0" applyFont="1" applyFill="1" applyBorder="1" applyAlignment="1">
      <alignment vertical="center"/>
    </xf>
    <xf numFmtId="0" fontId="42" fillId="5" borderId="0" xfId="0" applyFont="1" applyFill="1" applyBorder="1" applyAlignment="1">
      <alignment horizontal="left" vertical="center"/>
    </xf>
    <xf numFmtId="0" fontId="2" fillId="5" borderId="0" xfId="0" applyFont="1" applyFill="1" applyBorder="1" applyAlignment="1">
      <alignment horizontal="center" vertical="center"/>
    </xf>
    <xf numFmtId="0" fontId="2" fillId="5" borderId="0" xfId="0" applyFont="1" applyFill="1" applyBorder="1" applyAlignment="1">
      <alignment horizontal="left" vertical="center"/>
    </xf>
    <xf numFmtId="0" fontId="2" fillId="5" borderId="6" xfId="0" applyFont="1" applyFill="1" applyBorder="1" applyAlignment="1">
      <alignment horizontal="left" vertical="center"/>
    </xf>
    <xf numFmtId="0" fontId="25" fillId="5" borderId="0" xfId="0" applyFont="1" applyFill="1" applyBorder="1" applyAlignment="1">
      <alignment horizontal="right" vertical="center"/>
    </xf>
    <xf numFmtId="3" fontId="20" fillId="8" borderId="6" xfId="3" applyNumberFormat="1" applyFont="1" applyFill="1" applyBorder="1" applyAlignment="1" applyProtection="1">
      <alignment horizontal="center" vertical="center"/>
      <protection hidden="1"/>
    </xf>
    <xf numFmtId="3" fontId="20" fillId="8" borderId="6" xfId="3" applyNumberFormat="1" applyFont="1" applyFill="1" applyBorder="1" applyAlignment="1" applyProtection="1">
      <alignment horizontal="center" vertical="center" wrapText="1"/>
      <protection hidden="1"/>
    </xf>
    <xf numFmtId="4" fontId="20" fillId="8" borderId="6" xfId="3" applyNumberFormat="1" applyFont="1" applyFill="1" applyBorder="1" applyAlignment="1" applyProtection="1">
      <alignment horizontal="center" vertical="center"/>
      <protection hidden="1"/>
    </xf>
    <xf numFmtId="4" fontId="20" fillId="8" borderId="6" xfId="3" applyNumberFormat="1" applyFont="1" applyFill="1" applyBorder="1" applyAlignment="1" applyProtection="1">
      <alignment horizontal="center" vertical="center" wrapText="1"/>
      <protection hidden="1"/>
    </xf>
    <xf numFmtId="4" fontId="18" fillId="8" borderId="6" xfId="3" applyNumberFormat="1" applyFont="1" applyFill="1" applyBorder="1" applyAlignment="1" applyProtection="1">
      <alignment horizontal="center" vertical="center" wrapText="1"/>
      <protection hidden="1"/>
    </xf>
    <xf numFmtId="4" fontId="14" fillId="8" borderId="6" xfId="3" applyNumberFormat="1" applyFont="1" applyFill="1" applyBorder="1" applyAlignment="1" applyProtection="1">
      <alignment horizontal="center" vertical="center" wrapText="1"/>
      <protection hidden="1"/>
    </xf>
    <xf numFmtId="168" fontId="18" fillId="8" borderId="6" xfId="3" applyNumberFormat="1" applyFont="1" applyFill="1" applyBorder="1" applyAlignment="1" applyProtection="1">
      <alignment horizontal="center" vertical="center"/>
      <protection hidden="1"/>
    </xf>
    <xf numFmtId="0" fontId="1" fillId="6" borderId="6" xfId="0" applyFont="1" applyFill="1" applyBorder="1" applyAlignment="1" applyProtection="1">
      <alignment horizontal="center" vertical="center" wrapText="1"/>
      <protection hidden="1"/>
    </xf>
    <xf numFmtId="0" fontId="1" fillId="6" borderId="6" xfId="0" applyFont="1" applyFill="1" applyBorder="1" applyAlignment="1" applyProtection="1">
      <alignment horizontal="left" vertical="center"/>
      <protection hidden="1"/>
    </xf>
    <xf numFmtId="0" fontId="1" fillId="6" borderId="6" xfId="0" applyFont="1" applyFill="1" applyBorder="1" applyAlignment="1" applyProtection="1">
      <alignment horizontal="center" vertical="center"/>
      <protection hidden="1"/>
    </xf>
    <xf numFmtId="0" fontId="2" fillId="5" borderId="0" xfId="0" applyFont="1" applyFill="1" applyAlignment="1" applyProtection="1">
      <alignment vertical="center"/>
      <protection hidden="1"/>
    </xf>
    <xf numFmtId="0" fontId="1" fillId="5" borderId="0" xfId="0" applyFont="1" applyFill="1" applyAlignment="1" applyProtection="1">
      <alignment vertical="center"/>
      <protection hidden="1"/>
    </xf>
    <xf numFmtId="0" fontId="2" fillId="5" borderId="0" xfId="0" applyFont="1" applyFill="1" applyProtection="1">
      <protection hidden="1"/>
    </xf>
    <xf numFmtId="0" fontId="2" fillId="5" borderId="6" xfId="0" applyFont="1" applyFill="1" applyBorder="1" applyAlignment="1" applyProtection="1">
      <alignment horizontal="right" vertical="center"/>
      <protection hidden="1"/>
    </xf>
    <xf numFmtId="0" fontId="2" fillId="5" borderId="6" xfId="0" applyFont="1" applyFill="1" applyBorder="1" applyAlignment="1" applyProtection="1">
      <alignment horizontal="right"/>
      <protection hidden="1"/>
    </xf>
    <xf numFmtId="0" fontId="1" fillId="6" borderId="6" xfId="0" applyFont="1" applyFill="1" applyBorder="1" applyAlignment="1" applyProtection="1">
      <alignment horizontal="center" vertical="center" wrapText="1"/>
      <protection hidden="1"/>
    </xf>
    <xf numFmtId="0" fontId="2" fillId="5" borderId="6" xfId="0" applyFont="1" applyFill="1" applyBorder="1" applyAlignment="1" applyProtection="1">
      <alignment vertical="center" wrapText="1"/>
      <protection hidden="1"/>
    </xf>
    <xf numFmtId="0" fontId="2" fillId="5" borderId="0" xfId="0" applyFont="1" applyFill="1" applyBorder="1" applyAlignment="1" applyProtection="1">
      <alignment vertical="center" wrapText="1"/>
      <protection hidden="1"/>
    </xf>
    <xf numFmtId="0" fontId="42" fillId="5" borderId="0" xfId="0" applyFont="1" applyFill="1" applyBorder="1" applyAlignment="1" applyProtection="1">
      <alignment vertical="center" wrapText="1"/>
      <protection hidden="1"/>
    </xf>
    <xf numFmtId="0" fontId="42" fillId="5" borderId="0" xfId="0" applyFont="1" applyFill="1" applyBorder="1" applyAlignment="1" applyProtection="1">
      <alignment horizontal="left" vertical="center"/>
      <protection hidden="1"/>
    </xf>
    <xf numFmtId="0" fontId="0" fillId="5" borderId="0" xfId="0" applyFill="1" applyProtection="1">
      <protection hidden="1"/>
    </xf>
    <xf numFmtId="0" fontId="7" fillId="4" borderId="0" xfId="0" applyFont="1" applyFill="1" applyAlignment="1" applyProtection="1">
      <alignment vertical="center"/>
      <protection hidden="1"/>
    </xf>
    <xf numFmtId="0" fontId="8" fillId="4" borderId="0" xfId="0" applyFont="1" applyFill="1" applyAlignment="1" applyProtection="1">
      <alignment vertical="center"/>
      <protection hidden="1"/>
    </xf>
    <xf numFmtId="0" fontId="8" fillId="4" borderId="0" xfId="0" applyFont="1" applyFill="1" applyBorder="1" applyAlignment="1" applyProtection="1">
      <alignment vertical="center"/>
      <protection hidden="1"/>
    </xf>
    <xf numFmtId="0" fontId="1" fillId="5" borderId="0" xfId="0" applyFont="1" applyFill="1" applyProtection="1">
      <protection hidden="1"/>
    </xf>
    <xf numFmtId="0" fontId="1" fillId="5" borderId="0" xfId="0" applyFont="1" applyFill="1" applyBorder="1" applyAlignment="1" applyProtection="1">
      <alignment vertical="center"/>
      <protection hidden="1"/>
    </xf>
    <xf numFmtId="0" fontId="2" fillId="5" borderId="0" xfId="0" applyFont="1" applyFill="1" applyBorder="1" applyAlignment="1" applyProtection="1">
      <alignment vertical="center"/>
      <protection hidden="1"/>
    </xf>
    <xf numFmtId="0" fontId="2" fillId="5" borderId="0" xfId="0" applyFont="1" applyFill="1" applyAlignment="1" applyProtection="1">
      <alignment horizontal="right" vertical="center"/>
      <protection hidden="1"/>
    </xf>
    <xf numFmtId="0" fontId="40" fillId="5" borderId="0" xfId="0" applyFont="1" applyFill="1" applyAlignment="1" applyProtection="1">
      <alignment vertical="center"/>
      <protection hidden="1"/>
    </xf>
    <xf numFmtId="0" fontId="2" fillId="5" borderId="0" xfId="0" applyFont="1" applyFill="1" applyAlignment="1" applyProtection="1">
      <alignment horizontal="right" vertical="center" wrapText="1"/>
      <protection hidden="1"/>
    </xf>
    <xf numFmtId="0" fontId="62" fillId="6" borderId="6" xfId="0" applyFont="1" applyFill="1" applyBorder="1" applyAlignment="1" applyProtection="1">
      <alignment horizontal="center" vertical="center" wrapText="1"/>
      <protection hidden="1"/>
    </xf>
    <xf numFmtId="0" fontId="15" fillId="7" borderId="6" xfId="0" applyFont="1" applyFill="1" applyBorder="1" applyAlignment="1" applyProtection="1">
      <alignment horizontal="center" vertical="center"/>
      <protection hidden="1"/>
    </xf>
    <xf numFmtId="0" fontId="14" fillId="5" borderId="0" xfId="0" applyFont="1" applyFill="1" applyAlignment="1" applyProtection="1">
      <alignment horizontal="center" vertical="center"/>
      <protection hidden="1"/>
    </xf>
    <xf numFmtId="0" fontId="15" fillId="5" borderId="0" xfId="0" applyFont="1" applyFill="1" applyBorder="1" applyAlignment="1" applyProtection="1">
      <alignment horizontal="center" vertical="center"/>
      <protection hidden="1"/>
    </xf>
    <xf numFmtId="0" fontId="14" fillId="5" borderId="0" xfId="0" applyFont="1" applyFill="1" applyBorder="1" applyAlignment="1" applyProtection="1">
      <alignment vertical="center"/>
      <protection hidden="1"/>
    </xf>
    <xf numFmtId="0" fontId="14" fillId="5" borderId="0" xfId="0" applyFont="1" applyFill="1" applyAlignment="1" applyProtection="1">
      <alignment vertical="center"/>
      <protection hidden="1"/>
    </xf>
    <xf numFmtId="0" fontId="14" fillId="5" borderId="12" xfId="0" applyFont="1" applyFill="1" applyBorder="1" applyAlignment="1" applyProtection="1">
      <alignment vertical="center"/>
      <protection hidden="1"/>
    </xf>
    <xf numFmtId="0" fontId="14" fillId="5" borderId="6" xfId="0" applyFont="1" applyFill="1" applyBorder="1" applyAlignment="1" applyProtection="1">
      <alignment horizontal="center" vertical="center"/>
      <protection hidden="1"/>
    </xf>
    <xf numFmtId="0" fontId="14" fillId="0" borderId="5" xfId="0" applyFont="1" applyFill="1" applyBorder="1" applyAlignment="1" applyProtection="1">
      <alignment vertical="center"/>
      <protection hidden="1"/>
    </xf>
    <xf numFmtId="0" fontId="14" fillId="0" borderId="5" xfId="0" applyFont="1" applyFill="1" applyBorder="1" applyAlignment="1" applyProtection="1">
      <alignment horizontal="center" vertical="center"/>
      <protection hidden="1"/>
    </xf>
    <xf numFmtId="0" fontId="14" fillId="0" borderId="6" xfId="0" applyFont="1" applyFill="1" applyBorder="1" applyAlignment="1" applyProtection="1">
      <alignment horizontal="center" vertical="center"/>
      <protection hidden="1"/>
    </xf>
    <xf numFmtId="0" fontId="14" fillId="5" borderId="6" xfId="0" applyFont="1" applyFill="1" applyBorder="1" applyAlignment="1" applyProtection="1">
      <alignment vertical="center"/>
      <protection hidden="1"/>
    </xf>
    <xf numFmtId="0" fontId="14" fillId="0" borderId="6" xfId="0" applyFont="1" applyFill="1" applyBorder="1" applyAlignment="1" applyProtection="1">
      <alignment vertical="center"/>
      <protection hidden="1"/>
    </xf>
    <xf numFmtId="4" fontId="14" fillId="5" borderId="6" xfId="2" applyNumberFormat="1" applyFont="1" applyFill="1" applyBorder="1" applyAlignment="1" applyProtection="1">
      <alignment horizontal="center" vertical="center"/>
      <protection hidden="1"/>
    </xf>
    <xf numFmtId="167" fontId="14" fillId="5" borderId="6" xfId="0" applyNumberFormat="1" applyFont="1" applyFill="1" applyBorder="1" applyAlignment="1" applyProtection="1">
      <alignment horizontal="center" vertical="center"/>
      <protection hidden="1"/>
    </xf>
    <xf numFmtId="3" fontId="14" fillId="5" borderId="6" xfId="0" applyNumberFormat="1" applyFont="1" applyFill="1" applyBorder="1" applyAlignment="1" applyProtection="1">
      <alignment horizontal="center" vertical="center"/>
      <protection hidden="1"/>
    </xf>
    <xf numFmtId="4" fontId="14" fillId="5" borderId="6" xfId="0" applyNumberFormat="1" applyFont="1" applyFill="1" applyBorder="1" applyAlignment="1" applyProtection="1">
      <alignment horizontal="center" vertical="center"/>
      <protection hidden="1"/>
    </xf>
    <xf numFmtId="3" fontId="15" fillId="5" borderId="11" xfId="0" applyNumberFormat="1" applyFont="1" applyFill="1" applyBorder="1" applyAlignment="1" applyProtection="1">
      <alignment horizontal="center" vertical="center"/>
      <protection hidden="1"/>
    </xf>
    <xf numFmtId="4" fontId="15" fillId="5" borderId="11" xfId="0" applyNumberFormat="1" applyFont="1" applyFill="1" applyBorder="1" applyAlignment="1" applyProtection="1">
      <alignment horizontal="center" vertical="center"/>
      <protection hidden="1"/>
    </xf>
    <xf numFmtId="4" fontId="14" fillId="0" borderId="6" xfId="0" applyNumberFormat="1" applyFont="1" applyFill="1" applyBorder="1" applyAlignment="1" applyProtection="1">
      <alignment horizontal="center" vertical="center"/>
      <protection hidden="1"/>
    </xf>
    <xf numFmtId="2" fontId="15" fillId="5" borderId="11" xfId="0" applyNumberFormat="1" applyFont="1" applyFill="1" applyBorder="1" applyAlignment="1" applyProtection="1">
      <alignment vertical="center"/>
      <protection hidden="1"/>
    </xf>
    <xf numFmtId="166" fontId="14" fillId="5" borderId="6" xfId="0" applyNumberFormat="1" applyFont="1" applyFill="1" applyBorder="1" applyAlignment="1" applyProtection="1">
      <alignment horizontal="center" vertical="center"/>
      <protection hidden="1"/>
    </xf>
    <xf numFmtId="2" fontId="15" fillId="5" borderId="11" xfId="0" applyNumberFormat="1" applyFont="1" applyFill="1" applyBorder="1" applyAlignment="1" applyProtection="1">
      <alignment horizontal="center" vertical="center"/>
      <protection hidden="1"/>
    </xf>
    <xf numFmtId="166" fontId="14" fillId="0" borderId="6" xfId="0" applyNumberFormat="1" applyFont="1" applyFill="1" applyBorder="1" applyAlignment="1" applyProtection="1">
      <alignment horizontal="center" vertical="center"/>
      <protection hidden="1"/>
    </xf>
    <xf numFmtId="9" fontId="14" fillId="5" borderId="6" xfId="12" applyNumberFormat="1" applyFont="1" applyFill="1" applyBorder="1" applyAlignment="1" applyProtection="1">
      <alignment horizontal="center" vertical="center" wrapText="1"/>
      <protection hidden="1"/>
    </xf>
    <xf numFmtId="4" fontId="14" fillId="8" borderId="6" xfId="0" applyNumberFormat="1" applyFont="1" applyFill="1" applyBorder="1" applyAlignment="1" applyProtection="1">
      <alignment horizontal="center" vertical="center"/>
      <protection hidden="1"/>
    </xf>
    <xf numFmtId="3" fontId="15" fillId="8" borderId="6" xfId="0" applyNumberFormat="1" applyFont="1" applyFill="1" applyBorder="1" applyAlignment="1" applyProtection="1">
      <alignment horizontal="center" vertical="center"/>
      <protection hidden="1"/>
    </xf>
    <xf numFmtId="49" fontId="14" fillId="5" borderId="6" xfId="0" applyNumberFormat="1" applyFont="1" applyFill="1" applyBorder="1" applyAlignment="1" applyProtection="1">
      <alignment horizontal="center" vertical="center"/>
      <protection hidden="1"/>
    </xf>
    <xf numFmtId="3" fontId="14" fillId="8" borderId="6" xfId="0" applyNumberFormat="1" applyFont="1" applyFill="1" applyBorder="1" applyAlignment="1" applyProtection="1">
      <alignment horizontal="center" vertical="center"/>
      <protection hidden="1"/>
    </xf>
    <xf numFmtId="0" fontId="15" fillId="5" borderId="0" xfId="0" applyFont="1" applyFill="1" applyBorder="1" applyAlignment="1" applyProtection="1">
      <alignment vertical="center"/>
      <protection hidden="1"/>
    </xf>
    <xf numFmtId="0" fontId="17" fillId="5" borderId="0" xfId="0" applyFont="1" applyFill="1" applyAlignment="1" applyProtection="1">
      <alignment horizontal="left" vertical="center"/>
      <protection hidden="1"/>
    </xf>
    <xf numFmtId="0" fontId="17" fillId="5" borderId="0" xfId="0" applyFont="1" applyFill="1" applyAlignment="1" applyProtection="1">
      <alignment horizontal="center" vertical="center"/>
      <protection hidden="1"/>
    </xf>
    <xf numFmtId="0" fontId="14" fillId="5" borderId="0" xfId="0" applyFont="1" applyFill="1" applyBorder="1" applyAlignment="1" applyProtection="1">
      <alignment horizontal="center" vertical="center"/>
      <protection hidden="1"/>
    </xf>
    <xf numFmtId="4" fontId="14" fillId="5" borderId="0" xfId="0" applyNumberFormat="1" applyFont="1" applyFill="1" applyBorder="1" applyAlignment="1" applyProtection="1">
      <alignment horizontal="center" vertical="center"/>
      <protection hidden="1"/>
    </xf>
    <xf numFmtId="4" fontId="15" fillId="5" borderId="0" xfId="0" applyNumberFormat="1" applyFont="1" applyFill="1" applyBorder="1" applyAlignment="1" applyProtection="1">
      <alignment horizontal="center" vertical="center"/>
      <protection hidden="1"/>
    </xf>
    <xf numFmtId="9" fontId="14" fillId="12" borderId="6" xfId="12" applyNumberFormat="1" applyFont="1" applyFill="1" applyBorder="1" applyAlignment="1" applyProtection="1">
      <alignment horizontal="center" vertical="center" wrapText="1"/>
      <protection locked="0"/>
    </xf>
    <xf numFmtId="0" fontId="17" fillId="5" borderId="12" xfId="0" applyFont="1" applyFill="1" applyBorder="1" applyAlignment="1" applyProtection="1">
      <alignment vertical="center"/>
      <protection hidden="1"/>
    </xf>
    <xf numFmtId="4" fontId="15" fillId="5" borderId="7" xfId="0" applyNumberFormat="1" applyFont="1" applyFill="1" applyBorder="1" applyAlignment="1" applyProtection="1">
      <alignment horizontal="center" vertical="center"/>
      <protection hidden="1"/>
    </xf>
    <xf numFmtId="0" fontId="15" fillId="5" borderId="6" xfId="0" applyFont="1" applyFill="1" applyBorder="1" applyAlignment="1" applyProtection="1">
      <alignment horizontal="center" vertical="center"/>
      <protection hidden="1"/>
    </xf>
    <xf numFmtId="2" fontId="15" fillId="0" borderId="11" xfId="0" applyNumberFormat="1" applyFont="1" applyFill="1" applyBorder="1" applyAlignment="1" applyProtection="1">
      <alignment horizontal="center" vertical="center"/>
      <protection hidden="1"/>
    </xf>
    <xf numFmtId="2" fontId="15" fillId="0" borderId="11" xfId="0" applyNumberFormat="1" applyFont="1" applyFill="1" applyBorder="1" applyAlignment="1" applyProtection="1">
      <alignment vertical="center"/>
      <protection hidden="1"/>
    </xf>
    <xf numFmtId="3" fontId="15" fillId="0" borderId="6" xfId="0" applyNumberFormat="1" applyFont="1" applyFill="1" applyBorder="1" applyAlignment="1" applyProtection="1">
      <alignment horizontal="center" vertical="center"/>
      <protection hidden="1"/>
    </xf>
    <xf numFmtId="3" fontId="14" fillId="0" borderId="6" xfId="0" applyNumberFormat="1" applyFont="1" applyFill="1" applyBorder="1" applyAlignment="1" applyProtection="1">
      <alignment horizontal="center" vertical="center"/>
      <protection hidden="1"/>
    </xf>
    <xf numFmtId="0" fontId="2" fillId="0" borderId="6" xfId="0" applyFont="1" applyFill="1" applyBorder="1" applyAlignment="1" applyProtection="1">
      <alignment horizontal="center" vertical="center"/>
      <protection hidden="1"/>
    </xf>
    <xf numFmtId="3" fontId="2" fillId="0" borderId="6" xfId="0" applyNumberFormat="1" applyFont="1" applyFill="1" applyBorder="1" applyAlignment="1" applyProtection="1">
      <alignment horizontal="center" vertical="center"/>
      <protection hidden="1"/>
    </xf>
    <xf numFmtId="3" fontId="1" fillId="0" borderId="6" xfId="0" applyNumberFormat="1" applyFont="1" applyFill="1" applyBorder="1" applyAlignment="1" applyProtection="1">
      <alignment horizontal="center" vertical="center"/>
      <protection hidden="1"/>
    </xf>
    <xf numFmtId="0" fontId="0" fillId="5" borderId="0" xfId="0" applyFill="1" applyAlignment="1" applyProtection="1">
      <alignment vertical="center"/>
      <protection hidden="1"/>
    </xf>
    <xf numFmtId="0" fontId="0" fillId="5" borderId="0" xfId="0" applyFill="1" applyAlignment="1" applyProtection="1">
      <alignment vertical="center" wrapText="1"/>
      <protection hidden="1"/>
    </xf>
    <xf numFmtId="0" fontId="0" fillId="5" borderId="0" xfId="0" applyFill="1" applyAlignment="1" applyProtection="1">
      <alignment horizontal="center" vertical="center"/>
      <protection hidden="1"/>
    </xf>
    <xf numFmtId="0" fontId="2" fillId="5" borderId="0" xfId="0" applyFont="1" applyFill="1" applyAlignment="1" applyProtection="1">
      <alignment vertical="center" wrapText="1"/>
      <protection hidden="1"/>
    </xf>
    <xf numFmtId="0" fontId="42" fillId="5" borderId="0" xfId="0" applyFont="1" applyFill="1" applyBorder="1" applyAlignment="1" applyProtection="1">
      <alignment horizontal="center" vertical="center"/>
      <protection hidden="1"/>
    </xf>
    <xf numFmtId="0" fontId="7" fillId="4" borderId="0" xfId="0" applyFont="1" applyFill="1" applyBorder="1" applyAlignment="1" applyProtection="1">
      <alignment horizontal="left" vertical="center"/>
      <protection hidden="1"/>
    </xf>
    <xf numFmtId="0" fontId="8" fillId="4" borderId="0" xfId="0" applyFont="1" applyFill="1" applyBorder="1" applyAlignment="1" applyProtection="1">
      <alignment vertical="center" wrapText="1"/>
      <protection hidden="1"/>
    </xf>
    <xf numFmtId="0" fontId="8" fillId="4" borderId="0" xfId="0" applyFont="1" applyFill="1" applyBorder="1" applyAlignment="1" applyProtection="1">
      <alignment horizontal="left" vertical="center" wrapText="1"/>
      <protection hidden="1"/>
    </xf>
    <xf numFmtId="0" fontId="8" fillId="4" borderId="0" xfId="0" applyFont="1" applyFill="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7" fillId="5" borderId="0" xfId="0" applyFont="1" applyFill="1" applyBorder="1" applyAlignment="1" applyProtection="1">
      <alignment horizontal="left" vertical="center"/>
      <protection hidden="1"/>
    </xf>
    <xf numFmtId="0" fontId="8" fillId="5" borderId="0" xfId="0" applyFont="1" applyFill="1" applyBorder="1" applyAlignment="1" applyProtection="1">
      <alignment vertical="center" wrapText="1"/>
      <protection hidden="1"/>
    </xf>
    <xf numFmtId="0" fontId="2" fillId="5" borderId="0" xfId="0" applyFont="1" applyFill="1" applyBorder="1" applyAlignment="1" applyProtection="1">
      <alignment horizontal="left" vertical="center" wrapText="1"/>
      <protection hidden="1"/>
    </xf>
    <xf numFmtId="0" fontId="2" fillId="5" borderId="0" xfId="0" applyFont="1" applyFill="1" applyAlignment="1" applyProtection="1">
      <alignment horizontal="center" vertical="center"/>
      <protection hidden="1"/>
    </xf>
    <xf numFmtId="0" fontId="2" fillId="5" borderId="0" xfId="0" applyFont="1" applyFill="1" applyBorder="1" applyAlignment="1" applyProtection="1">
      <alignment horizontal="left" vertical="center"/>
      <protection hidden="1"/>
    </xf>
    <xf numFmtId="0" fontId="1" fillId="5" borderId="0" xfId="0" applyFont="1" applyFill="1" applyBorder="1" applyAlignment="1" applyProtection="1">
      <alignment horizontal="center" vertical="center"/>
      <protection hidden="1"/>
    </xf>
    <xf numFmtId="0" fontId="0" fillId="0" borderId="6" xfId="0" applyFill="1" applyBorder="1" applyAlignment="1" applyProtection="1">
      <alignment vertical="center"/>
      <protection hidden="1"/>
    </xf>
    <xf numFmtId="168" fontId="2" fillId="0" borderId="6" xfId="0" applyNumberFormat="1" applyFont="1" applyFill="1" applyBorder="1" applyAlignment="1" applyProtection="1">
      <alignment horizontal="center" vertical="center"/>
      <protection hidden="1"/>
    </xf>
    <xf numFmtId="0" fontId="1" fillId="0" borderId="6" xfId="0" applyFont="1" applyFill="1" applyBorder="1" applyAlignment="1" applyProtection="1">
      <alignment vertical="center"/>
      <protection hidden="1"/>
    </xf>
    <xf numFmtId="0" fontId="2" fillId="0" borderId="6" xfId="0" applyFont="1" applyBorder="1" applyAlignment="1" applyProtection="1">
      <alignment vertical="center" wrapText="1"/>
      <protection hidden="1"/>
    </xf>
    <xf numFmtId="0" fontId="2" fillId="0" borderId="6" xfId="0" applyFont="1" applyBorder="1" applyAlignment="1" applyProtection="1">
      <alignment horizontal="center" vertical="center" wrapText="1"/>
      <protection hidden="1"/>
    </xf>
    <xf numFmtId="0" fontId="0" fillId="0" borderId="6" xfId="0" applyBorder="1" applyAlignment="1" applyProtection="1">
      <alignment vertical="center" wrapText="1"/>
      <protection hidden="1"/>
    </xf>
    <xf numFmtId="0" fontId="2" fillId="0" borderId="6" xfId="0" applyFont="1" applyFill="1" applyBorder="1" applyAlignment="1" applyProtection="1">
      <alignment vertical="center" wrapText="1"/>
      <protection hidden="1"/>
    </xf>
    <xf numFmtId="0" fontId="44" fillId="5" borderId="0" xfId="0" applyFont="1" applyFill="1" applyBorder="1" applyAlignment="1" applyProtection="1">
      <alignment horizontal="center" vertical="center"/>
      <protection hidden="1"/>
    </xf>
    <xf numFmtId="0" fontId="42" fillId="5" borderId="0" xfId="0" applyFont="1" applyFill="1" applyBorder="1" applyAlignment="1" applyProtection="1">
      <alignment vertical="center"/>
      <protection hidden="1"/>
    </xf>
    <xf numFmtId="0" fontId="1" fillId="11" borderId="6" xfId="0" applyFont="1" applyFill="1" applyBorder="1" applyAlignment="1" applyProtection="1">
      <alignment horizontal="center" vertical="center" wrapText="1"/>
      <protection hidden="1"/>
    </xf>
    <xf numFmtId="168" fontId="1" fillId="0" borderId="6" xfId="0" applyNumberFormat="1" applyFont="1" applyFill="1" applyBorder="1" applyAlignment="1" applyProtection="1">
      <alignment horizontal="center" vertical="center"/>
      <protection hidden="1"/>
    </xf>
    <xf numFmtId="168" fontId="2" fillId="5" borderId="0" xfId="0" applyNumberFormat="1" applyFont="1" applyFill="1" applyBorder="1" applyAlignment="1" applyProtection="1">
      <alignment horizontal="center" vertical="center"/>
      <protection hidden="1"/>
    </xf>
    <xf numFmtId="170" fontId="1" fillId="0" borderId="6" xfId="12" applyNumberFormat="1" applyFont="1" applyFill="1" applyBorder="1" applyAlignment="1" applyProtection="1">
      <alignment horizontal="center" vertical="center"/>
      <protection hidden="1"/>
    </xf>
    <xf numFmtId="170" fontId="2" fillId="0" borderId="6" xfId="12" applyNumberFormat="1" applyFont="1" applyFill="1" applyBorder="1" applyAlignment="1" applyProtection="1">
      <alignment horizontal="center" vertical="center"/>
      <protection hidden="1"/>
    </xf>
    <xf numFmtId="168" fontId="2" fillId="0" borderId="0" xfId="0" applyNumberFormat="1" applyFont="1" applyFill="1" applyAlignment="1" applyProtection="1">
      <alignment vertical="center"/>
      <protection hidden="1"/>
    </xf>
    <xf numFmtId="0" fontId="44" fillId="0" borderId="0" xfId="0" applyFont="1" applyFill="1" applyBorder="1" applyAlignment="1" applyProtection="1">
      <alignment horizontal="center" vertical="center"/>
      <protection hidden="1"/>
    </xf>
    <xf numFmtId="0" fontId="1" fillId="5" borderId="0" xfId="0" applyFont="1" applyFill="1" applyBorder="1" applyAlignment="1" applyProtection="1">
      <alignment horizontal="center" vertical="center" wrapText="1"/>
      <protection hidden="1"/>
    </xf>
    <xf numFmtId="3" fontId="42" fillId="5" borderId="0" xfId="0" applyNumberFormat="1" applyFont="1" applyFill="1" applyBorder="1" applyAlignment="1" applyProtection="1">
      <alignment vertical="center"/>
      <protection hidden="1"/>
    </xf>
    <xf numFmtId="3" fontId="2" fillId="5" borderId="0" xfId="0" applyNumberFormat="1"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wrapText="1"/>
      <protection hidden="1"/>
    </xf>
    <xf numFmtId="0" fontId="1" fillId="6" borderId="6" xfId="0" applyFont="1" applyFill="1" applyBorder="1" applyAlignment="1" applyProtection="1">
      <alignment vertical="center"/>
      <protection hidden="1"/>
    </xf>
    <xf numFmtId="0" fontId="2" fillId="5" borderId="6" xfId="0" applyFont="1" applyFill="1" applyBorder="1" applyAlignment="1" applyProtection="1">
      <alignment horizontal="center" vertical="center"/>
      <protection hidden="1"/>
    </xf>
    <xf numFmtId="0" fontId="2" fillId="5" borderId="13" xfId="0" applyFont="1" applyFill="1" applyBorder="1" applyAlignment="1" applyProtection="1">
      <alignment horizontal="center" vertical="center"/>
      <protection hidden="1"/>
    </xf>
    <xf numFmtId="0" fontId="2" fillId="0" borderId="13" xfId="0" applyFont="1" applyFill="1" applyBorder="1" applyAlignment="1" applyProtection="1">
      <alignment horizontal="center" vertical="center"/>
      <protection hidden="1"/>
    </xf>
    <xf numFmtId="0" fontId="50" fillId="5" borderId="0" xfId="0" applyFont="1" applyFill="1" applyAlignment="1" applyProtection="1">
      <alignment vertical="center"/>
      <protection hidden="1"/>
    </xf>
    <xf numFmtId="0" fontId="2" fillId="5" borderId="6" xfId="0" applyFont="1" applyFill="1" applyBorder="1" applyAlignment="1" applyProtection="1">
      <alignment vertical="center"/>
      <protection hidden="1"/>
    </xf>
    <xf numFmtId="0" fontId="2" fillId="5" borderId="0" xfId="0" applyFont="1" applyFill="1" applyBorder="1" applyAlignment="1" applyProtection="1">
      <alignment vertical="center"/>
      <protection locked="0"/>
    </xf>
    <xf numFmtId="0" fontId="42" fillId="5" borderId="0" xfId="0" applyFont="1" applyFill="1" applyBorder="1" applyAlignment="1" applyProtection="1">
      <alignment horizontal="center" vertical="center"/>
      <protection locked="0"/>
    </xf>
    <xf numFmtId="0" fontId="61" fillId="5" borderId="0" xfId="0" applyFont="1" applyFill="1" applyBorder="1" applyAlignment="1" applyProtection="1">
      <alignment horizontal="justify" vertical="center" wrapText="1"/>
      <protection locked="0"/>
    </xf>
    <xf numFmtId="4" fontId="18" fillId="0" borderId="0" xfId="11" applyNumberFormat="1" applyFont="1" applyFill="1" applyAlignment="1" applyProtection="1">
      <alignment horizontal="center" vertical="center"/>
      <protection hidden="1"/>
    </xf>
    <xf numFmtId="4" fontId="18" fillId="0" borderId="0" xfId="11" applyNumberFormat="1" applyFont="1" applyFill="1" applyAlignment="1" applyProtection="1">
      <alignment horizontal="right" vertical="center"/>
      <protection hidden="1"/>
    </xf>
    <xf numFmtId="4" fontId="18" fillId="0" borderId="6" xfId="11" applyNumberFormat="1" applyFont="1" applyFill="1" applyBorder="1" applyAlignment="1" applyProtection="1">
      <alignment horizontal="center" vertical="center"/>
      <protection hidden="1"/>
    </xf>
    <xf numFmtId="4" fontId="18" fillId="0" borderId="6" xfId="3" applyNumberFormat="1" applyFont="1" applyFill="1" applyBorder="1" applyAlignment="1" applyProtection="1">
      <alignment horizontal="center" vertical="center"/>
      <protection hidden="1"/>
    </xf>
    <xf numFmtId="3" fontId="18" fillId="0" borderId="6" xfId="3" applyNumberFormat="1" applyFont="1" applyFill="1" applyBorder="1" applyAlignment="1" applyProtection="1">
      <alignment horizontal="center" vertical="center"/>
      <protection hidden="1"/>
    </xf>
    <xf numFmtId="4" fontId="18" fillId="0" borderId="5" xfId="11" applyNumberFormat="1" applyFont="1" applyFill="1" applyBorder="1" applyAlignment="1" applyProtection="1">
      <alignment vertical="center"/>
      <protection hidden="1"/>
    </xf>
    <xf numFmtId="4" fontId="18" fillId="0" borderId="3" xfId="11" applyNumberFormat="1" applyFont="1" applyFill="1" applyBorder="1" applyAlignment="1" applyProtection="1">
      <alignment vertical="center"/>
      <protection hidden="1"/>
    </xf>
    <xf numFmtId="4" fontId="18" fillId="0" borderId="3" xfId="11" applyNumberFormat="1" applyFont="1" applyFill="1" applyBorder="1" applyAlignment="1" applyProtection="1">
      <alignment horizontal="center" vertical="center"/>
      <protection hidden="1"/>
    </xf>
    <xf numFmtId="4" fontId="18" fillId="0" borderId="11" xfId="11" applyNumberFormat="1" applyFont="1" applyFill="1" applyBorder="1" applyAlignment="1" applyProtection="1">
      <alignment vertical="center"/>
      <protection hidden="1"/>
    </xf>
    <xf numFmtId="3" fontId="20" fillId="8" borderId="6" xfId="11" quotePrefix="1" applyNumberFormat="1" applyFont="1" applyFill="1" applyBorder="1" applyAlignment="1" applyProtection="1">
      <alignment horizontal="center" vertical="center"/>
      <protection hidden="1"/>
    </xf>
    <xf numFmtId="4" fontId="20" fillId="8" borderId="6" xfId="11" quotePrefix="1" applyNumberFormat="1" applyFont="1" applyFill="1" applyBorder="1" applyAlignment="1" applyProtection="1">
      <alignment horizontal="center" vertical="center"/>
      <protection hidden="1"/>
    </xf>
    <xf numFmtId="4" fontId="22" fillId="0" borderId="0" xfId="3" applyNumberFormat="1" applyFont="1" applyFill="1" applyBorder="1" applyAlignment="1" applyProtection="1">
      <alignment horizontal="left" vertical="center"/>
      <protection hidden="1"/>
    </xf>
    <xf numFmtId="4" fontId="22" fillId="0" borderId="0" xfId="3" applyNumberFormat="1" applyFont="1" applyFill="1" applyBorder="1" applyAlignment="1" applyProtection="1">
      <alignment horizontal="center" vertical="center"/>
      <protection hidden="1"/>
    </xf>
    <xf numFmtId="3" fontId="22" fillId="0" borderId="0" xfId="3" applyNumberFormat="1" applyFont="1" applyFill="1" applyBorder="1" applyAlignment="1" applyProtection="1">
      <alignment horizontal="left" vertical="center"/>
      <protection hidden="1"/>
    </xf>
    <xf numFmtId="4" fontId="18" fillId="0" borderId="0" xfId="11" quotePrefix="1" applyNumberFormat="1" applyFont="1" applyFill="1" applyAlignment="1" applyProtection="1">
      <alignment horizontal="center" vertical="center"/>
      <protection hidden="1"/>
    </xf>
    <xf numFmtId="4" fontId="18" fillId="0" borderId="0" xfId="3" applyNumberFormat="1" applyFont="1" applyFill="1" applyAlignment="1" applyProtection="1">
      <alignment vertical="center"/>
      <protection hidden="1"/>
    </xf>
    <xf numFmtId="4" fontId="18" fillId="0" borderId="0" xfId="3" applyNumberFormat="1" applyFont="1" applyFill="1" applyAlignment="1" applyProtection="1">
      <alignment horizontal="center" vertical="center"/>
      <protection hidden="1"/>
    </xf>
    <xf numFmtId="168" fontId="18" fillId="0" borderId="0" xfId="11" applyNumberFormat="1" applyFont="1" applyFill="1" applyAlignment="1" applyProtection="1">
      <alignment horizontal="center" vertical="center"/>
      <protection hidden="1"/>
    </xf>
    <xf numFmtId="4" fontId="23" fillId="0" borderId="0" xfId="11" applyNumberFormat="1" applyFont="1" applyFill="1" applyAlignment="1" applyProtection="1">
      <alignment horizontal="left" vertical="center"/>
      <protection hidden="1"/>
    </xf>
    <xf numFmtId="4" fontId="23" fillId="0" borderId="0" xfId="11" applyNumberFormat="1" applyFont="1" applyFill="1" applyAlignment="1" applyProtection="1">
      <alignment horizontal="center" vertical="center"/>
      <protection hidden="1"/>
    </xf>
    <xf numFmtId="4" fontId="18" fillId="0" borderId="0" xfId="11" applyNumberFormat="1" applyFont="1" applyFill="1" applyBorder="1" applyAlignment="1" applyProtection="1">
      <alignment horizontal="center" vertical="center"/>
      <protection hidden="1"/>
    </xf>
    <xf numFmtId="0" fontId="1" fillId="6" borderId="6" xfId="0" applyFont="1" applyFill="1" applyBorder="1" applyAlignment="1" applyProtection="1">
      <alignment horizontal="center" vertical="center" wrapText="1"/>
      <protection hidden="1"/>
    </xf>
    <xf numFmtId="0" fontId="2" fillId="5" borderId="0" xfId="0" applyFont="1" applyFill="1" applyBorder="1" applyAlignment="1" applyProtection="1">
      <alignment horizontal="center" vertical="center"/>
      <protection hidden="1"/>
    </xf>
    <xf numFmtId="3" fontId="42" fillId="0" borderId="0" xfId="0" applyNumberFormat="1" applyFont="1" applyFill="1" applyBorder="1" applyAlignment="1" applyProtection="1">
      <alignment horizontal="left" vertical="center"/>
      <protection locked="0"/>
    </xf>
    <xf numFmtId="0" fontId="1" fillId="6" borderId="6" xfId="0" applyFont="1" applyFill="1" applyBorder="1" applyAlignment="1" applyProtection="1">
      <alignment horizontal="center" vertical="center" wrapText="1"/>
      <protection hidden="1"/>
    </xf>
    <xf numFmtId="0" fontId="15" fillId="7" borderId="6"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1" fillId="11" borderId="6" xfId="0" applyFont="1" applyFill="1" applyBorder="1" applyAlignment="1" applyProtection="1">
      <alignment horizontal="center" vertical="center"/>
      <protection hidden="1"/>
    </xf>
    <xf numFmtId="0" fontId="2" fillId="0" borderId="6" xfId="0" applyFont="1" applyFill="1" applyBorder="1" applyAlignment="1" applyProtection="1">
      <alignment horizontal="center" vertical="center"/>
      <protection hidden="1"/>
    </xf>
    <xf numFmtId="0" fontId="2" fillId="5" borderId="0" xfId="0" applyFont="1" applyFill="1" applyAlignment="1" applyProtection="1">
      <alignment horizontal="left" vertical="center"/>
      <protection hidden="1"/>
    </xf>
    <xf numFmtId="2" fontId="18" fillId="2" borderId="6" xfId="3" applyNumberFormat="1" applyFont="1" applyFill="1" applyBorder="1" applyAlignment="1" applyProtection="1">
      <alignment horizontal="center" vertical="center"/>
      <protection hidden="1"/>
    </xf>
    <xf numFmtId="4" fontId="18" fillId="0" borderId="6" xfId="3" applyNumberFormat="1" applyFont="1" applyFill="1" applyBorder="1" applyAlignment="1" applyProtection="1">
      <alignment horizontal="center" vertical="center" wrapText="1"/>
      <protection hidden="1"/>
    </xf>
    <xf numFmtId="169" fontId="18" fillId="2" borderId="6" xfId="3" applyNumberFormat="1" applyFont="1" applyFill="1" applyBorder="1" applyAlignment="1" applyProtection="1">
      <alignment horizontal="center" vertical="center"/>
      <protection hidden="1"/>
    </xf>
    <xf numFmtId="1" fontId="18" fillId="2" borderId="6" xfId="3" applyNumberFormat="1" applyFont="1" applyFill="1" applyBorder="1" applyAlignment="1" applyProtection="1">
      <alignment horizontal="center" vertical="center"/>
      <protection hidden="1"/>
    </xf>
    <xf numFmtId="1" fontId="18" fillId="0" borderId="6" xfId="3" applyNumberFormat="1" applyFont="1" applyFill="1" applyBorder="1" applyAlignment="1" applyProtection="1">
      <alignment horizontal="center" vertical="center" wrapText="1"/>
      <protection hidden="1"/>
    </xf>
    <xf numFmtId="3" fontId="18" fillId="0" borderId="6" xfId="3" applyNumberFormat="1" applyFont="1" applyFill="1" applyBorder="1" applyAlignment="1" applyProtection="1">
      <alignment horizontal="center" vertical="center" wrapText="1"/>
      <protection hidden="1"/>
    </xf>
    <xf numFmtId="168" fontId="18" fillId="0" borderId="6" xfId="3" applyNumberFormat="1" applyFont="1" applyBorder="1" applyAlignment="1" applyProtection="1">
      <alignment horizontal="center" vertical="center"/>
      <protection hidden="1"/>
    </xf>
    <xf numFmtId="4" fontId="14" fillId="0" borderId="6" xfId="3" applyNumberFormat="1" applyFont="1" applyFill="1" applyBorder="1" applyAlignment="1" applyProtection="1">
      <alignment horizontal="center" vertical="center" wrapText="1"/>
      <protection hidden="1"/>
    </xf>
    <xf numFmtId="4" fontId="18" fillId="0" borderId="6" xfId="3" applyNumberFormat="1" applyFont="1" applyFill="1" applyBorder="1" applyAlignment="1" applyProtection="1">
      <alignment vertical="center" wrapText="1"/>
      <protection hidden="1"/>
    </xf>
    <xf numFmtId="4" fontId="14" fillId="0" borderId="6" xfId="3" applyNumberFormat="1" applyFont="1" applyFill="1" applyBorder="1" applyAlignment="1" applyProtection="1">
      <alignment horizontal="center" vertical="center"/>
      <protection hidden="1"/>
    </xf>
    <xf numFmtId="0" fontId="14" fillId="0" borderId="6" xfId="0" applyFont="1" applyBorder="1" applyAlignment="1" applyProtection="1">
      <alignment horizontal="left" vertical="center"/>
      <protection hidden="1"/>
    </xf>
    <xf numFmtId="0" fontId="14" fillId="0" borderId="6" xfId="0" applyFont="1" applyBorder="1" applyAlignment="1" applyProtection="1">
      <alignment horizontal="left" vertical="center" wrapText="1"/>
      <protection hidden="1"/>
    </xf>
    <xf numFmtId="0" fontId="14" fillId="0" borderId="6" xfId="0" applyFont="1" applyBorder="1" applyAlignment="1" applyProtection="1">
      <alignment horizontal="center" vertical="center" wrapText="1"/>
      <protection hidden="1"/>
    </xf>
    <xf numFmtId="4" fontId="18" fillId="0" borderId="6" xfId="3" applyNumberFormat="1" applyFont="1" applyFill="1" applyBorder="1" applyAlignment="1" applyProtection="1">
      <alignment horizontal="left" vertical="center" wrapText="1"/>
      <protection hidden="1"/>
    </xf>
    <xf numFmtId="0" fontId="14" fillId="0" borderId="6" xfId="0" applyFont="1" applyBorder="1" applyAlignment="1" applyProtection="1">
      <alignment horizontal="center" vertical="center"/>
      <protection hidden="1"/>
    </xf>
    <xf numFmtId="0" fontId="15" fillId="12" borderId="6" xfId="0" applyFont="1" applyFill="1" applyBorder="1" applyAlignment="1" applyProtection="1">
      <alignment horizontal="center" vertical="center"/>
      <protection locked="0"/>
    </xf>
    <xf numFmtId="0" fontId="15" fillId="5" borderId="7" xfId="0" applyFont="1" applyFill="1" applyBorder="1" applyAlignment="1" applyProtection="1">
      <alignment horizontal="center" vertical="center"/>
      <protection hidden="1"/>
    </xf>
    <xf numFmtId="0" fontId="15" fillId="5" borderId="7" xfId="0" applyFont="1" applyFill="1" applyBorder="1" applyAlignment="1" applyProtection="1">
      <alignment vertical="center"/>
      <protection hidden="1"/>
    </xf>
    <xf numFmtId="0" fontId="2" fillId="5" borderId="0" xfId="0" applyFont="1" applyFill="1" applyBorder="1" applyAlignment="1" applyProtection="1">
      <alignment horizontal="left" vertical="top" wrapText="1"/>
      <protection hidden="1"/>
    </xf>
    <xf numFmtId="0" fontId="1" fillId="5" borderId="0" xfId="0" applyFont="1" applyFill="1" applyBorder="1" applyAlignment="1" applyProtection="1">
      <alignment horizontal="left" vertical="top"/>
      <protection hidden="1"/>
    </xf>
    <xf numFmtId="0" fontId="0" fillId="0" borderId="6" xfId="0" applyFill="1" applyBorder="1" applyAlignment="1" applyProtection="1">
      <alignment horizontal="center" vertical="center"/>
      <protection hidden="1"/>
    </xf>
    <xf numFmtId="0" fontId="0" fillId="0" borderId="15" xfId="0" applyFill="1" applyBorder="1" applyAlignment="1" applyProtection="1">
      <alignment horizontal="center" vertical="center"/>
      <protection hidden="1"/>
    </xf>
    <xf numFmtId="0" fontId="1" fillId="0" borderId="6" xfId="0" applyFont="1" applyBorder="1" applyAlignment="1" applyProtection="1">
      <alignment vertical="center"/>
      <protection hidden="1"/>
    </xf>
    <xf numFmtId="3" fontId="42" fillId="5" borderId="0" xfId="0" applyNumberFormat="1" applyFont="1" applyFill="1" applyBorder="1" applyAlignment="1" applyProtection="1">
      <alignment horizontal="center" vertical="center"/>
      <protection hidden="1"/>
    </xf>
    <xf numFmtId="0" fontId="2" fillId="5" borderId="5" xfId="0" applyFont="1" applyFill="1" applyBorder="1" applyAlignment="1" applyProtection="1">
      <alignment vertical="center"/>
      <protection hidden="1"/>
    </xf>
    <xf numFmtId="0" fontId="0" fillId="5" borderId="3" xfId="0" applyFill="1" applyBorder="1" applyAlignment="1" applyProtection="1">
      <alignment vertical="center"/>
      <protection hidden="1"/>
    </xf>
    <xf numFmtId="0" fontId="0" fillId="5" borderId="0" xfId="0" applyFill="1" applyBorder="1" applyAlignment="1" applyProtection="1">
      <alignment vertical="center" wrapText="1"/>
      <protection hidden="1"/>
    </xf>
    <xf numFmtId="0" fontId="0" fillId="0" borderId="11" xfId="0" applyFill="1" applyBorder="1" applyAlignment="1" applyProtection="1">
      <alignment horizontal="center" vertical="center" wrapText="1"/>
      <protection locked="0"/>
    </xf>
    <xf numFmtId="0" fontId="0" fillId="0" borderId="6" xfId="0" applyFill="1" applyBorder="1" applyAlignment="1" applyProtection="1">
      <alignment horizontal="center" vertical="center" wrapText="1"/>
      <protection locked="0"/>
    </xf>
    <xf numFmtId="0" fontId="37" fillId="0" borderId="6" xfId="0" applyFont="1" applyBorder="1" applyAlignment="1" applyProtection="1">
      <alignment vertical="center"/>
      <protection hidden="1"/>
    </xf>
    <xf numFmtId="2" fontId="37" fillId="0" borderId="6" xfId="0" applyNumberFormat="1" applyFont="1" applyBorder="1" applyAlignment="1" applyProtection="1">
      <alignment horizontal="center" vertical="center"/>
      <protection hidden="1"/>
    </xf>
    <xf numFmtId="0" fontId="0" fillId="0" borderId="0" xfId="0" applyAlignment="1" applyProtection="1">
      <alignment vertical="center"/>
      <protection hidden="1"/>
    </xf>
    <xf numFmtId="0" fontId="0" fillId="0" borderId="0" xfId="0" applyAlignment="1" applyProtection="1">
      <alignment horizontal="center" vertical="center"/>
      <protection hidden="1"/>
    </xf>
    <xf numFmtId="0" fontId="37" fillId="0" borderId="0" xfId="0" applyFont="1" applyAlignment="1" applyProtection="1">
      <alignment vertical="center"/>
      <protection hidden="1"/>
    </xf>
    <xf numFmtId="0" fontId="0" fillId="10" borderId="6" xfId="0" applyFill="1" applyBorder="1" applyAlignment="1" applyProtection="1">
      <alignment horizontal="center" vertical="center"/>
      <protection hidden="1"/>
    </xf>
    <xf numFmtId="0" fontId="35" fillId="0" borderId="0" xfId="0" applyFont="1" applyAlignment="1" applyProtection="1">
      <alignment vertical="center"/>
      <protection hidden="1"/>
    </xf>
    <xf numFmtId="0" fontId="59" fillId="0" borderId="0" xfId="0" applyFont="1" applyAlignment="1" applyProtection="1">
      <alignment vertical="center"/>
      <protection hidden="1"/>
    </xf>
    <xf numFmtId="0" fontId="1" fillId="6" borderId="6"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2" fillId="0" borderId="6" xfId="0" applyFont="1" applyFill="1" applyBorder="1" applyAlignment="1" applyProtection="1">
      <alignment horizontal="center" vertical="center"/>
      <protection hidden="1"/>
    </xf>
    <xf numFmtId="0" fontId="2" fillId="0" borderId="6" xfId="0" applyFont="1" applyBorder="1" applyAlignment="1" applyProtection="1">
      <alignment horizontal="center" vertical="center"/>
      <protection hidden="1"/>
    </xf>
    <xf numFmtId="0" fontId="42" fillId="5" borderId="6" xfId="0" applyFont="1" applyFill="1" applyBorder="1" applyAlignment="1" applyProtection="1">
      <alignment horizontal="center" vertical="center"/>
      <protection hidden="1"/>
    </xf>
    <xf numFmtId="0" fontId="1" fillId="5" borderId="6" xfId="0" applyFont="1" applyFill="1" applyBorder="1" applyAlignment="1" applyProtection="1">
      <alignment vertical="center"/>
      <protection hidden="1"/>
    </xf>
    <xf numFmtId="168" fontId="2" fillId="5" borderId="6" xfId="0" applyNumberFormat="1" applyFont="1" applyFill="1" applyBorder="1" applyAlignment="1">
      <alignment vertical="center"/>
    </xf>
    <xf numFmtId="168" fontId="1" fillId="5" borderId="6" xfId="0" applyNumberFormat="1" applyFont="1" applyFill="1" applyBorder="1" applyAlignment="1" applyProtection="1">
      <alignment vertical="center"/>
      <protection hidden="1"/>
    </xf>
    <xf numFmtId="0" fontId="2" fillId="0" borderId="4" xfId="0" applyFont="1" applyFill="1" applyBorder="1" applyAlignment="1" applyProtection="1">
      <alignment horizontal="left" vertical="center"/>
      <protection hidden="1"/>
    </xf>
    <xf numFmtId="0" fontId="2" fillId="0" borderId="0" xfId="0" applyFont="1" applyFill="1" applyBorder="1" applyAlignment="1" applyProtection="1">
      <alignment horizontal="left" vertical="center" wrapText="1"/>
      <protection hidden="1"/>
    </xf>
    <xf numFmtId="0" fontId="2" fillId="0" borderId="9" xfId="0" applyFont="1" applyFill="1" applyBorder="1" applyAlignment="1" applyProtection="1">
      <alignment horizontal="left" vertical="center" wrapText="1"/>
      <protection hidden="1"/>
    </xf>
    <xf numFmtId="4" fontId="18" fillId="13" borderId="6" xfId="3" applyNumberFormat="1" applyFont="1" applyFill="1" applyBorder="1" applyAlignment="1" applyProtection="1">
      <alignment horizontal="center" vertical="center"/>
      <protection locked="0"/>
    </xf>
    <xf numFmtId="2" fontId="18" fillId="13" borderId="6" xfId="3" applyNumberFormat="1" applyFont="1" applyFill="1" applyBorder="1" applyAlignment="1" applyProtection="1">
      <alignment horizontal="center" vertical="center"/>
      <protection locked="0"/>
    </xf>
    <xf numFmtId="3" fontId="18" fillId="13" borderId="6" xfId="3" applyNumberFormat="1" applyFont="1" applyFill="1" applyBorder="1" applyAlignment="1" applyProtection="1">
      <alignment horizontal="center" vertical="center" wrapText="1"/>
      <protection locked="0"/>
    </xf>
    <xf numFmtId="4" fontId="18" fillId="13" borderId="6" xfId="3" applyNumberFormat="1" applyFont="1" applyFill="1" applyBorder="1" applyAlignment="1" applyProtection="1">
      <alignment horizontal="center" vertical="center" wrapText="1"/>
      <protection locked="0"/>
    </xf>
    <xf numFmtId="167" fontId="14" fillId="0" borderId="6" xfId="0" applyNumberFormat="1" applyFont="1" applyFill="1" applyBorder="1" applyAlignment="1" applyProtection="1">
      <alignment horizontal="center" vertical="center"/>
      <protection hidden="1"/>
    </xf>
    <xf numFmtId="0" fontId="2" fillId="13" borderId="6" xfId="0" applyFont="1" applyFill="1" applyBorder="1" applyAlignment="1" applyProtection="1">
      <alignment vertical="center"/>
      <protection locked="0"/>
    </xf>
    <xf numFmtId="2" fontId="0" fillId="13" borderId="6" xfId="0" applyNumberFormat="1" applyFill="1" applyBorder="1" applyAlignment="1" applyProtection="1">
      <alignment horizontal="center" vertical="center"/>
      <protection locked="0"/>
    </xf>
    <xf numFmtId="2" fontId="36" fillId="13" borderId="6" xfId="0" applyNumberFormat="1" applyFont="1" applyFill="1" applyBorder="1" applyAlignment="1" applyProtection="1">
      <alignment horizontal="center" vertical="center"/>
      <protection locked="0"/>
    </xf>
    <xf numFmtId="0" fontId="0" fillId="13" borderId="6" xfId="0" applyFill="1" applyBorder="1" applyAlignment="1" applyProtection="1">
      <alignment vertical="center"/>
      <protection locked="0"/>
    </xf>
    <xf numFmtId="2" fontId="60" fillId="13" borderId="6" xfId="0" applyNumberFormat="1" applyFont="1" applyFill="1" applyBorder="1" applyAlignment="1" applyProtection="1">
      <alignment horizontal="center" vertical="center"/>
      <protection locked="0"/>
    </xf>
    <xf numFmtId="4" fontId="14" fillId="13" borderId="6" xfId="0" applyNumberFormat="1" applyFont="1" applyFill="1" applyBorder="1" applyAlignment="1" applyProtection="1">
      <alignment horizontal="center" vertical="center"/>
      <protection locked="0"/>
    </xf>
    <xf numFmtId="166" fontId="14" fillId="13" borderId="6" xfId="0" applyNumberFormat="1" applyFont="1" applyFill="1" applyBorder="1" applyAlignment="1" applyProtection="1">
      <alignment horizontal="center" vertical="center"/>
      <protection locked="0"/>
    </xf>
    <xf numFmtId="0" fontId="2" fillId="0" borderId="0" xfId="0" applyFont="1" applyFill="1" applyBorder="1" applyAlignment="1" applyProtection="1">
      <alignment horizontal="center" vertical="center"/>
      <protection hidden="1"/>
    </xf>
    <xf numFmtId="9" fontId="14" fillId="0" borderId="6" xfId="12" applyNumberFormat="1" applyFont="1" applyFill="1" applyBorder="1" applyAlignment="1" applyProtection="1">
      <alignment horizontal="center" vertical="center" wrapText="1"/>
      <protection hidden="1"/>
    </xf>
    <xf numFmtId="0" fontId="2" fillId="0" borderId="6" xfId="0" applyFont="1" applyFill="1" applyBorder="1" applyAlignment="1" applyProtection="1">
      <alignment horizontal="center" vertical="center"/>
      <protection hidden="1"/>
    </xf>
    <xf numFmtId="0" fontId="42" fillId="13" borderId="3" xfId="0" applyFont="1" applyFill="1" applyBorder="1" applyAlignment="1">
      <alignment vertical="center"/>
    </xf>
    <xf numFmtId="0" fontId="42" fillId="13" borderId="3" xfId="0" applyFont="1" applyFill="1" applyBorder="1" applyAlignment="1" applyProtection="1">
      <alignment vertical="center"/>
      <protection locked="0"/>
    </xf>
    <xf numFmtId="0" fontId="42" fillId="13" borderId="11" xfId="0" applyFont="1" applyFill="1" applyBorder="1" applyAlignment="1">
      <alignment vertical="center"/>
    </xf>
    <xf numFmtId="0" fontId="42" fillId="13" borderId="5" xfId="0" applyFont="1" applyFill="1" applyBorder="1" applyAlignment="1" applyProtection="1">
      <alignment vertical="center"/>
      <protection locked="0"/>
    </xf>
    <xf numFmtId="0" fontId="42" fillId="13" borderId="6" xfId="0" applyFont="1" applyFill="1" applyBorder="1" applyAlignment="1" applyProtection="1">
      <alignment horizontal="center" vertical="center"/>
      <protection locked="0"/>
    </xf>
    <xf numFmtId="168" fontId="42" fillId="13" borderId="6" xfId="0" applyNumberFormat="1" applyFont="1" applyFill="1" applyBorder="1" applyAlignment="1" applyProtection="1">
      <alignment horizontal="center" vertical="center"/>
      <protection locked="0"/>
    </xf>
    <xf numFmtId="172" fontId="42" fillId="13" borderId="6" xfId="2" applyNumberFormat="1" applyFont="1" applyFill="1" applyBorder="1" applyAlignment="1" applyProtection="1">
      <alignment horizontal="left" vertical="center"/>
      <protection locked="0"/>
    </xf>
    <xf numFmtId="3" fontId="42" fillId="13" borderId="15" xfId="0" applyNumberFormat="1" applyFont="1" applyFill="1" applyBorder="1" applyAlignment="1" applyProtection="1">
      <alignment horizontal="center" vertical="center"/>
      <protection locked="0"/>
    </xf>
    <xf numFmtId="3" fontId="42" fillId="13" borderId="6" xfId="0" applyNumberFormat="1" applyFont="1" applyFill="1" applyBorder="1" applyAlignment="1" applyProtection="1">
      <alignment horizontal="center" vertical="center"/>
      <protection locked="0"/>
    </xf>
    <xf numFmtId="49" fontId="42" fillId="13" borderId="6" xfId="0" applyNumberFormat="1" applyFont="1" applyFill="1" applyBorder="1" applyAlignment="1" applyProtection="1">
      <alignment horizontal="center" vertical="center"/>
      <protection locked="0"/>
    </xf>
    <xf numFmtId="0" fontId="42" fillId="13" borderId="6" xfId="0" applyFont="1" applyFill="1" applyBorder="1" applyAlignment="1" applyProtection="1">
      <alignment horizontal="left" vertical="center"/>
      <protection locked="0"/>
    </xf>
    <xf numFmtId="3" fontId="42" fillId="13" borderId="6" xfId="0" applyNumberFormat="1" applyFont="1" applyFill="1" applyBorder="1" applyAlignment="1" applyProtection="1">
      <alignment horizontal="left" vertical="center"/>
      <protection locked="0"/>
    </xf>
    <xf numFmtId="0" fontId="42" fillId="13" borderId="6" xfId="0" applyFont="1" applyFill="1" applyBorder="1" applyAlignment="1" applyProtection="1">
      <alignment horizontal="justify" vertical="center" wrapText="1"/>
      <protection locked="0"/>
    </xf>
    <xf numFmtId="0" fontId="42" fillId="13" borderId="6" xfId="0" applyFont="1" applyFill="1" applyBorder="1" applyAlignment="1" applyProtection="1">
      <alignment vertical="center"/>
      <protection locked="0"/>
    </xf>
    <xf numFmtId="0" fontId="42" fillId="13" borderId="6" xfId="0" applyFont="1" applyFill="1" applyBorder="1" applyAlignment="1" applyProtection="1">
      <alignment horizontal="center" vertical="center" wrapText="1"/>
      <protection locked="0"/>
    </xf>
    <xf numFmtId="171" fontId="42" fillId="13" borderId="6" xfId="0" applyNumberFormat="1" applyFont="1" applyFill="1" applyBorder="1" applyAlignment="1" applyProtection="1">
      <alignment horizontal="center" vertical="center" wrapText="1"/>
      <protection locked="0"/>
    </xf>
    <xf numFmtId="0" fontId="42" fillId="13" borderId="6" xfId="0" applyFont="1" applyFill="1" applyBorder="1" applyAlignment="1" applyProtection="1">
      <alignment horizontal="center"/>
      <protection locked="0"/>
    </xf>
    <xf numFmtId="0" fontId="42" fillId="13" borderId="6" xfId="0" applyFont="1" applyFill="1" applyBorder="1" applyAlignment="1" applyProtection="1">
      <alignment vertical="center" wrapText="1"/>
      <protection locked="0"/>
    </xf>
    <xf numFmtId="3" fontId="42" fillId="13" borderId="6" xfId="0" applyNumberFormat="1" applyFont="1" applyFill="1" applyBorder="1" applyAlignment="1" applyProtection="1">
      <alignment vertical="center" wrapText="1"/>
      <protection locked="0"/>
    </xf>
    <xf numFmtId="3" fontId="42" fillId="13" borderId="6" xfId="0" applyNumberFormat="1" applyFont="1" applyFill="1" applyBorder="1" applyAlignment="1" applyProtection="1">
      <alignment horizontal="center" vertical="center" wrapText="1"/>
      <protection locked="0"/>
    </xf>
    <xf numFmtId="0" fontId="42" fillId="13" borderId="3" xfId="0" applyFont="1" applyFill="1" applyBorder="1" applyAlignment="1" applyProtection="1">
      <alignment vertical="center"/>
    </xf>
    <xf numFmtId="0" fontId="63" fillId="13" borderId="6" xfId="0" applyFont="1" applyFill="1" applyBorder="1" applyAlignment="1" applyProtection="1">
      <alignment horizontal="left" vertical="center" wrapText="1"/>
      <protection locked="0"/>
    </xf>
    <xf numFmtId="0" fontId="63" fillId="13" borderId="6" xfId="0" applyFont="1" applyFill="1" applyBorder="1" applyAlignment="1" applyProtection="1">
      <alignment vertical="center" wrapText="1"/>
      <protection locked="0"/>
    </xf>
    <xf numFmtId="0" fontId="2" fillId="13" borderId="13" xfId="0" applyFont="1" applyFill="1" applyBorder="1" applyAlignment="1" applyProtection="1">
      <alignment horizontal="center" vertical="center"/>
      <protection locked="0"/>
    </xf>
    <xf numFmtId="9" fontId="42" fillId="13" borderId="15" xfId="0" applyNumberFormat="1" applyFont="1" applyFill="1" applyBorder="1" applyAlignment="1" applyProtection="1">
      <alignment horizontal="center" vertical="center"/>
      <protection locked="0"/>
    </xf>
    <xf numFmtId="0" fontId="2" fillId="13" borderId="6" xfId="0" applyFont="1" applyFill="1" applyBorder="1" applyAlignment="1" applyProtection="1">
      <alignment horizontal="center" vertical="center" wrapText="1"/>
      <protection locked="0"/>
    </xf>
    <xf numFmtId="2" fontId="2" fillId="0" borderId="6" xfId="0" applyNumberFormat="1" applyFont="1" applyFill="1" applyBorder="1" applyAlignment="1" applyProtection="1">
      <alignment horizontal="center" vertical="center"/>
      <protection hidden="1"/>
    </xf>
    <xf numFmtId="1" fontId="2" fillId="0" borderId="6" xfId="0" applyNumberFormat="1" applyFont="1" applyFill="1" applyBorder="1" applyAlignment="1" applyProtection="1">
      <alignment horizontal="center" vertical="center"/>
      <protection hidden="1"/>
    </xf>
    <xf numFmtId="0" fontId="42" fillId="13" borderId="13" xfId="0" applyFont="1" applyFill="1" applyBorder="1" applyAlignment="1" applyProtection="1">
      <alignment horizontal="center" vertical="center"/>
      <protection locked="0"/>
    </xf>
    <xf numFmtId="0" fontId="42" fillId="13" borderId="6" xfId="0" applyNumberFormat="1" applyFont="1" applyFill="1" applyBorder="1" applyAlignment="1" applyProtection="1">
      <alignment horizontal="left" vertical="center" wrapText="1"/>
      <protection locked="0"/>
    </xf>
    <xf numFmtId="168" fontId="2" fillId="13" borderId="6" xfId="0" applyNumberFormat="1" applyFont="1" applyFill="1" applyBorder="1" applyAlignment="1" applyProtection="1">
      <alignment horizontal="center" vertical="center"/>
      <protection locked="0"/>
    </xf>
    <xf numFmtId="0" fontId="42" fillId="13" borderId="6" xfId="0" applyFont="1" applyFill="1" applyBorder="1" applyAlignment="1" applyProtection="1">
      <alignment vertical="center" wrapText="1"/>
      <protection hidden="1"/>
    </xf>
    <xf numFmtId="0" fontId="0" fillId="13" borderId="6" xfId="0" applyFill="1" applyBorder="1" applyAlignment="1" applyProtection="1">
      <alignment vertical="center"/>
      <protection hidden="1"/>
    </xf>
    <xf numFmtId="168" fontId="1" fillId="13" borderId="6" xfId="0" applyNumberFormat="1" applyFont="1" applyFill="1" applyBorder="1" applyAlignment="1" applyProtection="1">
      <alignment horizontal="center" vertical="center"/>
      <protection locked="0"/>
    </xf>
    <xf numFmtId="14" fontId="42" fillId="13" borderId="6" xfId="0" applyNumberFormat="1" applyFont="1" applyFill="1" applyBorder="1" applyAlignment="1" applyProtection="1">
      <alignment horizontal="center" vertical="center"/>
      <protection locked="0"/>
    </xf>
    <xf numFmtId="9" fontId="2" fillId="5" borderId="6" xfId="0" applyNumberFormat="1" applyFont="1" applyFill="1" applyBorder="1" applyAlignment="1" applyProtection="1">
      <alignment horizontal="center" vertical="center"/>
      <protection hidden="1"/>
    </xf>
    <xf numFmtId="9" fontId="42" fillId="13" borderId="6" xfId="0" applyNumberFormat="1" applyFont="1" applyFill="1" applyBorder="1" applyAlignment="1" applyProtection="1">
      <alignment horizontal="center" vertical="center"/>
      <protection locked="0"/>
    </xf>
    <xf numFmtId="0" fontId="0" fillId="13" borderId="11" xfId="0" applyFill="1" applyBorder="1" applyAlignment="1" applyProtection="1">
      <alignment vertical="center"/>
      <protection locked="0"/>
    </xf>
    <xf numFmtId="0" fontId="0" fillId="13" borderId="6" xfId="0" applyFill="1" applyBorder="1" applyAlignment="1" applyProtection="1">
      <alignment vertical="center" wrapText="1"/>
      <protection locked="0"/>
    </xf>
    <xf numFmtId="0" fontId="0" fillId="13" borderId="6" xfId="0" applyFill="1" applyBorder="1" applyAlignment="1" applyProtection="1">
      <alignment horizontal="center" vertical="center" wrapText="1"/>
      <protection locked="0"/>
    </xf>
    <xf numFmtId="168" fontId="2" fillId="13" borderId="6" xfId="0" applyNumberFormat="1" applyFont="1" applyFill="1" applyBorder="1" applyAlignment="1" applyProtection="1">
      <alignment vertical="center"/>
      <protection locked="0"/>
    </xf>
    <xf numFmtId="0" fontId="42" fillId="0" borderId="6" xfId="0" applyFont="1" applyFill="1" applyBorder="1" applyAlignment="1" applyProtection="1">
      <alignment horizontal="center" vertical="center"/>
      <protection hidden="1"/>
    </xf>
    <xf numFmtId="0" fontId="2" fillId="0" borderId="0" xfId="0" applyFont="1" applyFill="1" applyBorder="1" applyAlignment="1">
      <alignment horizontal="left" vertical="center" wrapText="1"/>
    </xf>
    <xf numFmtId="0" fontId="42" fillId="0" borderId="0" xfId="0" applyFont="1" applyFill="1" applyBorder="1" applyAlignment="1">
      <alignment horizontal="left" vertical="center"/>
    </xf>
    <xf numFmtId="0" fontId="42" fillId="0" borderId="0" xfId="0" applyFont="1" applyFill="1" applyBorder="1" applyAlignment="1">
      <alignment horizontal="center" vertical="center"/>
    </xf>
    <xf numFmtId="0" fontId="2" fillId="5" borderId="0" xfId="0" applyFont="1" applyFill="1" applyBorder="1" applyAlignment="1">
      <alignment horizontal="left" vertical="center" wrapText="1"/>
    </xf>
    <xf numFmtId="0" fontId="2" fillId="0" borderId="0" xfId="0" applyFont="1" applyFill="1" applyBorder="1" applyAlignment="1">
      <alignment horizontal="left" vertical="center"/>
    </xf>
    <xf numFmtId="0" fontId="2" fillId="5" borderId="0" xfId="0" applyFont="1" applyFill="1" applyBorder="1" applyAlignment="1">
      <alignment horizontal="center" vertical="center"/>
    </xf>
    <xf numFmtId="0" fontId="42" fillId="5" borderId="0" xfId="0" applyFont="1" applyFill="1" applyBorder="1" applyAlignment="1">
      <alignment horizontal="left" vertical="center"/>
    </xf>
    <xf numFmtId="0" fontId="2" fillId="5" borderId="0" xfId="0" applyFont="1" applyFill="1" applyBorder="1" applyAlignment="1">
      <alignment horizontal="left" vertical="center"/>
    </xf>
    <xf numFmtId="0" fontId="2" fillId="5" borderId="0" xfId="0" applyFont="1" applyFill="1" applyBorder="1" applyAlignment="1" applyProtection="1">
      <alignment horizontal="center" vertical="center"/>
      <protection hidden="1"/>
    </xf>
    <xf numFmtId="0" fontId="2" fillId="0" borderId="0" xfId="0" applyFont="1" applyFill="1" applyBorder="1" applyAlignment="1" applyProtection="1">
      <alignment horizontal="left" vertical="center" wrapText="1"/>
      <protection hidden="1"/>
    </xf>
    <xf numFmtId="0" fontId="2" fillId="11" borderId="6" xfId="0" applyFont="1" applyFill="1" applyBorder="1" applyAlignment="1">
      <alignment horizontal="left" vertical="center" wrapText="1"/>
    </xf>
    <xf numFmtId="0" fontId="1" fillId="11" borderId="6" xfId="0" applyFont="1" applyFill="1" applyBorder="1" applyAlignment="1">
      <alignment horizontal="left" vertical="center" wrapText="1"/>
    </xf>
    <xf numFmtId="168" fontId="2" fillId="0" borderId="0" xfId="0" applyNumberFormat="1" applyFont="1" applyFill="1" applyBorder="1" applyAlignment="1">
      <alignment horizontal="center" vertical="center"/>
    </xf>
    <xf numFmtId="0" fontId="2" fillId="11" borderId="6" xfId="0" applyFont="1" applyFill="1" applyBorder="1" applyAlignment="1">
      <alignment horizontal="center" vertical="center"/>
    </xf>
    <xf numFmtId="4" fontId="42" fillId="5" borderId="0" xfId="0" applyNumberFormat="1" applyFont="1" applyFill="1" applyBorder="1" applyAlignment="1">
      <alignment horizontal="center" vertical="center"/>
    </xf>
    <xf numFmtId="168" fontId="2" fillId="5" borderId="0" xfId="0" applyNumberFormat="1" applyFont="1" applyFill="1" applyBorder="1" applyAlignment="1">
      <alignment horizontal="center" vertical="center"/>
    </xf>
    <xf numFmtId="0" fontId="42" fillId="0" borderId="0" xfId="0" applyFont="1" applyFill="1" applyAlignment="1">
      <alignment vertical="center"/>
    </xf>
    <xf numFmtId="168" fontId="42" fillId="0" borderId="0" xfId="0" applyNumberFormat="1" applyFont="1" applyFill="1" applyBorder="1" applyAlignment="1">
      <alignment horizontal="center" vertical="center"/>
    </xf>
    <xf numFmtId="168" fontId="44" fillId="5" borderId="0" xfId="0" applyNumberFormat="1" applyFont="1" applyFill="1" applyAlignment="1">
      <alignment vertical="center"/>
    </xf>
    <xf numFmtId="0" fontId="42" fillId="5" borderId="0" xfId="0" applyFont="1" applyFill="1" applyAlignment="1">
      <alignment horizontal="center" vertical="center" wrapText="1"/>
    </xf>
    <xf numFmtId="168" fontId="42" fillId="5" borderId="0" xfId="0" applyNumberFormat="1" applyFont="1" applyFill="1" applyAlignment="1">
      <alignment vertical="center"/>
    </xf>
    <xf numFmtId="0" fontId="2" fillId="11" borderId="6" xfId="0" applyFont="1" applyFill="1" applyBorder="1" applyAlignment="1" applyProtection="1">
      <alignment horizontal="left" vertical="center" wrapText="1"/>
      <protection hidden="1"/>
    </xf>
    <xf numFmtId="0" fontId="1" fillId="11" borderId="6" xfId="0" applyFont="1" applyFill="1" applyBorder="1" applyAlignment="1" applyProtection="1">
      <alignment horizontal="left" vertical="center" wrapText="1"/>
      <protection hidden="1"/>
    </xf>
    <xf numFmtId="0" fontId="2" fillId="11" borderId="6" xfId="0" applyFont="1" applyFill="1" applyBorder="1" applyAlignment="1" applyProtection="1">
      <alignment horizontal="center" vertical="center"/>
      <protection hidden="1"/>
    </xf>
    <xf numFmtId="0" fontId="46" fillId="5" borderId="0" xfId="0" applyFont="1" applyFill="1" applyBorder="1" applyAlignment="1" applyProtection="1">
      <alignment vertical="center"/>
      <protection hidden="1"/>
    </xf>
    <xf numFmtId="168" fontId="1" fillId="5" borderId="0" xfId="0" applyNumberFormat="1" applyFont="1" applyFill="1" applyBorder="1" applyAlignment="1" applyProtection="1">
      <alignment horizontal="center" vertical="center"/>
      <protection hidden="1"/>
    </xf>
    <xf numFmtId="168" fontId="2" fillId="0" borderId="0" xfId="0" applyNumberFormat="1" applyFont="1" applyFill="1" applyBorder="1" applyAlignment="1" applyProtection="1">
      <alignment horizontal="center" vertical="center"/>
      <protection hidden="1"/>
    </xf>
    <xf numFmtId="0" fontId="2" fillId="11" borderId="6" xfId="0" applyFont="1" applyFill="1" applyBorder="1" applyAlignment="1" applyProtection="1">
      <alignment horizontal="left" vertical="center" wrapText="1"/>
      <protection locked="0"/>
    </xf>
    <xf numFmtId="0" fontId="1" fillId="11" borderId="6" xfId="0" applyFont="1" applyFill="1" applyBorder="1" applyAlignment="1" applyProtection="1">
      <alignment horizontal="left" vertical="center" wrapText="1"/>
      <protection locked="0"/>
    </xf>
    <xf numFmtId="0" fontId="2" fillId="5" borderId="0" xfId="0" applyFont="1" applyFill="1" applyBorder="1" applyAlignment="1" applyProtection="1">
      <alignment horizontal="left" vertical="center"/>
      <protection locked="0"/>
    </xf>
    <xf numFmtId="0" fontId="1" fillId="5" borderId="0" xfId="0" applyFont="1" applyFill="1" applyAlignment="1" applyProtection="1">
      <alignment vertical="center"/>
      <protection locked="0"/>
    </xf>
    <xf numFmtId="0" fontId="2" fillId="0" borderId="0" xfId="0" applyFont="1" applyFill="1" applyAlignment="1" applyProtection="1">
      <alignment vertical="center"/>
      <protection locked="0"/>
    </xf>
    <xf numFmtId="0" fontId="1" fillId="11" borderId="6" xfId="0" applyFont="1" applyFill="1" applyBorder="1" applyAlignment="1" applyProtection="1">
      <alignment horizontal="center" vertical="center" wrapText="1"/>
      <protection locked="0"/>
    </xf>
    <xf numFmtId="0" fontId="1" fillId="11" borderId="6" xfId="0" applyFont="1" applyFill="1" applyBorder="1" applyAlignment="1" applyProtection="1">
      <alignment vertical="center"/>
      <protection locked="0"/>
    </xf>
    <xf numFmtId="0" fontId="1" fillId="11" borderId="6" xfId="0" applyFont="1" applyFill="1" applyBorder="1" applyAlignment="1" applyProtection="1">
      <alignment horizontal="left" vertical="center"/>
      <protection locked="0"/>
    </xf>
    <xf numFmtId="0" fontId="10" fillId="11" borderId="6" xfId="0" applyFont="1" applyFill="1" applyBorder="1" applyAlignment="1" applyProtection="1">
      <alignment horizontal="center" vertical="center" wrapText="1"/>
      <protection hidden="1"/>
    </xf>
    <xf numFmtId="0" fontId="1" fillId="11" borderId="6" xfId="0" applyFont="1" applyFill="1" applyBorder="1" applyAlignment="1" applyProtection="1">
      <alignment horizontal="left" vertical="center"/>
      <protection hidden="1"/>
    </xf>
    <xf numFmtId="168" fontId="2" fillId="5" borderId="6" xfId="0" applyNumberFormat="1" applyFont="1" applyFill="1" applyBorder="1" applyAlignment="1" applyProtection="1">
      <alignment horizontal="center" vertical="center"/>
      <protection hidden="1"/>
    </xf>
    <xf numFmtId="168" fontId="1" fillId="5" borderId="6" xfId="0" applyNumberFormat="1" applyFont="1" applyFill="1" applyBorder="1" applyAlignment="1" applyProtection="1">
      <alignment horizontal="center" vertical="center"/>
      <protection hidden="1"/>
    </xf>
    <xf numFmtId="170" fontId="2" fillId="5" borderId="6" xfId="13" applyNumberFormat="1" applyFont="1" applyFill="1" applyBorder="1" applyAlignment="1" applyProtection="1">
      <alignment horizontal="center" vertical="center"/>
      <protection hidden="1"/>
    </xf>
    <xf numFmtId="0" fontId="42" fillId="12" borderId="6" xfId="0" applyFont="1" applyFill="1" applyBorder="1" applyAlignment="1" applyProtection="1">
      <alignment horizontal="center" vertical="center"/>
      <protection locked="0"/>
    </xf>
    <xf numFmtId="171" fontId="42" fillId="12" borderId="6" xfId="0" applyNumberFormat="1" applyFont="1" applyFill="1" applyBorder="1" applyAlignment="1" applyProtection="1">
      <alignment horizontal="center" vertical="center"/>
      <protection locked="0"/>
    </xf>
    <xf numFmtId="168" fontId="42" fillId="12" borderId="6" xfId="0" applyNumberFormat="1" applyFont="1" applyFill="1" applyBorder="1" applyAlignment="1" applyProtection="1">
      <alignment horizontal="center" vertical="center"/>
      <protection locked="0"/>
    </xf>
    <xf numFmtId="4" fontId="42" fillId="12" borderId="6" xfId="0" applyNumberFormat="1" applyFont="1" applyFill="1" applyBorder="1" applyAlignment="1" applyProtection="1">
      <alignment horizontal="center" vertical="center"/>
      <protection locked="0"/>
    </xf>
    <xf numFmtId="170" fontId="2" fillId="5" borderId="6" xfId="0" applyNumberFormat="1" applyFont="1" applyFill="1" applyBorder="1" applyAlignment="1" applyProtection="1">
      <alignment horizontal="center" vertical="center"/>
      <protection hidden="1"/>
    </xf>
    <xf numFmtId="0" fontId="42" fillId="0" borderId="1" xfId="0" applyFont="1" applyBorder="1" applyAlignment="1">
      <alignment horizontal="left" vertical="center" wrapText="1"/>
    </xf>
    <xf numFmtId="0" fontId="42" fillId="0" borderId="7" xfId="0" applyFont="1" applyBorder="1" applyAlignment="1">
      <alignment horizontal="left" vertical="center" wrapText="1"/>
    </xf>
    <xf numFmtId="0" fontId="42" fillId="0" borderId="8" xfId="0" applyFont="1" applyBorder="1" applyAlignment="1">
      <alignment horizontal="left" vertical="center" wrapText="1"/>
    </xf>
    <xf numFmtId="0" fontId="42" fillId="0" borderId="4" xfId="0" applyFont="1" applyBorder="1" applyAlignment="1">
      <alignment horizontal="left" vertical="center" wrapText="1"/>
    </xf>
    <xf numFmtId="0" fontId="42" fillId="0" borderId="0" xfId="0" applyFont="1" applyBorder="1" applyAlignment="1">
      <alignment horizontal="left" vertical="center" wrapText="1"/>
    </xf>
    <xf numFmtId="0" fontId="42" fillId="0" borderId="9" xfId="0" applyFont="1" applyBorder="1" applyAlignment="1">
      <alignment horizontal="left" vertical="center" wrapText="1"/>
    </xf>
    <xf numFmtId="0" fontId="42" fillId="0" borderId="2" xfId="0" applyFont="1" applyBorder="1" applyAlignment="1">
      <alignment horizontal="left" vertical="center" wrapText="1"/>
    </xf>
    <xf numFmtId="0" fontId="42" fillId="0" borderId="12" xfId="0" applyFont="1" applyBorder="1" applyAlignment="1">
      <alignment horizontal="left" vertical="center" wrapText="1"/>
    </xf>
    <xf numFmtId="0" fontId="42" fillId="0" borderId="10" xfId="0" applyFont="1" applyBorder="1" applyAlignment="1">
      <alignment horizontal="left" vertical="center" wrapText="1"/>
    </xf>
    <xf numFmtId="0" fontId="2" fillId="0" borderId="7" xfId="0" applyFont="1" applyBorder="1" applyAlignment="1">
      <alignment horizontal="center" vertical="center"/>
    </xf>
    <xf numFmtId="0" fontId="1" fillId="6" borderId="5" xfId="0" applyFont="1" applyFill="1" applyBorder="1" applyAlignment="1">
      <alignment horizontal="center" vertical="center" wrapText="1"/>
    </xf>
    <xf numFmtId="0" fontId="1" fillId="6" borderId="11" xfId="0" applyFont="1" applyFill="1" applyBorder="1" applyAlignment="1">
      <alignment horizontal="center" vertical="center" wrapText="1"/>
    </xf>
    <xf numFmtId="0" fontId="42" fillId="0" borderId="5" xfId="0" applyFont="1" applyBorder="1" applyAlignment="1">
      <alignment horizontal="center" vertical="center" wrapText="1"/>
    </xf>
    <xf numFmtId="0" fontId="42" fillId="0" borderId="3"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4" xfId="0" applyFont="1" applyBorder="1" applyAlignment="1">
      <alignment horizontal="left" vertical="center"/>
    </xf>
    <xf numFmtId="0" fontId="42" fillId="0" borderId="0" xfId="0" applyFont="1" applyBorder="1" applyAlignment="1">
      <alignment horizontal="left" vertical="center"/>
    </xf>
    <xf numFmtId="0" fontId="42" fillId="0" borderId="9" xfId="0" applyFont="1" applyBorder="1" applyAlignment="1">
      <alignment horizontal="left" vertical="center"/>
    </xf>
    <xf numFmtId="0" fontId="42" fillId="0" borderId="2" xfId="0" applyFont="1" applyBorder="1" applyAlignment="1">
      <alignment horizontal="left" vertical="center"/>
    </xf>
    <xf numFmtId="0" fontId="42" fillId="0" borderId="12" xfId="0" applyFont="1" applyBorder="1" applyAlignment="1">
      <alignment horizontal="left" vertical="center"/>
    </xf>
    <xf numFmtId="0" fontId="42" fillId="0" borderId="10" xfId="0" applyFont="1" applyBorder="1" applyAlignment="1">
      <alignment horizontal="left" vertical="center"/>
    </xf>
    <xf numFmtId="0" fontId="42" fillId="0" borderId="2" xfId="0" applyFont="1" applyFill="1" applyBorder="1" applyAlignment="1">
      <alignment horizontal="left" vertical="center" wrapText="1"/>
    </xf>
    <xf numFmtId="0" fontId="42" fillId="0" borderId="12" xfId="0" applyFont="1" applyFill="1" applyBorder="1" applyAlignment="1">
      <alignment horizontal="left" vertical="center" wrapText="1"/>
    </xf>
    <xf numFmtId="0" fontId="42" fillId="0" borderId="10" xfId="0" applyFont="1" applyFill="1" applyBorder="1" applyAlignment="1">
      <alignment horizontal="left" vertical="center" wrapText="1"/>
    </xf>
    <xf numFmtId="0" fontId="7" fillId="4" borderId="0" xfId="0" applyFont="1" applyFill="1" applyBorder="1" applyAlignment="1">
      <alignment horizontal="left" vertical="center"/>
    </xf>
    <xf numFmtId="0" fontId="42" fillId="0" borderId="5" xfId="0" applyFont="1" applyFill="1" applyBorder="1" applyAlignment="1">
      <alignment horizontal="left" vertical="center" wrapText="1"/>
    </xf>
    <xf numFmtId="0" fontId="42" fillId="0" borderId="3" xfId="0" applyFont="1" applyFill="1" applyBorder="1" applyAlignment="1">
      <alignment horizontal="left" vertical="center" wrapText="1"/>
    </xf>
    <xf numFmtId="0" fontId="42" fillId="0" borderId="11" xfId="0" applyFont="1" applyFill="1" applyBorder="1" applyAlignment="1">
      <alignment horizontal="left" vertical="center" wrapText="1"/>
    </xf>
    <xf numFmtId="0" fontId="1" fillId="6" borderId="3" xfId="0" applyFont="1" applyFill="1" applyBorder="1" applyAlignment="1">
      <alignment horizontal="center" vertical="center" wrapText="1"/>
    </xf>
    <xf numFmtId="0" fontId="42" fillId="0" borderId="5" xfId="0" applyFont="1" applyBorder="1" applyAlignment="1">
      <alignment horizontal="left" vertical="center" wrapText="1"/>
    </xf>
    <xf numFmtId="0" fontId="42" fillId="0" borderId="3" xfId="0" applyFont="1" applyBorder="1" applyAlignment="1">
      <alignment horizontal="left" vertical="center" wrapText="1"/>
    </xf>
    <xf numFmtId="0" fontId="42" fillId="0" borderId="11" xfId="0" applyFont="1" applyBorder="1" applyAlignment="1">
      <alignment horizontal="left" vertical="center" wrapText="1"/>
    </xf>
    <xf numFmtId="0" fontId="2" fillId="6" borderId="5" xfId="0" applyFont="1" applyFill="1" applyBorder="1" applyAlignment="1">
      <alignment horizontal="left" vertical="center"/>
    </xf>
    <xf numFmtId="0" fontId="2" fillId="6" borderId="3" xfId="0" applyFont="1" applyFill="1" applyBorder="1" applyAlignment="1">
      <alignment horizontal="left" vertical="center"/>
    </xf>
    <xf numFmtId="0" fontId="2" fillId="6" borderId="11" xfId="0" applyFont="1" applyFill="1" applyBorder="1" applyAlignment="1">
      <alignment horizontal="left" vertical="center"/>
    </xf>
    <xf numFmtId="0" fontId="42" fillId="0" borderId="5" xfId="0" applyFont="1" applyBorder="1" applyAlignment="1">
      <alignment horizontal="left" vertical="center"/>
    </xf>
    <xf numFmtId="0" fontId="42" fillId="0" borderId="11" xfId="0" applyFont="1" applyBorder="1" applyAlignment="1">
      <alignment horizontal="left" vertical="center"/>
    </xf>
    <xf numFmtId="0" fontId="2" fillId="0" borderId="6" xfId="0" applyFont="1" applyBorder="1" applyAlignment="1">
      <alignment horizontal="left" vertical="center" wrapText="1"/>
    </xf>
    <xf numFmtId="0" fontId="2" fillId="0" borderId="6" xfId="0" applyFont="1" applyBorder="1" applyAlignment="1">
      <alignment horizontal="left" vertical="center"/>
    </xf>
    <xf numFmtId="0" fontId="1" fillId="6" borderId="6" xfId="0" applyFont="1" applyFill="1" applyBorder="1" applyAlignment="1">
      <alignment horizontal="center" vertical="center" wrapText="1"/>
    </xf>
    <xf numFmtId="0" fontId="2" fillId="0" borderId="1" xfId="0" applyFont="1" applyBorder="1" applyAlignment="1">
      <alignment horizontal="center" vertical="center"/>
    </xf>
    <xf numFmtId="0" fontId="2" fillId="0" borderId="8" xfId="0" applyFont="1" applyBorder="1" applyAlignment="1">
      <alignment horizontal="center" vertical="center"/>
    </xf>
    <xf numFmtId="0" fontId="2" fillId="0" borderId="4" xfId="0" applyFont="1" applyBorder="1" applyAlignment="1">
      <alignment horizontal="center" vertical="center"/>
    </xf>
    <xf numFmtId="0" fontId="2" fillId="0" borderId="0" xfId="0" applyFont="1" applyBorder="1" applyAlignment="1">
      <alignment horizontal="center" vertical="center"/>
    </xf>
    <xf numFmtId="0" fontId="2" fillId="0" borderId="9" xfId="0" applyFont="1" applyBorder="1" applyAlignment="1">
      <alignment horizontal="center" vertical="center"/>
    </xf>
    <xf numFmtId="0" fontId="2" fillId="0" borderId="2" xfId="0" applyFont="1" applyBorder="1" applyAlignment="1">
      <alignment horizontal="center" vertical="center"/>
    </xf>
    <xf numFmtId="0" fontId="2" fillId="0" borderId="12" xfId="0" applyFont="1" applyBorder="1" applyAlignment="1">
      <alignment horizontal="center" vertical="center"/>
    </xf>
    <xf numFmtId="0" fontId="2" fillId="0" borderId="10" xfId="0" applyFont="1" applyBorder="1" applyAlignment="1">
      <alignment horizontal="center" vertical="center"/>
    </xf>
    <xf numFmtId="0" fontId="2" fillId="0" borderId="0" xfId="0" applyFont="1" applyFill="1" applyBorder="1" applyAlignment="1">
      <alignment horizontal="center" vertical="center"/>
    </xf>
    <xf numFmtId="0" fontId="42" fillId="0" borderId="1" xfId="0" applyFont="1" applyFill="1" applyBorder="1" applyAlignment="1">
      <alignment horizontal="left" vertical="center"/>
    </xf>
    <xf numFmtId="0" fontId="42" fillId="0" borderId="7" xfId="0" applyFont="1" applyFill="1" applyBorder="1" applyAlignment="1">
      <alignment horizontal="left" vertical="center"/>
    </xf>
    <xf numFmtId="0" fontId="42" fillId="0" borderId="8" xfId="0" applyFont="1" applyFill="1" applyBorder="1" applyAlignment="1">
      <alignment horizontal="left" vertical="center"/>
    </xf>
    <xf numFmtId="0" fontId="42" fillId="0" borderId="1" xfId="0" applyFont="1" applyFill="1" applyBorder="1" applyAlignment="1">
      <alignment horizontal="left" vertical="center" wrapText="1"/>
    </xf>
    <xf numFmtId="0" fontId="42" fillId="0" borderId="7" xfId="0" applyFont="1" applyFill="1" applyBorder="1" applyAlignment="1">
      <alignment horizontal="left" vertical="center" wrapText="1"/>
    </xf>
    <xf numFmtId="0" fontId="42" fillId="0" borderId="8" xfId="0" applyFont="1" applyFill="1" applyBorder="1" applyAlignment="1">
      <alignment horizontal="left" vertical="center" wrapText="1"/>
    </xf>
    <xf numFmtId="0" fontId="42" fillId="0" borderId="4"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42" fillId="0" borderId="9" xfId="0" applyFont="1" applyFill="1" applyBorder="1" applyAlignment="1">
      <alignment horizontal="left" vertical="center" wrapText="1"/>
    </xf>
    <xf numFmtId="0" fontId="1" fillId="0" borderId="5" xfId="0" applyFont="1" applyBorder="1" applyAlignment="1">
      <alignment horizontal="left" vertical="center"/>
    </xf>
    <xf numFmtId="0" fontId="1" fillId="0" borderId="11" xfId="0" applyFont="1" applyBorder="1" applyAlignment="1">
      <alignment horizontal="left" vertical="center"/>
    </xf>
    <xf numFmtId="0" fontId="10" fillId="6" borderId="6" xfId="0" applyFont="1" applyFill="1" applyBorder="1" applyAlignment="1">
      <alignment horizontal="center" vertical="center" wrapText="1"/>
    </xf>
    <xf numFmtId="0" fontId="1" fillId="6" borderId="6" xfId="0" applyFont="1" applyFill="1" applyBorder="1" applyAlignment="1">
      <alignment horizontal="center" vertical="center"/>
    </xf>
    <xf numFmtId="0" fontId="42" fillId="0" borderId="6" xfId="0" applyFont="1" applyBorder="1" applyAlignment="1">
      <alignment horizontal="center" vertical="center" wrapText="1"/>
    </xf>
    <xf numFmtId="0" fontId="2" fillId="0" borderId="5" xfId="0" applyFont="1" applyFill="1" applyBorder="1" applyAlignment="1">
      <alignment horizontal="center" vertical="center"/>
    </xf>
    <xf numFmtId="0" fontId="2" fillId="0" borderId="11" xfId="0" applyFont="1" applyFill="1" applyBorder="1" applyAlignment="1">
      <alignment horizontal="center" vertical="center"/>
    </xf>
    <xf numFmtId="0" fontId="2" fillId="0" borderId="6" xfId="0" applyFont="1" applyFill="1" applyBorder="1" applyAlignment="1">
      <alignment horizontal="left" vertical="center"/>
    </xf>
    <xf numFmtId="0" fontId="2" fillId="0" borderId="5" xfId="0" applyFont="1" applyFill="1" applyBorder="1" applyAlignment="1">
      <alignment horizontal="left" vertical="center"/>
    </xf>
    <xf numFmtId="0" fontId="2" fillId="0" borderId="3" xfId="0" applyFont="1" applyFill="1" applyBorder="1" applyAlignment="1">
      <alignment horizontal="left" vertical="center"/>
    </xf>
    <xf numFmtId="0" fontId="2" fillId="0" borderId="11" xfId="0" applyFont="1" applyFill="1" applyBorder="1" applyAlignment="1">
      <alignment horizontal="left" vertical="center"/>
    </xf>
    <xf numFmtId="0" fontId="1" fillId="6" borderId="1" xfId="0" applyFont="1" applyFill="1" applyBorder="1" applyAlignment="1">
      <alignment horizontal="left" vertical="center"/>
    </xf>
    <xf numFmtId="0" fontId="1" fillId="6" borderId="8" xfId="0" applyFont="1" applyFill="1" applyBorder="1" applyAlignment="1">
      <alignment horizontal="left" vertical="center"/>
    </xf>
    <xf numFmtId="0" fontId="41" fillId="5" borderId="5" xfId="0" applyFont="1" applyFill="1" applyBorder="1" applyAlignment="1">
      <alignment horizontal="left" vertical="center" wrapText="1"/>
    </xf>
    <xf numFmtId="0" fontId="41" fillId="5" borderId="3" xfId="0" applyFont="1" applyFill="1" applyBorder="1" applyAlignment="1">
      <alignment horizontal="left" vertical="center" wrapText="1"/>
    </xf>
    <xf numFmtId="0" fontId="41" fillId="5" borderId="11" xfId="0" applyFont="1" applyFill="1" applyBorder="1" applyAlignment="1">
      <alignment horizontal="left" vertical="center" wrapText="1"/>
    </xf>
    <xf numFmtId="0" fontId="1" fillId="6" borderId="1" xfId="0" applyFont="1" applyFill="1" applyBorder="1" applyAlignment="1">
      <alignment horizontal="center" vertical="center"/>
    </xf>
    <xf numFmtId="0" fontId="1" fillId="6" borderId="8" xfId="0" applyFont="1" applyFill="1" applyBorder="1" applyAlignment="1">
      <alignment horizontal="center" vertical="center"/>
    </xf>
    <xf numFmtId="0" fontId="42" fillId="0" borderId="1" xfId="0" applyFont="1" applyBorder="1" applyAlignment="1">
      <alignment horizontal="center" vertical="center" wrapText="1"/>
    </xf>
    <xf numFmtId="0" fontId="42" fillId="0" borderId="8" xfId="0" applyFont="1" applyBorder="1" applyAlignment="1">
      <alignment horizontal="center" vertical="center" wrapText="1"/>
    </xf>
    <xf numFmtId="0" fontId="42" fillId="0" borderId="4" xfId="0" applyFont="1" applyBorder="1" applyAlignment="1">
      <alignment horizontal="center" vertical="center" wrapText="1"/>
    </xf>
    <xf numFmtId="0" fontId="42" fillId="0" borderId="9" xfId="0" applyFont="1" applyBorder="1" applyAlignment="1">
      <alignment horizontal="center" vertical="center" wrapText="1"/>
    </xf>
    <xf numFmtId="0" fontId="42" fillId="0" borderId="2" xfId="0" applyFont="1" applyBorder="1" applyAlignment="1">
      <alignment horizontal="center" vertical="center" wrapText="1"/>
    </xf>
    <xf numFmtId="0" fontId="42" fillId="0" borderId="10" xfId="0" applyFont="1" applyBorder="1" applyAlignment="1">
      <alignment horizontal="center" vertical="center" wrapText="1"/>
    </xf>
    <xf numFmtId="3" fontId="42" fillId="0" borderId="5" xfId="0" applyNumberFormat="1" applyFont="1" applyFill="1" applyBorder="1" applyAlignment="1">
      <alignment horizontal="left" vertical="center"/>
    </xf>
    <xf numFmtId="3" fontId="42" fillId="0" borderId="3" xfId="0" applyNumberFormat="1" applyFont="1" applyFill="1" applyBorder="1" applyAlignment="1">
      <alignment horizontal="left" vertical="center"/>
    </xf>
    <xf numFmtId="3" fontId="42" fillId="0" borderId="11" xfId="0" applyNumberFormat="1" applyFont="1" applyFill="1" applyBorder="1" applyAlignment="1">
      <alignment horizontal="left" vertical="center"/>
    </xf>
    <xf numFmtId="0" fontId="42" fillId="0" borderId="1" xfId="0" applyFont="1" applyBorder="1" applyAlignment="1">
      <alignment horizontal="left" vertical="center"/>
    </xf>
    <xf numFmtId="0" fontId="42" fillId="0" borderId="7" xfId="0" applyFont="1" applyBorder="1" applyAlignment="1">
      <alignment horizontal="left" vertical="center"/>
    </xf>
    <xf numFmtId="0" fontId="42" fillId="0" borderId="8" xfId="0" applyFont="1" applyBorder="1" applyAlignment="1">
      <alignment horizontal="left" vertical="center"/>
    </xf>
    <xf numFmtId="0" fontId="42" fillId="0" borderId="6" xfId="0" applyFont="1" applyFill="1" applyBorder="1" applyAlignment="1">
      <alignment horizontal="center" vertical="center"/>
    </xf>
    <xf numFmtId="0" fontId="2" fillId="0" borderId="6" xfId="0" applyFont="1" applyFill="1" applyBorder="1" applyAlignment="1">
      <alignment horizontal="center" vertical="center"/>
    </xf>
    <xf numFmtId="0" fontId="12" fillId="0" borderId="1" xfId="0" applyFont="1" applyBorder="1" applyAlignment="1">
      <alignment horizontal="left" vertical="center" wrapText="1"/>
    </xf>
    <xf numFmtId="0" fontId="12" fillId="0" borderId="8" xfId="0" applyFont="1" applyBorder="1" applyAlignment="1">
      <alignment horizontal="left" vertical="center" wrapText="1"/>
    </xf>
    <xf numFmtId="0" fontId="12" fillId="0" borderId="4" xfId="0" applyFont="1" applyBorder="1" applyAlignment="1">
      <alignment horizontal="left" vertical="center" wrapText="1"/>
    </xf>
    <xf numFmtId="0" fontId="12" fillId="0" borderId="9" xfId="0" applyFont="1" applyBorder="1" applyAlignment="1">
      <alignment horizontal="left" vertical="center" wrapText="1"/>
    </xf>
    <xf numFmtId="0" fontId="12" fillId="0" borderId="2" xfId="0" applyFont="1" applyBorder="1" applyAlignment="1">
      <alignment horizontal="left" vertical="center" wrapText="1"/>
    </xf>
    <xf numFmtId="0" fontId="12" fillId="0" borderId="10" xfId="0" applyFont="1" applyBorder="1" applyAlignment="1">
      <alignment horizontal="left" vertical="center" wrapText="1"/>
    </xf>
    <xf numFmtId="0" fontId="45" fillId="0" borderId="5" xfId="0" applyFont="1" applyBorder="1" applyAlignment="1">
      <alignment horizontal="left" vertical="center" wrapText="1"/>
    </xf>
    <xf numFmtId="0" fontId="45" fillId="0" borderId="3" xfId="0" applyFont="1" applyBorder="1" applyAlignment="1">
      <alignment horizontal="left" vertical="center"/>
    </xf>
    <xf numFmtId="0" fontId="45" fillId="0" borderId="11" xfId="0" applyFont="1" applyBorder="1" applyAlignment="1">
      <alignment horizontal="left" vertical="center"/>
    </xf>
    <xf numFmtId="0" fontId="2" fillId="0" borderId="1" xfId="0" applyFont="1" applyBorder="1" applyAlignment="1">
      <alignment horizontal="left" vertical="center" wrapText="1"/>
    </xf>
    <xf numFmtId="0" fontId="2" fillId="0" borderId="7" xfId="0" applyFont="1" applyBorder="1" applyAlignment="1">
      <alignment horizontal="left" vertical="center" wrapText="1"/>
    </xf>
    <xf numFmtId="0" fontId="2" fillId="0" borderId="8" xfId="0" applyFont="1" applyBorder="1" applyAlignment="1">
      <alignment horizontal="left" vertical="center" wrapText="1"/>
    </xf>
    <xf numFmtId="0" fontId="2" fillId="0" borderId="4" xfId="0" applyFont="1" applyBorder="1" applyAlignment="1">
      <alignment horizontal="left" vertical="center" wrapText="1"/>
    </xf>
    <xf numFmtId="0" fontId="2" fillId="0" borderId="0" xfId="0" applyFont="1" applyBorder="1" applyAlignment="1">
      <alignment horizontal="left" vertical="center" wrapText="1"/>
    </xf>
    <xf numFmtId="0" fontId="2" fillId="0" borderId="9" xfId="0" applyFont="1" applyBorder="1" applyAlignment="1">
      <alignment horizontal="left" vertical="center" wrapText="1"/>
    </xf>
    <xf numFmtId="0" fontId="2" fillId="0" borderId="2" xfId="0" applyFont="1" applyBorder="1" applyAlignment="1">
      <alignment horizontal="left" vertical="center" wrapText="1"/>
    </xf>
    <xf numFmtId="0" fontId="2" fillId="0" borderId="12" xfId="0" applyFont="1" applyBorder="1" applyAlignment="1">
      <alignment horizontal="left" vertical="center" wrapText="1"/>
    </xf>
    <xf numFmtId="0" fontId="2" fillId="0" borderId="10" xfId="0" applyFont="1" applyBorder="1" applyAlignment="1">
      <alignment horizontal="left" vertical="center" wrapText="1"/>
    </xf>
    <xf numFmtId="168" fontId="42" fillId="0" borderId="0" xfId="0" applyNumberFormat="1" applyFont="1" applyBorder="1" applyAlignment="1">
      <alignment horizontal="center" vertical="center"/>
    </xf>
    <xf numFmtId="0" fontId="1" fillId="6" borderId="5" xfId="0" applyFont="1" applyFill="1" applyBorder="1" applyAlignment="1">
      <alignment horizontal="center" vertical="center"/>
    </xf>
    <xf numFmtId="0" fontId="1" fillId="6" borderId="11" xfId="0" applyFont="1" applyFill="1" applyBorder="1" applyAlignment="1">
      <alignment horizontal="center" vertical="center"/>
    </xf>
    <xf numFmtId="0" fontId="1" fillId="6" borderId="3" xfId="0" applyFont="1" applyFill="1" applyBorder="1" applyAlignment="1">
      <alignment horizontal="center" vertical="center"/>
    </xf>
    <xf numFmtId="3" fontId="42" fillId="0" borderId="5" xfId="0" applyNumberFormat="1" applyFont="1" applyBorder="1" applyAlignment="1">
      <alignment horizontal="left" vertical="center"/>
    </xf>
    <xf numFmtId="3" fontId="42" fillId="0" borderId="3" xfId="0" applyNumberFormat="1" applyFont="1" applyBorder="1" applyAlignment="1">
      <alignment horizontal="left" vertical="center"/>
    </xf>
    <xf numFmtId="3" fontId="42" fillId="0" borderId="11" xfId="0" applyNumberFormat="1" applyFont="1" applyBorder="1" applyAlignment="1">
      <alignment horizontal="left" vertical="center"/>
    </xf>
    <xf numFmtId="0" fontId="2" fillId="0" borderId="0" xfId="0" applyFont="1" applyFill="1" applyBorder="1" applyAlignment="1">
      <alignment horizontal="left" vertical="center" wrapText="1"/>
    </xf>
    <xf numFmtId="0" fontId="1" fillId="0" borderId="5" xfId="0" applyFont="1" applyFill="1" applyBorder="1" applyAlignment="1">
      <alignment horizontal="left" vertical="center"/>
    </xf>
    <xf numFmtId="0" fontId="1" fillId="0" borderId="11" xfId="0" applyFont="1" applyFill="1" applyBorder="1" applyAlignment="1">
      <alignment horizontal="left" vertical="center"/>
    </xf>
    <xf numFmtId="0" fontId="2"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42" fillId="0" borderId="6" xfId="0" applyFont="1" applyBorder="1" applyAlignment="1">
      <alignment horizontal="center" vertical="center"/>
    </xf>
    <xf numFmtId="9" fontId="42" fillId="0" borderId="5" xfId="12" applyFont="1" applyBorder="1" applyAlignment="1">
      <alignment horizontal="left" vertical="center"/>
    </xf>
    <xf numFmtId="9" fontId="42" fillId="0" borderId="3" xfId="12" applyFont="1" applyBorder="1" applyAlignment="1">
      <alignment horizontal="left" vertical="center"/>
    </xf>
    <xf numFmtId="9" fontId="42" fillId="0" borderId="11" xfId="12" applyFont="1" applyBorder="1" applyAlignment="1">
      <alignment horizontal="left" vertical="center"/>
    </xf>
    <xf numFmtId="0" fontId="2" fillId="0" borderId="0" xfId="0" applyFont="1" applyFill="1" applyBorder="1" applyAlignment="1">
      <alignment horizontal="center" vertical="center" wrapText="1"/>
    </xf>
    <xf numFmtId="0" fontId="42" fillId="0" borderId="6" xfId="0" applyFont="1" applyBorder="1" applyAlignment="1">
      <alignment horizontal="left" vertical="center"/>
    </xf>
    <xf numFmtId="3" fontId="42" fillId="0" borderId="2" xfId="0" applyNumberFormat="1" applyFont="1" applyBorder="1" applyAlignment="1">
      <alignment horizontal="left" vertical="center"/>
    </xf>
    <xf numFmtId="3" fontId="42" fillId="0" borderId="12" xfId="0" applyNumberFormat="1" applyFont="1" applyBorder="1" applyAlignment="1">
      <alignment horizontal="left" vertical="center"/>
    </xf>
    <xf numFmtId="0" fontId="42" fillId="0" borderId="5" xfId="0" applyFont="1" applyBorder="1" applyAlignment="1">
      <alignment vertical="center" wrapText="1"/>
    </xf>
    <xf numFmtId="0" fontId="42" fillId="0" borderId="3" xfId="0" applyFont="1" applyBorder="1" applyAlignment="1">
      <alignment vertical="center" wrapText="1"/>
    </xf>
    <xf numFmtId="0" fontId="42" fillId="0" borderId="11" xfId="0" applyFont="1" applyBorder="1" applyAlignment="1">
      <alignment vertical="center" wrapText="1"/>
    </xf>
    <xf numFmtId="0" fontId="42" fillId="0" borderId="6" xfId="0" applyFont="1" applyFill="1" applyBorder="1" applyAlignment="1">
      <alignment horizontal="left" vertical="center"/>
    </xf>
    <xf numFmtId="0" fontId="42" fillId="9" borderId="6" xfId="0" applyFont="1" applyFill="1" applyBorder="1" applyAlignment="1">
      <alignment horizontal="left" vertical="center"/>
    </xf>
    <xf numFmtId="3" fontId="42" fillId="0" borderId="6" xfId="0" applyNumberFormat="1" applyFont="1" applyFill="1" applyBorder="1" applyAlignment="1">
      <alignment horizontal="center" vertical="center"/>
    </xf>
    <xf numFmtId="0" fontId="1" fillId="5" borderId="5"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11" xfId="0" applyFont="1" applyFill="1" applyBorder="1" applyAlignment="1">
      <alignment horizontal="center" vertical="center"/>
    </xf>
    <xf numFmtId="0" fontId="45" fillId="5" borderId="5" xfId="0" applyFont="1" applyFill="1" applyBorder="1" applyAlignment="1">
      <alignment horizontal="left" vertical="center"/>
    </xf>
    <xf numFmtId="0" fontId="45" fillId="5" borderId="3" xfId="0" applyFont="1" applyFill="1" applyBorder="1" applyAlignment="1">
      <alignment horizontal="left" vertical="center"/>
    </xf>
    <xf numFmtId="0" fontId="45" fillId="5" borderId="11" xfId="0" applyFont="1" applyFill="1" applyBorder="1" applyAlignment="1">
      <alignment horizontal="left" vertical="center"/>
    </xf>
    <xf numFmtId="0" fontId="42" fillId="0" borderId="3" xfId="0" applyFont="1" applyBorder="1" applyAlignment="1">
      <alignment horizontal="left" vertical="center"/>
    </xf>
    <xf numFmtId="0" fontId="2" fillId="0" borderId="13" xfId="0" applyFont="1" applyFill="1" applyBorder="1" applyAlignment="1">
      <alignment horizontal="left" vertical="center"/>
    </xf>
    <xf numFmtId="0" fontId="42" fillId="5" borderId="5" xfId="0" applyFont="1" applyFill="1" applyBorder="1" applyAlignment="1">
      <alignment horizontal="left" vertical="center"/>
    </xf>
    <xf numFmtId="0" fontId="42" fillId="5" borderId="3" xfId="0" applyFont="1" applyFill="1" applyBorder="1" applyAlignment="1">
      <alignment horizontal="left" vertical="center"/>
    </xf>
    <xf numFmtId="0" fontId="42" fillId="5" borderId="11" xfId="0" applyFont="1" applyFill="1" applyBorder="1" applyAlignment="1">
      <alignment horizontal="left" vertical="center"/>
    </xf>
    <xf numFmtId="0" fontId="38" fillId="6" borderId="5" xfId="0" applyFont="1" applyFill="1" applyBorder="1" applyAlignment="1">
      <alignment horizontal="center" vertical="center" wrapText="1"/>
    </xf>
    <xf numFmtId="0" fontId="38" fillId="6" borderId="3" xfId="0" applyFont="1" applyFill="1" applyBorder="1" applyAlignment="1">
      <alignment horizontal="center" vertical="center" wrapText="1"/>
    </xf>
    <xf numFmtId="0" fontId="38" fillId="6" borderId="11" xfId="0" applyFont="1" applyFill="1" applyBorder="1" applyAlignment="1">
      <alignment horizontal="center" vertical="center" wrapText="1"/>
    </xf>
    <xf numFmtId="0" fontId="2" fillId="5" borderId="5"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1" xfId="0" applyFont="1" applyFill="1" applyBorder="1" applyAlignment="1">
      <alignment horizontal="center" vertical="center"/>
    </xf>
    <xf numFmtId="0" fontId="2" fillId="0" borderId="5" xfId="0" applyFont="1" applyBorder="1" applyAlignment="1">
      <alignment horizontal="left" vertical="center"/>
    </xf>
    <xf numFmtId="0" fontId="2" fillId="0" borderId="3" xfId="0" applyFont="1" applyBorder="1" applyAlignment="1">
      <alignment horizontal="left" vertical="center"/>
    </xf>
    <xf numFmtId="0" fontId="2" fillId="0" borderId="11" xfId="0" applyFont="1" applyBorder="1" applyAlignment="1">
      <alignment horizontal="left" vertical="center"/>
    </xf>
    <xf numFmtId="0" fontId="6" fillId="0" borderId="1" xfId="0" applyFont="1" applyBorder="1" applyAlignment="1">
      <alignment horizontal="center" vertical="center"/>
    </xf>
    <xf numFmtId="0" fontId="6" fillId="0" borderId="7" xfId="0" applyFont="1" applyBorder="1" applyAlignment="1">
      <alignment vertical="center"/>
    </xf>
    <xf numFmtId="0" fontId="6" fillId="0" borderId="8" xfId="0" applyFont="1" applyBorder="1" applyAlignment="1">
      <alignment vertical="center"/>
    </xf>
    <xf numFmtId="0" fontId="2" fillId="0" borderId="12" xfId="0" applyFont="1" applyBorder="1" applyAlignment="1">
      <alignment vertical="center"/>
    </xf>
    <xf numFmtId="0" fontId="2" fillId="0" borderId="10" xfId="0" applyFont="1" applyBorder="1" applyAlignment="1">
      <alignment vertical="center"/>
    </xf>
    <xf numFmtId="0" fontId="42" fillId="0" borderId="0" xfId="0" applyFont="1" applyFill="1" applyBorder="1" applyAlignment="1">
      <alignment horizontal="left" vertical="center"/>
    </xf>
    <xf numFmtId="0" fontId="42" fillId="0" borderId="0" xfId="0" applyFont="1" applyFill="1" applyBorder="1" applyAlignment="1">
      <alignment horizontal="center" vertical="center"/>
    </xf>
    <xf numFmtId="0" fontId="2" fillId="5" borderId="1" xfId="0" applyFont="1" applyFill="1" applyBorder="1" applyAlignment="1">
      <alignment horizontal="left" vertical="center" wrapText="1"/>
    </xf>
    <xf numFmtId="0" fontId="2" fillId="5" borderId="7" xfId="0" applyFont="1" applyFill="1" applyBorder="1" applyAlignment="1">
      <alignment horizontal="left" vertical="center" wrapText="1"/>
    </xf>
    <xf numFmtId="0" fontId="2" fillId="5" borderId="8" xfId="0" applyFont="1" applyFill="1" applyBorder="1" applyAlignment="1">
      <alignment horizontal="left" vertical="center" wrapText="1"/>
    </xf>
    <xf numFmtId="0" fontId="2" fillId="5" borderId="4" xfId="0" applyFont="1" applyFill="1" applyBorder="1" applyAlignment="1">
      <alignment horizontal="left" vertical="center" wrapText="1"/>
    </xf>
    <xf numFmtId="0" fontId="2" fillId="5" borderId="0" xfId="0" applyFont="1" applyFill="1" applyBorder="1" applyAlignment="1">
      <alignment horizontal="left" vertical="center" wrapText="1"/>
    </xf>
    <xf numFmtId="0" fontId="2" fillId="5" borderId="9" xfId="0" applyFont="1" applyFill="1" applyBorder="1" applyAlignment="1">
      <alignment horizontal="left" vertical="center" wrapText="1"/>
    </xf>
    <xf numFmtId="0" fontId="2" fillId="5" borderId="2" xfId="0" applyFont="1" applyFill="1" applyBorder="1" applyAlignment="1">
      <alignment horizontal="left" vertical="center" wrapText="1"/>
    </xf>
    <xf numFmtId="0" fontId="2" fillId="5" borderId="12" xfId="0" applyFont="1" applyFill="1" applyBorder="1" applyAlignment="1">
      <alignment horizontal="left" vertical="center" wrapText="1"/>
    </xf>
    <xf numFmtId="0" fontId="2" fillId="5" borderId="10" xfId="0" applyFont="1" applyFill="1" applyBorder="1" applyAlignment="1">
      <alignment horizontal="left" vertical="center" wrapText="1"/>
    </xf>
    <xf numFmtId="0" fontId="42" fillId="5" borderId="1" xfId="0" applyFont="1" applyFill="1" applyBorder="1" applyAlignment="1">
      <alignment horizontal="left" vertical="center" wrapText="1"/>
    </xf>
    <xf numFmtId="0" fontId="42" fillId="5" borderId="7" xfId="0" applyFont="1" applyFill="1" applyBorder="1" applyAlignment="1">
      <alignment horizontal="left" vertical="center" wrapText="1"/>
    </xf>
    <xf numFmtId="0" fontId="42" fillId="5" borderId="8" xfId="0" applyFont="1" applyFill="1" applyBorder="1" applyAlignment="1">
      <alignment horizontal="left" vertical="center" wrapText="1"/>
    </xf>
    <xf numFmtId="0" fontId="42" fillId="5" borderId="4" xfId="0" applyFont="1" applyFill="1" applyBorder="1" applyAlignment="1">
      <alignment horizontal="left" vertical="center" wrapText="1"/>
    </xf>
    <xf numFmtId="0" fontId="42" fillId="5" borderId="0" xfId="0" applyFont="1" applyFill="1" applyBorder="1" applyAlignment="1">
      <alignment horizontal="left" vertical="center" wrapText="1"/>
    </xf>
    <xf numFmtId="0" fontId="42" fillId="5" borderId="9" xfId="0" applyFont="1" applyFill="1" applyBorder="1" applyAlignment="1">
      <alignment horizontal="left" vertical="center" wrapText="1"/>
    </xf>
    <xf numFmtId="0" fontId="42" fillId="5" borderId="2" xfId="0" applyFont="1" applyFill="1" applyBorder="1" applyAlignment="1">
      <alignment horizontal="left" vertical="center" wrapText="1"/>
    </xf>
    <xf numFmtId="0" fontId="42" fillId="5" borderId="12" xfId="0" applyFont="1" applyFill="1" applyBorder="1" applyAlignment="1">
      <alignment horizontal="left" vertical="center" wrapText="1"/>
    </xf>
    <xf numFmtId="0" fontId="42" fillId="5" borderId="10" xfId="0" applyFont="1" applyFill="1" applyBorder="1" applyAlignment="1">
      <alignment horizontal="left" vertical="center" wrapText="1"/>
    </xf>
    <xf numFmtId="0" fontId="42" fillId="0" borderId="6" xfId="0" applyFont="1" applyBorder="1" applyAlignment="1">
      <alignment horizontal="left" vertical="center" wrapText="1"/>
    </xf>
    <xf numFmtId="0" fontId="1" fillId="0" borderId="0" xfId="0" applyFont="1" applyFill="1" applyBorder="1" applyAlignment="1">
      <alignment horizontal="left" vertical="center" wrapText="1"/>
    </xf>
    <xf numFmtId="0" fontId="42" fillId="0" borderId="5" xfId="0" applyFont="1" applyBorder="1" applyAlignment="1">
      <alignment horizontal="center" vertical="center"/>
    </xf>
    <xf numFmtId="0" fontId="42" fillId="0" borderId="11" xfId="0" applyFont="1" applyBorder="1" applyAlignment="1">
      <alignment horizontal="center" vertical="center"/>
    </xf>
    <xf numFmtId="3" fontId="42" fillId="0" borderId="1" xfId="0" applyNumberFormat="1" applyFont="1" applyFill="1" applyBorder="1" applyAlignment="1">
      <alignment horizontal="left" vertical="center"/>
    </xf>
    <xf numFmtId="3" fontId="42" fillId="0" borderId="7" xfId="0" applyNumberFormat="1" applyFont="1" applyFill="1" applyBorder="1" applyAlignment="1">
      <alignment horizontal="left" vertical="center"/>
    </xf>
    <xf numFmtId="3" fontId="42" fillId="0" borderId="8" xfId="0" applyNumberFormat="1" applyFont="1" applyFill="1" applyBorder="1" applyAlignment="1">
      <alignment horizontal="left" vertical="center"/>
    </xf>
    <xf numFmtId="170" fontId="42" fillId="0" borderId="5" xfId="12" applyNumberFormat="1" applyFont="1" applyFill="1" applyBorder="1" applyAlignment="1">
      <alignment horizontal="left" vertical="center"/>
    </xf>
    <xf numFmtId="170" fontId="42" fillId="0" borderId="3" xfId="12" applyNumberFormat="1" applyFont="1" applyFill="1" applyBorder="1" applyAlignment="1">
      <alignment horizontal="left" vertical="center"/>
    </xf>
    <xf numFmtId="170" fontId="42" fillId="0" borderId="11" xfId="12" applyNumberFormat="1" applyFont="1" applyFill="1" applyBorder="1" applyAlignment="1">
      <alignment horizontal="left" vertical="center"/>
    </xf>
    <xf numFmtId="168" fontId="42" fillId="0" borderId="5" xfId="0" applyNumberFormat="1" applyFont="1" applyBorder="1" applyAlignment="1">
      <alignment horizontal="center" vertical="center"/>
    </xf>
    <xf numFmtId="168" fontId="42" fillId="0" borderId="11" xfId="0" applyNumberFormat="1" applyFont="1" applyBorder="1" applyAlignment="1">
      <alignment horizontal="center" vertical="center"/>
    </xf>
    <xf numFmtId="0" fontId="1" fillId="0" borderId="0" xfId="0" applyFont="1" applyBorder="1" applyAlignment="1">
      <alignment horizontal="left" vertical="center" wrapText="1"/>
    </xf>
    <xf numFmtId="0" fontId="0" fillId="10" borderId="6" xfId="0" applyFill="1" applyBorder="1" applyAlignment="1" applyProtection="1">
      <alignment horizontal="center" vertical="center"/>
      <protection hidden="1"/>
    </xf>
    <xf numFmtId="0" fontId="0" fillId="10" borderId="13" xfId="0" applyFill="1" applyBorder="1" applyAlignment="1" applyProtection="1">
      <alignment horizontal="center" vertical="center"/>
      <protection hidden="1"/>
    </xf>
    <xf numFmtId="0" fontId="0" fillId="10" borderId="15" xfId="0" applyFill="1" applyBorder="1" applyAlignment="1" applyProtection="1">
      <alignment horizontal="center" vertical="center"/>
      <protection hidden="1"/>
    </xf>
    <xf numFmtId="0" fontId="0" fillId="10" borderId="5" xfId="0" applyFill="1" applyBorder="1" applyAlignment="1" applyProtection="1">
      <alignment horizontal="center" vertical="center"/>
      <protection hidden="1"/>
    </xf>
    <xf numFmtId="0" fontId="0" fillId="10" borderId="3" xfId="0" applyFill="1" applyBorder="1" applyAlignment="1" applyProtection="1">
      <alignment horizontal="center" vertical="center"/>
      <protection hidden="1"/>
    </xf>
    <xf numFmtId="0" fontId="0" fillId="10" borderId="11" xfId="0" applyFill="1" applyBorder="1" applyAlignment="1" applyProtection="1">
      <alignment horizontal="center" vertical="center"/>
      <protection hidden="1"/>
    </xf>
    <xf numFmtId="0" fontId="42" fillId="9" borderId="5" xfId="0" applyFont="1" applyFill="1" applyBorder="1" applyAlignment="1">
      <alignment vertical="center" wrapText="1"/>
    </xf>
    <xf numFmtId="0" fontId="42" fillId="9" borderId="3" xfId="0" applyFont="1" applyFill="1" applyBorder="1" applyAlignment="1">
      <alignment vertical="center" wrapText="1"/>
    </xf>
    <xf numFmtId="0" fontId="42" fillId="9" borderId="11" xfId="0" applyFont="1" applyFill="1" applyBorder="1" applyAlignment="1">
      <alignment vertical="center" wrapText="1"/>
    </xf>
    <xf numFmtId="0" fontId="45" fillId="9" borderId="5" xfId="0" applyFont="1" applyFill="1" applyBorder="1" applyAlignment="1">
      <alignment horizontal="left" vertical="center" wrapText="1"/>
    </xf>
    <xf numFmtId="0" fontId="45" fillId="9" borderId="3" xfId="0" applyFont="1" applyFill="1" applyBorder="1" applyAlignment="1">
      <alignment horizontal="left" vertical="center"/>
    </xf>
    <xf numFmtId="0" fontId="45" fillId="9" borderId="11" xfId="0" applyFont="1" applyFill="1" applyBorder="1" applyAlignment="1">
      <alignment horizontal="left" vertical="center"/>
    </xf>
    <xf numFmtId="0" fontId="2" fillId="0" borderId="0" xfId="0" applyFont="1" applyFill="1" applyBorder="1" applyAlignment="1">
      <alignment horizontal="left" vertical="center"/>
    </xf>
    <xf numFmtId="0" fontId="2" fillId="9" borderId="5" xfId="0" applyFont="1" applyFill="1" applyBorder="1" applyAlignment="1">
      <alignment horizontal="center" vertical="center"/>
    </xf>
    <xf numFmtId="0" fontId="2" fillId="9" borderId="11" xfId="0" applyFont="1" applyFill="1" applyBorder="1" applyAlignment="1">
      <alignment horizontal="center" vertical="center"/>
    </xf>
    <xf numFmtId="168" fontId="2" fillId="9" borderId="5" xfId="0" applyNumberFormat="1" applyFont="1" applyFill="1" applyBorder="1" applyAlignment="1">
      <alignment horizontal="center" vertical="center"/>
    </xf>
    <xf numFmtId="168" fontId="2" fillId="9" borderId="11" xfId="0" applyNumberFormat="1" applyFont="1" applyFill="1" applyBorder="1" applyAlignment="1">
      <alignment horizontal="center" vertical="center"/>
    </xf>
    <xf numFmtId="0" fontId="42" fillId="9" borderId="5" xfId="0" applyFont="1" applyFill="1" applyBorder="1" applyAlignment="1">
      <alignment horizontal="left" vertical="center" wrapText="1"/>
    </xf>
    <xf numFmtId="0" fontId="42" fillId="9" borderId="3" xfId="0" applyFont="1" applyFill="1" applyBorder="1" applyAlignment="1">
      <alignment horizontal="left" vertical="center" wrapText="1"/>
    </xf>
    <xf numFmtId="0" fontId="42" fillId="9" borderId="11" xfId="0" applyFont="1" applyFill="1" applyBorder="1" applyAlignment="1">
      <alignment horizontal="left" vertical="center" wrapText="1"/>
    </xf>
    <xf numFmtId="0" fontId="42" fillId="9" borderId="5" xfId="0" applyFont="1" applyFill="1" applyBorder="1" applyAlignment="1">
      <alignment horizontal="left" vertical="center"/>
    </xf>
    <xf numFmtId="0" fontId="42" fillId="9" borderId="3" xfId="0" applyFont="1" applyFill="1" applyBorder="1" applyAlignment="1">
      <alignment horizontal="left" vertical="center"/>
    </xf>
    <xf numFmtId="0" fontId="42" fillId="9" borderId="11" xfId="0" applyFont="1" applyFill="1" applyBorder="1" applyAlignment="1">
      <alignment horizontal="left" vertical="center"/>
    </xf>
    <xf numFmtId="4" fontId="21" fillId="0" borderId="7" xfId="3" applyNumberFormat="1" applyFont="1" applyFill="1" applyBorder="1" applyAlignment="1" applyProtection="1">
      <alignment horizontal="left" vertical="center"/>
      <protection hidden="1"/>
    </xf>
    <xf numFmtId="4" fontId="19" fillId="0" borderId="0" xfId="3" applyNumberFormat="1" applyFont="1" applyFill="1" applyBorder="1" applyAlignment="1" applyProtection="1">
      <alignment horizontal="center" vertical="center"/>
      <protection hidden="1"/>
    </xf>
    <xf numFmtId="0" fontId="15" fillId="7" borderId="6" xfId="0" applyFont="1" applyFill="1" applyBorder="1" applyAlignment="1" applyProtection="1">
      <alignment horizontal="center" vertical="center"/>
      <protection hidden="1"/>
    </xf>
    <xf numFmtId="0" fontId="14" fillId="7" borderId="6" xfId="0" applyFont="1" applyFill="1" applyBorder="1" applyAlignment="1" applyProtection="1">
      <alignment horizontal="center" vertical="center"/>
      <protection hidden="1"/>
    </xf>
    <xf numFmtId="4" fontId="18" fillId="0" borderId="13" xfId="3" applyNumberFormat="1" applyFont="1" applyFill="1" applyBorder="1" applyAlignment="1" applyProtection="1">
      <alignment horizontal="left" vertical="center" wrapText="1"/>
      <protection hidden="1"/>
    </xf>
    <xf numFmtId="4" fontId="18" fillId="0" borderId="15" xfId="3" applyNumberFormat="1" applyFont="1" applyFill="1" applyBorder="1" applyAlignment="1" applyProtection="1">
      <alignment horizontal="left" vertical="center" wrapText="1"/>
      <protection hidden="1"/>
    </xf>
    <xf numFmtId="4" fontId="18" fillId="0" borderId="13" xfId="3" applyNumberFormat="1" applyFont="1" applyFill="1" applyBorder="1" applyAlignment="1" applyProtection="1">
      <alignment horizontal="center" vertical="center"/>
      <protection hidden="1"/>
    </xf>
    <xf numFmtId="4" fontId="18" fillId="0" borderId="15" xfId="3" applyNumberFormat="1" applyFont="1" applyFill="1" applyBorder="1" applyAlignment="1" applyProtection="1">
      <alignment horizontal="center" vertical="center"/>
      <protection hidden="1"/>
    </xf>
    <xf numFmtId="4" fontId="18" fillId="0" borderId="13" xfId="11" applyNumberFormat="1" applyFont="1" applyFill="1" applyBorder="1" applyAlignment="1" applyProtection="1">
      <alignment horizontal="left" vertical="center" wrapText="1"/>
      <protection hidden="1"/>
    </xf>
    <xf numFmtId="4" fontId="18" fillId="0" borderId="15" xfId="11" applyNumberFormat="1" applyFont="1" applyFill="1" applyBorder="1" applyAlignment="1" applyProtection="1">
      <alignment horizontal="left" vertical="center" wrapText="1"/>
      <protection hidden="1"/>
    </xf>
    <xf numFmtId="4" fontId="21" fillId="0" borderId="0" xfId="3" applyNumberFormat="1" applyFont="1" applyFill="1" applyBorder="1" applyAlignment="1" applyProtection="1">
      <alignment horizontal="left" vertical="center"/>
      <protection hidden="1"/>
    </xf>
    <xf numFmtId="0" fontId="16" fillId="5" borderId="0" xfId="0" applyFont="1" applyFill="1" applyBorder="1" applyAlignment="1" applyProtection="1">
      <alignment horizontal="center" vertical="center"/>
      <protection hidden="1"/>
    </xf>
    <xf numFmtId="0" fontId="14" fillId="5" borderId="13" xfId="0" applyFont="1" applyFill="1" applyBorder="1" applyAlignment="1" applyProtection="1">
      <alignment horizontal="left" vertical="center"/>
      <protection hidden="1"/>
    </xf>
    <xf numFmtId="0" fontId="14" fillId="5" borderId="15" xfId="0" applyFont="1" applyFill="1" applyBorder="1" applyAlignment="1" applyProtection="1">
      <alignment horizontal="left" vertical="center"/>
      <protection hidden="1"/>
    </xf>
    <xf numFmtId="0" fontId="17" fillId="5" borderId="12" xfId="0" applyFont="1" applyFill="1" applyBorder="1" applyAlignment="1" applyProtection="1">
      <alignment horizontal="left" vertical="center" wrapText="1"/>
      <protection hidden="1"/>
    </xf>
    <xf numFmtId="0" fontId="65" fillId="0" borderId="0" xfId="0" applyFont="1" applyFill="1" applyAlignment="1">
      <alignment horizontal="center" vertical="center"/>
    </xf>
    <xf numFmtId="4" fontId="18" fillId="0" borderId="6" xfId="3" applyNumberFormat="1" applyFont="1" applyFill="1" applyBorder="1" applyAlignment="1" applyProtection="1">
      <alignment horizontal="left" vertical="center" wrapText="1"/>
      <protection hidden="1"/>
    </xf>
    <xf numFmtId="4" fontId="18" fillId="8" borderId="6" xfId="3" applyNumberFormat="1" applyFont="1" applyFill="1" applyBorder="1" applyAlignment="1" applyProtection="1">
      <alignment horizontal="left" vertical="center" wrapText="1"/>
      <protection hidden="1"/>
    </xf>
    <xf numFmtId="4" fontId="19" fillId="2" borderId="0" xfId="3" applyNumberFormat="1" applyFont="1" applyFill="1" applyAlignment="1">
      <alignment horizontal="center" vertical="center"/>
    </xf>
    <xf numFmtId="0" fontId="14" fillId="7" borderId="6" xfId="0" applyFont="1" applyFill="1" applyBorder="1" applyAlignment="1">
      <alignment horizontal="center" vertical="center"/>
    </xf>
    <xf numFmtId="0" fontId="15" fillId="7" borderId="6" xfId="0" applyFont="1" applyFill="1" applyBorder="1" applyAlignment="1">
      <alignment horizontal="center" vertical="center"/>
    </xf>
    <xf numFmtId="0" fontId="42" fillId="13" borderId="6" xfId="0" applyFont="1" applyFill="1" applyBorder="1" applyAlignment="1" applyProtection="1">
      <alignment horizontal="center" vertical="center"/>
      <protection locked="0"/>
    </xf>
    <xf numFmtId="0" fontId="42" fillId="13" borderId="5" xfId="0" applyFont="1" applyFill="1" applyBorder="1" applyAlignment="1" applyProtection="1">
      <alignment horizontal="center" vertical="center" wrapText="1"/>
      <protection locked="0"/>
    </xf>
    <xf numFmtId="0" fontId="42" fillId="13" borderId="3" xfId="0" applyFont="1" applyFill="1" applyBorder="1" applyAlignment="1" applyProtection="1">
      <alignment horizontal="center" vertical="center" wrapText="1"/>
      <protection locked="0"/>
    </xf>
    <xf numFmtId="0" fontId="42" fillId="13" borderId="11" xfId="0" applyFont="1" applyFill="1" applyBorder="1" applyAlignment="1" applyProtection="1">
      <alignment horizontal="center" vertical="center" wrapText="1"/>
      <protection locked="0"/>
    </xf>
    <xf numFmtId="0" fontId="64" fillId="5" borderId="1" xfId="0" applyFont="1" applyFill="1" applyBorder="1" applyAlignment="1">
      <alignment horizontal="center" vertical="center"/>
    </xf>
    <xf numFmtId="0" fontId="64" fillId="5" borderId="7" xfId="0" applyFont="1" applyFill="1" applyBorder="1" applyAlignment="1">
      <alignment vertical="center"/>
    </xf>
    <xf numFmtId="0" fontId="64" fillId="5" borderId="8" xfId="0" applyFont="1" applyFill="1" applyBorder="1" applyAlignment="1">
      <alignment vertical="center"/>
    </xf>
    <xf numFmtId="0" fontId="2" fillId="5" borderId="2" xfId="0" applyFont="1" applyFill="1" applyBorder="1" applyAlignment="1">
      <alignment horizontal="center" vertical="center"/>
    </xf>
    <xf numFmtId="0" fontId="2" fillId="5" borderId="12" xfId="0" applyFont="1" applyFill="1" applyBorder="1" applyAlignment="1">
      <alignment vertical="center"/>
    </xf>
    <xf numFmtId="0" fontId="2" fillId="5" borderId="10" xfId="0" applyFont="1" applyFill="1" applyBorder="1" applyAlignment="1">
      <alignment vertical="center"/>
    </xf>
    <xf numFmtId="0" fontId="2" fillId="5" borderId="5" xfId="0" applyFont="1" applyFill="1" applyBorder="1" applyAlignment="1" applyProtection="1">
      <alignment horizontal="left" vertical="center"/>
      <protection hidden="1"/>
    </xf>
    <xf numFmtId="0" fontId="2" fillId="5" borderId="3" xfId="0" applyFont="1" applyFill="1" applyBorder="1" applyAlignment="1" applyProtection="1">
      <alignment horizontal="left" vertical="center"/>
      <protection hidden="1"/>
    </xf>
    <xf numFmtId="0" fontId="2" fillId="5" borderId="11" xfId="0" applyFont="1" applyFill="1" applyBorder="1" applyAlignment="1" applyProtection="1">
      <alignment horizontal="left" vertical="center"/>
      <protection hidden="1"/>
    </xf>
    <xf numFmtId="0" fontId="42" fillId="5" borderId="5" xfId="0" applyFont="1" applyFill="1" applyBorder="1" applyAlignment="1" applyProtection="1">
      <alignment horizontal="left" vertical="center"/>
      <protection hidden="1"/>
    </xf>
    <xf numFmtId="0" fontId="42" fillId="5" borderId="3" xfId="0" applyFont="1" applyFill="1" applyBorder="1" applyAlignment="1" applyProtection="1">
      <alignment horizontal="left" vertical="center"/>
      <protection hidden="1"/>
    </xf>
    <xf numFmtId="0" fontId="42" fillId="5" borderId="11" xfId="0" applyFont="1" applyFill="1" applyBorder="1" applyAlignment="1" applyProtection="1">
      <alignment horizontal="left" vertical="center"/>
      <protection hidden="1"/>
    </xf>
    <xf numFmtId="0" fontId="2" fillId="5" borderId="4" xfId="0" applyFont="1" applyFill="1" applyBorder="1" applyAlignment="1">
      <alignment horizontal="center" vertical="center"/>
    </xf>
    <xf numFmtId="0" fontId="2" fillId="5" borderId="0" xfId="0" applyFont="1" applyFill="1" applyBorder="1" applyAlignment="1">
      <alignment horizontal="center" vertical="center"/>
    </xf>
    <xf numFmtId="0" fontId="2" fillId="5" borderId="9" xfId="0" applyFont="1" applyFill="1" applyBorder="1" applyAlignment="1">
      <alignment horizontal="center" vertical="center"/>
    </xf>
    <xf numFmtId="0" fontId="42" fillId="13" borderId="6" xfId="0" applyFont="1" applyFill="1" applyBorder="1" applyAlignment="1" applyProtection="1">
      <alignment horizontal="center" vertical="center" wrapText="1"/>
      <protection locked="0"/>
    </xf>
    <xf numFmtId="0" fontId="42" fillId="0" borderId="5" xfId="0" applyFont="1" applyFill="1" applyBorder="1" applyAlignment="1" applyProtection="1">
      <alignment horizontal="left" vertical="center"/>
      <protection hidden="1"/>
    </xf>
    <xf numFmtId="0" fontId="42" fillId="0" borderId="3" xfId="0" applyFont="1" applyFill="1" applyBorder="1" applyAlignment="1" applyProtection="1">
      <alignment horizontal="left" vertical="center"/>
      <protection hidden="1"/>
    </xf>
    <xf numFmtId="0" fontId="42" fillId="0" borderId="11" xfId="0" applyFont="1" applyFill="1" applyBorder="1" applyAlignment="1" applyProtection="1">
      <alignment horizontal="left" vertical="center"/>
      <protection hidden="1"/>
    </xf>
    <xf numFmtId="0" fontId="42" fillId="13" borderId="5" xfId="0" applyFont="1" applyFill="1" applyBorder="1" applyAlignment="1" applyProtection="1">
      <alignment horizontal="left" vertical="center"/>
      <protection locked="0"/>
    </xf>
    <xf numFmtId="0" fontId="42" fillId="13" borderId="3" xfId="0" applyFont="1" applyFill="1" applyBorder="1" applyAlignment="1" applyProtection="1">
      <alignment horizontal="left" vertical="center"/>
      <protection locked="0"/>
    </xf>
    <xf numFmtId="0" fontId="42" fillId="13" borderId="11" xfId="0" applyFont="1" applyFill="1" applyBorder="1" applyAlignment="1" applyProtection="1">
      <alignment horizontal="left" vertical="center"/>
      <protection locked="0"/>
    </xf>
    <xf numFmtId="0" fontId="42" fillId="13" borderId="6" xfId="0" applyFont="1" applyFill="1" applyBorder="1" applyAlignment="1" applyProtection="1">
      <alignment horizontal="left" vertical="center"/>
      <protection locked="0"/>
    </xf>
    <xf numFmtId="0" fontId="63" fillId="13" borderId="6" xfId="0" applyFont="1" applyFill="1" applyBorder="1" applyAlignment="1" applyProtection="1">
      <alignment horizontal="left" vertical="center" wrapText="1"/>
      <protection locked="0"/>
    </xf>
    <xf numFmtId="0" fontId="2" fillId="5" borderId="5" xfId="0" applyFont="1" applyFill="1" applyBorder="1" applyAlignment="1" applyProtection="1">
      <alignment vertical="center" wrapText="1"/>
      <protection hidden="1"/>
    </xf>
    <xf numFmtId="0" fontId="2" fillId="5" borderId="3" xfId="0" applyFont="1" applyFill="1" applyBorder="1" applyAlignment="1" applyProtection="1">
      <alignment vertical="center" wrapText="1"/>
      <protection hidden="1"/>
    </xf>
    <xf numFmtId="0" fontId="2" fillId="5" borderId="11" xfId="0" applyFont="1" applyFill="1" applyBorder="1" applyAlignment="1" applyProtection="1">
      <alignment vertical="center" wrapText="1"/>
      <protection hidden="1"/>
    </xf>
    <xf numFmtId="0" fontId="12" fillId="5" borderId="5" xfId="0" applyFont="1" applyFill="1" applyBorder="1" applyAlignment="1" applyProtection="1">
      <alignment horizontal="left" vertical="center" wrapText="1"/>
      <protection hidden="1"/>
    </xf>
    <xf numFmtId="0" fontId="12" fillId="5" borderId="3" xfId="0" applyFont="1" applyFill="1" applyBorder="1" applyAlignment="1" applyProtection="1">
      <alignment horizontal="left" vertical="center"/>
      <protection hidden="1"/>
    </xf>
    <xf numFmtId="0" fontId="12" fillId="5" borderId="11" xfId="0" applyFont="1" applyFill="1" applyBorder="1" applyAlignment="1" applyProtection="1">
      <alignment horizontal="left" vertical="center"/>
      <protection hidden="1"/>
    </xf>
    <xf numFmtId="0" fontId="62" fillId="6" borderId="6" xfId="0" applyFont="1" applyFill="1" applyBorder="1" applyAlignment="1" applyProtection="1">
      <alignment horizontal="center" vertical="center" wrapText="1"/>
      <protection hidden="1"/>
    </xf>
    <xf numFmtId="0" fontId="2" fillId="0" borderId="6" xfId="0" applyFont="1" applyFill="1" applyBorder="1" applyAlignment="1" applyProtection="1">
      <alignment horizontal="left" vertical="center"/>
      <protection hidden="1"/>
    </xf>
    <xf numFmtId="0" fontId="1" fillId="6" borderId="6" xfId="0" applyFont="1" applyFill="1" applyBorder="1" applyAlignment="1" applyProtection="1">
      <alignment horizontal="center" vertical="center"/>
      <protection hidden="1"/>
    </xf>
    <xf numFmtId="0" fontId="42" fillId="13" borderId="5" xfId="0" applyFont="1" applyFill="1" applyBorder="1" applyAlignment="1" applyProtection="1">
      <alignment horizontal="center" vertical="center"/>
      <protection locked="0"/>
    </xf>
    <xf numFmtId="0" fontId="42" fillId="13" borderId="11" xfId="0" applyFont="1" applyFill="1" applyBorder="1" applyAlignment="1" applyProtection="1">
      <alignment horizontal="center" vertical="center"/>
      <protection locked="0"/>
    </xf>
    <xf numFmtId="0" fontId="42" fillId="13" borderId="5" xfId="0" applyFont="1" applyFill="1" applyBorder="1" applyAlignment="1" applyProtection="1">
      <alignment horizontal="left" vertical="center" wrapText="1"/>
      <protection locked="0"/>
    </xf>
    <xf numFmtId="0" fontId="42" fillId="13" borderId="3" xfId="0" applyFont="1" applyFill="1" applyBorder="1" applyAlignment="1" applyProtection="1">
      <alignment horizontal="left" vertical="center" wrapText="1"/>
      <protection locked="0"/>
    </xf>
    <xf numFmtId="0" fontId="42" fillId="13" borderId="11" xfId="0" applyFont="1" applyFill="1" applyBorder="1" applyAlignment="1" applyProtection="1">
      <alignment horizontal="left" vertical="center" wrapText="1"/>
      <protection locked="0"/>
    </xf>
    <xf numFmtId="0" fontId="1" fillId="6" borderId="5" xfId="0" applyFont="1" applyFill="1" applyBorder="1" applyAlignment="1" applyProtection="1">
      <alignment horizontal="center"/>
      <protection hidden="1"/>
    </xf>
    <xf numFmtId="0" fontId="1" fillId="6" borderId="3" xfId="0" applyFont="1" applyFill="1" applyBorder="1" applyAlignment="1" applyProtection="1">
      <alignment horizontal="center"/>
      <protection hidden="1"/>
    </xf>
    <xf numFmtId="0" fontId="1" fillId="6" borderId="11" xfId="0" applyFont="1" applyFill="1" applyBorder="1" applyAlignment="1" applyProtection="1">
      <alignment horizontal="center"/>
      <protection hidden="1"/>
    </xf>
    <xf numFmtId="0" fontId="1" fillId="6" borderId="3" xfId="0" applyFont="1" applyFill="1" applyBorder="1" applyAlignment="1" applyProtection="1">
      <alignment horizontal="center" vertical="center" wrapText="1"/>
      <protection hidden="1"/>
    </xf>
    <xf numFmtId="0" fontId="1" fillId="6" borderId="11" xfId="0" applyFont="1" applyFill="1" applyBorder="1" applyAlignment="1" applyProtection="1">
      <alignment horizontal="center" vertical="center" wrapText="1"/>
      <protection hidden="1"/>
    </xf>
    <xf numFmtId="0" fontId="1" fillId="6" borderId="6" xfId="0" applyFont="1" applyFill="1" applyBorder="1" applyAlignment="1" applyProtection="1">
      <alignment horizontal="center" vertical="center" wrapText="1"/>
      <protection hidden="1"/>
    </xf>
    <xf numFmtId="0" fontId="42" fillId="5" borderId="0" xfId="0" applyFont="1" applyFill="1" applyBorder="1" applyAlignment="1">
      <alignment horizontal="left" vertical="center"/>
    </xf>
    <xf numFmtId="0" fontId="1" fillId="5" borderId="0" xfId="0" applyFont="1" applyFill="1" applyBorder="1" applyAlignment="1" applyProtection="1">
      <alignment vertical="top" wrapText="1"/>
      <protection hidden="1"/>
    </xf>
    <xf numFmtId="0" fontId="42" fillId="13" borderId="5" xfId="0" applyFont="1" applyFill="1" applyBorder="1" applyAlignment="1" applyProtection="1">
      <alignment vertical="center" wrapText="1"/>
      <protection locked="0"/>
    </xf>
    <xf numFmtId="0" fontId="42" fillId="13" borderId="3" xfId="0" applyFont="1" applyFill="1" applyBorder="1" applyAlignment="1" applyProtection="1">
      <alignment vertical="center" wrapText="1"/>
      <protection locked="0"/>
    </xf>
    <xf numFmtId="0" fontId="42" fillId="13" borderId="11" xfId="0" applyFont="1" applyFill="1" applyBorder="1" applyAlignment="1" applyProtection="1">
      <alignment vertical="center" wrapText="1"/>
      <protection locked="0"/>
    </xf>
    <xf numFmtId="0" fontId="2" fillId="0" borderId="5" xfId="0" applyFont="1" applyFill="1" applyBorder="1" applyAlignment="1" applyProtection="1">
      <alignment horizontal="left" vertical="center" wrapText="1"/>
      <protection hidden="1"/>
    </xf>
    <xf numFmtId="0" fontId="2" fillId="0" borderId="3" xfId="0" applyFont="1" applyFill="1" applyBorder="1" applyAlignment="1" applyProtection="1">
      <alignment horizontal="left" vertical="center" wrapText="1"/>
      <protection hidden="1"/>
    </xf>
    <xf numFmtId="0" fontId="2" fillId="0" borderId="11" xfId="0" applyFont="1" applyFill="1" applyBorder="1" applyAlignment="1" applyProtection="1">
      <alignment horizontal="left" vertical="center" wrapText="1"/>
      <protection hidden="1"/>
    </xf>
    <xf numFmtId="0" fontId="2" fillId="5" borderId="6" xfId="0" applyFont="1" applyFill="1" applyBorder="1" applyAlignment="1" applyProtection="1">
      <alignment horizontal="left" vertical="center"/>
      <protection hidden="1"/>
    </xf>
    <xf numFmtId="0" fontId="2" fillId="5" borderId="0" xfId="0" applyFont="1" applyFill="1" applyBorder="1" applyAlignment="1">
      <alignment horizontal="left" vertical="center"/>
    </xf>
    <xf numFmtId="0" fontId="42" fillId="13" borderId="3" xfId="0" applyFont="1" applyFill="1" applyBorder="1" applyAlignment="1" applyProtection="1">
      <alignment horizontal="center" vertical="center"/>
      <protection locked="0"/>
    </xf>
    <xf numFmtId="0" fontId="2" fillId="13" borderId="6" xfId="0" applyFont="1" applyFill="1" applyBorder="1" applyAlignment="1" applyProtection="1">
      <alignment horizontal="center" vertical="center"/>
      <protection locked="0"/>
    </xf>
    <xf numFmtId="0" fontId="42" fillId="13" borderId="6" xfId="0" applyFont="1" applyFill="1" applyBorder="1" applyAlignment="1" applyProtection="1">
      <alignment horizontal="left" vertical="center" wrapText="1"/>
      <protection locked="0"/>
    </xf>
    <xf numFmtId="0" fontId="64" fillId="5" borderId="1" xfId="0" applyFont="1" applyFill="1" applyBorder="1" applyAlignment="1" applyProtection="1">
      <alignment horizontal="center" vertical="center"/>
      <protection hidden="1"/>
    </xf>
    <xf numFmtId="0" fontId="64" fillId="5" borderId="7" xfId="0" applyFont="1" applyFill="1" applyBorder="1" applyAlignment="1" applyProtection="1">
      <alignment vertical="center"/>
      <protection hidden="1"/>
    </xf>
    <xf numFmtId="0" fontId="64" fillId="5" borderId="8" xfId="0" applyFont="1" applyFill="1" applyBorder="1" applyAlignment="1" applyProtection="1">
      <alignment vertical="center"/>
      <protection hidden="1"/>
    </xf>
    <xf numFmtId="0" fontId="2" fillId="5" borderId="4"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2" fillId="5" borderId="9" xfId="0" applyFont="1" applyFill="1" applyBorder="1" applyAlignment="1" applyProtection="1">
      <alignment horizontal="center" vertical="center"/>
      <protection hidden="1"/>
    </xf>
    <xf numFmtId="0" fontId="2" fillId="5" borderId="2" xfId="0" applyFont="1" applyFill="1" applyBorder="1" applyAlignment="1" applyProtection="1">
      <alignment horizontal="center" vertical="center"/>
      <protection hidden="1"/>
    </xf>
    <xf numFmtId="0" fontId="2" fillId="5" borderId="12" xfId="0" applyFont="1" applyFill="1" applyBorder="1" applyAlignment="1" applyProtection="1">
      <alignment vertical="center"/>
      <protection hidden="1"/>
    </xf>
    <xf numFmtId="0" fontId="2" fillId="5" borderId="10" xfId="0" applyFont="1" applyFill="1" applyBorder="1" applyAlignment="1" applyProtection="1">
      <alignment vertical="center"/>
      <protection hidden="1"/>
    </xf>
    <xf numFmtId="0" fontId="1" fillId="0" borderId="6" xfId="0" applyFont="1" applyFill="1" applyBorder="1" applyAlignment="1" applyProtection="1">
      <alignment horizontal="left" vertical="center"/>
      <protection hidden="1"/>
    </xf>
    <xf numFmtId="0" fontId="1" fillId="11" borderId="5" xfId="0" applyFont="1" applyFill="1" applyBorder="1" applyAlignment="1" applyProtection="1">
      <alignment horizontal="center" vertical="center"/>
      <protection hidden="1"/>
    </xf>
    <xf numFmtId="0" fontId="1" fillId="11" borderId="11" xfId="0" applyFont="1" applyFill="1" applyBorder="1" applyAlignment="1" applyProtection="1">
      <alignment horizontal="center" vertical="center"/>
      <protection hidden="1"/>
    </xf>
    <xf numFmtId="0" fontId="2" fillId="0" borderId="5" xfId="0" applyFont="1" applyBorder="1" applyAlignment="1" applyProtection="1">
      <alignment horizontal="left" vertical="center"/>
      <protection hidden="1"/>
    </xf>
    <xf numFmtId="0" fontId="2" fillId="0" borderId="11" xfId="0" applyFont="1" applyBorder="1" applyAlignment="1" applyProtection="1">
      <alignment horizontal="left" vertical="center"/>
      <protection hidden="1"/>
    </xf>
    <xf numFmtId="0" fontId="1" fillId="0" borderId="5" xfId="0" applyFont="1" applyBorder="1" applyAlignment="1" applyProtection="1">
      <alignment horizontal="center" vertical="center"/>
      <protection hidden="1"/>
    </xf>
    <xf numFmtId="0" fontId="1" fillId="0" borderId="11" xfId="0" applyFont="1" applyBorder="1" applyAlignment="1" applyProtection="1">
      <alignment horizontal="center" vertical="center"/>
      <protection hidden="1"/>
    </xf>
    <xf numFmtId="0" fontId="1" fillId="0" borderId="5" xfId="0" applyFont="1" applyFill="1" applyBorder="1" applyAlignment="1" applyProtection="1">
      <alignment horizontal="left" vertical="center"/>
      <protection hidden="1"/>
    </xf>
    <xf numFmtId="0" fontId="1" fillId="0" borderId="3" xfId="0" applyFont="1" applyFill="1" applyBorder="1" applyAlignment="1" applyProtection="1">
      <alignment horizontal="left" vertical="center"/>
      <protection hidden="1"/>
    </xf>
    <xf numFmtId="0" fontId="1" fillId="0" borderId="11" xfId="0" applyFont="1" applyFill="1" applyBorder="1" applyAlignment="1" applyProtection="1">
      <alignment horizontal="left" vertical="center"/>
      <protection hidden="1"/>
    </xf>
    <xf numFmtId="0" fontId="1" fillId="11" borderId="6" xfId="0" applyFont="1" applyFill="1" applyBorder="1" applyAlignment="1" applyProtection="1">
      <alignment horizontal="center" vertical="center"/>
      <protection hidden="1"/>
    </xf>
    <xf numFmtId="0" fontId="2" fillId="0" borderId="5" xfId="0" applyFont="1" applyFill="1" applyBorder="1" applyAlignment="1" applyProtection="1">
      <alignment horizontal="left" vertical="center"/>
      <protection hidden="1"/>
    </xf>
    <xf numFmtId="0" fontId="2" fillId="0" borderId="3" xfId="0" applyFont="1" applyFill="1" applyBorder="1" applyAlignment="1" applyProtection="1">
      <alignment horizontal="left" vertical="center"/>
      <protection hidden="1"/>
    </xf>
    <xf numFmtId="0" fontId="2" fillId="0" borderId="11" xfId="0" applyFont="1" applyFill="1" applyBorder="1" applyAlignment="1" applyProtection="1">
      <alignment horizontal="left" vertical="center"/>
      <protection hidden="1"/>
    </xf>
    <xf numFmtId="0" fontId="1" fillId="5" borderId="1" xfId="0" applyFont="1" applyFill="1" applyBorder="1" applyAlignment="1" applyProtection="1">
      <alignment horizontal="center" vertical="center"/>
      <protection hidden="1"/>
    </xf>
    <xf numFmtId="0" fontId="1" fillId="5" borderId="7" xfId="0" applyFont="1" applyFill="1" applyBorder="1" applyAlignment="1" applyProtection="1">
      <alignment horizontal="center" vertical="center"/>
      <protection hidden="1"/>
    </xf>
    <xf numFmtId="0" fontId="1" fillId="0" borderId="6" xfId="0" applyFont="1" applyFill="1" applyBorder="1" applyAlignment="1" applyProtection="1">
      <alignment horizontal="left" vertical="center" wrapText="1"/>
      <protection hidden="1"/>
    </xf>
    <xf numFmtId="0" fontId="1" fillId="0" borderId="13" xfId="0" applyFont="1" applyFill="1" applyBorder="1" applyAlignment="1" applyProtection="1">
      <alignment horizontal="left" vertical="center" wrapText="1"/>
      <protection hidden="1"/>
    </xf>
    <xf numFmtId="0" fontId="1" fillId="0" borderId="15" xfId="0" applyFont="1" applyFill="1" applyBorder="1" applyAlignment="1" applyProtection="1">
      <alignment horizontal="left" vertical="center" wrapText="1"/>
      <protection hidden="1"/>
    </xf>
    <xf numFmtId="0" fontId="42" fillId="12" borderId="5" xfId="0" applyFont="1" applyFill="1" applyBorder="1" applyAlignment="1" applyProtection="1">
      <alignment horizontal="center" vertical="center"/>
      <protection locked="0"/>
    </xf>
    <xf numFmtId="0" fontId="42" fillId="12" borderId="3" xfId="0" applyFont="1" applyFill="1" applyBorder="1" applyAlignment="1" applyProtection="1">
      <alignment horizontal="center" vertical="center"/>
      <protection locked="0"/>
    </xf>
    <xf numFmtId="0" fontId="42" fillId="12" borderId="11" xfId="0" applyFont="1" applyFill="1" applyBorder="1" applyAlignment="1" applyProtection="1">
      <alignment horizontal="center" vertical="center"/>
      <protection locked="0"/>
    </xf>
    <xf numFmtId="0" fontId="1" fillId="0" borderId="5" xfId="0" applyFont="1" applyFill="1" applyBorder="1" applyAlignment="1">
      <alignment horizontal="center" vertical="center"/>
    </xf>
    <xf numFmtId="0" fontId="1" fillId="0" borderId="3" xfId="0" applyFont="1" applyFill="1" applyBorder="1" applyAlignment="1">
      <alignment horizontal="center" vertical="center"/>
    </xf>
    <xf numFmtId="0" fontId="1" fillId="11" borderId="5" xfId="0" applyFont="1" applyFill="1" applyBorder="1" applyAlignment="1" applyProtection="1">
      <alignment horizontal="center" vertical="center" wrapText="1"/>
      <protection hidden="1"/>
    </xf>
    <xf numFmtId="0" fontId="1" fillId="11" borderId="3" xfId="0" applyFont="1" applyFill="1" applyBorder="1" applyAlignment="1" applyProtection="1">
      <alignment horizontal="center" vertical="center" wrapText="1"/>
      <protection hidden="1"/>
    </xf>
    <xf numFmtId="0" fontId="1" fillId="11" borderId="11" xfId="0" applyFont="1" applyFill="1" applyBorder="1" applyAlignment="1" applyProtection="1">
      <alignment horizontal="center" vertical="center" wrapText="1"/>
      <protection hidden="1"/>
    </xf>
    <xf numFmtId="0" fontId="1" fillId="0" borderId="6" xfId="0" applyFont="1" applyFill="1" applyBorder="1" applyAlignment="1" applyProtection="1">
      <alignment horizontal="center" vertical="center" wrapText="1"/>
      <protection hidden="1"/>
    </xf>
    <xf numFmtId="0" fontId="1" fillId="0" borderId="6" xfId="0" applyFont="1" applyFill="1" applyBorder="1" applyAlignment="1">
      <alignment horizontal="center" vertical="center" wrapText="1"/>
    </xf>
    <xf numFmtId="168" fontId="42" fillId="5" borderId="0" xfId="0" applyNumberFormat="1" applyFont="1" applyFill="1" applyBorder="1" applyAlignment="1">
      <alignment horizontal="center" vertical="center"/>
    </xf>
    <xf numFmtId="0" fontId="2" fillId="13" borderId="3" xfId="0" applyFont="1" applyFill="1" applyBorder="1" applyAlignment="1" applyProtection="1">
      <alignment horizontal="center" vertical="center"/>
      <protection locked="0"/>
    </xf>
    <xf numFmtId="0" fontId="2" fillId="13" borderId="5" xfId="0" applyFont="1" applyFill="1" applyBorder="1" applyAlignment="1" applyProtection="1">
      <alignment horizontal="center" vertical="center"/>
      <protection locked="0"/>
    </xf>
    <xf numFmtId="0" fontId="2" fillId="13" borderId="11" xfId="0" applyFont="1" applyFill="1" applyBorder="1" applyAlignment="1" applyProtection="1">
      <alignment horizontal="center" vertical="center"/>
      <protection locked="0"/>
    </xf>
    <xf numFmtId="0" fontId="2" fillId="0" borderId="4" xfId="0" applyFont="1" applyFill="1" applyBorder="1" applyAlignment="1" applyProtection="1">
      <alignment horizontal="left" vertical="center" wrapText="1"/>
      <protection hidden="1"/>
    </xf>
    <xf numFmtId="0" fontId="2" fillId="0" borderId="0" xfId="0" applyFont="1" applyFill="1" applyBorder="1" applyAlignment="1" applyProtection="1">
      <alignment horizontal="left" vertical="center" wrapText="1"/>
      <protection hidden="1"/>
    </xf>
    <xf numFmtId="0" fontId="2" fillId="0" borderId="9" xfId="0" applyFont="1" applyFill="1" applyBorder="1" applyAlignment="1" applyProtection="1">
      <alignment horizontal="left" vertical="center" wrapText="1"/>
      <protection hidden="1"/>
    </xf>
    <xf numFmtId="0" fontId="2" fillId="0" borderId="1" xfId="0" applyFont="1" applyFill="1" applyBorder="1" applyAlignment="1" applyProtection="1">
      <alignment horizontal="left" vertical="center" wrapText="1"/>
      <protection hidden="1"/>
    </xf>
    <xf numFmtId="0" fontId="2" fillId="0" borderId="7" xfId="0" applyFont="1" applyFill="1" applyBorder="1" applyAlignment="1" applyProtection="1">
      <alignment horizontal="left" vertical="center" wrapText="1"/>
      <protection hidden="1"/>
    </xf>
    <xf numFmtId="0" fontId="2" fillId="0" borderId="8" xfId="0" applyFont="1" applyFill="1" applyBorder="1" applyAlignment="1" applyProtection="1">
      <alignment horizontal="left" vertical="center" wrapText="1"/>
      <protection hidden="1"/>
    </xf>
    <xf numFmtId="0" fontId="2" fillId="5" borderId="7" xfId="0" applyFont="1" applyFill="1" applyBorder="1" applyAlignment="1">
      <alignment horizontal="center" vertical="center"/>
    </xf>
    <xf numFmtId="0" fontId="2" fillId="0" borderId="2" xfId="0" applyFont="1" applyFill="1" applyBorder="1" applyAlignment="1" applyProtection="1">
      <alignment horizontal="left" vertical="center"/>
      <protection hidden="1"/>
    </xf>
    <xf numFmtId="0" fontId="2" fillId="0" borderId="12" xfId="0" applyFont="1" applyFill="1" applyBorder="1" applyAlignment="1" applyProtection="1">
      <alignment horizontal="left" vertical="center"/>
      <protection hidden="1"/>
    </xf>
    <xf numFmtId="0" fontId="2" fillId="0" borderId="10" xfId="0" applyFont="1" applyFill="1" applyBorder="1" applyAlignment="1" applyProtection="1">
      <alignment horizontal="left" vertical="center"/>
      <protection hidden="1"/>
    </xf>
    <xf numFmtId="0" fontId="2" fillId="0" borderId="4" xfId="0" applyFont="1" applyFill="1" applyBorder="1" applyAlignment="1" applyProtection="1">
      <alignment horizontal="left" vertical="center"/>
      <protection hidden="1"/>
    </xf>
    <xf numFmtId="0" fontId="2" fillId="0" borderId="0" xfId="0" applyFont="1" applyFill="1" applyBorder="1" applyAlignment="1" applyProtection="1">
      <alignment horizontal="left" vertical="center"/>
      <protection hidden="1"/>
    </xf>
    <xf numFmtId="0" fontId="2" fillId="0" borderId="9" xfId="0" applyFont="1" applyFill="1" applyBorder="1" applyAlignment="1" applyProtection="1">
      <alignment horizontal="left" vertical="center"/>
      <protection hidden="1"/>
    </xf>
    <xf numFmtId="0" fontId="2" fillId="5" borderId="1" xfId="0" applyFont="1" applyFill="1" applyBorder="1" applyAlignment="1">
      <alignment horizontal="center" vertical="center"/>
    </xf>
    <xf numFmtId="0" fontId="2" fillId="5" borderId="8" xfId="0" applyFont="1" applyFill="1" applyBorder="1" applyAlignment="1">
      <alignment horizontal="center" vertical="center"/>
    </xf>
    <xf numFmtId="0" fontId="2" fillId="5" borderId="12" xfId="0" applyFont="1" applyFill="1" applyBorder="1" applyAlignment="1">
      <alignment horizontal="center" vertical="center"/>
    </xf>
    <xf numFmtId="0" fontId="2" fillId="5" borderId="10" xfId="0" applyFont="1" applyFill="1" applyBorder="1" applyAlignment="1">
      <alignment horizontal="center" vertical="center"/>
    </xf>
    <xf numFmtId="0" fontId="2" fillId="0" borderId="1" xfId="0" applyFont="1" applyFill="1" applyBorder="1" applyAlignment="1" applyProtection="1">
      <alignment horizontal="left" vertical="center"/>
      <protection hidden="1"/>
    </xf>
    <xf numFmtId="0" fontId="2" fillId="0" borderId="7" xfId="0" applyFont="1" applyFill="1" applyBorder="1" applyAlignment="1" applyProtection="1">
      <alignment horizontal="left" vertical="center"/>
      <protection hidden="1"/>
    </xf>
    <xf numFmtId="0" fontId="2" fillId="0" borderId="8" xfId="0" applyFont="1" applyFill="1" applyBorder="1" applyAlignment="1" applyProtection="1">
      <alignment horizontal="left" vertical="center"/>
      <protection hidden="1"/>
    </xf>
    <xf numFmtId="0" fontId="2" fillId="0" borderId="2" xfId="0" applyFont="1" applyFill="1" applyBorder="1" applyAlignment="1" applyProtection="1">
      <alignment horizontal="left" vertical="center" wrapText="1"/>
      <protection hidden="1"/>
    </xf>
    <xf numFmtId="0" fontId="2" fillId="0" borderId="12" xfId="0" applyFont="1" applyFill="1" applyBorder="1" applyAlignment="1" applyProtection="1">
      <alignment horizontal="left" vertical="center" wrapText="1"/>
      <protection hidden="1"/>
    </xf>
    <xf numFmtId="0" fontId="2" fillId="0" borderId="10" xfId="0" applyFont="1" applyFill="1" applyBorder="1" applyAlignment="1" applyProtection="1">
      <alignment horizontal="left" vertical="center" wrapText="1"/>
      <protection hidden="1"/>
    </xf>
    <xf numFmtId="0" fontId="2" fillId="0" borderId="6" xfId="0" applyFont="1" applyFill="1" applyBorder="1" applyAlignment="1" applyProtection="1">
      <alignment horizontal="center" vertical="center"/>
      <protection hidden="1"/>
    </xf>
    <xf numFmtId="0" fontId="1" fillId="5" borderId="0" xfId="0" applyFont="1" applyFill="1" applyBorder="1" applyAlignment="1">
      <alignment horizontal="left" vertical="center" wrapText="1"/>
    </xf>
    <xf numFmtId="0" fontId="2" fillId="13" borderId="5" xfId="0" applyFont="1" applyFill="1" applyBorder="1" applyAlignment="1" applyProtection="1">
      <alignment horizontal="left" vertical="center"/>
      <protection locked="0"/>
    </xf>
    <xf numFmtId="0" fontId="2" fillId="13" borderId="3" xfId="0" applyFont="1" applyFill="1" applyBorder="1" applyAlignment="1" applyProtection="1">
      <alignment horizontal="left" vertical="center"/>
      <protection locked="0"/>
    </xf>
    <xf numFmtId="0" fontId="2" fillId="13" borderId="11" xfId="0" applyFont="1" applyFill="1" applyBorder="1" applyAlignment="1" applyProtection="1">
      <alignment horizontal="left" vertical="center"/>
      <protection locked="0"/>
    </xf>
    <xf numFmtId="0" fontId="1" fillId="5" borderId="6" xfId="0" applyFont="1" applyFill="1" applyBorder="1" applyAlignment="1" applyProtection="1">
      <alignment horizontal="center" vertical="center"/>
      <protection hidden="1"/>
    </xf>
    <xf numFmtId="0" fontId="2" fillId="5" borderId="5" xfId="0" applyFont="1" applyFill="1" applyBorder="1" applyAlignment="1">
      <alignment horizontal="left" vertical="center"/>
    </xf>
    <xf numFmtId="0" fontId="2" fillId="5" borderId="3" xfId="0" applyFont="1" applyFill="1" applyBorder="1" applyAlignment="1">
      <alignment horizontal="left" vertical="center"/>
    </xf>
    <xf numFmtId="0" fontId="2" fillId="5" borderId="11" xfId="0" applyFont="1" applyFill="1" applyBorder="1" applyAlignment="1">
      <alignment horizontal="left" vertical="center"/>
    </xf>
    <xf numFmtId="0" fontId="33" fillId="0" borderId="25" xfId="0" applyFont="1" applyFill="1" applyBorder="1" applyAlignment="1">
      <alignment horizontal="left" vertical="center" wrapText="1"/>
    </xf>
    <xf numFmtId="0" fontId="33" fillId="0" borderId="26" xfId="0" applyFont="1" applyFill="1" applyBorder="1" applyAlignment="1">
      <alignment horizontal="left" vertical="center" wrapText="1"/>
    </xf>
    <xf numFmtId="0" fontId="33" fillId="0" borderId="27" xfId="0" applyFont="1" applyFill="1" applyBorder="1" applyAlignment="1">
      <alignment horizontal="left" vertical="center" wrapText="1"/>
    </xf>
    <xf numFmtId="0" fontId="28" fillId="0" borderId="25" xfId="0" applyFont="1" applyFill="1" applyBorder="1" applyAlignment="1">
      <alignment horizontal="left" vertical="center" wrapText="1"/>
    </xf>
    <xf numFmtId="0" fontId="28" fillId="0" borderId="26" xfId="0" applyFont="1" applyFill="1" applyBorder="1" applyAlignment="1">
      <alignment horizontal="left" vertical="center" wrapText="1"/>
    </xf>
    <xf numFmtId="0" fontId="28" fillId="0" borderId="27" xfId="0" applyFont="1" applyFill="1" applyBorder="1" applyAlignment="1">
      <alignment horizontal="left" vertical="center" wrapText="1"/>
    </xf>
    <xf numFmtId="0" fontId="26" fillId="0" borderId="25" xfId="0" applyFont="1" applyFill="1" applyBorder="1" applyAlignment="1">
      <alignment horizontal="center" vertical="center" wrapText="1"/>
    </xf>
    <xf numFmtId="0" fontId="26" fillId="0" borderId="26" xfId="0" applyFont="1" applyFill="1" applyBorder="1" applyAlignment="1">
      <alignment horizontal="center" vertical="center" wrapText="1"/>
    </xf>
    <xf numFmtId="0" fontId="26" fillId="0" borderId="27" xfId="0" applyFont="1" applyFill="1" applyBorder="1" applyAlignment="1">
      <alignment horizontal="center" vertical="center" wrapText="1"/>
    </xf>
    <xf numFmtId="0" fontId="29" fillId="0" borderId="28" xfId="0" applyFont="1" applyFill="1" applyBorder="1" applyAlignment="1">
      <alignment horizontal="left" vertical="center" wrapText="1"/>
    </xf>
    <xf numFmtId="0" fontId="29" fillId="0" borderId="29" xfId="0" applyFont="1" applyFill="1" applyBorder="1" applyAlignment="1">
      <alignment horizontal="left" vertical="center" wrapText="1"/>
    </xf>
    <xf numFmtId="0" fontId="28" fillId="0" borderId="0" xfId="0" applyFont="1" applyFill="1" applyBorder="1" applyAlignment="1">
      <alignment horizontal="left" vertical="center"/>
    </xf>
    <xf numFmtId="0" fontId="28" fillId="0" borderId="18" xfId="0" applyFont="1" applyFill="1" applyBorder="1" applyAlignment="1">
      <alignment horizontal="left" vertical="center"/>
    </xf>
    <xf numFmtId="0" fontId="64" fillId="5" borderId="1" xfId="0" applyFont="1" applyFill="1" applyBorder="1" applyAlignment="1">
      <alignment horizontal="center" vertical="center" wrapText="1"/>
    </xf>
    <xf numFmtId="0" fontId="64" fillId="5" borderId="7" xfId="0" applyFont="1" applyFill="1" applyBorder="1" applyAlignment="1">
      <alignment vertical="center" wrapText="1"/>
    </xf>
    <xf numFmtId="0" fontId="64" fillId="5" borderId="8" xfId="0" applyFont="1" applyFill="1" applyBorder="1" applyAlignment="1">
      <alignment vertical="center" wrapText="1"/>
    </xf>
    <xf numFmtId="0" fontId="64" fillId="5" borderId="4" xfId="0" applyFont="1" applyFill="1" applyBorder="1" applyAlignment="1">
      <alignment horizontal="center" vertical="center" wrapText="1"/>
    </xf>
    <xf numFmtId="0" fontId="64" fillId="5" borderId="0" xfId="0" applyFont="1" applyFill="1" applyBorder="1" applyAlignment="1">
      <alignment vertical="center" wrapText="1"/>
    </xf>
    <xf numFmtId="0" fontId="64" fillId="5" borderId="9" xfId="0" applyFont="1" applyFill="1" applyBorder="1" applyAlignment="1">
      <alignment vertical="center" wrapText="1"/>
    </xf>
  </cellXfs>
  <cellStyles count="14">
    <cellStyle name="Hipervínculo" xfId="1" builtinId="8"/>
    <cellStyle name="Millares" xfId="2" builtinId="3"/>
    <cellStyle name="Normal" xfId="0" builtinId="0"/>
    <cellStyle name="Normal 2" xfId="3"/>
    <cellStyle name="Normal 3" xfId="4"/>
    <cellStyle name="Normal 4" xfId="5"/>
    <cellStyle name="Normal 5" xfId="6"/>
    <cellStyle name="Normal 6" xfId="7"/>
    <cellStyle name="Normal 7" xfId="8"/>
    <cellStyle name="Normal 8" xfId="9"/>
    <cellStyle name="Normal 9" xfId="10"/>
    <cellStyle name="Normal_Oferta río Corral de Medio" xfId="11"/>
    <cellStyle name="Porcentaje" xfId="12" builtinId="5"/>
    <cellStyle name="Porcentaje 2" xfId="13"/>
  </cellStyles>
  <dxfs count="0"/>
  <tableStyles count="0" defaultTableStyle="TableStyleMedium9" defaultPivotStyle="PivotStyleLight16"/>
  <colors>
    <mruColors>
      <color rgb="FFFFFF66"/>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i="1" u="sng"/>
            </a:pPr>
            <a:r>
              <a:rPr lang="es-ES" i="1" u="sng"/>
              <a:t>Balance Hidrico - Sin Proyecto</a:t>
            </a:r>
          </a:p>
        </c:rich>
      </c:tx>
      <c:overlay val="0"/>
    </c:title>
    <c:autoTitleDeleted val="0"/>
    <c:plotArea>
      <c:layout>
        <c:manualLayout>
          <c:layoutTarget val="inner"/>
          <c:xMode val="edge"/>
          <c:yMode val="edge"/>
          <c:x val="0.13515231122381721"/>
          <c:y val="0.14862045888805595"/>
          <c:w val="0.81718246902649827"/>
          <c:h val="0.62811965406551384"/>
        </c:manualLayout>
      </c:layout>
      <c:lineChart>
        <c:grouping val="standard"/>
        <c:varyColors val="0"/>
        <c:ser>
          <c:idx val="0"/>
          <c:order val="0"/>
          <c:tx>
            <c:v>  Demanda Hídrica</c:v>
          </c:tx>
          <c:marker>
            <c:symbol val="none"/>
          </c:marker>
          <c:cat>
            <c:strRef>
              <c:f>'2. Balance Hídrico'!$B$37:$B$48</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'2. Balance Hídrico'!$H$63:$H$74</c:f>
              <c:numCache>
                <c:formatCode>#,##0</c:formatCode>
                <c:ptCount val="12"/>
                <c:pt idx="0">
                  <c:v>32260.666666666661</c:v>
                </c:pt>
                <c:pt idx="1">
                  <c:v>5688.0000000000009</c:v>
                </c:pt>
                <c:pt idx="2">
                  <c:v>11390</c:v>
                </c:pt>
                <c:pt idx="3">
                  <c:v>34941.666666666672</c:v>
                </c:pt>
                <c:pt idx="4">
                  <c:v>52935.000000000007</c:v>
                </c:pt>
                <c:pt idx="5">
                  <c:v>59842.500000000015</c:v>
                </c:pt>
                <c:pt idx="6">
                  <c:v>65735.833333333343</c:v>
                </c:pt>
                <c:pt idx="7">
                  <c:v>67495.833333333343</c:v>
                </c:pt>
                <c:pt idx="8">
                  <c:v>43600</c:v>
                </c:pt>
                <c:pt idx="9">
                  <c:v>22380.666666666661</c:v>
                </c:pt>
                <c:pt idx="10">
                  <c:v>50862.5</c:v>
                </c:pt>
                <c:pt idx="11">
                  <c:v>21634.916666666672</c:v>
                </c:pt>
              </c:numCache>
            </c:numRef>
          </c:val>
          <c:smooth val="0"/>
        </c:ser>
        <c:ser>
          <c:idx val="1"/>
          <c:order val="1"/>
          <c:tx>
            <c:v>  Oferta Hídrica</c:v>
          </c:tx>
          <c:marker>
            <c:symbol val="none"/>
          </c:marker>
          <c:cat>
            <c:strRef>
              <c:f>'2. Balance Hídrico'!$B$37:$B$48</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'2. Balance Hídrico'!$F$37:$F$48</c:f>
              <c:numCache>
                <c:formatCode>#,##0</c:formatCode>
                <c:ptCount val="12"/>
                <c:pt idx="0">
                  <c:v>38880</c:v>
                </c:pt>
                <c:pt idx="1">
                  <c:v>38880</c:v>
                </c:pt>
                <c:pt idx="2">
                  <c:v>38880</c:v>
                </c:pt>
                <c:pt idx="3">
                  <c:v>25920</c:v>
                </c:pt>
                <c:pt idx="4">
                  <c:v>25920</c:v>
                </c:pt>
                <c:pt idx="5">
                  <c:v>25920</c:v>
                </c:pt>
                <c:pt idx="6">
                  <c:v>25920</c:v>
                </c:pt>
                <c:pt idx="7">
                  <c:v>25920</c:v>
                </c:pt>
                <c:pt idx="8">
                  <c:v>25920</c:v>
                </c:pt>
                <c:pt idx="9">
                  <c:v>25920</c:v>
                </c:pt>
                <c:pt idx="10">
                  <c:v>38880</c:v>
                </c:pt>
                <c:pt idx="11">
                  <c:v>38880</c:v>
                </c:pt>
              </c:numCache>
            </c:numRef>
          </c:val>
          <c:smooth val="0"/>
        </c:ser>
        <c:dLbls>
          <c:showLegendKey val="0"/>
          <c:showVal val="0"/>
          <c:showCatName val="0"/>
          <c:showSerName val="0"/>
          <c:showPercent val="0"/>
          <c:showBubbleSize val="0"/>
        </c:dLbls>
        <c:smooth val="0"/>
        <c:axId val="102838504"/>
        <c:axId val="102838896"/>
      </c:lineChart>
      <c:catAx>
        <c:axId val="102838504"/>
        <c:scaling>
          <c:orientation val="minMax"/>
        </c:scaling>
        <c:delete val="0"/>
        <c:axPos val="b"/>
        <c:majorGridlines/>
        <c:title>
          <c:tx>
            <c:rich>
              <a:bodyPr/>
              <a:lstStyle/>
              <a:p>
                <a:pPr>
                  <a:defRPr/>
                </a:pPr>
                <a:r>
                  <a:rPr lang="en-US"/>
                  <a:t>Meses</a:t>
                </a:r>
              </a:p>
            </c:rich>
          </c:tx>
          <c:layout>
            <c:manualLayout>
              <c:xMode val="edge"/>
              <c:yMode val="edge"/>
              <c:x val="0.49884284625712105"/>
              <c:y val="0.86938003439225275"/>
            </c:manualLayout>
          </c:layout>
          <c:overlay val="0"/>
        </c:title>
        <c:numFmt formatCode="General" sourceLinked="1"/>
        <c:majorTickMark val="none"/>
        <c:minorTickMark val="none"/>
        <c:tickLblPos val="nextTo"/>
        <c:txPr>
          <a:bodyPr rot="0" vert="horz"/>
          <a:lstStyle/>
          <a:p>
            <a:pPr>
              <a:defRPr/>
            </a:pPr>
            <a:endParaRPr lang="es-MX"/>
          </a:p>
        </c:txPr>
        <c:crossAx val="102838896"/>
        <c:crosses val="autoZero"/>
        <c:auto val="1"/>
        <c:lblAlgn val="ctr"/>
        <c:lblOffset val="100"/>
        <c:noMultiLvlLbl val="0"/>
      </c:catAx>
      <c:valAx>
        <c:axId val="102838896"/>
        <c:scaling>
          <c:orientation val="minMax"/>
          <c:min val="0"/>
        </c:scaling>
        <c:delete val="0"/>
        <c:axPos val="l"/>
        <c:majorGridlines/>
        <c:title>
          <c:tx>
            <c:rich>
              <a:bodyPr/>
              <a:lstStyle/>
              <a:p>
                <a:pPr>
                  <a:defRPr/>
                </a:pPr>
                <a:r>
                  <a:rPr lang="en-US" sz="1200"/>
                  <a:t>Volumen (m3/mes</a:t>
                </a:r>
                <a:r>
                  <a:rPr lang="en-US"/>
                  <a:t>)</a:t>
                </a:r>
              </a:p>
            </c:rich>
          </c:tx>
          <c:layout>
            <c:manualLayout>
              <c:xMode val="edge"/>
              <c:yMode val="edge"/>
              <c:x val="2.55967197648681E-2"/>
              <c:y val="0.27482849126617798"/>
            </c:manualLayout>
          </c:layout>
          <c:overlay val="0"/>
        </c:title>
        <c:numFmt formatCode="#,##0" sourceLinked="1"/>
        <c:majorTickMark val="out"/>
        <c:minorTickMark val="none"/>
        <c:tickLblPos val="nextTo"/>
        <c:txPr>
          <a:bodyPr rot="0" vert="horz"/>
          <a:lstStyle/>
          <a:p>
            <a:pPr>
              <a:defRPr/>
            </a:pPr>
            <a:endParaRPr lang="es-MX"/>
          </a:p>
        </c:txPr>
        <c:crossAx val="102838504"/>
        <c:crosses val="autoZero"/>
        <c:crossBetween val="between"/>
      </c:valAx>
    </c:plotArea>
    <c:legend>
      <c:legendPos val="b"/>
      <c:layout>
        <c:manualLayout>
          <c:xMode val="edge"/>
          <c:yMode val="edge"/>
          <c:x val="0.18355981409207323"/>
          <c:y val="0.92145093932223987"/>
          <c:w val="0.65898909835140773"/>
          <c:h val="6.7169621038749461E-2"/>
        </c:manualLayout>
      </c:layout>
      <c:overlay val="0"/>
      <c:txPr>
        <a:bodyPr/>
        <a:lstStyle/>
        <a:p>
          <a:pPr>
            <a:defRPr sz="1200"/>
          </a:pPr>
          <a:endParaRPr lang="es-MX"/>
        </a:p>
      </c:txPr>
    </c:legend>
    <c:plotVisOnly val="1"/>
    <c:dispBlanksAs val="gap"/>
    <c:showDLblsOverMax val="0"/>
  </c:chart>
  <c:printSettings>
    <c:headerFooter alignWithMargins="0"/>
    <c:pageMargins b="1" l="0.75000000000000699" r="0.75000000000000699"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i="1" u="sng"/>
            </a:pPr>
            <a:r>
              <a:rPr lang="es-ES" i="1" u="sng"/>
              <a:t>Balance Hidrico - Con Proyecto</a:t>
            </a:r>
          </a:p>
        </c:rich>
      </c:tx>
      <c:overlay val="0"/>
    </c:title>
    <c:autoTitleDeleted val="0"/>
    <c:plotArea>
      <c:layout>
        <c:manualLayout>
          <c:layoutTarget val="inner"/>
          <c:xMode val="edge"/>
          <c:yMode val="edge"/>
          <c:x val="0.13515231122381721"/>
          <c:y val="0.14862045888805595"/>
          <c:w val="0.81718246902649827"/>
          <c:h val="0.62811965406551384"/>
        </c:manualLayout>
      </c:layout>
      <c:lineChart>
        <c:grouping val="standard"/>
        <c:varyColors val="0"/>
        <c:ser>
          <c:idx val="0"/>
          <c:order val="0"/>
          <c:tx>
            <c:v>  Demanda Hídrica</c:v>
          </c:tx>
          <c:marker>
            <c:symbol val="none"/>
          </c:marker>
          <c:cat>
            <c:strRef>
              <c:f>'2. Balance Hídrico'!$B$37:$B$48</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'2. Balance Hídrico'!$H$92:$H$103</c:f>
              <c:numCache>
                <c:formatCode>#,##0</c:formatCode>
                <c:ptCount val="12"/>
                <c:pt idx="0">
                  <c:v>10106.688888888888</c:v>
                </c:pt>
                <c:pt idx="1">
                  <c:v>860.80000000000109</c:v>
                </c:pt>
                <c:pt idx="2">
                  <c:v>3037.3333333333335</c:v>
                </c:pt>
                <c:pt idx="3">
                  <c:v>12390.055555555555</c:v>
                </c:pt>
                <c:pt idx="4">
                  <c:v>19580.3</c:v>
                </c:pt>
                <c:pt idx="5">
                  <c:v>19090</c:v>
                </c:pt>
                <c:pt idx="6">
                  <c:v>21661.722222222223</c:v>
                </c:pt>
                <c:pt idx="7">
                  <c:v>24846.837777777779</c:v>
                </c:pt>
                <c:pt idx="8">
                  <c:v>19425.277777777774</c:v>
                </c:pt>
                <c:pt idx="9">
                  <c:v>8188.4444444444443</c:v>
                </c:pt>
                <c:pt idx="10">
                  <c:v>17546.166666666668</c:v>
                </c:pt>
                <c:pt idx="11">
                  <c:v>5827.7222222222208</c:v>
                </c:pt>
              </c:numCache>
            </c:numRef>
          </c:val>
          <c:smooth val="0"/>
        </c:ser>
        <c:ser>
          <c:idx val="1"/>
          <c:order val="1"/>
          <c:tx>
            <c:v>  Oferta Hídrica</c:v>
          </c:tx>
          <c:marker>
            <c:symbol val="none"/>
          </c:marker>
          <c:cat>
            <c:strRef>
              <c:f>'2. Balance Hídrico'!$B$37:$B$48</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'2. Balance Hídrico'!$F$37:$F$48</c:f>
              <c:numCache>
                <c:formatCode>#,##0</c:formatCode>
                <c:ptCount val="12"/>
                <c:pt idx="0">
                  <c:v>38880</c:v>
                </c:pt>
                <c:pt idx="1">
                  <c:v>38880</c:v>
                </c:pt>
                <c:pt idx="2">
                  <c:v>38880</c:v>
                </c:pt>
                <c:pt idx="3">
                  <c:v>25920</c:v>
                </c:pt>
                <c:pt idx="4">
                  <c:v>25920</c:v>
                </c:pt>
                <c:pt idx="5">
                  <c:v>25920</c:v>
                </c:pt>
                <c:pt idx="6">
                  <c:v>25920</c:v>
                </c:pt>
                <c:pt idx="7">
                  <c:v>25920</c:v>
                </c:pt>
                <c:pt idx="8">
                  <c:v>25920</c:v>
                </c:pt>
                <c:pt idx="9">
                  <c:v>25920</c:v>
                </c:pt>
                <c:pt idx="10">
                  <c:v>38880</c:v>
                </c:pt>
                <c:pt idx="11">
                  <c:v>38880</c:v>
                </c:pt>
              </c:numCache>
            </c:numRef>
          </c:val>
          <c:smooth val="0"/>
        </c:ser>
        <c:dLbls>
          <c:showLegendKey val="0"/>
          <c:showVal val="0"/>
          <c:showCatName val="0"/>
          <c:showSerName val="0"/>
          <c:showPercent val="0"/>
          <c:showBubbleSize val="0"/>
        </c:dLbls>
        <c:smooth val="0"/>
        <c:axId val="102839680"/>
        <c:axId val="102840072"/>
      </c:lineChart>
      <c:catAx>
        <c:axId val="102839680"/>
        <c:scaling>
          <c:orientation val="minMax"/>
        </c:scaling>
        <c:delete val="0"/>
        <c:axPos val="b"/>
        <c:majorGridlines/>
        <c:title>
          <c:tx>
            <c:rich>
              <a:bodyPr/>
              <a:lstStyle/>
              <a:p>
                <a:pPr>
                  <a:defRPr/>
                </a:pPr>
                <a:r>
                  <a:rPr lang="en-US"/>
                  <a:t>Meses</a:t>
                </a:r>
              </a:p>
            </c:rich>
          </c:tx>
          <c:layout>
            <c:manualLayout>
              <c:xMode val="edge"/>
              <c:yMode val="edge"/>
              <c:x val="0.49884284625712105"/>
              <c:y val="0.86938003439225275"/>
            </c:manualLayout>
          </c:layout>
          <c:overlay val="0"/>
        </c:title>
        <c:numFmt formatCode="General" sourceLinked="1"/>
        <c:majorTickMark val="none"/>
        <c:minorTickMark val="none"/>
        <c:tickLblPos val="nextTo"/>
        <c:txPr>
          <a:bodyPr rot="0" vert="horz"/>
          <a:lstStyle/>
          <a:p>
            <a:pPr>
              <a:defRPr/>
            </a:pPr>
            <a:endParaRPr lang="es-MX"/>
          </a:p>
        </c:txPr>
        <c:crossAx val="102840072"/>
        <c:crosses val="autoZero"/>
        <c:auto val="1"/>
        <c:lblAlgn val="ctr"/>
        <c:lblOffset val="100"/>
        <c:noMultiLvlLbl val="0"/>
      </c:catAx>
      <c:valAx>
        <c:axId val="102840072"/>
        <c:scaling>
          <c:orientation val="minMax"/>
          <c:min val="0"/>
        </c:scaling>
        <c:delete val="0"/>
        <c:axPos val="l"/>
        <c:majorGridlines/>
        <c:title>
          <c:tx>
            <c:rich>
              <a:bodyPr/>
              <a:lstStyle/>
              <a:p>
                <a:pPr>
                  <a:defRPr/>
                </a:pPr>
                <a:r>
                  <a:rPr lang="en-US" sz="1200"/>
                  <a:t>Volumen (m3/mes</a:t>
                </a:r>
                <a:r>
                  <a:rPr lang="en-US"/>
                  <a:t>)</a:t>
                </a:r>
              </a:p>
            </c:rich>
          </c:tx>
          <c:layout>
            <c:manualLayout>
              <c:xMode val="edge"/>
              <c:yMode val="edge"/>
              <c:x val="2.55967197648681E-2"/>
              <c:y val="0.27482849126617798"/>
            </c:manualLayout>
          </c:layout>
          <c:overlay val="0"/>
        </c:title>
        <c:numFmt formatCode="#,##0" sourceLinked="1"/>
        <c:majorTickMark val="out"/>
        <c:minorTickMark val="none"/>
        <c:tickLblPos val="nextTo"/>
        <c:txPr>
          <a:bodyPr rot="0" vert="horz"/>
          <a:lstStyle/>
          <a:p>
            <a:pPr>
              <a:defRPr/>
            </a:pPr>
            <a:endParaRPr lang="es-MX"/>
          </a:p>
        </c:txPr>
        <c:crossAx val="102839680"/>
        <c:crosses val="autoZero"/>
        <c:crossBetween val="between"/>
      </c:valAx>
    </c:plotArea>
    <c:legend>
      <c:legendPos val="b"/>
      <c:layout>
        <c:manualLayout>
          <c:xMode val="edge"/>
          <c:yMode val="edge"/>
          <c:x val="0.23016553311032262"/>
          <c:y val="0.92145093932223987"/>
          <c:w val="0.61647757781799217"/>
          <c:h val="6.7127471135073669E-2"/>
        </c:manualLayout>
      </c:layout>
      <c:overlay val="0"/>
      <c:txPr>
        <a:bodyPr/>
        <a:lstStyle/>
        <a:p>
          <a:pPr>
            <a:defRPr sz="1200"/>
          </a:pPr>
          <a:endParaRPr lang="es-MX"/>
        </a:p>
      </c:txPr>
    </c:legend>
    <c:plotVisOnly val="1"/>
    <c:dispBlanksAs val="gap"/>
    <c:showDLblsOverMax val="0"/>
  </c:chart>
  <c:printSettings>
    <c:headerFooter alignWithMargins="0"/>
    <c:pageMargins b="1" l="0.75000000000000699" r="0.75000000000000699" t="1" header="0" footer="0"/>
    <c:pageSetup/>
  </c:printSettings>
</c:chartSpace>
</file>

<file path=xl/ctrlProps/ctrlProp1.xml><?xml version="1.0" encoding="utf-8"?>
<formControlPr xmlns="http://schemas.microsoft.com/office/spreadsheetml/2009/9/main" objectType="Drop" dropStyle="combo" dx="22" fmlaRange="#REF!" noThreeD="1" sel="0"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24</xdr:col>
      <xdr:colOff>106996</xdr:colOff>
      <xdr:row>6</xdr:row>
      <xdr:rowOff>211666</xdr:rowOff>
    </xdr:from>
    <xdr:to>
      <xdr:col>33</xdr:col>
      <xdr:colOff>199828</xdr:colOff>
      <xdr:row>16</xdr:row>
      <xdr:rowOff>94193</xdr:rowOff>
    </xdr:to>
    <xdr:pic>
      <xdr:nvPicPr>
        <xdr:cNvPr id="529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82" t="23335" r="23532" b="26750"/>
        <a:stretch>
          <a:fillRect/>
        </a:stretch>
      </xdr:blipFill>
      <xdr:spPr bwMode="auto">
        <a:xfrm>
          <a:off x="14468579" y="1471083"/>
          <a:ext cx="4379082" cy="21685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63501</xdr:colOff>
      <xdr:row>17</xdr:row>
      <xdr:rowOff>84666</xdr:rowOff>
    </xdr:from>
    <xdr:to>
      <xdr:col>33</xdr:col>
      <xdr:colOff>161532</xdr:colOff>
      <xdr:row>31</xdr:row>
      <xdr:rowOff>119590</xdr:rowOff>
    </xdr:to>
    <xdr:pic>
      <xdr:nvPicPr>
        <xdr:cNvPr id="5293" name="Imagen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36240" t="29633" r="29158" b="30943"/>
        <a:stretch>
          <a:fillRect/>
        </a:stretch>
      </xdr:blipFill>
      <xdr:spPr bwMode="auto">
        <a:xfrm>
          <a:off x="14425084" y="3862916"/>
          <a:ext cx="4384281" cy="2828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465666</xdr:colOff>
      <xdr:row>32</xdr:row>
      <xdr:rowOff>117</xdr:rowOff>
    </xdr:from>
    <xdr:to>
      <xdr:col>33</xdr:col>
      <xdr:colOff>179917</xdr:colOff>
      <xdr:row>45</xdr:row>
      <xdr:rowOff>162984</xdr:rowOff>
    </xdr:to>
    <xdr:pic>
      <xdr:nvPicPr>
        <xdr:cNvPr id="5294" name="Imagen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l="37654" t="30692" r="30273" b="31870"/>
        <a:stretch>
          <a:fillRect/>
        </a:stretch>
      </xdr:blipFill>
      <xdr:spPr bwMode="auto">
        <a:xfrm>
          <a:off x="14350999" y="6858117"/>
          <a:ext cx="4476751" cy="29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476251</xdr:colOff>
      <xdr:row>108</xdr:row>
      <xdr:rowOff>212480</xdr:rowOff>
    </xdr:from>
    <xdr:to>
      <xdr:col>9</xdr:col>
      <xdr:colOff>652098</xdr:colOff>
      <xdr:row>125</xdr:row>
      <xdr:rowOff>28575</xdr:rowOff>
    </xdr:to>
    <xdr:graphicFrame macro="">
      <xdr:nvGraphicFramePr>
        <xdr:cNvPr id="326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457200</xdr:colOff>
      <xdr:row>127</xdr:row>
      <xdr:rowOff>21981</xdr:rowOff>
    </xdr:from>
    <xdr:to>
      <xdr:col>9</xdr:col>
      <xdr:colOff>659424</xdr:colOff>
      <xdr:row>143</xdr:row>
      <xdr:rowOff>45425</xdr:rowOff>
    </xdr:to>
    <xdr:graphicFrame macro="">
      <xdr:nvGraphicFramePr>
        <xdr:cNvPr id="327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404813</xdr:colOff>
      <xdr:row>32</xdr:row>
      <xdr:rowOff>142874</xdr:rowOff>
    </xdr:from>
    <xdr:to>
      <xdr:col>7</xdr:col>
      <xdr:colOff>762000</xdr:colOff>
      <xdr:row>34</xdr:row>
      <xdr:rowOff>35718</xdr:rowOff>
    </xdr:to>
    <xdr:sp macro="[0]!Ver_Oferta" textlink="" fLocksText="0">
      <xdr:nvSpPr>
        <xdr:cNvPr id="2" name="1 Rectángulo redondeado"/>
        <xdr:cNvSpPr/>
      </xdr:nvSpPr>
      <xdr:spPr>
        <a:xfrm>
          <a:off x="6988969" y="8036718"/>
          <a:ext cx="1381125" cy="32146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a:t>Ver Oferta</a:t>
          </a:r>
        </a:p>
      </xdr:txBody>
    </xdr:sp>
    <xdr:clientData fLocksWithSheet="0"/>
  </xdr:twoCellAnchor>
  <xdr:twoCellAnchor>
    <xdr:from>
      <xdr:col>6</xdr:col>
      <xdr:colOff>416719</xdr:colOff>
      <xdr:row>53</xdr:row>
      <xdr:rowOff>154781</xdr:rowOff>
    </xdr:from>
    <xdr:to>
      <xdr:col>7</xdr:col>
      <xdr:colOff>809625</xdr:colOff>
      <xdr:row>55</xdr:row>
      <xdr:rowOff>95250</xdr:rowOff>
    </xdr:to>
    <xdr:sp macro="[0]!Ver_Demanda" textlink="" fLocksText="0">
      <xdr:nvSpPr>
        <xdr:cNvPr id="3" name="2 Rectángulo redondeado"/>
        <xdr:cNvSpPr/>
      </xdr:nvSpPr>
      <xdr:spPr>
        <a:xfrm>
          <a:off x="7000875" y="13001625"/>
          <a:ext cx="1416844" cy="36909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a:t>Ver Demanda</a:t>
          </a:r>
        </a:p>
      </xdr:txBody>
    </xdr:sp>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105</xdr:row>
          <xdr:rowOff>161925</xdr:rowOff>
        </xdr:from>
        <xdr:to>
          <xdr:col>3</xdr:col>
          <xdr:colOff>971550</xdr:colOff>
          <xdr:row>107</xdr:row>
          <xdr:rowOff>0</xdr:rowOff>
        </xdr:to>
        <xdr:sp macro="" textlink="">
          <xdr:nvSpPr>
            <xdr:cNvPr id="126977" name="Drop Down 1" hidden="1">
              <a:extLst>
                <a:ext uri="{63B3BB69-23CF-44E3-9099-C40C66FF867C}">
                  <a14:compatExt spid="_x0000_s1269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niga/Desktop/fichas%20INVIERTE/Ficha%20Simplificada%20-%20Riego%20Tecnificado%2010031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aranzamendi/AppData/Local/Microsoft/Windows/Temporary%20Internet%20Files/Content.Outlook/QF4YUJKB/Ficha%20Estandarizada%20-%20Riego%20Tecnificado%20PSI%202509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cha Riego Tecnificado 100317"/>
      <sheetName val="Hoja1"/>
      <sheetName val="Hoja2"/>
      <sheetName val="Hoja3"/>
    </sheetNames>
    <sheetDataSet>
      <sheetData sheetId="0" refreshError="1"/>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cha Mejoramiento Sist Riego"/>
      <sheetName val="Kc"/>
      <sheetName val="Demanda"/>
      <sheetName val="Oferta"/>
      <sheetName val="Baslance"/>
      <sheetName val="Ficha Automática"/>
      <sheetName val="DG e Identificación"/>
      <sheetName val="Balance Hídrico"/>
      <sheetName val="FyE Costos"/>
      <sheetName val="FyE Beneficios"/>
      <sheetName val="Sostenibilidad"/>
      <sheetName val="Selección de Datos"/>
      <sheetName val="Datos"/>
      <sheetName val="Ppto Ref"/>
    </sheetNames>
    <sheetDataSet>
      <sheetData sheetId="0"/>
      <sheetData sheetId="1"/>
      <sheetData sheetId="2"/>
      <sheetData sheetId="3"/>
      <sheetData sheetId="4"/>
      <sheetData sheetId="5"/>
      <sheetData sheetId="6"/>
      <sheetData sheetId="7">
        <row r="50">
          <cell r="C50" t="str">
            <v>ALFALFA</v>
          </cell>
        </row>
      </sheetData>
      <sheetData sheetId="8">
        <row r="71">
          <cell r="G71">
            <v>427000</v>
          </cell>
        </row>
        <row r="110">
          <cell r="G110">
            <v>45000</v>
          </cell>
        </row>
        <row r="124">
          <cell r="C124">
            <v>12800</v>
          </cell>
          <cell r="H124">
            <v>20300</v>
          </cell>
        </row>
      </sheetData>
      <sheetData sheetId="9"/>
      <sheetData sheetId="10"/>
      <sheetData sheetId="11"/>
      <sheetData sheetId="12"/>
      <sheetData sheetId="1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2:V439"/>
  <sheetViews>
    <sheetView topLeftCell="A253" zoomScale="130" zoomScaleNormal="130" zoomScaleSheetLayoutView="100" workbookViewId="0">
      <selection activeCell="B258" sqref="B258:D258"/>
    </sheetView>
  </sheetViews>
  <sheetFormatPr baseColWidth="10" defaultColWidth="11.42578125" defaultRowHeight="12.75" x14ac:dyDescent="0.2"/>
  <cols>
    <col min="1" max="1" width="11.42578125" style="4"/>
    <col min="2" max="2" width="25.28515625" style="4" customWidth="1"/>
    <col min="3" max="3" width="14.140625" style="4" customWidth="1"/>
    <col min="4" max="4" width="18.7109375" style="4" customWidth="1"/>
    <col min="5" max="10" width="15" style="4" customWidth="1"/>
    <col min="11" max="11" width="12" style="4" hidden="1" customWidth="1"/>
    <col min="12" max="14" width="12" style="114" hidden="1" customWidth="1"/>
    <col min="15" max="15" width="12" style="4" hidden="1" customWidth="1"/>
    <col min="16" max="16384" width="11.42578125" style="4"/>
  </cols>
  <sheetData>
    <row r="2" spans="2:14" ht="18" x14ac:dyDescent="0.2">
      <c r="B2" s="901" t="s">
        <v>353</v>
      </c>
      <c r="C2" s="902"/>
      <c r="D2" s="902"/>
      <c r="E2" s="902"/>
      <c r="F2" s="902"/>
      <c r="G2" s="902"/>
      <c r="H2" s="902"/>
      <c r="I2" s="902"/>
      <c r="J2" s="903"/>
    </row>
    <row r="3" spans="2:14" ht="20.25" customHeight="1" x14ac:dyDescent="0.2">
      <c r="B3" s="792" t="s">
        <v>215</v>
      </c>
      <c r="C3" s="904"/>
      <c r="D3" s="904"/>
      <c r="E3" s="904"/>
      <c r="F3" s="904"/>
      <c r="G3" s="904"/>
      <c r="H3" s="904"/>
      <c r="I3" s="904"/>
      <c r="J3" s="905"/>
    </row>
    <row r="4" spans="2:14" ht="10.5" customHeight="1" x14ac:dyDescent="0.2">
      <c r="B4" s="25"/>
      <c r="C4" s="25"/>
      <c r="D4" s="25"/>
      <c r="E4" s="25"/>
      <c r="F4" s="25"/>
      <c r="G4" s="25"/>
      <c r="H4" s="25"/>
      <c r="I4" s="25"/>
      <c r="J4" s="25"/>
    </row>
    <row r="5" spans="2:14" ht="10.5" customHeight="1" x14ac:dyDescent="0.2">
      <c r="B5" s="25"/>
      <c r="C5" s="25"/>
      <c r="D5" s="25"/>
      <c r="E5" s="25"/>
      <c r="F5" s="25"/>
      <c r="G5" s="25"/>
      <c r="H5" s="25"/>
      <c r="I5" s="25"/>
      <c r="J5" s="25"/>
    </row>
    <row r="6" spans="2:14" ht="18.75" customHeight="1" x14ac:dyDescent="0.2">
      <c r="B6" s="26" t="s">
        <v>29</v>
      </c>
      <c r="C6" s="27"/>
      <c r="D6" s="27"/>
      <c r="E6" s="27"/>
      <c r="F6" s="27"/>
      <c r="G6" s="27"/>
      <c r="H6" s="27"/>
      <c r="I6" s="27"/>
      <c r="J6" s="27"/>
    </row>
    <row r="7" spans="2:14" s="28" customFormat="1" x14ac:dyDescent="0.2">
      <c r="B7" s="29"/>
      <c r="C7" s="30"/>
      <c r="D7" s="30"/>
      <c r="E7" s="30"/>
      <c r="F7" s="30"/>
      <c r="G7" s="30"/>
      <c r="H7" s="30"/>
      <c r="I7" s="30"/>
      <c r="J7" s="30"/>
      <c r="L7" s="114"/>
      <c r="M7" s="114"/>
      <c r="N7" s="114"/>
    </row>
    <row r="8" spans="2:14" ht="18" customHeight="1" x14ac:dyDescent="0.2">
      <c r="B8" s="31" t="s">
        <v>191</v>
      </c>
      <c r="C8" s="25"/>
      <c r="D8" s="25"/>
      <c r="G8" s="90">
        <v>245545</v>
      </c>
      <c r="H8" s="25"/>
      <c r="I8" s="25"/>
      <c r="J8" s="25"/>
    </row>
    <row r="9" spans="2:14" ht="13.5" customHeight="1" x14ac:dyDescent="0.2">
      <c r="C9" s="25"/>
      <c r="D9" s="25"/>
      <c r="E9" s="24"/>
      <c r="F9" s="24"/>
      <c r="G9" s="25"/>
      <c r="H9" s="25"/>
      <c r="I9" s="25"/>
      <c r="J9" s="25"/>
    </row>
    <row r="10" spans="2:14" ht="18.600000000000001" customHeight="1" x14ac:dyDescent="0.2">
      <c r="B10" s="31" t="s">
        <v>192</v>
      </c>
      <c r="C10" s="25"/>
    </row>
    <row r="11" spans="2:14" ht="36" customHeight="1" x14ac:dyDescent="0.2">
      <c r="B11" s="776" t="s">
        <v>405</v>
      </c>
      <c r="C11" s="777"/>
      <c r="D11" s="777"/>
      <c r="E11" s="777"/>
      <c r="F11" s="777"/>
      <c r="G11" s="777"/>
      <c r="H11" s="777"/>
      <c r="I11" s="777"/>
      <c r="J11" s="778"/>
    </row>
    <row r="12" spans="2:14" ht="12" customHeight="1" x14ac:dyDescent="0.2">
      <c r="B12" s="24"/>
      <c r="C12" s="24"/>
      <c r="D12" s="24"/>
      <c r="E12" s="24"/>
      <c r="F12" s="24"/>
      <c r="G12" s="24"/>
      <c r="H12" s="24"/>
      <c r="I12" s="24"/>
      <c r="J12" s="24"/>
    </row>
    <row r="13" spans="2:14" x14ac:dyDescent="0.2">
      <c r="B13" s="31" t="s">
        <v>193</v>
      </c>
      <c r="G13" s="6"/>
      <c r="H13" s="6"/>
      <c r="I13" s="6"/>
      <c r="J13" s="6"/>
      <c r="K13" s="6"/>
    </row>
    <row r="14" spans="2:14" x14ac:dyDescent="0.2">
      <c r="G14" s="6"/>
      <c r="H14" s="6"/>
      <c r="I14" s="6"/>
      <c r="J14" s="6"/>
      <c r="K14" s="6"/>
    </row>
    <row r="15" spans="2:14" ht="16.899999999999999" customHeight="1" x14ac:dyDescent="0.2">
      <c r="B15" s="898" t="s">
        <v>14</v>
      </c>
      <c r="C15" s="899"/>
      <c r="D15" s="900"/>
      <c r="E15" s="782" t="s">
        <v>83</v>
      </c>
      <c r="F15" s="887"/>
      <c r="G15" s="887"/>
      <c r="H15" s="887"/>
      <c r="I15" s="887"/>
      <c r="J15" s="783"/>
      <c r="K15" s="6"/>
    </row>
    <row r="16" spans="2:14" ht="16.899999999999999" customHeight="1" x14ac:dyDescent="0.2">
      <c r="B16" s="898" t="s">
        <v>81</v>
      </c>
      <c r="C16" s="899"/>
      <c r="D16" s="900"/>
      <c r="E16" s="782" t="s">
        <v>84</v>
      </c>
      <c r="F16" s="887"/>
      <c r="G16" s="887"/>
      <c r="H16" s="887"/>
      <c r="I16" s="887"/>
      <c r="J16" s="783"/>
      <c r="K16" s="6"/>
    </row>
    <row r="17" spans="2:11" ht="16.899999999999999" customHeight="1" x14ac:dyDescent="0.2">
      <c r="B17" s="898" t="s">
        <v>82</v>
      </c>
      <c r="C17" s="899"/>
      <c r="D17" s="900"/>
      <c r="E17" s="782" t="s">
        <v>316</v>
      </c>
      <c r="F17" s="887"/>
      <c r="G17" s="887"/>
      <c r="H17" s="887"/>
      <c r="I17" s="887"/>
      <c r="J17" s="783"/>
      <c r="K17" s="6"/>
    </row>
    <row r="18" spans="2:11" ht="16.899999999999999" customHeight="1" x14ac:dyDescent="0.2">
      <c r="B18" s="898" t="s">
        <v>23</v>
      </c>
      <c r="C18" s="899"/>
      <c r="D18" s="900"/>
      <c r="E18" s="782" t="s">
        <v>251</v>
      </c>
      <c r="F18" s="887"/>
      <c r="G18" s="887"/>
      <c r="H18" s="887"/>
      <c r="I18" s="887"/>
      <c r="J18" s="783"/>
      <c r="K18" s="6"/>
    </row>
    <row r="20" spans="2:11" x14ac:dyDescent="0.2">
      <c r="B20" s="32" t="s">
        <v>17</v>
      </c>
    </row>
    <row r="22" spans="2:11" ht="15" customHeight="1" x14ac:dyDescent="0.2">
      <c r="B22" s="4" t="s">
        <v>89</v>
      </c>
      <c r="E22" s="889" t="s">
        <v>91</v>
      </c>
      <c r="F22" s="890"/>
      <c r="G22" s="890"/>
      <c r="H22" s="890"/>
      <c r="I22" s="890"/>
      <c r="J22" s="891"/>
    </row>
    <row r="23" spans="2:11" ht="10.15" customHeight="1" x14ac:dyDescent="0.2">
      <c r="D23" s="6"/>
      <c r="E23" s="77"/>
      <c r="F23" s="77"/>
      <c r="G23" s="78"/>
      <c r="H23" s="78"/>
      <c r="I23" s="78"/>
      <c r="J23" s="78"/>
    </row>
    <row r="24" spans="2:11" ht="15" customHeight="1" x14ac:dyDescent="0.2">
      <c r="B24" s="4" t="s">
        <v>90</v>
      </c>
      <c r="E24" s="889" t="s">
        <v>88</v>
      </c>
      <c r="F24" s="890"/>
      <c r="G24" s="890"/>
      <c r="H24" s="890"/>
      <c r="I24" s="890"/>
      <c r="J24" s="891"/>
    </row>
    <row r="25" spans="2:11" ht="10.15" customHeight="1" x14ac:dyDescent="0.2">
      <c r="D25" s="6"/>
      <c r="E25" s="77"/>
      <c r="F25" s="77"/>
      <c r="G25" s="78"/>
      <c r="H25" s="78"/>
      <c r="I25" s="78"/>
      <c r="J25" s="78"/>
    </row>
    <row r="26" spans="2:11" ht="15" customHeight="1" x14ac:dyDescent="0.2">
      <c r="B26" s="4" t="s">
        <v>2</v>
      </c>
      <c r="E26" s="889" t="s">
        <v>92</v>
      </c>
      <c r="F26" s="890"/>
      <c r="G26" s="890"/>
      <c r="H26" s="890"/>
      <c r="I26" s="890"/>
      <c r="J26" s="891"/>
    </row>
    <row r="27" spans="2:11" ht="10.15" customHeight="1" x14ac:dyDescent="0.2">
      <c r="D27" s="6"/>
      <c r="E27" s="77"/>
      <c r="F27" s="77"/>
      <c r="G27" s="78"/>
      <c r="H27" s="78"/>
      <c r="I27" s="78"/>
      <c r="J27" s="78"/>
    </row>
    <row r="28" spans="2:11" ht="15" customHeight="1" x14ac:dyDescent="0.2">
      <c r="B28" s="33" t="s">
        <v>200</v>
      </c>
      <c r="C28" s="33"/>
      <c r="D28" s="2"/>
      <c r="E28" s="151" t="s">
        <v>357</v>
      </c>
      <c r="F28" s="152"/>
      <c r="G28" s="152"/>
      <c r="H28" s="38" t="s">
        <v>284</v>
      </c>
      <c r="I28" s="152" t="s">
        <v>359</v>
      </c>
      <c r="J28" s="153"/>
    </row>
    <row r="29" spans="2:11" ht="10.15" customHeight="1" x14ac:dyDescent="0.2">
      <c r="D29" s="6"/>
      <c r="E29" s="78"/>
      <c r="F29" s="78"/>
      <c r="G29" s="78"/>
      <c r="H29" s="183"/>
      <c r="I29" s="78"/>
      <c r="J29" s="78"/>
    </row>
    <row r="30" spans="2:11" ht="15" customHeight="1" x14ac:dyDescent="0.2">
      <c r="B30" s="33" t="s">
        <v>21</v>
      </c>
      <c r="C30" s="33"/>
      <c r="D30" s="2"/>
      <c r="E30" s="151" t="s">
        <v>358</v>
      </c>
      <c r="F30" s="152"/>
      <c r="G30" s="152"/>
      <c r="H30" s="38" t="s">
        <v>284</v>
      </c>
      <c r="I30" s="152" t="s">
        <v>404</v>
      </c>
      <c r="J30" s="153"/>
    </row>
    <row r="31" spans="2:11" x14ac:dyDescent="0.2">
      <c r="D31" s="6"/>
    </row>
    <row r="33" spans="2:12" x14ac:dyDescent="0.2">
      <c r="B33" s="32" t="s">
        <v>199</v>
      </c>
      <c r="E33" s="34"/>
      <c r="F33" s="34"/>
    </row>
    <row r="34" spans="2:12" x14ac:dyDescent="0.2">
      <c r="B34" s="64"/>
      <c r="C34" s="64"/>
      <c r="D34" s="64"/>
      <c r="E34" s="64"/>
      <c r="F34" s="64"/>
      <c r="G34" s="64"/>
      <c r="H34" s="64"/>
      <c r="I34" s="64"/>
      <c r="J34" s="64"/>
    </row>
    <row r="35" spans="2:12" x14ac:dyDescent="0.2">
      <c r="B35" s="64" t="s">
        <v>185</v>
      </c>
      <c r="C35" s="64"/>
      <c r="D35" s="64"/>
      <c r="E35" s="64"/>
      <c r="F35" s="64"/>
      <c r="G35" s="64"/>
      <c r="H35" s="64"/>
      <c r="I35" s="64"/>
      <c r="J35" s="64"/>
      <c r="K35" s="35"/>
    </row>
    <row r="36" spans="2:12" x14ac:dyDescent="0.2">
      <c r="B36" s="64"/>
      <c r="C36" s="64"/>
      <c r="D36" s="64"/>
      <c r="E36" s="64"/>
      <c r="F36" s="64"/>
      <c r="G36" s="64"/>
      <c r="H36" s="64"/>
      <c r="I36" s="64"/>
      <c r="J36" s="64"/>
      <c r="K36" s="35"/>
    </row>
    <row r="37" spans="2:12" x14ac:dyDescent="0.2">
      <c r="B37" s="64" t="s">
        <v>65</v>
      </c>
      <c r="C37" s="64"/>
      <c r="D37" s="64"/>
      <c r="E37" s="856" t="s">
        <v>53</v>
      </c>
      <c r="F37" s="858"/>
      <c r="G37" s="857"/>
      <c r="H37" s="143"/>
      <c r="I37" s="856" t="s">
        <v>67</v>
      </c>
      <c r="J37" s="857"/>
    </row>
    <row r="38" spans="2:12" x14ac:dyDescent="0.2">
      <c r="B38" s="64"/>
      <c r="C38" s="64"/>
      <c r="D38" s="64"/>
      <c r="E38" s="895"/>
      <c r="F38" s="896"/>
      <c r="G38" s="897"/>
      <c r="H38" s="144"/>
      <c r="I38" s="895"/>
      <c r="J38" s="897"/>
    </row>
    <row r="39" spans="2:12" ht="10.15" customHeight="1" x14ac:dyDescent="0.2">
      <c r="B39" s="64"/>
      <c r="C39" s="64"/>
      <c r="D39" s="64"/>
      <c r="E39" s="35"/>
      <c r="F39" s="35"/>
      <c r="G39" s="36"/>
      <c r="H39" s="109"/>
      <c r="I39" s="109"/>
      <c r="J39" s="35"/>
      <c r="K39" s="35"/>
    </row>
    <row r="40" spans="2:12" x14ac:dyDescent="0.2">
      <c r="B40" s="64" t="s">
        <v>184</v>
      </c>
      <c r="C40" s="64"/>
      <c r="D40" s="64"/>
      <c r="E40" s="856" t="s">
        <v>55</v>
      </c>
      <c r="F40" s="858"/>
      <c r="G40" s="857"/>
      <c r="H40" s="143"/>
      <c r="I40" s="856" t="s">
        <v>67</v>
      </c>
      <c r="J40" s="857"/>
    </row>
    <row r="41" spans="2:12" x14ac:dyDescent="0.2">
      <c r="B41" s="64"/>
      <c r="C41" s="64"/>
      <c r="D41" s="64"/>
      <c r="E41" s="881"/>
      <c r="F41" s="882"/>
      <c r="G41" s="883"/>
      <c r="H41" s="145"/>
      <c r="I41" s="881"/>
      <c r="J41" s="883"/>
    </row>
    <row r="42" spans="2:12" ht="10.15" customHeight="1" x14ac:dyDescent="0.2">
      <c r="B42" s="64"/>
      <c r="C42" s="64"/>
      <c r="D42" s="64"/>
      <c r="E42" s="35"/>
      <c r="F42" s="35"/>
      <c r="G42" s="109"/>
      <c r="H42" s="109"/>
      <c r="I42" s="109"/>
      <c r="J42" s="109"/>
      <c r="K42" s="109"/>
    </row>
    <row r="43" spans="2:12" ht="30.6" customHeight="1" x14ac:dyDescent="0.2">
      <c r="B43" s="64" t="s">
        <v>66</v>
      </c>
      <c r="C43" s="64"/>
      <c r="D43" s="64"/>
      <c r="E43" s="757" t="s">
        <v>55</v>
      </c>
      <c r="F43" s="775"/>
      <c r="G43" s="758"/>
      <c r="H43" s="142"/>
      <c r="I43" s="104" t="s">
        <v>68</v>
      </c>
      <c r="J43" s="103" t="s">
        <v>67</v>
      </c>
    </row>
    <row r="44" spans="2:12" ht="34.9" customHeight="1" x14ac:dyDescent="0.2">
      <c r="B44" s="64"/>
      <c r="C44" s="64"/>
      <c r="D44" s="64"/>
      <c r="E44" s="884" t="s">
        <v>85</v>
      </c>
      <c r="F44" s="885"/>
      <c r="G44" s="886"/>
      <c r="H44" s="146"/>
      <c r="I44" s="108" t="s">
        <v>87</v>
      </c>
      <c r="J44" s="79" t="s">
        <v>88</v>
      </c>
    </row>
    <row r="45" spans="2:12" ht="10.15" customHeight="1" x14ac:dyDescent="0.2">
      <c r="B45" s="64"/>
      <c r="C45" s="64"/>
      <c r="D45" s="64"/>
      <c r="E45" s="35"/>
      <c r="F45" s="35"/>
      <c r="G45" s="109"/>
      <c r="H45" s="109"/>
      <c r="I45" s="109"/>
      <c r="J45" s="109"/>
      <c r="K45" s="109"/>
      <c r="L45" s="113"/>
    </row>
    <row r="46" spans="2:12" ht="14.45" customHeight="1" x14ac:dyDescent="0.2">
      <c r="B46" s="64" t="s">
        <v>13</v>
      </c>
      <c r="C46" s="64"/>
      <c r="D46" s="64"/>
      <c r="E46" s="782" t="s">
        <v>94</v>
      </c>
      <c r="F46" s="887"/>
      <c r="G46" s="887"/>
      <c r="H46" s="887"/>
      <c r="I46" s="887"/>
      <c r="J46" s="783"/>
    </row>
    <row r="47" spans="2:12" ht="10.15" customHeight="1" x14ac:dyDescent="0.2">
      <c r="B47" s="64"/>
      <c r="C47" s="64"/>
      <c r="D47" s="64"/>
    </row>
    <row r="48" spans="2:12" ht="16.899999999999999" customHeight="1" x14ac:dyDescent="0.2">
      <c r="B48" s="64" t="s">
        <v>54</v>
      </c>
      <c r="C48" s="64"/>
      <c r="D48" s="64"/>
      <c r="E48" s="782" t="s">
        <v>93</v>
      </c>
      <c r="F48" s="887"/>
      <c r="G48" s="887"/>
      <c r="H48" s="887"/>
      <c r="I48" s="887"/>
      <c r="J48" s="783"/>
      <c r="K48" s="39"/>
    </row>
    <row r="49" spans="2:14" ht="16.899999999999999" customHeight="1" x14ac:dyDescent="0.2">
      <c r="B49" s="64"/>
      <c r="C49" s="64"/>
      <c r="D49" s="64"/>
      <c r="E49" s="186"/>
      <c r="F49" s="186"/>
      <c r="G49" s="186"/>
      <c r="H49" s="186"/>
      <c r="I49" s="186"/>
      <c r="J49" s="186"/>
      <c r="K49" s="39"/>
    </row>
    <row r="50" spans="2:14" s="35" customFormat="1" x14ac:dyDescent="0.2">
      <c r="B50" s="64"/>
      <c r="C50" s="64"/>
      <c r="D50" s="64"/>
      <c r="E50" s="64"/>
      <c r="F50" s="64"/>
      <c r="G50" s="21"/>
      <c r="H50" s="21"/>
      <c r="I50" s="21"/>
      <c r="J50" s="21"/>
      <c r="K50" s="40"/>
      <c r="L50" s="114"/>
      <c r="M50" s="114"/>
      <c r="N50" s="114"/>
    </row>
    <row r="51" spans="2:14" x14ac:dyDescent="0.2">
      <c r="B51" s="184" t="s">
        <v>258</v>
      </c>
      <c r="C51" s="64"/>
      <c r="D51" s="64"/>
      <c r="E51" s="64"/>
      <c r="F51" s="64"/>
      <c r="G51" s="64"/>
      <c r="H51" s="64"/>
      <c r="I51" s="64"/>
      <c r="J51" s="64"/>
    </row>
    <row r="52" spans="2:14" x14ac:dyDescent="0.2">
      <c r="B52" s="64"/>
      <c r="C52" s="64"/>
      <c r="D52" s="64"/>
      <c r="E52" s="64"/>
      <c r="F52" s="64"/>
      <c r="G52" s="64"/>
      <c r="H52" s="64"/>
      <c r="I52" s="64"/>
      <c r="J52" s="64"/>
    </row>
    <row r="53" spans="2:14" x14ac:dyDescent="0.2">
      <c r="B53" s="45" t="s">
        <v>360</v>
      </c>
    </row>
    <row r="55" spans="2:14" ht="16.899999999999999" customHeight="1" x14ac:dyDescent="0.2">
      <c r="B55" s="4" t="s">
        <v>361</v>
      </c>
      <c r="E55" s="872" t="s">
        <v>85</v>
      </c>
      <c r="F55" s="872"/>
      <c r="G55" s="872"/>
      <c r="H55" s="872"/>
      <c r="I55" s="872"/>
      <c r="J55" s="872"/>
    </row>
    <row r="56" spans="2:14" ht="16.899999999999999" customHeight="1" x14ac:dyDescent="0.2">
      <c r="B56" s="4" t="s">
        <v>0</v>
      </c>
      <c r="E56" s="872" t="s">
        <v>86</v>
      </c>
      <c r="F56" s="872"/>
      <c r="G56" s="872"/>
      <c r="H56" s="872"/>
      <c r="I56" s="872"/>
      <c r="J56" s="872"/>
    </row>
    <row r="57" spans="2:14" ht="16.899999999999999" customHeight="1" x14ac:dyDescent="0.2">
      <c r="B57" s="4" t="s">
        <v>1</v>
      </c>
      <c r="E57" s="872" t="s">
        <v>87</v>
      </c>
      <c r="F57" s="872"/>
      <c r="G57" s="872"/>
      <c r="H57" s="872"/>
      <c r="I57" s="872"/>
      <c r="J57" s="872"/>
    </row>
    <row r="58" spans="2:14" ht="16.899999999999999" customHeight="1" x14ac:dyDescent="0.2">
      <c r="B58" s="4" t="s">
        <v>362</v>
      </c>
      <c r="E58" s="872" t="s">
        <v>363</v>
      </c>
      <c r="F58" s="872"/>
      <c r="G58" s="872"/>
      <c r="H58" s="872"/>
      <c r="I58" s="872"/>
      <c r="J58" s="872"/>
    </row>
    <row r="59" spans="2:14" s="10" customFormat="1" ht="16.899999999999999" customHeight="1" x14ac:dyDescent="0.2">
      <c r="E59" s="186"/>
      <c r="F59" s="186"/>
      <c r="G59" s="186"/>
      <c r="H59" s="186"/>
      <c r="I59" s="186"/>
      <c r="J59" s="186"/>
      <c r="L59" s="138"/>
      <c r="M59" s="138"/>
      <c r="N59" s="138"/>
    </row>
    <row r="60" spans="2:14" s="10" customFormat="1" ht="16.899999999999999" customHeight="1" x14ac:dyDescent="0.2">
      <c r="B60" s="184" t="s">
        <v>252</v>
      </c>
      <c r="E60" s="186"/>
      <c r="F60" s="186"/>
      <c r="G60" s="186"/>
      <c r="H60" s="186"/>
      <c r="I60" s="186"/>
      <c r="J60" s="186"/>
      <c r="L60" s="138"/>
      <c r="M60" s="138"/>
      <c r="N60" s="138"/>
    </row>
    <row r="61" spans="2:14" s="10" customFormat="1" ht="16.899999999999999" customHeight="1" x14ac:dyDescent="0.2">
      <c r="E61" s="186"/>
      <c r="F61" s="186"/>
      <c r="G61" s="186"/>
      <c r="H61" s="186"/>
      <c r="I61" s="186"/>
      <c r="J61" s="186"/>
      <c r="L61" s="138"/>
      <c r="M61" s="138"/>
      <c r="N61" s="138"/>
    </row>
    <row r="62" spans="2:14" ht="16.899999999999999" customHeight="1" x14ac:dyDescent="0.2">
      <c r="B62" s="4" t="s">
        <v>456</v>
      </c>
      <c r="C62" s="6" t="s">
        <v>455</v>
      </c>
      <c r="E62" s="154" t="s">
        <v>226</v>
      </c>
      <c r="F62" s="232">
        <v>657259</v>
      </c>
      <c r="G62" s="154" t="s">
        <v>227</v>
      </c>
      <c r="H62" s="232">
        <v>9406136</v>
      </c>
      <c r="I62" s="154" t="s">
        <v>253</v>
      </c>
      <c r="J62" s="141" t="s">
        <v>364</v>
      </c>
    </row>
    <row r="63" spans="2:14" ht="16.899999999999999" customHeight="1" x14ac:dyDescent="0.2">
      <c r="B63" s="4" t="s">
        <v>228</v>
      </c>
      <c r="E63" s="873">
        <v>2542</v>
      </c>
      <c r="F63" s="874"/>
      <c r="G63" s="766"/>
      <c r="H63" s="766"/>
      <c r="I63" s="766"/>
      <c r="J63" s="767"/>
    </row>
    <row r="64" spans="2:14" ht="16.899999999999999" customHeight="1" x14ac:dyDescent="0.2">
      <c r="B64" s="4" t="s">
        <v>250</v>
      </c>
      <c r="E64" s="859" t="s">
        <v>249</v>
      </c>
      <c r="F64" s="860"/>
      <c r="G64" s="887"/>
      <c r="H64" s="887"/>
      <c r="I64" s="887"/>
      <c r="J64" s="783"/>
    </row>
    <row r="65" spans="2:14" ht="16.899999999999999" customHeight="1" x14ac:dyDescent="0.2">
      <c r="E65" s="111"/>
      <c r="F65" s="111"/>
      <c r="G65" s="175"/>
      <c r="H65" s="175"/>
      <c r="I65" s="175"/>
      <c r="J65" s="175"/>
    </row>
    <row r="66" spans="2:14" s="64" customFormat="1" ht="16.899999999999999" customHeight="1" x14ac:dyDescent="0.2">
      <c r="B66" s="184" t="s">
        <v>254</v>
      </c>
      <c r="E66" s="185"/>
      <c r="F66" s="185"/>
      <c r="G66" s="186"/>
      <c r="H66" s="186"/>
      <c r="I66" s="186"/>
      <c r="J66" s="186"/>
      <c r="L66" s="138"/>
      <c r="M66" s="138"/>
      <c r="N66" s="138"/>
    </row>
    <row r="67" spans="2:14" s="64" customFormat="1" ht="16.899999999999999" customHeight="1" x14ac:dyDescent="0.2">
      <c r="B67" s="184"/>
      <c r="E67" s="185"/>
      <c r="F67" s="185"/>
      <c r="G67" s="186"/>
      <c r="H67" s="186"/>
      <c r="I67" s="186"/>
      <c r="J67" s="186"/>
      <c r="L67" s="138"/>
      <c r="M67" s="138"/>
      <c r="N67" s="138"/>
    </row>
    <row r="68" spans="2:14" s="64" customFormat="1" ht="16.899999999999999" customHeight="1" x14ac:dyDescent="0.2">
      <c r="B68" s="191" t="s">
        <v>257</v>
      </c>
      <c r="C68" s="835" t="s">
        <v>317</v>
      </c>
      <c r="D68" s="835"/>
      <c r="E68" s="168" t="s">
        <v>255</v>
      </c>
      <c r="F68" s="880" t="s">
        <v>318</v>
      </c>
      <c r="G68" s="880"/>
      <c r="H68" s="168" t="s">
        <v>256</v>
      </c>
      <c r="I68" s="835" t="s">
        <v>319</v>
      </c>
      <c r="J68" s="835"/>
      <c r="L68" s="138"/>
      <c r="M68" s="138"/>
      <c r="N68" s="138"/>
    </row>
    <row r="69" spans="2:14" ht="16.899999999999999" customHeight="1" x14ac:dyDescent="0.2">
      <c r="E69" s="111"/>
      <c r="G69" s="123"/>
      <c r="I69" s="123"/>
      <c r="J69" s="123"/>
    </row>
    <row r="70" spans="2:14" s="64" customFormat="1" ht="16.899999999999999" customHeight="1" x14ac:dyDescent="0.2">
      <c r="B70" s="184" t="s">
        <v>263</v>
      </c>
      <c r="E70" s="185"/>
      <c r="F70" s="185"/>
      <c r="G70" s="186"/>
      <c r="H70" s="186"/>
      <c r="I70" s="186"/>
      <c r="J70" s="186"/>
      <c r="L70" s="138"/>
      <c r="M70" s="138"/>
      <c r="N70" s="138"/>
    </row>
    <row r="71" spans="2:14" s="64" customFormat="1" ht="16.899999999999999" customHeight="1" x14ac:dyDescent="0.2">
      <c r="B71" s="184"/>
      <c r="E71" s="185"/>
      <c r="F71" s="185"/>
      <c r="G71" s="186"/>
      <c r="H71" s="186"/>
      <c r="I71" s="186"/>
      <c r="J71" s="186"/>
      <c r="L71" s="138"/>
      <c r="M71" s="138"/>
      <c r="N71" s="138"/>
    </row>
    <row r="72" spans="2:14" s="64" customFormat="1" ht="30.75" customHeight="1" x14ac:dyDescent="0.2">
      <c r="B72" s="172" t="s">
        <v>406</v>
      </c>
      <c r="C72" s="172" t="s">
        <v>407</v>
      </c>
      <c r="D72" s="172" t="s">
        <v>259</v>
      </c>
      <c r="E72" s="172" t="s">
        <v>260</v>
      </c>
      <c r="F72" s="172" t="s">
        <v>261</v>
      </c>
      <c r="G72" s="172" t="s">
        <v>262</v>
      </c>
      <c r="I72" s="187"/>
      <c r="J72" s="186"/>
      <c r="L72" s="138"/>
      <c r="M72" s="138"/>
      <c r="N72" s="138"/>
    </row>
    <row r="73" spans="2:14" s="64" customFormat="1" ht="33.75" customHeight="1" x14ac:dyDescent="0.2">
      <c r="B73" s="192" t="s">
        <v>365</v>
      </c>
      <c r="C73" s="189" t="s">
        <v>366</v>
      </c>
      <c r="D73" s="193">
        <v>300</v>
      </c>
      <c r="E73" s="194">
        <v>7</v>
      </c>
      <c r="F73" s="193" t="s">
        <v>370</v>
      </c>
      <c r="G73" s="193" t="s">
        <v>375</v>
      </c>
      <c r="I73" s="187"/>
      <c r="J73" s="186"/>
      <c r="L73" s="138"/>
      <c r="M73" s="138"/>
      <c r="N73" s="138"/>
    </row>
    <row r="74" spans="2:14" s="64" customFormat="1" ht="33.75" customHeight="1" x14ac:dyDescent="0.2">
      <c r="B74" s="192" t="s">
        <v>367</v>
      </c>
      <c r="C74" s="189" t="s">
        <v>319</v>
      </c>
      <c r="D74" s="193">
        <v>120</v>
      </c>
      <c r="E74" s="194">
        <v>5</v>
      </c>
      <c r="F74" s="193" t="s">
        <v>371</v>
      </c>
      <c r="G74" s="193" t="s">
        <v>376</v>
      </c>
      <c r="I74" s="187"/>
      <c r="J74" s="186"/>
      <c r="L74" s="138"/>
      <c r="M74" s="138"/>
      <c r="N74" s="138"/>
    </row>
    <row r="75" spans="2:14" s="64" customFormat="1" ht="33.75" customHeight="1" x14ac:dyDescent="0.2">
      <c r="B75" s="192" t="s">
        <v>368</v>
      </c>
      <c r="C75" s="189" t="s">
        <v>369</v>
      </c>
      <c r="D75" s="193">
        <v>50</v>
      </c>
      <c r="E75" s="194">
        <v>1</v>
      </c>
      <c r="F75" s="193" t="s">
        <v>372</v>
      </c>
      <c r="G75" s="193" t="s">
        <v>376</v>
      </c>
      <c r="I75" s="187"/>
      <c r="J75" s="186"/>
      <c r="L75" s="138"/>
      <c r="M75" s="138"/>
      <c r="N75" s="138"/>
    </row>
    <row r="76" spans="2:14" s="64" customFormat="1" ht="33.75" customHeight="1" x14ac:dyDescent="0.2">
      <c r="B76" s="192" t="s">
        <v>369</v>
      </c>
      <c r="C76" s="189" t="s">
        <v>373</v>
      </c>
      <c r="D76" s="193">
        <v>15</v>
      </c>
      <c r="E76" s="194">
        <v>0.5</v>
      </c>
      <c r="F76" s="193" t="s">
        <v>374</v>
      </c>
      <c r="G76" s="193" t="s">
        <v>377</v>
      </c>
      <c r="I76" s="188"/>
      <c r="J76" s="186"/>
      <c r="L76" s="138"/>
      <c r="M76" s="138"/>
      <c r="N76" s="138"/>
    </row>
    <row r="77" spans="2:14" s="64" customFormat="1" ht="16.899999999999999" customHeight="1" x14ac:dyDescent="0.2">
      <c r="B77" s="64" t="s">
        <v>408</v>
      </c>
      <c r="E77" s="185"/>
      <c r="F77" s="185"/>
      <c r="G77" s="186"/>
      <c r="H77" s="186"/>
      <c r="I77" s="186"/>
      <c r="J77" s="186"/>
      <c r="L77" s="138"/>
      <c r="M77" s="138"/>
      <c r="N77" s="138"/>
    </row>
    <row r="78" spans="2:14" ht="16.899999999999999" customHeight="1" x14ac:dyDescent="0.2">
      <c r="E78" s="111"/>
      <c r="F78" s="111"/>
      <c r="G78" s="159"/>
      <c r="H78" s="159"/>
      <c r="I78" s="159"/>
      <c r="J78" s="159"/>
    </row>
    <row r="79" spans="2:14" x14ac:dyDescent="0.2">
      <c r="B79" s="41" t="s">
        <v>217</v>
      </c>
      <c r="C79" s="42"/>
      <c r="D79" s="42"/>
      <c r="E79" s="43"/>
      <c r="F79" s="43"/>
      <c r="G79" s="42"/>
      <c r="H79" s="42"/>
      <c r="I79" s="42"/>
      <c r="J79" s="42"/>
    </row>
    <row r="80" spans="2:14" s="64" customFormat="1" x14ac:dyDescent="0.2">
      <c r="E80" s="10"/>
      <c r="F80" s="10"/>
      <c r="L80" s="138"/>
      <c r="M80" s="138"/>
      <c r="N80" s="138"/>
    </row>
    <row r="81" spans="2:16" s="64" customFormat="1" x14ac:dyDescent="0.2">
      <c r="B81" s="184" t="s">
        <v>15</v>
      </c>
      <c r="L81" s="138"/>
      <c r="M81" s="138"/>
      <c r="N81" s="138"/>
    </row>
    <row r="82" spans="2:16" s="64" customFormat="1" x14ac:dyDescent="0.2">
      <c r="B82" s="184"/>
      <c r="L82" s="138"/>
      <c r="M82" s="138"/>
      <c r="N82" s="138"/>
    </row>
    <row r="83" spans="2:16" s="64" customFormat="1" x14ac:dyDescent="0.2">
      <c r="B83" s="184" t="s">
        <v>231</v>
      </c>
      <c r="L83" s="138"/>
      <c r="M83" s="138"/>
      <c r="N83" s="138"/>
    </row>
    <row r="84" spans="2:16" s="64" customFormat="1" x14ac:dyDescent="0.2">
      <c r="B84" s="184"/>
      <c r="L84" s="138"/>
      <c r="M84" s="138"/>
      <c r="N84" s="138"/>
    </row>
    <row r="85" spans="2:16" s="64" customFormat="1" ht="14.25" customHeight="1" x14ac:dyDescent="0.2">
      <c r="B85" s="195" t="s">
        <v>265</v>
      </c>
      <c r="C85" s="164"/>
      <c r="D85" s="164"/>
      <c r="E85" s="195" t="s">
        <v>264</v>
      </c>
      <c r="F85" s="195"/>
      <c r="G85" s="164"/>
      <c r="H85" s="164"/>
      <c r="I85" s="164"/>
      <c r="J85" s="164"/>
      <c r="L85" s="138"/>
      <c r="M85" s="138"/>
      <c r="N85" s="138"/>
      <c r="P85" s="64" t="s">
        <v>454</v>
      </c>
    </row>
    <row r="86" spans="2:16" s="64" customFormat="1" ht="16.899999999999999" customHeight="1" x14ac:dyDescent="0.2">
      <c r="B86" s="64" t="s">
        <v>307</v>
      </c>
      <c r="E86" s="878" t="s">
        <v>85</v>
      </c>
      <c r="F86" s="878"/>
      <c r="G86" s="878"/>
      <c r="H86" s="878"/>
      <c r="I86" s="878"/>
      <c r="J86" s="878"/>
      <c r="L86" s="138"/>
      <c r="M86" s="138"/>
      <c r="N86" s="138"/>
    </row>
    <row r="87" spans="2:16" s="64" customFormat="1" ht="16.899999999999999" customHeight="1" x14ac:dyDescent="0.2">
      <c r="B87" s="64" t="s">
        <v>308</v>
      </c>
      <c r="E87" s="878" t="s">
        <v>85</v>
      </c>
      <c r="F87" s="878"/>
      <c r="G87" s="878"/>
      <c r="H87" s="878"/>
      <c r="I87" s="878"/>
      <c r="J87" s="878"/>
      <c r="L87" s="138"/>
      <c r="M87" s="138"/>
      <c r="N87" s="138"/>
    </row>
    <row r="88" spans="2:16" s="64" customFormat="1" ht="16.899999999999999" customHeight="1" x14ac:dyDescent="0.2">
      <c r="B88" s="64" t="s">
        <v>229</v>
      </c>
      <c r="E88" s="878" t="s">
        <v>85</v>
      </c>
      <c r="F88" s="878"/>
      <c r="G88" s="878"/>
      <c r="H88" s="878"/>
      <c r="I88" s="878"/>
      <c r="J88" s="878"/>
      <c r="L88" s="138"/>
      <c r="M88" s="138"/>
      <c r="N88" s="138"/>
    </row>
    <row r="89" spans="2:16" s="64" customFormat="1" ht="16.899999999999999" customHeight="1" x14ac:dyDescent="0.2">
      <c r="B89" s="64" t="s">
        <v>306</v>
      </c>
      <c r="E89" s="878" t="s">
        <v>232</v>
      </c>
      <c r="F89" s="878"/>
      <c r="G89" s="878"/>
      <c r="H89" s="878"/>
      <c r="I89" s="878"/>
      <c r="J89" s="878"/>
      <c r="L89" s="138"/>
      <c r="M89" s="138"/>
      <c r="N89" s="138"/>
    </row>
    <row r="90" spans="2:16" s="64" customFormat="1" ht="16.899999999999999" customHeight="1" x14ac:dyDescent="0.2">
      <c r="B90" s="64" t="s">
        <v>230</v>
      </c>
      <c r="E90" s="878" t="s">
        <v>95</v>
      </c>
      <c r="F90" s="878"/>
      <c r="G90" s="878"/>
      <c r="H90" s="878"/>
      <c r="I90" s="878"/>
      <c r="J90" s="878"/>
      <c r="L90" s="138"/>
      <c r="M90" s="138"/>
      <c r="N90" s="138"/>
    </row>
    <row r="91" spans="2:16" s="64" customFormat="1" ht="16.5" customHeight="1" x14ac:dyDescent="0.2">
      <c r="B91" s="164" t="s">
        <v>266</v>
      </c>
      <c r="C91" s="164"/>
      <c r="D91" s="164"/>
      <c r="E91" s="879"/>
      <c r="F91" s="879"/>
      <c r="G91" s="879"/>
      <c r="H91" s="879"/>
      <c r="I91" s="879"/>
      <c r="J91" s="879"/>
      <c r="L91" s="138"/>
      <c r="M91" s="138"/>
      <c r="N91" s="138"/>
      <c r="P91" s="64" t="s">
        <v>454</v>
      </c>
    </row>
    <row r="92" spans="2:16" s="64" customFormat="1" x14ac:dyDescent="0.2">
      <c r="B92" s="184"/>
      <c r="L92" s="138"/>
      <c r="M92" s="138"/>
      <c r="N92" s="138"/>
    </row>
    <row r="93" spans="2:16" s="64" customFormat="1" ht="17.25" customHeight="1" x14ac:dyDescent="0.2">
      <c r="B93" s="184" t="s">
        <v>409</v>
      </c>
      <c r="E93" s="906"/>
      <c r="F93" s="906"/>
      <c r="G93" s="906"/>
      <c r="H93" s="906"/>
      <c r="I93" s="906"/>
      <c r="J93" s="906"/>
      <c r="L93" s="138"/>
      <c r="M93" s="138"/>
      <c r="N93" s="138"/>
    </row>
    <row r="94" spans="2:16" s="64" customFormat="1" ht="17.25" customHeight="1" x14ac:dyDescent="0.2">
      <c r="B94" s="184"/>
      <c r="E94" s="186"/>
      <c r="F94" s="186"/>
      <c r="G94" s="186"/>
      <c r="H94" s="186"/>
      <c r="I94" s="186"/>
      <c r="J94" s="186"/>
      <c r="L94" s="138"/>
      <c r="M94" s="138"/>
      <c r="N94" s="138"/>
    </row>
    <row r="95" spans="2:16" s="64" customFormat="1" ht="17.25" customHeight="1" x14ac:dyDescent="0.2">
      <c r="B95" s="786" t="s">
        <v>309</v>
      </c>
      <c r="C95" s="786" t="s">
        <v>310</v>
      </c>
      <c r="D95" s="786" t="s">
        <v>267</v>
      </c>
      <c r="E95" s="786"/>
      <c r="F95" s="786"/>
      <c r="G95" s="786"/>
      <c r="H95" s="186"/>
      <c r="I95" s="186"/>
      <c r="J95" s="186"/>
      <c r="L95" s="138"/>
      <c r="M95" s="138"/>
      <c r="N95" s="138"/>
    </row>
    <row r="96" spans="2:16" s="64" customFormat="1" ht="17.25" customHeight="1" x14ac:dyDescent="0.2">
      <c r="B96" s="786"/>
      <c r="C96" s="786"/>
      <c r="D96" s="172" t="s">
        <v>268</v>
      </c>
      <c r="E96" s="172" t="s">
        <v>269</v>
      </c>
      <c r="F96" s="172" t="s">
        <v>270</v>
      </c>
      <c r="G96" s="172" t="s">
        <v>271</v>
      </c>
      <c r="H96" s="186"/>
      <c r="I96" s="186"/>
      <c r="J96" s="186"/>
      <c r="L96" s="138"/>
      <c r="M96" s="138"/>
      <c r="N96" s="138"/>
    </row>
    <row r="97" spans="2:14" s="64" customFormat="1" ht="17.25" customHeight="1" x14ac:dyDescent="0.2">
      <c r="B97" s="196" t="s">
        <v>272</v>
      </c>
      <c r="C97" s="197"/>
      <c r="D97" s="197"/>
      <c r="E97" s="197"/>
      <c r="F97" s="197"/>
      <c r="G97" s="197"/>
      <c r="H97" s="186"/>
      <c r="I97" s="186"/>
      <c r="J97" s="186"/>
      <c r="L97" s="138"/>
      <c r="M97" s="138"/>
      <c r="N97" s="138"/>
    </row>
    <row r="98" spans="2:14" s="64" customFormat="1" ht="17.25" customHeight="1" x14ac:dyDescent="0.2">
      <c r="B98" s="196" t="s">
        <v>378</v>
      </c>
      <c r="C98" s="193" t="s">
        <v>369</v>
      </c>
      <c r="D98" s="193">
        <v>657278</v>
      </c>
      <c r="E98" s="193">
        <v>9406140</v>
      </c>
      <c r="F98" s="193" t="s">
        <v>364</v>
      </c>
      <c r="G98" s="198">
        <v>2595</v>
      </c>
      <c r="H98" s="186"/>
      <c r="I98" s="186"/>
      <c r="J98" s="186"/>
      <c r="L98" s="138"/>
      <c r="M98" s="138"/>
      <c r="N98" s="138"/>
    </row>
    <row r="99" spans="2:14" s="64" customFormat="1" ht="17.25" customHeight="1" x14ac:dyDescent="0.2">
      <c r="B99" s="196" t="s">
        <v>273</v>
      </c>
      <c r="C99" s="197"/>
      <c r="D99" s="197"/>
      <c r="E99" s="197"/>
      <c r="F99" s="197"/>
      <c r="G99" s="197"/>
      <c r="H99" s="186"/>
      <c r="I99" s="186"/>
      <c r="J99" s="186"/>
      <c r="L99" s="138"/>
      <c r="M99" s="138"/>
      <c r="N99" s="138"/>
    </row>
    <row r="100" spans="2:14" s="64" customFormat="1" ht="17.25" customHeight="1" x14ac:dyDescent="0.2">
      <c r="B100" s="196" t="s">
        <v>274</v>
      </c>
      <c r="C100" s="197"/>
      <c r="D100" s="197"/>
      <c r="E100" s="197"/>
      <c r="F100" s="197"/>
      <c r="G100" s="197"/>
      <c r="H100" s="186"/>
      <c r="I100" s="186"/>
      <c r="J100" s="186"/>
      <c r="L100" s="138"/>
      <c r="M100" s="138"/>
      <c r="N100" s="138"/>
    </row>
    <row r="101" spans="2:14" s="64" customFormat="1" ht="17.25" customHeight="1" x14ac:dyDescent="0.2">
      <c r="B101" s="196" t="s">
        <v>379</v>
      </c>
      <c r="C101" s="197"/>
      <c r="D101" s="197"/>
      <c r="E101" s="197"/>
      <c r="F101" s="197"/>
      <c r="G101" s="197"/>
      <c r="H101" s="186"/>
      <c r="I101" s="186"/>
      <c r="J101" s="186"/>
      <c r="L101" s="138"/>
      <c r="M101" s="138"/>
      <c r="N101" s="138"/>
    </row>
    <row r="102" spans="2:14" s="64" customFormat="1" ht="17.25" customHeight="1" x14ac:dyDescent="0.2">
      <c r="B102" s="196" t="s">
        <v>380</v>
      </c>
      <c r="C102" s="197"/>
      <c r="D102" s="197"/>
      <c r="E102" s="197"/>
      <c r="F102" s="197"/>
      <c r="G102" s="197"/>
      <c r="H102" s="186"/>
      <c r="I102" s="186"/>
      <c r="J102" s="186"/>
      <c r="L102" s="138"/>
      <c r="M102" s="138"/>
      <c r="N102" s="138"/>
    </row>
    <row r="103" spans="2:14" s="64" customFormat="1" ht="26.25" customHeight="1" x14ac:dyDescent="0.2">
      <c r="E103" s="186"/>
      <c r="F103" s="186"/>
      <c r="G103" s="186"/>
      <c r="H103" s="186"/>
      <c r="I103" s="186"/>
      <c r="J103" s="186"/>
      <c r="L103" s="138"/>
      <c r="M103" s="138"/>
      <c r="N103" s="138"/>
    </row>
    <row r="104" spans="2:14" s="64" customFormat="1" ht="17.25" customHeight="1" x14ac:dyDescent="0.2">
      <c r="B104" s="184" t="s">
        <v>399</v>
      </c>
      <c r="E104" s="186"/>
      <c r="F104" s="186"/>
      <c r="G104" s="186"/>
      <c r="H104" s="186"/>
      <c r="I104" s="186"/>
      <c r="J104" s="186"/>
      <c r="L104" s="138"/>
      <c r="M104" s="138"/>
      <c r="N104" s="138"/>
    </row>
    <row r="105" spans="2:14" s="64" customFormat="1" ht="17.25" customHeight="1" x14ac:dyDescent="0.2">
      <c r="B105" s="184"/>
      <c r="E105" s="186"/>
      <c r="F105" s="186"/>
      <c r="G105" s="186"/>
      <c r="H105" s="186"/>
      <c r="I105" s="186"/>
      <c r="J105" s="186"/>
      <c r="L105" s="138"/>
      <c r="M105" s="138"/>
      <c r="N105" s="138"/>
    </row>
    <row r="106" spans="2:14" s="64" customFormat="1" ht="17.25" customHeight="1" x14ac:dyDescent="0.2">
      <c r="B106" s="234" t="s">
        <v>400</v>
      </c>
      <c r="C106" s="233"/>
      <c r="E106" s="168" t="s">
        <v>401</v>
      </c>
      <c r="F106" s="835" t="s">
        <v>97</v>
      </c>
      <c r="G106" s="835"/>
      <c r="H106" s="168" t="s">
        <v>402</v>
      </c>
      <c r="I106" s="836"/>
      <c r="J106" s="836"/>
      <c r="L106" s="138"/>
      <c r="M106" s="138"/>
      <c r="N106" s="138"/>
    </row>
    <row r="107" spans="2:14" s="64" customFormat="1" ht="17.25" customHeight="1" x14ac:dyDescent="0.2">
      <c r="B107" s="64" t="s">
        <v>403</v>
      </c>
      <c r="E107" s="878" t="s">
        <v>398</v>
      </c>
      <c r="F107" s="878"/>
      <c r="G107" s="878"/>
      <c r="H107" s="878"/>
      <c r="I107" s="878"/>
      <c r="J107" s="878"/>
      <c r="L107" s="138"/>
      <c r="M107" s="138"/>
      <c r="N107" s="138"/>
    </row>
    <row r="108" spans="2:14" s="64" customFormat="1" ht="17.25" customHeight="1" x14ac:dyDescent="0.2">
      <c r="E108" s="186"/>
      <c r="F108" s="186"/>
      <c r="G108" s="186"/>
      <c r="H108" s="186"/>
      <c r="I108" s="186"/>
      <c r="J108" s="186"/>
      <c r="L108" s="138"/>
      <c r="M108" s="138"/>
      <c r="N108" s="138"/>
    </row>
    <row r="109" spans="2:14" s="64" customFormat="1" ht="17.25" customHeight="1" x14ac:dyDescent="0.2">
      <c r="B109" s="184" t="s">
        <v>384</v>
      </c>
      <c r="E109" s="186"/>
      <c r="F109" s="186"/>
      <c r="G109" s="186"/>
      <c r="H109" s="186"/>
      <c r="I109" s="186"/>
      <c r="J109" s="186"/>
      <c r="L109" s="138"/>
      <c r="M109" s="138"/>
      <c r="N109" s="138"/>
    </row>
    <row r="110" spans="2:14" s="64" customFormat="1" ht="17.25" customHeight="1" x14ac:dyDescent="0.2">
      <c r="E110" s="186"/>
      <c r="F110" s="186"/>
      <c r="G110" s="186"/>
      <c r="H110" s="186"/>
      <c r="I110" s="186"/>
      <c r="J110" s="186"/>
      <c r="L110" s="138"/>
      <c r="M110" s="138"/>
      <c r="N110" s="138"/>
    </row>
    <row r="111" spans="2:14" s="64" customFormat="1" ht="17.25" customHeight="1" x14ac:dyDescent="0.2">
      <c r="B111" s="812" t="s">
        <v>381</v>
      </c>
      <c r="C111" s="812"/>
      <c r="D111" s="812"/>
      <c r="E111" s="130">
        <v>15</v>
      </c>
      <c r="F111" s="171" t="s">
        <v>154</v>
      </c>
      <c r="G111" s="201"/>
      <c r="H111" s="200"/>
      <c r="I111" s="906"/>
      <c r="J111" s="906"/>
      <c r="L111" s="138"/>
      <c r="M111" s="138"/>
      <c r="N111" s="138"/>
    </row>
    <row r="112" spans="2:14" s="64" customFormat="1" ht="17.25" customHeight="1" x14ac:dyDescent="0.2">
      <c r="B112" s="812" t="s">
        <v>382</v>
      </c>
      <c r="C112" s="812"/>
      <c r="D112" s="812"/>
      <c r="E112" s="190">
        <v>150000</v>
      </c>
      <c r="F112" s="171" t="s">
        <v>410</v>
      </c>
      <c r="G112" s="201"/>
      <c r="H112" s="200"/>
      <c r="I112" s="186"/>
      <c r="J112" s="186"/>
      <c r="L112" s="138"/>
      <c r="M112" s="138"/>
      <c r="N112" s="138"/>
    </row>
    <row r="113" spans="2:14" s="64" customFormat="1" ht="17.25" customHeight="1" x14ac:dyDescent="0.2">
      <c r="B113" s="812" t="s">
        <v>292</v>
      </c>
      <c r="C113" s="812"/>
      <c r="D113" s="812"/>
      <c r="E113" s="130">
        <v>20</v>
      </c>
      <c r="F113" s="171" t="s">
        <v>145</v>
      </c>
      <c r="G113" s="201"/>
      <c r="H113" s="907"/>
      <c r="I113" s="907"/>
      <c r="J113" s="907"/>
      <c r="L113" s="138"/>
      <c r="M113" s="138"/>
      <c r="N113" s="138"/>
    </row>
    <row r="114" spans="2:14" s="64" customFormat="1" ht="17.25" customHeight="1" x14ac:dyDescent="0.2">
      <c r="B114" s="812" t="s">
        <v>293</v>
      </c>
      <c r="C114" s="812"/>
      <c r="D114" s="812"/>
      <c r="E114" s="130">
        <v>12</v>
      </c>
      <c r="F114" s="207" t="s">
        <v>294</v>
      </c>
      <c r="G114" s="201"/>
      <c r="H114" s="907"/>
      <c r="I114" s="907"/>
      <c r="J114" s="907"/>
      <c r="L114" s="138"/>
      <c r="M114" s="138"/>
      <c r="N114" s="138"/>
    </row>
    <row r="115" spans="2:14" s="64" customFormat="1" ht="17.25" customHeight="1" x14ac:dyDescent="0.2">
      <c r="B115" s="888" t="s">
        <v>383</v>
      </c>
      <c r="C115" s="888"/>
      <c r="D115" s="888"/>
      <c r="E115" s="210" t="s">
        <v>285</v>
      </c>
      <c r="F115" s="130" t="s">
        <v>97</v>
      </c>
      <c r="G115" s="231" t="s">
        <v>286</v>
      </c>
      <c r="H115" s="166"/>
      <c r="I115" s="210" t="s">
        <v>287</v>
      </c>
      <c r="J115" s="130" t="s">
        <v>311</v>
      </c>
      <c r="L115" s="138"/>
      <c r="M115" s="138"/>
      <c r="N115" s="138"/>
    </row>
    <row r="116" spans="2:14" s="10" customFormat="1" ht="17.25" customHeight="1" x14ac:dyDescent="0.2">
      <c r="B116" s="812" t="s">
        <v>388</v>
      </c>
      <c r="C116" s="812"/>
      <c r="D116" s="812"/>
      <c r="E116" s="209">
        <v>0.3</v>
      </c>
      <c r="F116" s="204"/>
      <c r="G116" s="64" t="s">
        <v>454</v>
      </c>
      <c r="H116" s="204"/>
      <c r="I116" s="205"/>
      <c r="J116" s="64"/>
      <c r="L116" s="138"/>
      <c r="M116" s="138"/>
      <c r="N116" s="138"/>
    </row>
    <row r="117" spans="2:14" s="10" customFormat="1" ht="17.25" customHeight="1" x14ac:dyDescent="0.2">
      <c r="B117" s="72"/>
      <c r="C117" s="72"/>
      <c r="D117" s="72"/>
      <c r="E117" s="202"/>
      <c r="F117" s="203"/>
      <c r="G117" s="201"/>
      <c r="H117" s="203"/>
      <c r="I117" s="202"/>
      <c r="J117" s="186"/>
      <c r="L117" s="138"/>
      <c r="M117" s="138"/>
      <c r="N117" s="138"/>
    </row>
    <row r="118" spans="2:14" s="10" customFormat="1" ht="17.25" customHeight="1" x14ac:dyDescent="0.2">
      <c r="B118" s="184" t="s">
        <v>414</v>
      </c>
      <c r="C118" s="72"/>
      <c r="D118" s="72"/>
      <c r="E118" s="202"/>
      <c r="F118" s="203"/>
      <c r="G118" s="201"/>
      <c r="H118" s="203"/>
      <c r="I118" s="202"/>
      <c r="J118" s="186"/>
      <c r="L118" s="138"/>
      <c r="M118" s="138"/>
      <c r="N118" s="138"/>
    </row>
    <row r="119" spans="2:14" s="10" customFormat="1" ht="17.25" customHeight="1" x14ac:dyDescent="0.2">
      <c r="B119" s="72"/>
      <c r="C119" s="72"/>
      <c r="D119" s="72"/>
      <c r="E119" s="202"/>
      <c r="F119" s="203"/>
      <c r="G119" s="201"/>
      <c r="H119" s="203"/>
      <c r="I119" s="202"/>
      <c r="J119" s="186"/>
      <c r="L119" s="138"/>
      <c r="M119" s="138"/>
      <c r="N119" s="138"/>
    </row>
    <row r="120" spans="2:14" s="64" customFormat="1" ht="17.25" customHeight="1" x14ac:dyDescent="0.2">
      <c r="B120" s="812" t="s">
        <v>385</v>
      </c>
      <c r="C120" s="812"/>
      <c r="D120" s="812"/>
      <c r="E120" s="130" t="s">
        <v>289</v>
      </c>
      <c r="F120" s="130" t="s">
        <v>288</v>
      </c>
      <c r="G120" s="199"/>
      <c r="H120" s="199"/>
      <c r="I120" s="199"/>
      <c r="J120" s="199"/>
      <c r="L120" s="138"/>
      <c r="M120" s="138"/>
      <c r="N120" s="138"/>
    </row>
    <row r="121" spans="2:14" s="64" customFormat="1" ht="17.25" customHeight="1" x14ac:dyDescent="0.2">
      <c r="B121" s="813" t="s">
        <v>386</v>
      </c>
      <c r="C121" s="814"/>
      <c r="D121" s="815"/>
      <c r="E121" s="208">
        <v>15000</v>
      </c>
      <c r="F121" s="208">
        <v>15000</v>
      </c>
      <c r="G121" s="199"/>
      <c r="H121" s="199"/>
      <c r="I121" s="199"/>
      <c r="J121" s="199"/>
      <c r="L121" s="138"/>
      <c r="M121" s="138"/>
      <c r="N121" s="138"/>
    </row>
    <row r="122" spans="2:14" s="64" customFormat="1" ht="17.25" customHeight="1" x14ac:dyDescent="0.2">
      <c r="B122" s="813" t="s">
        <v>411</v>
      </c>
      <c r="C122" s="814"/>
      <c r="D122" s="815"/>
      <c r="E122" s="208">
        <v>0.2</v>
      </c>
      <c r="F122" s="208">
        <v>0.2</v>
      </c>
      <c r="G122" s="199"/>
      <c r="H122" s="199"/>
      <c r="I122" s="199"/>
      <c r="J122" s="199"/>
      <c r="L122" s="138"/>
      <c r="M122" s="138"/>
      <c r="N122" s="138"/>
    </row>
    <row r="123" spans="2:14" s="64" customFormat="1" ht="17.25" customHeight="1" x14ac:dyDescent="0.2">
      <c r="B123" s="813" t="s">
        <v>412</v>
      </c>
      <c r="C123" s="814"/>
      <c r="D123" s="815"/>
      <c r="E123" s="208">
        <v>1800</v>
      </c>
      <c r="F123" s="208">
        <v>2000</v>
      </c>
      <c r="G123" s="199"/>
      <c r="H123" s="199"/>
      <c r="I123" s="199"/>
      <c r="J123" s="199"/>
      <c r="L123" s="138"/>
      <c r="M123" s="138"/>
      <c r="N123" s="138"/>
    </row>
    <row r="124" spans="2:14" s="64" customFormat="1" ht="24.75" customHeight="1" x14ac:dyDescent="0.2">
      <c r="B124" s="812" t="s">
        <v>387</v>
      </c>
      <c r="C124" s="812"/>
      <c r="D124" s="812"/>
      <c r="E124" s="210" t="s">
        <v>290</v>
      </c>
      <c r="F124" s="209">
        <v>0.3</v>
      </c>
      <c r="G124" s="211" t="s">
        <v>389</v>
      </c>
      <c r="H124" s="209">
        <v>0.7</v>
      </c>
      <c r="I124" s="211" t="s">
        <v>291</v>
      </c>
      <c r="J124" s="189"/>
      <c r="L124" s="138"/>
      <c r="M124" s="138"/>
      <c r="N124" s="138"/>
    </row>
    <row r="125" spans="2:14" s="64" customFormat="1" ht="17.25" customHeight="1" x14ac:dyDescent="0.2">
      <c r="L125" s="138"/>
      <c r="M125" s="138"/>
      <c r="N125" s="138"/>
    </row>
    <row r="126" spans="2:14" s="64" customFormat="1" ht="13.5" customHeight="1" x14ac:dyDescent="0.2">
      <c r="B126" s="184" t="s">
        <v>413</v>
      </c>
      <c r="L126" s="138"/>
      <c r="M126" s="138"/>
      <c r="N126" s="138"/>
    </row>
    <row r="127" spans="2:14" s="64" customFormat="1" ht="13.5" customHeight="1" x14ac:dyDescent="0.2">
      <c r="B127" s="184"/>
      <c r="L127" s="138"/>
      <c r="M127" s="138"/>
      <c r="N127" s="138"/>
    </row>
    <row r="128" spans="2:14" s="64" customFormat="1" ht="13.5" customHeight="1" x14ac:dyDescent="0.2">
      <c r="B128" s="10" t="s">
        <v>275</v>
      </c>
      <c r="C128" s="10"/>
      <c r="D128" s="10"/>
      <c r="E128" s="10"/>
      <c r="F128" s="10" t="s">
        <v>279</v>
      </c>
      <c r="G128" s="10"/>
      <c r="H128" s="10"/>
      <c r="I128" s="10"/>
      <c r="L128" s="138"/>
      <c r="M128" s="138"/>
      <c r="N128" s="138"/>
    </row>
    <row r="129" spans="2:14" s="64" customFormat="1" ht="13.5" customHeight="1" x14ac:dyDescent="0.2">
      <c r="B129" s="165" t="s">
        <v>276</v>
      </c>
      <c r="C129" s="165"/>
      <c r="D129" s="165"/>
      <c r="E129" s="165"/>
      <c r="F129" s="165" t="s">
        <v>279</v>
      </c>
      <c r="G129" s="165"/>
      <c r="H129" s="64" t="s">
        <v>454</v>
      </c>
      <c r="I129" s="10"/>
      <c r="L129" s="138"/>
      <c r="M129" s="138"/>
      <c r="N129" s="138"/>
    </row>
    <row r="130" spans="2:14" s="64" customFormat="1" ht="13.5" customHeight="1" x14ac:dyDescent="0.2">
      <c r="B130" s="10" t="s">
        <v>277</v>
      </c>
      <c r="C130" s="10"/>
      <c r="D130" s="10"/>
      <c r="E130" s="10"/>
      <c r="F130" s="10" t="s">
        <v>279</v>
      </c>
      <c r="G130" s="10"/>
      <c r="H130" s="10"/>
      <c r="I130" s="10"/>
      <c r="L130" s="138"/>
      <c r="M130" s="138"/>
      <c r="N130" s="138"/>
    </row>
    <row r="131" spans="2:14" s="64" customFormat="1" ht="13.5" customHeight="1" x14ac:dyDescent="0.2">
      <c r="B131" s="10" t="s">
        <v>278</v>
      </c>
      <c r="C131" s="10"/>
      <c r="D131" s="10"/>
      <c r="E131" s="10"/>
      <c r="F131" s="10" t="s">
        <v>279</v>
      </c>
      <c r="G131" s="10"/>
      <c r="H131" s="10"/>
      <c r="I131" s="10"/>
      <c r="L131" s="138"/>
      <c r="M131" s="138"/>
      <c r="N131" s="138"/>
    </row>
    <row r="132" spans="2:14" s="64" customFormat="1" ht="13.5" customHeight="1" x14ac:dyDescent="0.2">
      <c r="B132" s="10"/>
      <c r="C132" s="10"/>
      <c r="D132" s="10"/>
      <c r="E132" s="10"/>
      <c r="F132" s="10"/>
      <c r="G132" s="10"/>
      <c r="H132" s="10"/>
      <c r="I132" s="10"/>
      <c r="L132" s="138"/>
      <c r="M132" s="138"/>
      <c r="N132" s="138"/>
    </row>
    <row r="133" spans="2:14" s="64" customFormat="1" ht="13.5" customHeight="1" x14ac:dyDescent="0.2">
      <c r="B133" s="64" t="s">
        <v>354</v>
      </c>
      <c r="L133" s="138"/>
      <c r="M133" s="138"/>
      <c r="N133" s="138"/>
    </row>
    <row r="134" spans="2:14" s="64" customFormat="1" ht="13.5" customHeight="1" x14ac:dyDescent="0.2">
      <c r="L134" s="138"/>
      <c r="M134" s="138"/>
      <c r="N134" s="138"/>
    </row>
    <row r="135" spans="2:14" x14ac:dyDescent="0.2">
      <c r="B135" s="31" t="s">
        <v>4</v>
      </c>
      <c r="I135" s="10"/>
      <c r="J135" s="10"/>
      <c r="K135" s="10"/>
    </row>
    <row r="136" spans="2:14" x14ac:dyDescent="0.2">
      <c r="I136" s="10"/>
      <c r="J136" s="10"/>
      <c r="K136" s="10"/>
    </row>
    <row r="137" spans="2:14" x14ac:dyDescent="0.2">
      <c r="B137" s="856" t="s">
        <v>195</v>
      </c>
      <c r="C137" s="858"/>
      <c r="D137" s="858"/>
      <c r="E137" s="858"/>
      <c r="F137" s="858"/>
      <c r="G137" s="858"/>
      <c r="H137" s="858"/>
      <c r="I137" s="858"/>
      <c r="J137" s="857"/>
      <c r="K137" s="10"/>
    </row>
    <row r="138" spans="2:14" ht="21" customHeight="1" x14ac:dyDescent="0.2">
      <c r="B138" s="889" t="s">
        <v>320</v>
      </c>
      <c r="C138" s="890"/>
      <c r="D138" s="890"/>
      <c r="E138" s="890"/>
      <c r="F138" s="890"/>
      <c r="G138" s="890"/>
      <c r="H138" s="890"/>
      <c r="I138" s="890"/>
      <c r="J138" s="891"/>
      <c r="K138" s="39"/>
    </row>
    <row r="139" spans="2:14" x14ac:dyDescent="0.2">
      <c r="I139" s="10"/>
      <c r="J139" s="10"/>
      <c r="K139" s="10"/>
    </row>
    <row r="140" spans="2:14" ht="28.15" customHeight="1" x14ac:dyDescent="0.2">
      <c r="B140" s="107" t="s">
        <v>57</v>
      </c>
      <c r="C140" s="775" t="s">
        <v>194</v>
      </c>
      <c r="D140" s="775"/>
      <c r="E140" s="758"/>
      <c r="F140" s="856" t="s">
        <v>56</v>
      </c>
      <c r="G140" s="858"/>
      <c r="H140" s="858"/>
      <c r="I140" s="857"/>
      <c r="J140" s="39"/>
      <c r="K140" s="114"/>
      <c r="N140" s="4"/>
    </row>
    <row r="141" spans="2:14" ht="60" customHeight="1" x14ac:dyDescent="0.2">
      <c r="B141" s="15" t="s">
        <v>75</v>
      </c>
      <c r="C141" s="875" t="s">
        <v>321</v>
      </c>
      <c r="D141" s="876"/>
      <c r="E141" s="877"/>
      <c r="F141" s="843" t="s">
        <v>322</v>
      </c>
      <c r="G141" s="844"/>
      <c r="H141" s="844"/>
      <c r="I141" s="844"/>
      <c r="J141" s="845"/>
      <c r="K141" s="114"/>
      <c r="N141" s="4"/>
    </row>
    <row r="142" spans="2:14" ht="60" customHeight="1" x14ac:dyDescent="0.2">
      <c r="B142" s="15" t="s">
        <v>74</v>
      </c>
      <c r="C142" s="875" t="s">
        <v>323</v>
      </c>
      <c r="D142" s="876"/>
      <c r="E142" s="877"/>
      <c r="F142" s="843" t="s">
        <v>324</v>
      </c>
      <c r="G142" s="844"/>
      <c r="H142" s="844"/>
      <c r="I142" s="844"/>
      <c r="J142" s="845"/>
      <c r="K142" s="114"/>
      <c r="N142" s="4"/>
    </row>
    <row r="143" spans="2:14" x14ac:dyDescent="0.2">
      <c r="B143" s="6"/>
      <c r="C143" s="6"/>
      <c r="J143" s="6"/>
    </row>
    <row r="144" spans="2:14" x14ac:dyDescent="0.2">
      <c r="B144" s="31" t="s">
        <v>76</v>
      </c>
      <c r="G144" s="39"/>
      <c r="J144" s="6"/>
    </row>
    <row r="145" spans="2:14" x14ac:dyDescent="0.2">
      <c r="B145" s="31"/>
      <c r="G145" s="39"/>
      <c r="J145" s="6"/>
    </row>
    <row r="146" spans="2:14" x14ac:dyDescent="0.2">
      <c r="B146" s="31" t="s">
        <v>69</v>
      </c>
      <c r="J146" s="6"/>
    </row>
    <row r="147" spans="2:14" x14ac:dyDescent="0.2">
      <c r="B147" s="31"/>
      <c r="J147" s="6"/>
    </row>
    <row r="148" spans="2:14" ht="16.899999999999999" customHeight="1" x14ac:dyDescent="0.2">
      <c r="B148" s="856" t="s">
        <v>186</v>
      </c>
      <c r="C148" s="858"/>
      <c r="D148" s="858"/>
      <c r="E148" s="858"/>
      <c r="F148" s="858"/>
      <c r="G148" s="858"/>
      <c r="H148" s="858"/>
      <c r="I148" s="858"/>
      <c r="J148" s="857"/>
    </row>
    <row r="149" spans="2:14" ht="24.75" customHeight="1" x14ac:dyDescent="0.2">
      <c r="B149" s="772" t="s">
        <v>325</v>
      </c>
      <c r="C149" s="773"/>
      <c r="D149" s="773"/>
      <c r="E149" s="773"/>
      <c r="F149" s="773"/>
      <c r="G149" s="773"/>
      <c r="H149" s="773"/>
      <c r="I149" s="773"/>
      <c r="J149" s="774"/>
      <c r="K149" s="10"/>
    </row>
    <row r="150" spans="2:14" s="64" customFormat="1" x14ac:dyDescent="0.2">
      <c r="B150" s="21"/>
      <c r="C150" s="21"/>
      <c r="D150" s="21"/>
      <c r="E150" s="21"/>
      <c r="F150" s="21"/>
      <c r="G150" s="10"/>
      <c r="H150" s="10"/>
      <c r="I150" s="13"/>
      <c r="J150" s="13"/>
      <c r="K150" s="21"/>
      <c r="L150" s="212"/>
      <c r="M150" s="212"/>
      <c r="N150" s="138"/>
    </row>
    <row r="151" spans="2:14" s="64" customFormat="1" x14ac:dyDescent="0.2">
      <c r="B151" s="184" t="s">
        <v>70</v>
      </c>
      <c r="C151" s="21"/>
      <c r="D151" s="21"/>
      <c r="E151" s="21"/>
      <c r="F151" s="10"/>
      <c r="J151" s="213"/>
      <c r="K151" s="21"/>
      <c r="L151" s="212"/>
      <c r="M151" s="212"/>
      <c r="N151" s="138"/>
    </row>
    <row r="152" spans="2:14" s="64" customFormat="1" x14ac:dyDescent="0.2">
      <c r="B152" s="21"/>
      <c r="C152" s="21"/>
      <c r="D152" s="21"/>
      <c r="E152" s="21"/>
      <c r="F152" s="10"/>
      <c r="K152" s="21"/>
      <c r="L152" s="212"/>
      <c r="M152" s="212"/>
      <c r="N152" s="138"/>
    </row>
    <row r="153" spans="2:14" ht="15.6" customHeight="1" x14ac:dyDescent="0.2">
      <c r="B153" s="160" t="s">
        <v>71</v>
      </c>
      <c r="C153" s="808" t="s">
        <v>187</v>
      </c>
      <c r="D153" s="808"/>
      <c r="E153" s="808"/>
      <c r="F153" s="808"/>
      <c r="G153" s="808"/>
      <c r="H153" s="808"/>
      <c r="I153" s="808"/>
      <c r="J153" s="808"/>
      <c r="K153" s="21"/>
      <c r="L153" s="113"/>
      <c r="M153" s="113"/>
    </row>
    <row r="154" spans="2:14" s="64" customFormat="1" ht="15.6" customHeight="1" x14ac:dyDescent="0.2">
      <c r="B154" s="171">
        <v>1</v>
      </c>
      <c r="C154" s="878" t="s">
        <v>326</v>
      </c>
      <c r="D154" s="878"/>
      <c r="E154" s="878"/>
      <c r="F154" s="878"/>
      <c r="G154" s="878"/>
      <c r="H154" s="878"/>
      <c r="I154" s="878"/>
      <c r="J154" s="878"/>
      <c r="K154" s="21"/>
      <c r="L154" s="212"/>
      <c r="M154" s="212"/>
      <c r="N154" s="138"/>
    </row>
    <row r="155" spans="2:14" s="64" customFormat="1" ht="15.6" customHeight="1" x14ac:dyDescent="0.2">
      <c r="B155" s="171">
        <v>2</v>
      </c>
      <c r="C155" s="878" t="s">
        <v>327</v>
      </c>
      <c r="D155" s="878"/>
      <c r="E155" s="878"/>
      <c r="F155" s="878"/>
      <c r="G155" s="878"/>
      <c r="H155" s="878"/>
      <c r="I155" s="878"/>
      <c r="J155" s="878"/>
      <c r="K155" s="21"/>
      <c r="L155" s="212"/>
      <c r="M155" s="212"/>
      <c r="N155" s="138"/>
    </row>
    <row r="156" spans="2:14" s="64" customFormat="1" x14ac:dyDescent="0.2">
      <c r="B156" s="21"/>
      <c r="C156" s="21"/>
      <c r="D156" s="21"/>
      <c r="E156" s="21"/>
      <c r="F156" s="21"/>
      <c r="G156" s="21"/>
      <c r="H156" s="21"/>
      <c r="I156" s="21"/>
      <c r="K156" s="21"/>
      <c r="L156" s="212"/>
      <c r="M156" s="212"/>
      <c r="N156" s="138"/>
    </row>
    <row r="157" spans="2:14" s="64" customFormat="1" x14ac:dyDescent="0.2">
      <c r="B157" s="184" t="s">
        <v>328</v>
      </c>
      <c r="F157" s="10"/>
      <c r="G157" s="213"/>
      <c r="H157" s="10"/>
      <c r="I157" s="10"/>
      <c r="J157" s="10"/>
      <c r="L157" s="138"/>
      <c r="M157" s="138"/>
      <c r="N157" s="138"/>
    </row>
    <row r="158" spans="2:14" s="64" customFormat="1" x14ac:dyDescent="0.2">
      <c r="F158" s="10"/>
      <c r="G158" s="10"/>
      <c r="H158" s="10"/>
      <c r="I158" s="10"/>
      <c r="J158" s="10"/>
      <c r="L158" s="138"/>
      <c r="M158" s="138"/>
      <c r="N158" s="138"/>
    </row>
    <row r="159" spans="2:14" s="64" customFormat="1" x14ac:dyDescent="0.2">
      <c r="B159" s="184" t="s">
        <v>419</v>
      </c>
      <c r="F159" s="10"/>
      <c r="G159" s="10"/>
      <c r="H159" s="10"/>
      <c r="I159" s="10"/>
      <c r="J159" s="10"/>
      <c r="L159" s="138"/>
      <c r="M159" s="138"/>
      <c r="N159" s="138"/>
    </row>
    <row r="160" spans="2:14" s="64" customFormat="1" x14ac:dyDescent="0.2">
      <c r="F160" s="10"/>
      <c r="G160" s="10"/>
      <c r="H160" s="10"/>
      <c r="I160" s="10"/>
      <c r="J160" s="10"/>
      <c r="L160" s="138"/>
      <c r="M160" s="138"/>
      <c r="N160" s="138"/>
    </row>
    <row r="161" spans="2:16" s="64" customFormat="1" ht="27" customHeight="1" x14ac:dyDescent="0.2">
      <c r="B161" s="888" t="s">
        <v>383</v>
      </c>
      <c r="C161" s="888"/>
      <c r="D161" s="888"/>
      <c r="E161" s="211" t="s">
        <v>417</v>
      </c>
      <c r="F161" s="193"/>
      <c r="G161" s="211" t="s">
        <v>286</v>
      </c>
      <c r="H161" s="193" t="s">
        <v>97</v>
      </c>
      <c r="I161" s="211" t="s">
        <v>287</v>
      </c>
      <c r="J161" s="193" t="s">
        <v>418</v>
      </c>
      <c r="L161" s="138"/>
      <c r="M161" s="138"/>
      <c r="N161" s="138"/>
    </row>
    <row r="162" spans="2:16" s="10" customFormat="1" ht="17.25" customHeight="1" x14ac:dyDescent="0.2">
      <c r="B162" s="812" t="s">
        <v>388</v>
      </c>
      <c r="C162" s="812"/>
      <c r="D162" s="812"/>
      <c r="E162" s="209">
        <v>0.75</v>
      </c>
      <c r="F162" s="204"/>
      <c r="G162" s="205"/>
      <c r="H162" s="204"/>
      <c r="I162" s="205"/>
      <c r="J162" s="64"/>
      <c r="L162" s="138"/>
      <c r="M162" s="138"/>
      <c r="N162" s="138"/>
    </row>
    <row r="163" spans="2:16" x14ac:dyDescent="0.2">
      <c r="F163" s="6"/>
      <c r="G163" s="6"/>
      <c r="H163" s="6"/>
      <c r="I163" s="6"/>
      <c r="J163" s="6"/>
    </row>
    <row r="164" spans="2:16" x14ac:dyDescent="0.2">
      <c r="B164" s="184" t="s">
        <v>420</v>
      </c>
      <c r="F164" s="6"/>
      <c r="G164" s="6"/>
      <c r="H164" s="6"/>
      <c r="I164" s="6"/>
      <c r="J164" s="6"/>
    </row>
    <row r="165" spans="2:16" x14ac:dyDescent="0.2">
      <c r="F165" s="6"/>
      <c r="G165" s="6"/>
      <c r="H165" s="6"/>
      <c r="I165" s="6"/>
      <c r="J165" s="6"/>
    </row>
    <row r="166" spans="2:16" ht="54" customHeight="1" x14ac:dyDescent="0.2">
      <c r="B166" s="757" t="s">
        <v>391</v>
      </c>
      <c r="C166" s="758"/>
      <c r="D166" s="757" t="s">
        <v>38</v>
      </c>
      <c r="E166" s="775"/>
      <c r="F166" s="758"/>
      <c r="G166" s="757" t="s">
        <v>312</v>
      </c>
      <c r="H166" s="775"/>
      <c r="I166" s="775"/>
      <c r="J166" s="758"/>
      <c r="L166" s="115"/>
      <c r="M166" s="115"/>
      <c r="N166" s="115"/>
      <c r="O166" s="8"/>
      <c r="P166" s="6"/>
    </row>
    <row r="167" spans="2:16" ht="28.9" customHeight="1" x14ac:dyDescent="0.2">
      <c r="B167" s="837" t="s">
        <v>342</v>
      </c>
      <c r="C167" s="838"/>
      <c r="D167" s="846" t="s">
        <v>343</v>
      </c>
      <c r="E167" s="847"/>
      <c r="F167" s="848"/>
      <c r="G167" s="776" t="s">
        <v>329</v>
      </c>
      <c r="H167" s="777"/>
      <c r="I167" s="777"/>
      <c r="J167" s="778"/>
      <c r="O167" s="6"/>
      <c r="P167" s="6"/>
    </row>
    <row r="168" spans="2:16" ht="45.6" customHeight="1" x14ac:dyDescent="0.2">
      <c r="B168" s="839"/>
      <c r="C168" s="840"/>
      <c r="D168" s="849"/>
      <c r="E168" s="850"/>
      <c r="F168" s="851"/>
      <c r="G168" s="776" t="s">
        <v>330</v>
      </c>
      <c r="H168" s="777"/>
      <c r="I168" s="777"/>
      <c r="J168" s="778"/>
      <c r="O168" s="6"/>
      <c r="P168" s="6"/>
    </row>
    <row r="169" spans="2:16" ht="28.9" customHeight="1" x14ac:dyDescent="0.2">
      <c r="B169" s="839"/>
      <c r="C169" s="840"/>
      <c r="D169" s="849"/>
      <c r="E169" s="850"/>
      <c r="F169" s="851"/>
      <c r="G169" s="776" t="s">
        <v>331</v>
      </c>
      <c r="H169" s="777"/>
      <c r="I169" s="777"/>
      <c r="J169" s="778"/>
      <c r="O169" s="6"/>
      <c r="P169" s="6"/>
    </row>
    <row r="170" spans="2:16" ht="28.9" customHeight="1" x14ac:dyDescent="0.2">
      <c r="B170" s="839"/>
      <c r="C170" s="840"/>
      <c r="D170" s="852"/>
      <c r="E170" s="853"/>
      <c r="F170" s="854"/>
      <c r="G170" s="776" t="s">
        <v>332</v>
      </c>
      <c r="H170" s="777"/>
      <c r="I170" s="777"/>
      <c r="J170" s="778"/>
      <c r="O170" s="6"/>
      <c r="P170" s="6"/>
    </row>
    <row r="171" spans="2:16" ht="20.45" customHeight="1" x14ac:dyDescent="0.2">
      <c r="B171" s="839"/>
      <c r="C171" s="840"/>
      <c r="D171" s="846" t="s">
        <v>344</v>
      </c>
      <c r="E171" s="847"/>
      <c r="F171" s="848"/>
      <c r="G171" s="747" t="s">
        <v>333</v>
      </c>
      <c r="H171" s="748"/>
      <c r="I171" s="748"/>
      <c r="J171" s="749"/>
      <c r="O171" s="6"/>
      <c r="P171" s="6"/>
    </row>
    <row r="172" spans="2:16" ht="20.45" customHeight="1" x14ac:dyDescent="0.2">
      <c r="B172" s="839"/>
      <c r="C172" s="840"/>
      <c r="D172" s="849"/>
      <c r="E172" s="850"/>
      <c r="F172" s="851"/>
      <c r="G172" s="750"/>
      <c r="H172" s="751"/>
      <c r="I172" s="751"/>
      <c r="J172" s="752"/>
      <c r="O172" s="6"/>
      <c r="P172" s="6"/>
    </row>
    <row r="173" spans="2:16" ht="20.45" customHeight="1" x14ac:dyDescent="0.2">
      <c r="B173" s="839"/>
      <c r="C173" s="840"/>
      <c r="D173" s="852"/>
      <c r="E173" s="853"/>
      <c r="F173" s="854"/>
      <c r="G173" s="753"/>
      <c r="H173" s="754"/>
      <c r="I173" s="754"/>
      <c r="J173" s="755"/>
      <c r="O173" s="6"/>
      <c r="P173" s="6"/>
    </row>
    <row r="174" spans="2:16" ht="20.45" customHeight="1" x14ac:dyDescent="0.2">
      <c r="B174" s="839"/>
      <c r="C174" s="840"/>
      <c r="D174" s="908" t="s">
        <v>345</v>
      </c>
      <c r="E174" s="909"/>
      <c r="F174" s="910"/>
      <c r="G174" s="917" t="s">
        <v>334</v>
      </c>
      <c r="H174" s="918"/>
      <c r="I174" s="918"/>
      <c r="J174" s="919"/>
      <c r="O174" s="6"/>
      <c r="P174" s="6"/>
    </row>
    <row r="175" spans="2:16" ht="20.45" customHeight="1" x14ac:dyDescent="0.2">
      <c r="B175" s="839"/>
      <c r="C175" s="840"/>
      <c r="D175" s="911"/>
      <c r="E175" s="912"/>
      <c r="F175" s="913"/>
      <c r="G175" s="920"/>
      <c r="H175" s="921"/>
      <c r="I175" s="921"/>
      <c r="J175" s="922"/>
      <c r="O175" s="6"/>
      <c r="P175" s="6"/>
    </row>
    <row r="176" spans="2:16" ht="20.45" customHeight="1" x14ac:dyDescent="0.2">
      <c r="B176" s="841"/>
      <c r="C176" s="842"/>
      <c r="D176" s="914"/>
      <c r="E176" s="915"/>
      <c r="F176" s="916"/>
      <c r="G176" s="923"/>
      <c r="H176" s="924"/>
      <c r="I176" s="924"/>
      <c r="J176" s="925"/>
      <c r="O176" s="6"/>
      <c r="P176" s="6"/>
    </row>
    <row r="177" spans="2:16" x14ac:dyDescent="0.2">
      <c r="G177" s="6"/>
      <c r="H177" s="6"/>
      <c r="I177" s="6"/>
      <c r="J177" s="6"/>
    </row>
    <row r="178" spans="2:16" s="10" customFormat="1" ht="17.25" customHeight="1" x14ac:dyDescent="0.2">
      <c r="B178" s="184" t="s">
        <v>415</v>
      </c>
      <c r="C178" s="72"/>
      <c r="D178" s="72"/>
      <c r="E178" s="202"/>
      <c r="F178" s="203"/>
      <c r="G178" s="201"/>
      <c r="H178" s="203"/>
      <c r="I178" s="202"/>
      <c r="J178" s="186"/>
      <c r="L178" s="138"/>
      <c r="M178" s="138"/>
      <c r="N178" s="138"/>
    </row>
    <row r="179" spans="2:16" s="10" customFormat="1" ht="17.25" customHeight="1" x14ac:dyDescent="0.2">
      <c r="B179" s="72"/>
      <c r="C179" s="72"/>
      <c r="D179" s="72"/>
      <c r="E179" s="202"/>
      <c r="F179" s="203"/>
      <c r="G179" s="201"/>
      <c r="H179" s="203"/>
      <c r="I179" s="202"/>
      <c r="J179" s="186"/>
      <c r="L179" s="138"/>
      <c r="M179" s="138"/>
      <c r="N179" s="138"/>
    </row>
    <row r="180" spans="2:16" s="64" customFormat="1" ht="17.25" customHeight="1" x14ac:dyDescent="0.2">
      <c r="B180" s="812" t="s">
        <v>385</v>
      </c>
      <c r="C180" s="812"/>
      <c r="D180" s="812"/>
      <c r="E180" s="130" t="s">
        <v>289</v>
      </c>
      <c r="F180" s="130" t="s">
        <v>288</v>
      </c>
      <c r="G180" s="199"/>
      <c r="H180" s="199"/>
      <c r="I180" s="199"/>
      <c r="J180" s="199"/>
      <c r="L180" s="138"/>
      <c r="M180" s="138"/>
      <c r="N180" s="138"/>
    </row>
    <row r="181" spans="2:16" s="64" customFormat="1" ht="17.25" customHeight="1" x14ac:dyDescent="0.2">
      <c r="B181" s="813" t="s">
        <v>386</v>
      </c>
      <c r="C181" s="814"/>
      <c r="D181" s="815"/>
      <c r="E181" s="208">
        <v>20000</v>
      </c>
      <c r="F181" s="208">
        <v>25000</v>
      </c>
      <c r="G181" s="199"/>
      <c r="H181" s="199"/>
      <c r="I181" s="199"/>
      <c r="J181" s="199"/>
      <c r="L181" s="138"/>
      <c r="M181" s="138"/>
      <c r="N181" s="138"/>
    </row>
    <row r="182" spans="2:16" s="64" customFormat="1" ht="17.25" customHeight="1" x14ac:dyDescent="0.2">
      <c r="B182" s="813" t="s">
        <v>411</v>
      </c>
      <c r="C182" s="814"/>
      <c r="D182" s="815"/>
      <c r="E182" s="208">
        <v>0.2</v>
      </c>
      <c r="F182" s="208">
        <v>0.2</v>
      </c>
      <c r="G182" s="199"/>
      <c r="H182" s="199"/>
      <c r="I182" s="199"/>
      <c r="J182" s="199"/>
      <c r="L182" s="138"/>
      <c r="M182" s="138"/>
      <c r="N182" s="138"/>
    </row>
    <row r="183" spans="2:16" s="64" customFormat="1" ht="17.25" customHeight="1" x14ac:dyDescent="0.2">
      <c r="B183" s="813" t="s">
        <v>412</v>
      </c>
      <c r="C183" s="814"/>
      <c r="D183" s="815"/>
      <c r="E183" s="208">
        <v>2000</v>
      </c>
      <c r="F183" s="208">
        <v>2200</v>
      </c>
      <c r="G183" s="199"/>
      <c r="H183" s="199"/>
      <c r="I183" s="199"/>
      <c r="J183" s="199"/>
      <c r="L183" s="138"/>
      <c r="M183" s="138"/>
      <c r="N183" s="138"/>
    </row>
    <row r="184" spans="2:16" s="64" customFormat="1" ht="24.75" customHeight="1" x14ac:dyDescent="0.2">
      <c r="B184" s="812" t="s">
        <v>387</v>
      </c>
      <c r="C184" s="812"/>
      <c r="D184" s="812"/>
      <c r="E184" s="210" t="s">
        <v>290</v>
      </c>
      <c r="F184" s="209">
        <v>0.2</v>
      </c>
      <c r="G184" s="211" t="s">
        <v>389</v>
      </c>
      <c r="H184" s="209">
        <v>0.8</v>
      </c>
      <c r="I184" s="211" t="s">
        <v>291</v>
      </c>
      <c r="J184" s="189"/>
      <c r="L184" s="138"/>
      <c r="M184" s="138"/>
      <c r="N184" s="138"/>
    </row>
    <row r="185" spans="2:16" ht="15" customHeight="1" x14ac:dyDescent="0.2">
      <c r="B185" s="2"/>
      <c r="C185" s="2"/>
      <c r="D185" s="2"/>
      <c r="E185" s="2"/>
      <c r="F185" s="2"/>
      <c r="G185" s="2"/>
      <c r="H185" s="6"/>
      <c r="I185" s="6"/>
      <c r="J185" s="6"/>
      <c r="K185" s="6"/>
      <c r="O185" s="6"/>
      <c r="P185" s="6"/>
    </row>
    <row r="186" spans="2:16" ht="17.25" customHeight="1" x14ac:dyDescent="0.2">
      <c r="B186" s="41" t="s">
        <v>218</v>
      </c>
      <c r="C186" s="42"/>
      <c r="D186" s="42"/>
      <c r="E186" s="43"/>
      <c r="F186" s="42"/>
      <c r="G186" s="42"/>
      <c r="H186" s="42"/>
      <c r="I186" s="42"/>
      <c r="J186" s="42"/>
    </row>
    <row r="187" spans="2:16" ht="15" customHeight="1" x14ac:dyDescent="0.2">
      <c r="B187" s="2"/>
      <c r="C187" s="2"/>
      <c r="D187" s="2"/>
      <c r="E187" s="2"/>
      <c r="F187" s="2"/>
      <c r="G187" s="2"/>
      <c r="H187" s="6"/>
      <c r="I187" s="6"/>
      <c r="J187" s="6"/>
      <c r="K187" s="6"/>
      <c r="O187" s="6"/>
      <c r="P187" s="6"/>
    </row>
    <row r="188" spans="2:16" x14ac:dyDescent="0.2">
      <c r="B188" s="31" t="s">
        <v>221</v>
      </c>
    </row>
    <row r="190" spans="2:16" ht="24" customHeight="1" x14ac:dyDescent="0.2">
      <c r="B190" s="856" t="s">
        <v>335</v>
      </c>
      <c r="C190" s="858"/>
      <c r="D190" s="858"/>
      <c r="E190" s="856" t="s">
        <v>196</v>
      </c>
      <c r="F190" s="857"/>
      <c r="G190" s="856" t="s">
        <v>336</v>
      </c>
      <c r="H190" s="857"/>
      <c r="I190" s="757" t="s">
        <v>337</v>
      </c>
      <c r="J190" s="758"/>
    </row>
    <row r="191" spans="2:16" ht="18.75" customHeight="1" x14ac:dyDescent="0.2">
      <c r="B191" s="167" t="s">
        <v>338</v>
      </c>
      <c r="C191" s="163"/>
      <c r="D191" s="163"/>
      <c r="E191" s="928" t="s">
        <v>145</v>
      </c>
      <c r="F191" s="929"/>
      <c r="G191" s="936">
        <v>1590546</v>
      </c>
      <c r="H191" s="937"/>
      <c r="I191" s="936">
        <v>20</v>
      </c>
      <c r="J191" s="937"/>
    </row>
    <row r="192" spans="2:16" ht="15" customHeight="1" x14ac:dyDescent="0.2">
      <c r="B192" s="2"/>
      <c r="C192" s="2"/>
      <c r="D192" s="2"/>
      <c r="E192" s="2"/>
      <c r="F192" s="2"/>
      <c r="G192" s="2"/>
      <c r="H192" s="6"/>
      <c r="I192" s="6"/>
      <c r="J192" s="6"/>
      <c r="K192" s="6"/>
      <c r="O192" s="6"/>
      <c r="P192" s="6"/>
    </row>
    <row r="193" spans="2:18" ht="15" customHeight="1" x14ac:dyDescent="0.2">
      <c r="B193" s="2"/>
      <c r="C193" s="2"/>
      <c r="D193" s="2"/>
      <c r="E193" s="2"/>
      <c r="F193" s="2"/>
      <c r="G193" s="2"/>
      <c r="H193" s="6"/>
      <c r="I193" s="6"/>
      <c r="J193" s="6"/>
      <c r="K193" s="6"/>
      <c r="O193" s="6"/>
      <c r="P193" s="855"/>
      <c r="Q193" s="855"/>
      <c r="R193" s="855"/>
    </row>
    <row r="194" spans="2:18" s="6" customFormat="1" ht="16.5" customHeight="1" x14ac:dyDescent="0.2">
      <c r="B194" s="46" t="s">
        <v>222</v>
      </c>
      <c r="C194" s="47"/>
      <c r="D194" s="47"/>
      <c r="E194" s="47"/>
      <c r="F194" s="47"/>
      <c r="G194" s="47"/>
      <c r="H194" s="48"/>
      <c r="I194" s="42"/>
      <c r="J194" s="42"/>
      <c r="L194" s="116"/>
      <c r="M194" s="116"/>
      <c r="N194" s="116"/>
      <c r="O194" s="49"/>
      <c r="P194" s="855"/>
      <c r="Q194" s="855"/>
      <c r="R194" s="855"/>
    </row>
    <row r="195" spans="2:18" s="36" customFormat="1" ht="12.75" customHeight="1" x14ac:dyDescent="0.2">
      <c r="B195" s="50"/>
      <c r="C195" s="51"/>
      <c r="D195" s="51"/>
      <c r="E195" s="51"/>
      <c r="F195" s="51"/>
      <c r="G195" s="51"/>
      <c r="H195" s="52"/>
      <c r="I195" s="53"/>
      <c r="J195" s="53"/>
      <c r="L195" s="116"/>
      <c r="M195" s="116"/>
      <c r="N195" s="116"/>
      <c r="O195" s="54"/>
    </row>
    <row r="196" spans="2:18" s="36" customFormat="1" ht="18.600000000000001" customHeight="1" x14ac:dyDescent="0.2">
      <c r="B196" s="100" t="s">
        <v>202</v>
      </c>
      <c r="C196" s="51"/>
      <c r="D196" s="51"/>
      <c r="E196" s="40"/>
      <c r="F196" s="51"/>
      <c r="G196" s="52"/>
      <c r="H196" s="52"/>
      <c r="I196" s="53"/>
      <c r="J196" s="53"/>
      <c r="L196" s="116"/>
      <c r="M196" s="116"/>
      <c r="N196" s="116"/>
      <c r="O196" s="54"/>
    </row>
    <row r="197" spans="2:18" s="6" customFormat="1" ht="15.6" customHeight="1" x14ac:dyDescent="0.2">
      <c r="B197" s="55" t="s">
        <v>188</v>
      </c>
      <c r="E197" s="161" t="s">
        <v>96</v>
      </c>
      <c r="G197" s="57"/>
      <c r="H197" s="57"/>
      <c r="I197" s="57"/>
      <c r="J197" s="57"/>
      <c r="L197" s="116"/>
      <c r="M197" s="116"/>
      <c r="N197" s="116"/>
      <c r="O197" s="49"/>
    </row>
    <row r="198" spans="2:18" s="6" customFormat="1" ht="15.6" customHeight="1" x14ac:dyDescent="0.2">
      <c r="G198" s="57"/>
      <c r="H198" s="57"/>
      <c r="I198" s="57"/>
      <c r="J198" s="57"/>
      <c r="L198" s="116"/>
      <c r="M198" s="116"/>
      <c r="N198" s="116"/>
      <c r="O198" s="49"/>
    </row>
    <row r="199" spans="2:18" s="6" customFormat="1" ht="15.6" customHeight="1" x14ac:dyDescent="0.2">
      <c r="B199" s="55" t="s">
        <v>189</v>
      </c>
      <c r="J199" s="57"/>
      <c r="L199" s="116"/>
      <c r="M199" s="116"/>
      <c r="N199" s="116"/>
      <c r="O199" s="49"/>
    </row>
    <row r="200" spans="2:18" s="6" customFormat="1" ht="12.75" customHeight="1" x14ac:dyDescent="0.2">
      <c r="B200" s="832" t="s">
        <v>98</v>
      </c>
      <c r="C200" s="833"/>
      <c r="D200" s="833"/>
      <c r="E200" s="833"/>
      <c r="F200" s="833"/>
      <c r="G200" s="833"/>
      <c r="H200" s="833"/>
      <c r="I200" s="833"/>
      <c r="J200" s="834"/>
      <c r="L200" s="116"/>
      <c r="M200" s="116"/>
      <c r="N200" s="116"/>
      <c r="O200" s="49"/>
    </row>
    <row r="201" spans="2:18" s="6" customFormat="1" ht="12.75" customHeight="1" x14ac:dyDescent="0.2">
      <c r="B201" s="762"/>
      <c r="C201" s="763"/>
      <c r="D201" s="763"/>
      <c r="E201" s="763"/>
      <c r="F201" s="763"/>
      <c r="G201" s="763"/>
      <c r="H201" s="763"/>
      <c r="I201" s="763"/>
      <c r="J201" s="764"/>
      <c r="L201" s="116"/>
      <c r="M201" s="116"/>
      <c r="N201" s="116"/>
      <c r="O201" s="49"/>
    </row>
    <row r="202" spans="2:18" s="6" customFormat="1" ht="12.75" customHeight="1" x14ac:dyDescent="0.2">
      <c r="B202" s="765"/>
      <c r="C202" s="766"/>
      <c r="D202" s="766"/>
      <c r="E202" s="766"/>
      <c r="F202" s="766"/>
      <c r="G202" s="766"/>
      <c r="H202" s="766"/>
      <c r="I202" s="766"/>
      <c r="J202" s="767"/>
      <c r="L202" s="116"/>
      <c r="M202" s="116"/>
      <c r="N202" s="116"/>
      <c r="O202" s="49"/>
    </row>
    <row r="203" spans="2:18" ht="16.5" customHeight="1" x14ac:dyDescent="0.2">
      <c r="B203" s="6"/>
      <c r="C203" s="6"/>
      <c r="D203" s="6"/>
      <c r="E203" s="6"/>
      <c r="F203" s="6"/>
      <c r="G203" s="6"/>
      <c r="H203" s="6"/>
      <c r="I203" s="6"/>
      <c r="J203" s="6"/>
      <c r="L203" s="116"/>
      <c r="M203" s="116"/>
      <c r="N203" s="116"/>
      <c r="O203" s="49"/>
      <c r="P203" s="6"/>
    </row>
    <row r="204" spans="2:18" s="35" customFormat="1" ht="16.5" customHeight="1" x14ac:dyDescent="0.2">
      <c r="B204" s="100" t="s">
        <v>203</v>
      </c>
      <c r="C204" s="157"/>
      <c r="D204" s="157"/>
      <c r="E204" s="157"/>
      <c r="F204" s="157"/>
      <c r="G204" s="157"/>
      <c r="H204" s="157"/>
      <c r="I204" s="36"/>
      <c r="J204" s="36"/>
      <c r="L204" s="117"/>
      <c r="M204" s="117"/>
      <c r="N204" s="117"/>
      <c r="O204" s="101"/>
      <c r="P204" s="36"/>
    </row>
    <row r="205" spans="2:18" ht="16.5" customHeight="1" x14ac:dyDescent="0.2">
      <c r="B205" s="59"/>
      <c r="C205" s="59"/>
      <c r="D205" s="60"/>
      <c r="E205" s="60"/>
      <c r="F205" s="60"/>
      <c r="G205" s="60"/>
      <c r="H205" s="60"/>
      <c r="I205" s="60"/>
      <c r="J205" s="6"/>
      <c r="K205" s="6"/>
      <c r="L205" s="117"/>
      <c r="M205" s="117"/>
      <c r="N205" s="117"/>
      <c r="O205" s="58"/>
      <c r="P205" s="6"/>
    </row>
    <row r="206" spans="2:18" ht="28.15" customHeight="1" x14ac:dyDescent="0.2">
      <c r="B206" s="821" t="s">
        <v>216</v>
      </c>
      <c r="C206" s="822"/>
      <c r="D206" s="162" t="s">
        <v>25</v>
      </c>
      <c r="E206" s="162" t="s">
        <v>234</v>
      </c>
      <c r="F206" s="162" t="s">
        <v>235</v>
      </c>
      <c r="G206" s="162" t="s">
        <v>236</v>
      </c>
      <c r="H206" s="162" t="s">
        <v>237</v>
      </c>
      <c r="I206" s="162" t="s">
        <v>238</v>
      </c>
      <c r="J206" s="162" t="s">
        <v>239</v>
      </c>
      <c r="L206" s="119"/>
      <c r="M206" s="119"/>
      <c r="N206" s="119"/>
      <c r="P206" s="6"/>
    </row>
    <row r="207" spans="2:18" ht="18" customHeight="1" x14ac:dyDescent="0.2">
      <c r="B207" s="823" t="s">
        <v>233</v>
      </c>
      <c r="C207" s="824"/>
      <c r="D207" s="112" t="s">
        <v>99</v>
      </c>
      <c r="E207" s="86">
        <f>+Demanda!F56</f>
        <v>9510.7999999999993</v>
      </c>
      <c r="F207" s="86">
        <f>+Demanda!G56</f>
        <v>860.80000000000109</v>
      </c>
      <c r="G207" s="86">
        <f>+Demanda!H56</f>
        <v>3037.3333333333335</v>
      </c>
      <c r="H207" s="86">
        <f>+Demanda!I56</f>
        <v>10636.999999999998</v>
      </c>
      <c r="I207" s="86">
        <f>+Demanda!J56</f>
        <v>16354.8</v>
      </c>
      <c r="J207" s="86">
        <f>+Demanda!K56</f>
        <v>15784.999999999998</v>
      </c>
      <c r="K207" s="86" t="e">
        <f>+[1]Hoja1!L150</f>
        <v>#REF!</v>
      </c>
      <c r="L207" s="86" t="e">
        <f>+[1]Hoja1!M150</f>
        <v>#REF!</v>
      </c>
      <c r="M207" s="86" t="e">
        <f>+[1]Hoja1!N150</f>
        <v>#REF!</v>
      </c>
      <c r="N207" s="86" t="e">
        <f>+[1]Hoja1!O150</f>
        <v>#REF!</v>
      </c>
      <c r="O207" s="86" t="e">
        <f>+[1]Hoja1!P150</f>
        <v>#REF!</v>
      </c>
      <c r="P207" s="6"/>
    </row>
    <row r="208" spans="2:18" ht="16.5" customHeight="1" x14ac:dyDescent="0.2">
      <c r="B208" s="825"/>
      <c r="C208" s="826"/>
      <c r="D208" s="59"/>
      <c r="E208" s="59"/>
      <c r="F208" s="59"/>
      <c r="G208" s="59"/>
      <c r="H208" s="59"/>
      <c r="I208" s="6"/>
      <c r="J208" s="6"/>
      <c r="L208" s="117"/>
      <c r="M208" s="117"/>
      <c r="N208" s="117"/>
      <c r="O208" s="58"/>
      <c r="P208" s="6"/>
    </row>
    <row r="209" spans="2:16" ht="26.25" customHeight="1" x14ac:dyDescent="0.2">
      <c r="B209" s="825"/>
      <c r="C209" s="826"/>
      <c r="D209" s="158" t="s">
        <v>25</v>
      </c>
      <c r="E209" s="162" t="s">
        <v>240</v>
      </c>
      <c r="F209" s="162" t="s">
        <v>241</v>
      </c>
      <c r="G209" s="162" t="s">
        <v>242</v>
      </c>
      <c r="H209" s="162" t="s">
        <v>243</v>
      </c>
      <c r="I209" s="162" t="s">
        <v>244</v>
      </c>
      <c r="J209" s="162" t="s">
        <v>245</v>
      </c>
      <c r="L209" s="117"/>
      <c r="M209" s="117"/>
      <c r="N209" s="117"/>
      <c r="O209" s="58"/>
      <c r="P209" s="6"/>
    </row>
    <row r="210" spans="2:16" ht="16.5" customHeight="1" x14ac:dyDescent="0.2">
      <c r="B210" s="827"/>
      <c r="C210" s="828"/>
      <c r="D210" s="112" t="s">
        <v>99</v>
      </c>
      <c r="E210" s="86">
        <f>+Demanda!L56</f>
        <v>17718.666666666668</v>
      </c>
      <c r="F210" s="86">
        <f>+Demanda!M56</f>
        <v>20378.226666666666</v>
      </c>
      <c r="G210" s="86">
        <f>+Demanda!N56</f>
        <v>15615</v>
      </c>
      <c r="H210" s="86">
        <f>+Demanda!O56</f>
        <v>6621.333333333333</v>
      </c>
      <c r="I210" s="86">
        <f>+Demanda!P56</f>
        <v>14442</v>
      </c>
      <c r="J210" s="86">
        <f>+Demanda!Q56</f>
        <v>5785.9999999999991</v>
      </c>
      <c r="L210" s="117"/>
      <c r="M210" s="117"/>
      <c r="N210" s="117"/>
      <c r="O210" s="58"/>
      <c r="P210" s="6"/>
    </row>
    <row r="211" spans="2:16" ht="16.5" customHeight="1" x14ac:dyDescent="0.2">
      <c r="B211" s="59"/>
      <c r="C211" s="59"/>
      <c r="D211" s="59"/>
      <c r="E211" s="59"/>
      <c r="F211" s="59"/>
      <c r="G211" s="59"/>
      <c r="H211" s="59"/>
      <c r="I211" s="6"/>
      <c r="J211" s="6"/>
      <c r="L211" s="117"/>
      <c r="M211" s="117"/>
      <c r="N211" s="117"/>
      <c r="O211" s="58"/>
      <c r="P211" s="6"/>
    </row>
    <row r="212" spans="2:16" ht="16.5" customHeight="1" x14ac:dyDescent="0.2">
      <c r="B212" s="61" t="s">
        <v>39</v>
      </c>
      <c r="C212" s="6"/>
      <c r="D212" s="60"/>
      <c r="E212" s="60"/>
      <c r="F212" s="60"/>
      <c r="G212" s="60"/>
      <c r="H212" s="60"/>
      <c r="I212" s="60"/>
      <c r="J212" s="60"/>
      <c r="L212" s="117"/>
      <c r="M212" s="117"/>
      <c r="N212" s="117"/>
      <c r="O212" s="58"/>
      <c r="P212" s="6"/>
    </row>
    <row r="213" spans="2:16" ht="23.45" customHeight="1" x14ac:dyDescent="0.2">
      <c r="B213" s="747" t="s">
        <v>339</v>
      </c>
      <c r="C213" s="748"/>
      <c r="D213" s="748"/>
      <c r="E213" s="748"/>
      <c r="F213" s="748"/>
      <c r="G213" s="748"/>
      <c r="H213" s="748"/>
      <c r="I213" s="748"/>
      <c r="J213" s="749"/>
      <c r="L213" s="117"/>
      <c r="M213" s="117"/>
      <c r="N213" s="117"/>
      <c r="O213" s="58"/>
      <c r="P213" s="6"/>
    </row>
    <row r="214" spans="2:16" ht="23.45" customHeight="1" x14ac:dyDescent="0.2">
      <c r="B214" s="750"/>
      <c r="C214" s="751"/>
      <c r="D214" s="751"/>
      <c r="E214" s="751"/>
      <c r="F214" s="751"/>
      <c r="G214" s="751"/>
      <c r="H214" s="751"/>
      <c r="I214" s="751"/>
      <c r="J214" s="752"/>
      <c r="L214" s="117"/>
      <c r="M214" s="117"/>
      <c r="N214" s="117"/>
      <c r="O214" s="58"/>
      <c r="P214" s="6"/>
    </row>
    <row r="215" spans="2:16" ht="23.45" customHeight="1" x14ac:dyDescent="0.2">
      <c r="B215" s="753"/>
      <c r="C215" s="754"/>
      <c r="D215" s="754"/>
      <c r="E215" s="754"/>
      <c r="F215" s="754"/>
      <c r="G215" s="754"/>
      <c r="H215" s="754"/>
      <c r="I215" s="754"/>
      <c r="J215" s="755"/>
      <c r="L215" s="117"/>
      <c r="M215" s="117"/>
      <c r="N215" s="117"/>
      <c r="O215" s="58"/>
      <c r="P215" s="6"/>
    </row>
    <row r="216" spans="2:16" ht="16.5" customHeight="1" x14ac:dyDescent="0.2">
      <c r="B216" s="59"/>
      <c r="C216" s="59"/>
      <c r="D216" s="59"/>
      <c r="E216" s="59"/>
      <c r="F216" s="59"/>
      <c r="G216" s="59"/>
      <c r="H216" s="59"/>
      <c r="I216" s="6"/>
      <c r="J216" s="6"/>
      <c r="L216" s="117"/>
      <c r="M216" s="117"/>
      <c r="N216" s="117"/>
      <c r="O216" s="58"/>
      <c r="P216" s="6"/>
    </row>
    <row r="217" spans="2:16" s="35" customFormat="1" ht="16.5" customHeight="1" x14ac:dyDescent="0.2">
      <c r="B217" s="100" t="s">
        <v>204</v>
      </c>
      <c r="C217" s="157"/>
      <c r="D217" s="157"/>
      <c r="E217" s="157"/>
      <c r="F217" s="157"/>
      <c r="G217" s="157"/>
      <c r="H217" s="157"/>
      <c r="I217" s="36"/>
      <c r="J217" s="36"/>
      <c r="L217" s="117"/>
      <c r="M217" s="117"/>
      <c r="N217" s="117"/>
      <c r="O217" s="101"/>
      <c r="P217" s="36"/>
    </row>
    <row r="218" spans="2:16" ht="16.5" customHeight="1" x14ac:dyDescent="0.2">
      <c r="B218" s="59"/>
      <c r="C218" s="59"/>
      <c r="D218" s="60"/>
      <c r="E218" s="60"/>
      <c r="F218" s="60"/>
      <c r="G218" s="60"/>
      <c r="H218" s="60"/>
      <c r="I218" s="60"/>
      <c r="J218" s="6"/>
      <c r="L218" s="117"/>
      <c r="M218" s="117"/>
      <c r="N218" s="117"/>
      <c r="O218" s="58"/>
      <c r="P218" s="6"/>
    </row>
    <row r="219" spans="2:16" ht="28.5" customHeight="1" x14ac:dyDescent="0.2">
      <c r="B219" s="821" t="s">
        <v>216</v>
      </c>
      <c r="C219" s="822"/>
      <c r="D219" s="162" t="s">
        <v>25</v>
      </c>
      <c r="E219" s="162" t="s">
        <v>234</v>
      </c>
      <c r="F219" s="162" t="s">
        <v>235</v>
      </c>
      <c r="G219" s="162" t="s">
        <v>236</v>
      </c>
      <c r="H219" s="162" t="s">
        <v>237</v>
      </c>
      <c r="I219" s="162" t="s">
        <v>238</v>
      </c>
      <c r="J219" s="162" t="s">
        <v>239</v>
      </c>
      <c r="L219" s="119" t="s">
        <v>79</v>
      </c>
      <c r="M219" s="119" t="s">
        <v>80</v>
      </c>
      <c r="N219" s="119" t="s">
        <v>32</v>
      </c>
      <c r="O219" s="4" t="s">
        <v>224</v>
      </c>
      <c r="P219" s="6"/>
    </row>
    <row r="220" spans="2:16" ht="18.600000000000001" customHeight="1" x14ac:dyDescent="0.2">
      <c r="B220" s="823" t="s">
        <v>246</v>
      </c>
      <c r="C220" s="824"/>
      <c r="D220" s="112" t="s">
        <v>99</v>
      </c>
      <c r="E220" s="86">
        <f>+Oferta!G15</f>
        <v>38880</v>
      </c>
      <c r="F220" s="86">
        <f>+Oferta!H15</f>
        <v>38880</v>
      </c>
      <c r="G220" s="86">
        <f>+Oferta!I15</f>
        <v>38880</v>
      </c>
      <c r="H220" s="86">
        <f>+Oferta!J15</f>
        <v>25920</v>
      </c>
      <c r="I220" s="86">
        <f>+Oferta!K15</f>
        <v>25920</v>
      </c>
      <c r="J220" s="86">
        <f>+Oferta!L15</f>
        <v>25920</v>
      </c>
      <c r="K220" s="86" t="e">
        <f>+[1]Hoja2!M116</f>
        <v>#REF!</v>
      </c>
      <c r="L220" s="86" t="e">
        <f>+[1]Hoja2!N116</f>
        <v>#REF!</v>
      </c>
      <c r="M220" s="86" t="e">
        <f>+[1]Hoja2!O116</f>
        <v>#REF!</v>
      </c>
      <c r="N220" s="86" t="e">
        <f>+[1]Hoja2!P116</f>
        <v>#REF!</v>
      </c>
      <c r="O220" s="86" t="e">
        <f>+[1]Hoja2!Q116</f>
        <v>#REF!</v>
      </c>
      <c r="P220" s="6"/>
    </row>
    <row r="221" spans="2:16" ht="16.5" customHeight="1" x14ac:dyDescent="0.2">
      <c r="B221" s="825"/>
      <c r="C221" s="826"/>
      <c r="D221" s="59"/>
      <c r="E221" s="59"/>
      <c r="F221" s="59"/>
      <c r="G221" s="59"/>
      <c r="H221" s="59"/>
      <c r="I221" s="6"/>
      <c r="J221" s="6"/>
      <c r="M221" s="117"/>
      <c r="N221" s="117"/>
      <c r="O221" s="58"/>
      <c r="P221" s="6"/>
    </row>
    <row r="222" spans="2:16" ht="31.5" customHeight="1" x14ac:dyDescent="0.2">
      <c r="B222" s="825"/>
      <c r="C222" s="826"/>
      <c r="D222" s="158" t="s">
        <v>25</v>
      </c>
      <c r="E222" s="162" t="s">
        <v>240</v>
      </c>
      <c r="F222" s="162" t="s">
        <v>241</v>
      </c>
      <c r="G222" s="162" t="s">
        <v>242</v>
      </c>
      <c r="H222" s="162" t="s">
        <v>243</v>
      </c>
      <c r="I222" s="162" t="s">
        <v>244</v>
      </c>
      <c r="J222" s="162" t="s">
        <v>245</v>
      </c>
      <c r="M222" s="117"/>
      <c r="N222" s="117"/>
      <c r="O222" s="58"/>
      <c r="P222" s="6"/>
    </row>
    <row r="223" spans="2:16" ht="16.5" customHeight="1" x14ac:dyDescent="0.2">
      <c r="B223" s="827"/>
      <c r="C223" s="828"/>
      <c r="D223" s="112" t="s">
        <v>99</v>
      </c>
      <c r="E223" s="86">
        <f>+Oferta!M15</f>
        <v>25920</v>
      </c>
      <c r="F223" s="86">
        <f>+Oferta!N15</f>
        <v>25920</v>
      </c>
      <c r="G223" s="86">
        <f>+Oferta!O15</f>
        <v>25920</v>
      </c>
      <c r="H223" s="86">
        <f>+Oferta!P15</f>
        <v>25920</v>
      </c>
      <c r="I223" s="86">
        <f>+Oferta!Q15</f>
        <v>38880</v>
      </c>
      <c r="J223" s="86">
        <f>+Oferta!R15</f>
        <v>38880</v>
      </c>
      <c r="M223" s="117"/>
      <c r="N223" s="117"/>
      <c r="O223" s="58"/>
      <c r="P223" s="6"/>
    </row>
    <row r="224" spans="2:16" ht="16.5" customHeight="1" x14ac:dyDescent="0.2">
      <c r="B224" s="59"/>
      <c r="C224" s="59"/>
      <c r="D224" s="59"/>
      <c r="E224" s="59"/>
      <c r="F224" s="59"/>
      <c r="G224" s="59"/>
      <c r="H224" s="59"/>
      <c r="I224" s="6"/>
      <c r="J224" s="6"/>
      <c r="M224" s="117"/>
      <c r="N224" s="117"/>
      <c r="O224" s="58"/>
      <c r="P224" s="6"/>
    </row>
    <row r="225" spans="2:16" ht="25.5" customHeight="1" x14ac:dyDescent="0.2">
      <c r="B225" s="938" t="s">
        <v>423</v>
      </c>
      <c r="C225" s="938"/>
      <c r="D225" s="938"/>
      <c r="E225" s="938"/>
      <c r="F225" s="938"/>
      <c r="G225" s="938"/>
      <c r="H225" s="938"/>
      <c r="I225" s="938"/>
      <c r="J225" s="938"/>
      <c r="M225" s="117"/>
      <c r="N225" s="117"/>
      <c r="O225" s="58"/>
      <c r="P225" s="6"/>
    </row>
    <row r="226" spans="2:16" ht="16.5" customHeight="1" x14ac:dyDescent="0.2">
      <c r="B226" s="55"/>
      <c r="C226" s="6"/>
      <c r="D226" s="62"/>
      <c r="E226" s="62"/>
      <c r="F226" s="62"/>
      <c r="G226" s="62"/>
      <c r="H226" s="62"/>
      <c r="I226" s="62"/>
      <c r="J226" s="62"/>
      <c r="M226" s="117"/>
      <c r="N226" s="117"/>
      <c r="O226" s="58"/>
      <c r="P226" s="6"/>
    </row>
    <row r="227" spans="2:16" ht="23.45" customHeight="1" x14ac:dyDescent="0.2">
      <c r="B227" s="747" t="s">
        <v>340</v>
      </c>
      <c r="C227" s="748"/>
      <c r="D227" s="748"/>
      <c r="E227" s="748"/>
      <c r="F227" s="748"/>
      <c r="G227" s="748"/>
      <c r="H227" s="748"/>
      <c r="I227" s="748"/>
      <c r="J227" s="749"/>
      <c r="M227" s="117"/>
      <c r="N227" s="117"/>
      <c r="O227" s="58"/>
      <c r="P227" s="6"/>
    </row>
    <row r="228" spans="2:16" ht="23.45" customHeight="1" x14ac:dyDescent="0.2">
      <c r="B228" s="750"/>
      <c r="C228" s="751"/>
      <c r="D228" s="751"/>
      <c r="E228" s="751"/>
      <c r="F228" s="751"/>
      <c r="G228" s="751"/>
      <c r="H228" s="751"/>
      <c r="I228" s="751"/>
      <c r="J228" s="752"/>
      <c r="M228" s="117"/>
      <c r="N228" s="117"/>
      <c r="O228" s="58"/>
      <c r="P228" s="6"/>
    </row>
    <row r="229" spans="2:16" ht="23.45" customHeight="1" x14ac:dyDescent="0.2">
      <c r="B229" s="753"/>
      <c r="C229" s="754"/>
      <c r="D229" s="754"/>
      <c r="E229" s="754"/>
      <c r="F229" s="754"/>
      <c r="G229" s="754"/>
      <c r="H229" s="754"/>
      <c r="I229" s="754"/>
      <c r="J229" s="755"/>
      <c r="M229" s="117"/>
      <c r="N229" s="117"/>
      <c r="O229" s="58"/>
      <c r="P229" s="6"/>
    </row>
    <row r="230" spans="2:16" s="64" customFormat="1" ht="16.5" customHeight="1" x14ac:dyDescent="0.2">
      <c r="B230" s="129"/>
      <c r="C230" s="129"/>
      <c r="D230" s="129"/>
      <c r="E230" s="129"/>
      <c r="F230" s="129"/>
      <c r="G230" s="129"/>
      <c r="H230" s="129"/>
      <c r="I230" s="10"/>
      <c r="J230" s="10"/>
      <c r="L230" s="138"/>
      <c r="M230" s="214"/>
      <c r="N230" s="214"/>
      <c r="O230" s="215"/>
      <c r="P230" s="10"/>
    </row>
    <row r="231" spans="2:16" s="64" customFormat="1" ht="14.25" customHeight="1" x14ac:dyDescent="0.2">
      <c r="B231" s="216" t="s">
        <v>422</v>
      </c>
      <c r="C231" s="129"/>
      <c r="D231" s="129"/>
      <c r="E231" s="129"/>
      <c r="F231" s="129"/>
      <c r="G231" s="129"/>
      <c r="H231" s="129"/>
      <c r="I231" s="10"/>
      <c r="J231" s="10"/>
      <c r="L231" s="138"/>
      <c r="M231" s="214"/>
      <c r="N231" s="214"/>
      <c r="O231" s="215"/>
      <c r="P231" s="10"/>
    </row>
    <row r="232" spans="2:16" s="64" customFormat="1" ht="16.5" customHeight="1" x14ac:dyDescent="0.2">
      <c r="B232" s="129"/>
      <c r="C232" s="129"/>
      <c r="D232" s="871"/>
      <c r="E232" s="871"/>
      <c r="F232" s="871"/>
      <c r="G232" s="871"/>
      <c r="H232" s="871"/>
      <c r="I232" s="871"/>
      <c r="J232" s="10"/>
      <c r="L232" s="138"/>
      <c r="M232" s="214"/>
      <c r="N232" s="214"/>
      <c r="O232" s="215"/>
      <c r="P232" s="10"/>
    </row>
    <row r="233" spans="2:16" ht="29.45" customHeight="1" x14ac:dyDescent="0.2">
      <c r="B233" s="821" t="s">
        <v>216</v>
      </c>
      <c r="C233" s="822"/>
      <c r="D233" s="162" t="s">
        <v>25</v>
      </c>
      <c r="E233" s="162" t="s">
        <v>234</v>
      </c>
      <c r="F233" s="162" t="s">
        <v>235</v>
      </c>
      <c r="G233" s="162" t="s">
        <v>236</v>
      </c>
      <c r="H233" s="162" t="s">
        <v>237</v>
      </c>
      <c r="I233" s="162" t="s">
        <v>238</v>
      </c>
      <c r="J233" s="162" t="s">
        <v>239</v>
      </c>
      <c r="L233" s="119" t="s">
        <v>79</v>
      </c>
      <c r="M233" s="119" t="s">
        <v>80</v>
      </c>
      <c r="N233" s="119" t="s">
        <v>32</v>
      </c>
      <c r="O233" s="4" t="s">
        <v>225</v>
      </c>
      <c r="P233" s="6"/>
    </row>
    <row r="234" spans="2:16" ht="17.45" customHeight="1" x14ac:dyDescent="0.2">
      <c r="B234" s="823" t="s">
        <v>421</v>
      </c>
      <c r="C234" s="824"/>
      <c r="D234" s="112" t="s">
        <v>99</v>
      </c>
      <c r="E234" s="86">
        <f t="shared" ref="E234:J234" si="0">+E220-E207</f>
        <v>29369.200000000001</v>
      </c>
      <c r="F234" s="86">
        <f t="shared" si="0"/>
        <v>38019.199999999997</v>
      </c>
      <c r="G234" s="86">
        <f t="shared" si="0"/>
        <v>35842.666666666664</v>
      </c>
      <c r="H234" s="86">
        <f t="shared" si="0"/>
        <v>15283.000000000002</v>
      </c>
      <c r="I234" s="86">
        <f t="shared" si="0"/>
        <v>9565.2000000000007</v>
      </c>
      <c r="J234" s="86">
        <f t="shared" si="0"/>
        <v>10135.000000000002</v>
      </c>
      <c r="L234" s="120" t="e">
        <f>+L220-L207</f>
        <v>#REF!</v>
      </c>
      <c r="M234" s="120" t="e">
        <f>+M220-M207</f>
        <v>#REF!</v>
      </c>
      <c r="N234" s="120" t="e">
        <f>+N220-N207</f>
        <v>#REF!</v>
      </c>
      <c r="P234" s="6"/>
    </row>
    <row r="235" spans="2:16" x14ac:dyDescent="0.2">
      <c r="B235" s="825"/>
      <c r="C235" s="826"/>
      <c r="D235" s="59"/>
      <c r="E235" s="59"/>
      <c r="F235" s="59"/>
      <c r="G235" s="59"/>
      <c r="H235" s="59"/>
      <c r="I235" s="6"/>
      <c r="J235" s="6"/>
    </row>
    <row r="236" spans="2:16" ht="30.75" customHeight="1" x14ac:dyDescent="0.2">
      <c r="B236" s="825"/>
      <c r="C236" s="826"/>
      <c r="D236" s="158" t="s">
        <v>25</v>
      </c>
      <c r="E236" s="162" t="s">
        <v>240</v>
      </c>
      <c r="F236" s="162" t="s">
        <v>241</v>
      </c>
      <c r="G236" s="162" t="s">
        <v>242</v>
      </c>
      <c r="H236" s="162" t="s">
        <v>243</v>
      </c>
      <c r="I236" s="162" t="s">
        <v>244</v>
      </c>
      <c r="J236" s="162" t="s">
        <v>245</v>
      </c>
    </row>
    <row r="237" spans="2:16" ht="18" customHeight="1" x14ac:dyDescent="0.2">
      <c r="B237" s="827"/>
      <c r="C237" s="828"/>
      <c r="D237" s="112" t="s">
        <v>99</v>
      </c>
      <c r="E237" s="86">
        <f t="shared" ref="E237:J237" si="1">+E223-E210</f>
        <v>8201.3333333333321</v>
      </c>
      <c r="F237" s="86">
        <f t="shared" si="1"/>
        <v>5541.7733333333344</v>
      </c>
      <c r="G237" s="86">
        <f t="shared" si="1"/>
        <v>10305</v>
      </c>
      <c r="H237" s="86">
        <f t="shared" si="1"/>
        <v>19298.666666666668</v>
      </c>
      <c r="I237" s="86">
        <f t="shared" si="1"/>
        <v>24438</v>
      </c>
      <c r="J237" s="86">
        <f t="shared" si="1"/>
        <v>33094</v>
      </c>
    </row>
    <row r="238" spans="2:16" s="64" customFormat="1" x14ac:dyDescent="0.2">
      <c r="B238" s="10"/>
      <c r="C238" s="10"/>
      <c r="D238" s="10"/>
      <c r="E238" s="21"/>
      <c r="F238" s="21"/>
      <c r="G238" s="21"/>
      <c r="H238" s="21"/>
      <c r="I238" s="21"/>
      <c r="J238" s="10"/>
      <c r="L238" s="138"/>
      <c r="M238" s="138"/>
      <c r="N238" s="138"/>
    </row>
    <row r="239" spans="2:16" s="64" customFormat="1" x14ac:dyDescent="0.2">
      <c r="B239" s="32" t="s">
        <v>205</v>
      </c>
      <c r="C239" s="10"/>
      <c r="D239" s="10"/>
      <c r="E239" s="10"/>
      <c r="F239" s="10"/>
      <c r="G239" s="10"/>
      <c r="H239" s="10"/>
      <c r="I239" s="10"/>
      <c r="L239" s="138"/>
      <c r="M239" s="138"/>
      <c r="N239" s="138"/>
    </row>
    <row r="240" spans="2:16" s="64" customFormat="1" ht="9" customHeight="1" x14ac:dyDescent="0.2">
      <c r="B240" s="10"/>
      <c r="C240" s="10"/>
      <c r="D240" s="10"/>
      <c r="E240" s="10"/>
      <c r="F240" s="10"/>
      <c r="G240" s="10"/>
      <c r="H240" s="10"/>
      <c r="I240" s="10"/>
      <c r="L240" s="138"/>
      <c r="M240" s="138"/>
      <c r="N240" s="138"/>
    </row>
    <row r="241" spans="2:14" s="64" customFormat="1" x14ac:dyDescent="0.2">
      <c r="B241" s="184" t="s">
        <v>206</v>
      </c>
      <c r="L241" s="138"/>
      <c r="M241" s="138"/>
      <c r="N241" s="138"/>
    </row>
    <row r="242" spans="2:14" ht="9.6" customHeight="1" x14ac:dyDescent="0.2">
      <c r="B242" s="63"/>
      <c r="H242" s="9"/>
      <c r="I242" s="9"/>
    </row>
    <row r="243" spans="2:14" s="64" customFormat="1" ht="29.25" customHeight="1" x14ac:dyDescent="0.2">
      <c r="B243" s="18" t="s">
        <v>57</v>
      </c>
      <c r="C243" s="892" t="s">
        <v>58</v>
      </c>
      <c r="D243" s="893"/>
      <c r="E243" s="893"/>
      <c r="F243" s="893"/>
      <c r="G243" s="894"/>
      <c r="H243" s="147" t="s">
        <v>295</v>
      </c>
      <c r="J243" s="219"/>
      <c r="K243" s="213"/>
      <c r="L243" s="138"/>
      <c r="M243" s="138"/>
      <c r="N243" s="138"/>
    </row>
    <row r="244" spans="2:14" s="64" customFormat="1" ht="24.75" customHeight="1" x14ac:dyDescent="0.2">
      <c r="B244" s="65">
        <v>1</v>
      </c>
      <c r="C244" s="818" t="s">
        <v>59</v>
      </c>
      <c r="D244" s="819"/>
      <c r="E244" s="819"/>
      <c r="F244" s="819"/>
      <c r="G244" s="820"/>
      <c r="H244" s="180"/>
      <c r="J244" s="135"/>
      <c r="L244" s="138"/>
      <c r="M244" s="138"/>
      <c r="N244" s="138"/>
    </row>
    <row r="245" spans="2:14" s="64" customFormat="1" ht="24.75" customHeight="1" x14ac:dyDescent="0.2">
      <c r="B245" s="65">
        <v>2</v>
      </c>
      <c r="C245" s="818" t="s">
        <v>60</v>
      </c>
      <c r="D245" s="819"/>
      <c r="E245" s="819"/>
      <c r="F245" s="819"/>
      <c r="G245" s="820"/>
      <c r="H245" s="181"/>
      <c r="J245" s="220"/>
      <c r="L245" s="138"/>
      <c r="M245" s="138"/>
      <c r="N245" s="138"/>
    </row>
    <row r="246" spans="2:14" s="64" customFormat="1" ht="24.75" customHeight="1" x14ac:dyDescent="0.2">
      <c r="B246" s="65">
        <v>3</v>
      </c>
      <c r="C246" s="818" t="s">
        <v>61</v>
      </c>
      <c r="D246" s="819"/>
      <c r="E246" s="819"/>
      <c r="F246" s="819"/>
      <c r="G246" s="820"/>
      <c r="H246" s="181"/>
      <c r="J246" s="220"/>
      <c r="L246" s="138"/>
      <c r="M246" s="138"/>
      <c r="N246" s="138"/>
    </row>
    <row r="247" spans="2:14" s="64" customFormat="1" ht="24.75" customHeight="1" x14ac:dyDescent="0.2">
      <c r="B247" s="65">
        <v>4</v>
      </c>
      <c r="C247" s="818" t="s">
        <v>390</v>
      </c>
      <c r="D247" s="819"/>
      <c r="E247" s="819"/>
      <c r="F247" s="819"/>
      <c r="G247" s="820"/>
      <c r="H247" s="181" t="s">
        <v>97</v>
      </c>
      <c r="J247" s="10"/>
      <c r="L247" s="138"/>
      <c r="M247" s="138"/>
      <c r="N247" s="138"/>
    </row>
    <row r="248" spans="2:14" s="64" customFormat="1" ht="24.75" customHeight="1" x14ac:dyDescent="0.2">
      <c r="B248" s="65">
        <v>5</v>
      </c>
      <c r="C248" s="818" t="s">
        <v>62</v>
      </c>
      <c r="D248" s="819"/>
      <c r="E248" s="819"/>
      <c r="F248" s="819"/>
      <c r="G248" s="820"/>
      <c r="H248" s="180"/>
      <c r="J248" s="135"/>
      <c r="L248" s="138"/>
      <c r="M248" s="138"/>
      <c r="N248" s="138"/>
    </row>
    <row r="249" spans="2:14" s="64" customFormat="1" ht="24.75" customHeight="1" x14ac:dyDescent="0.2">
      <c r="B249" s="65">
        <v>6</v>
      </c>
      <c r="C249" s="818" t="s">
        <v>63</v>
      </c>
      <c r="D249" s="819"/>
      <c r="E249" s="819"/>
      <c r="F249" s="819"/>
      <c r="G249" s="820"/>
      <c r="H249" s="180"/>
      <c r="J249" s="135"/>
      <c r="L249" s="138"/>
      <c r="M249" s="138"/>
      <c r="N249" s="138"/>
    </row>
    <row r="250" spans="2:14" s="64" customFormat="1" ht="22.5" customHeight="1" x14ac:dyDescent="0.2">
      <c r="B250" s="217"/>
      <c r="C250" s="218"/>
      <c r="D250" s="218"/>
      <c r="E250" s="218"/>
      <c r="F250" s="218"/>
      <c r="G250" s="218"/>
      <c r="H250" s="135"/>
      <c r="L250" s="138"/>
      <c r="M250" s="138"/>
      <c r="N250" s="138"/>
    </row>
    <row r="251" spans="2:14" s="64" customFormat="1" ht="22.5" customHeight="1" x14ac:dyDescent="0.2">
      <c r="B251" s="184" t="s">
        <v>247</v>
      </c>
      <c r="C251" s="218"/>
      <c r="D251" s="218"/>
      <c r="E251" s="218"/>
      <c r="F251" s="218"/>
      <c r="G251" s="218"/>
      <c r="H251" s="135"/>
      <c r="L251" s="138"/>
      <c r="M251" s="138"/>
      <c r="N251" s="138"/>
    </row>
    <row r="252" spans="2:14" s="64" customFormat="1" x14ac:dyDescent="0.2">
      <c r="B252" s="10"/>
      <c r="C252" s="10"/>
      <c r="D252" s="10"/>
      <c r="E252" s="10"/>
      <c r="F252" s="10"/>
      <c r="G252" s="10"/>
      <c r="H252" s="10"/>
      <c r="I252" s="10"/>
      <c r="L252" s="138"/>
      <c r="M252" s="138"/>
      <c r="N252" s="138"/>
    </row>
    <row r="253" spans="2:14" ht="42" customHeight="1" x14ac:dyDescent="0.2">
      <c r="B253" s="16" t="s">
        <v>50</v>
      </c>
      <c r="C253" s="17"/>
      <c r="D253" s="66"/>
      <c r="E253" s="103" t="s">
        <v>25</v>
      </c>
      <c r="F253" s="103" t="s">
        <v>28</v>
      </c>
      <c r="G253" s="103" t="s">
        <v>26</v>
      </c>
      <c r="H253" s="103" t="s">
        <v>427</v>
      </c>
      <c r="I253" s="170" t="s">
        <v>396</v>
      </c>
      <c r="J253" s="170" t="s">
        <v>397</v>
      </c>
      <c r="K253" s="114"/>
      <c r="M253" s="4"/>
      <c r="N253" s="4"/>
    </row>
    <row r="254" spans="2:14" ht="15.6" customHeight="1" x14ac:dyDescent="0.2">
      <c r="B254" s="67" t="s">
        <v>48</v>
      </c>
      <c r="C254" s="5"/>
      <c r="D254" s="5"/>
      <c r="E254" s="105" t="s">
        <v>169</v>
      </c>
      <c r="F254" s="105">
        <v>1</v>
      </c>
      <c r="G254" s="92">
        <f>+E113*1000</f>
        <v>20000</v>
      </c>
      <c r="H254" s="92">
        <f>+G254*F254</f>
        <v>20000</v>
      </c>
      <c r="I254" s="89">
        <f>+H254</f>
        <v>20000</v>
      </c>
      <c r="J254" s="89"/>
      <c r="K254" s="114"/>
      <c r="M254" s="4"/>
      <c r="N254" s="4"/>
    </row>
    <row r="255" spans="2:14" ht="15.6" customHeight="1" x14ac:dyDescent="0.2">
      <c r="B255" s="173" t="s">
        <v>356</v>
      </c>
      <c r="C255" s="223"/>
      <c r="D255" s="223"/>
      <c r="E255" s="206"/>
      <c r="F255" s="206"/>
      <c r="G255" s="224"/>
      <c r="H255" s="91">
        <f>+H256+H257+H258</f>
        <v>444000</v>
      </c>
      <c r="I255" s="225"/>
      <c r="J255" s="225"/>
      <c r="K255" s="114"/>
      <c r="M255" s="4"/>
      <c r="N255" s="4"/>
    </row>
    <row r="256" spans="2:14" ht="15.6" customHeight="1" x14ac:dyDescent="0.2">
      <c r="B256" s="782" t="s">
        <v>394</v>
      </c>
      <c r="C256" s="887"/>
      <c r="D256" s="783"/>
      <c r="E256" s="125" t="s">
        <v>424</v>
      </c>
      <c r="F256" s="125">
        <v>1</v>
      </c>
      <c r="G256" s="89">
        <f>+E113*20000</f>
        <v>400000</v>
      </c>
      <c r="H256" s="89">
        <f>+G256*F256</f>
        <v>400000</v>
      </c>
      <c r="I256" s="89">
        <f>+H256*0.7</f>
        <v>280000</v>
      </c>
      <c r="J256" s="89">
        <f>+H256*0.3</f>
        <v>120000</v>
      </c>
      <c r="K256" s="114"/>
      <c r="M256" s="4"/>
      <c r="N256" s="4"/>
    </row>
    <row r="257" spans="2:15" ht="15.6" customHeight="1" x14ac:dyDescent="0.2">
      <c r="B257" s="782" t="s">
        <v>341</v>
      </c>
      <c r="C257" s="887"/>
      <c r="D257" s="783"/>
      <c r="E257" s="130" t="s">
        <v>170</v>
      </c>
      <c r="F257" s="130">
        <v>1</v>
      </c>
      <c r="G257" s="190">
        <f>+E113*1000</f>
        <v>20000</v>
      </c>
      <c r="H257" s="190">
        <f>+G257*F257</f>
        <v>20000</v>
      </c>
      <c r="I257" s="190">
        <f>+H257</f>
        <v>20000</v>
      </c>
      <c r="J257" s="190"/>
      <c r="K257" s="114"/>
      <c r="M257" s="4"/>
      <c r="N257" s="4"/>
    </row>
    <row r="258" spans="2:15" ht="15.6" customHeight="1" x14ac:dyDescent="0.2">
      <c r="B258" s="782" t="s">
        <v>346</v>
      </c>
      <c r="C258" s="887"/>
      <c r="D258" s="783"/>
      <c r="E258" s="130" t="s">
        <v>170</v>
      </c>
      <c r="F258" s="130">
        <v>1</v>
      </c>
      <c r="G258" s="190">
        <f>+E114*2000</f>
        <v>24000</v>
      </c>
      <c r="H258" s="190">
        <f>+G258*F258</f>
        <v>24000</v>
      </c>
      <c r="I258" s="190">
        <f>+H258</f>
        <v>24000</v>
      </c>
      <c r="J258" s="190"/>
      <c r="K258" s="114"/>
      <c r="M258" s="4"/>
      <c r="N258" s="4"/>
    </row>
    <row r="259" spans="2:15" ht="15.6" customHeight="1" x14ac:dyDescent="0.2">
      <c r="B259" s="182" t="s">
        <v>393</v>
      </c>
      <c r="C259" s="38"/>
      <c r="D259" s="38"/>
      <c r="E259" s="130"/>
      <c r="F259" s="130"/>
      <c r="G259" s="190"/>
      <c r="H259" s="91">
        <f>+H260+H261+H262+H263</f>
        <v>117000</v>
      </c>
      <c r="I259" s="190"/>
      <c r="J259" s="190"/>
      <c r="K259" s="114"/>
      <c r="M259" s="4"/>
      <c r="N259" s="4"/>
    </row>
    <row r="260" spans="2:15" ht="15.6" customHeight="1" x14ac:dyDescent="0.2">
      <c r="B260" s="177" t="s">
        <v>355</v>
      </c>
      <c r="C260" s="169"/>
      <c r="D260" s="169"/>
      <c r="E260" s="130" t="s">
        <v>170</v>
      </c>
      <c r="F260" s="130">
        <v>1</v>
      </c>
      <c r="G260" s="190">
        <f>+G256*0.08</f>
        <v>32000</v>
      </c>
      <c r="H260" s="190">
        <f>+G260</f>
        <v>32000</v>
      </c>
      <c r="I260" s="190">
        <f>+H260</f>
        <v>32000</v>
      </c>
      <c r="J260" s="190"/>
      <c r="K260" s="114"/>
      <c r="M260" s="4"/>
      <c r="N260" s="4"/>
    </row>
    <row r="261" spans="2:15" ht="15.6" customHeight="1" x14ac:dyDescent="0.2">
      <c r="B261" s="167" t="s">
        <v>392</v>
      </c>
      <c r="C261" s="178"/>
      <c r="D261" s="179"/>
      <c r="E261" s="130" t="s">
        <v>170</v>
      </c>
      <c r="F261" s="130">
        <v>1</v>
      </c>
      <c r="G261" s="190">
        <v>20000</v>
      </c>
      <c r="H261" s="190">
        <f t="shared" ref="H261:I263" si="2">+G261</f>
        <v>20000</v>
      </c>
      <c r="I261" s="190">
        <f t="shared" si="2"/>
        <v>20000</v>
      </c>
      <c r="J261" s="190"/>
      <c r="K261" s="114"/>
      <c r="M261" s="4"/>
      <c r="N261" s="4"/>
    </row>
    <row r="262" spans="2:15" ht="15.6" customHeight="1" x14ac:dyDescent="0.2">
      <c r="B262" s="151" t="s">
        <v>64</v>
      </c>
      <c r="C262" s="38"/>
      <c r="D262" s="38"/>
      <c r="E262" s="130" t="s">
        <v>170</v>
      </c>
      <c r="F262" s="130">
        <v>1</v>
      </c>
      <c r="G262" s="190">
        <f>+G256*0.12</f>
        <v>48000</v>
      </c>
      <c r="H262" s="190">
        <f t="shared" si="2"/>
        <v>48000</v>
      </c>
      <c r="I262" s="190">
        <f t="shared" si="2"/>
        <v>48000</v>
      </c>
      <c r="J262" s="190"/>
      <c r="K262" s="114"/>
      <c r="M262" s="4"/>
      <c r="N262" s="4"/>
    </row>
    <row r="263" spans="2:15" ht="15.6" customHeight="1" x14ac:dyDescent="0.2">
      <c r="B263" s="167" t="s">
        <v>49</v>
      </c>
      <c r="C263" s="38"/>
      <c r="D263" s="38"/>
      <c r="E263" s="130" t="s">
        <v>170</v>
      </c>
      <c r="F263" s="130">
        <v>1</v>
      </c>
      <c r="G263" s="190">
        <f>+E113*850</f>
        <v>17000</v>
      </c>
      <c r="H263" s="190">
        <f t="shared" si="2"/>
        <v>17000</v>
      </c>
      <c r="I263" s="190">
        <f>+H263*0.7</f>
        <v>11900</v>
      </c>
      <c r="J263" s="190">
        <f>+H263*0.3</f>
        <v>5100</v>
      </c>
      <c r="K263" s="114"/>
      <c r="M263" s="4"/>
      <c r="N263" s="4"/>
    </row>
    <row r="264" spans="2:15" ht="15.6" customHeight="1" x14ac:dyDescent="0.2">
      <c r="B264" s="182" t="s">
        <v>428</v>
      </c>
      <c r="C264" s="38"/>
      <c r="D264" s="38"/>
      <c r="E264" s="130"/>
      <c r="F264" s="130"/>
      <c r="G264" s="190"/>
      <c r="H264" s="91">
        <f>+H254+H255+H259</f>
        <v>581000</v>
      </c>
      <c r="I264" s="190"/>
      <c r="J264" s="190"/>
      <c r="K264" s="114"/>
      <c r="M264" s="4"/>
      <c r="N264" s="4"/>
    </row>
    <row r="265" spans="2:15" ht="15.6" customHeight="1" x14ac:dyDescent="0.2">
      <c r="B265" s="37" t="s">
        <v>280</v>
      </c>
      <c r="C265" s="38"/>
      <c r="D265" s="38"/>
      <c r="E265" s="130" t="s">
        <v>170</v>
      </c>
      <c r="F265" s="130"/>
      <c r="G265" s="190"/>
      <c r="H265" s="190">
        <f>0.18*H264</f>
        <v>104580</v>
      </c>
      <c r="I265" s="190">
        <f>+H265</f>
        <v>104580</v>
      </c>
      <c r="J265" s="190"/>
      <c r="K265" s="114"/>
      <c r="M265" s="4"/>
      <c r="N265" s="4"/>
    </row>
    <row r="266" spans="2:15" ht="15.6" customHeight="1" x14ac:dyDescent="0.2">
      <c r="B266" s="67" t="s">
        <v>395</v>
      </c>
      <c r="C266" s="68"/>
      <c r="D266" s="5"/>
      <c r="E266" s="130"/>
      <c r="F266" s="130"/>
      <c r="G266" s="130"/>
      <c r="H266" s="91">
        <f>+H264+H265</f>
        <v>685580</v>
      </c>
      <c r="I266" s="91">
        <f>SUM(I254:I265)</f>
        <v>560480</v>
      </c>
      <c r="J266" s="91">
        <f t="shared" ref="J266:O266" si="3">SUM(J254:J265)</f>
        <v>125100</v>
      </c>
      <c r="K266" s="190">
        <f t="shared" si="3"/>
        <v>0</v>
      </c>
      <c r="L266" s="190">
        <f t="shared" si="3"/>
        <v>0</v>
      </c>
      <c r="M266" s="190">
        <f t="shared" si="3"/>
        <v>0</v>
      </c>
      <c r="N266" s="190">
        <f t="shared" si="3"/>
        <v>0</v>
      </c>
      <c r="O266" s="190">
        <f t="shared" si="3"/>
        <v>0</v>
      </c>
    </row>
    <row r="267" spans="2:15" ht="15.6" customHeight="1" x14ac:dyDescent="0.2">
      <c r="E267" s="64"/>
      <c r="F267" s="64"/>
      <c r="G267" s="64"/>
      <c r="H267" s="64"/>
      <c r="I267" s="221"/>
      <c r="J267" s="138"/>
      <c r="K267" s="114"/>
      <c r="M267" s="4"/>
      <c r="N267" s="4"/>
    </row>
    <row r="268" spans="2:15" x14ac:dyDescent="0.2">
      <c r="B268" s="55"/>
      <c r="C268" s="69"/>
      <c r="D268" s="6"/>
      <c r="E268" s="10"/>
      <c r="F268" s="10"/>
      <c r="G268" s="69"/>
      <c r="H268" s="69"/>
      <c r="I268" s="69"/>
      <c r="J268" s="64"/>
    </row>
    <row r="269" spans="2:15" ht="17.25" customHeight="1" x14ac:dyDescent="0.2">
      <c r="B269" s="6" t="s">
        <v>425</v>
      </c>
      <c r="C269" s="69"/>
      <c r="D269" s="6"/>
      <c r="E269" s="829">
        <f>+H266/E113</f>
        <v>34279</v>
      </c>
      <c r="F269" s="830"/>
      <c r="G269" s="830"/>
      <c r="H269" s="830"/>
      <c r="I269" s="830"/>
      <c r="J269" s="831"/>
    </row>
    <row r="270" spans="2:15" ht="17.25" customHeight="1" x14ac:dyDescent="0.2">
      <c r="B270" s="6" t="s">
        <v>429</v>
      </c>
      <c r="C270" s="69"/>
      <c r="D270" s="6"/>
      <c r="E270" s="859">
        <f>+J266*0.2</f>
        <v>25020</v>
      </c>
      <c r="F270" s="860"/>
      <c r="G270" s="860"/>
      <c r="H270" s="860"/>
      <c r="I270" s="860"/>
      <c r="J270" s="861"/>
    </row>
    <row r="271" spans="2:15" ht="17.25" customHeight="1" x14ac:dyDescent="0.2">
      <c r="B271" s="6" t="s">
        <v>426</v>
      </c>
      <c r="C271" s="69"/>
      <c r="D271" s="6"/>
      <c r="E271" s="859">
        <f>+H256*0.05</f>
        <v>20000</v>
      </c>
      <c r="F271" s="860"/>
      <c r="G271" s="860"/>
      <c r="H271" s="860"/>
      <c r="I271" s="860"/>
      <c r="J271" s="861"/>
    </row>
    <row r="272" spans="2:15" ht="17.25" customHeight="1" x14ac:dyDescent="0.2">
      <c r="B272" s="6" t="s">
        <v>347</v>
      </c>
      <c r="C272" s="69"/>
      <c r="D272" s="6"/>
      <c r="E272" s="859">
        <v>5</v>
      </c>
      <c r="F272" s="860"/>
      <c r="G272" s="860"/>
      <c r="H272" s="860"/>
      <c r="I272" s="860"/>
      <c r="J272" s="861"/>
    </row>
    <row r="273" spans="2:14" ht="17.25" customHeight="1" x14ac:dyDescent="0.2">
      <c r="B273" s="6"/>
      <c r="C273" s="69"/>
      <c r="D273" s="6"/>
      <c r="E273" s="111"/>
      <c r="F273" s="111"/>
      <c r="G273" s="111"/>
      <c r="H273" s="111"/>
      <c r="I273" s="111"/>
      <c r="J273" s="111"/>
    </row>
    <row r="274" spans="2:14" x14ac:dyDescent="0.2">
      <c r="B274" s="31" t="s">
        <v>207</v>
      </c>
      <c r="C274" s="21"/>
      <c r="D274" s="21"/>
      <c r="E274" s="21"/>
      <c r="F274" s="21"/>
      <c r="G274" s="21"/>
      <c r="H274" s="21"/>
      <c r="I274" s="6"/>
    </row>
    <row r="275" spans="2:14" x14ac:dyDescent="0.2">
      <c r="B275" s="4" t="s">
        <v>296</v>
      </c>
      <c r="C275" s="21"/>
      <c r="D275" s="21"/>
      <c r="E275" s="21"/>
      <c r="F275" s="21"/>
      <c r="G275" s="21"/>
      <c r="H275" s="21"/>
      <c r="I275" s="6"/>
    </row>
    <row r="276" spans="2:14" ht="20.45" customHeight="1" x14ac:dyDescent="0.2">
      <c r="B276" s="816" t="s">
        <v>34</v>
      </c>
      <c r="C276" s="817"/>
      <c r="D276" s="103" t="s">
        <v>30</v>
      </c>
      <c r="E276" s="103" t="s">
        <v>31</v>
      </c>
      <c r="F276" s="103" t="s">
        <v>72</v>
      </c>
      <c r="G276" s="172" t="s">
        <v>248</v>
      </c>
      <c r="H276" s="103" t="s">
        <v>79</v>
      </c>
      <c r="I276" s="103" t="s">
        <v>80</v>
      </c>
      <c r="J276" s="103" t="s">
        <v>32</v>
      </c>
      <c r="L276" s="119" t="s">
        <v>79</v>
      </c>
      <c r="M276" s="119" t="s">
        <v>80</v>
      </c>
      <c r="N276" s="119" t="s">
        <v>32</v>
      </c>
    </row>
    <row r="277" spans="2:14" ht="14.45" customHeight="1" x14ac:dyDescent="0.2">
      <c r="B277" s="14" t="s">
        <v>42</v>
      </c>
      <c r="C277" s="20"/>
      <c r="D277" s="94">
        <v>10830</v>
      </c>
      <c r="E277" s="95">
        <f t="shared" ref="E277:J277" si="4">+D277</f>
        <v>10830</v>
      </c>
      <c r="F277" s="95">
        <f t="shared" si="4"/>
        <v>10830</v>
      </c>
      <c r="G277" s="95">
        <f t="shared" si="4"/>
        <v>10830</v>
      </c>
      <c r="H277" s="95">
        <f t="shared" si="4"/>
        <v>10830</v>
      </c>
      <c r="I277" s="95">
        <f t="shared" si="4"/>
        <v>10830</v>
      </c>
      <c r="J277" s="95">
        <f t="shared" si="4"/>
        <v>10830</v>
      </c>
      <c r="L277" s="121">
        <f>+J277</f>
        <v>10830</v>
      </c>
      <c r="M277" s="121">
        <f>+L277</f>
        <v>10830</v>
      </c>
      <c r="N277" s="121">
        <f>+M277</f>
        <v>10830</v>
      </c>
    </row>
    <row r="278" spans="2:14" ht="14.45" customHeight="1" x14ac:dyDescent="0.2">
      <c r="B278" s="7" t="s">
        <v>43</v>
      </c>
      <c r="C278" s="22"/>
      <c r="D278" s="96"/>
      <c r="E278" s="97"/>
      <c r="F278" s="97"/>
      <c r="G278" s="97"/>
      <c r="H278" s="97"/>
      <c r="I278" s="97"/>
      <c r="J278" s="97"/>
      <c r="L278" s="121"/>
      <c r="M278" s="121"/>
      <c r="N278" s="121"/>
    </row>
    <row r="279" spans="2:14" ht="14.45" customHeight="1" x14ac:dyDescent="0.2">
      <c r="B279" s="7" t="s">
        <v>44</v>
      </c>
      <c r="C279" s="22"/>
      <c r="D279" s="96"/>
      <c r="E279" s="97"/>
      <c r="F279" s="97"/>
      <c r="G279" s="97"/>
      <c r="H279" s="97"/>
      <c r="I279" s="97"/>
      <c r="J279" s="97"/>
      <c r="L279" s="121"/>
      <c r="M279" s="121"/>
      <c r="N279" s="121"/>
    </row>
    <row r="280" spans="2:14" ht="14.45" customHeight="1" x14ac:dyDescent="0.2">
      <c r="B280" s="7" t="s">
        <v>45</v>
      </c>
      <c r="C280" s="22"/>
      <c r="D280" s="96"/>
      <c r="E280" s="97"/>
      <c r="F280" s="97"/>
      <c r="G280" s="97"/>
      <c r="H280" s="97"/>
      <c r="I280" s="97"/>
      <c r="J280" s="97"/>
      <c r="L280" s="121"/>
      <c r="M280" s="121"/>
      <c r="N280" s="121"/>
    </row>
    <row r="281" spans="2:14" ht="14.45" customHeight="1" x14ac:dyDescent="0.2">
      <c r="B281" s="7" t="s">
        <v>46</v>
      </c>
      <c r="C281" s="22"/>
      <c r="D281" s="96"/>
      <c r="E281" s="97"/>
      <c r="F281" s="97"/>
      <c r="G281" s="97"/>
      <c r="H281" s="97"/>
      <c r="I281" s="97"/>
      <c r="J281" s="97"/>
      <c r="L281" s="121"/>
      <c r="M281" s="121"/>
      <c r="N281" s="121"/>
    </row>
    <row r="282" spans="2:14" ht="14.45" customHeight="1" x14ac:dyDescent="0.2">
      <c r="B282" s="70" t="s">
        <v>47</v>
      </c>
      <c r="C282" s="23"/>
      <c r="D282" s="98">
        <v>570</v>
      </c>
      <c r="E282" s="98">
        <f t="shared" ref="E282:J282" si="5">+D282</f>
        <v>570</v>
      </c>
      <c r="F282" s="98">
        <f t="shared" si="5"/>
        <v>570</v>
      </c>
      <c r="G282" s="98">
        <f t="shared" si="5"/>
        <v>570</v>
      </c>
      <c r="H282" s="98">
        <f t="shared" si="5"/>
        <v>570</v>
      </c>
      <c r="I282" s="98">
        <f t="shared" si="5"/>
        <v>570</v>
      </c>
      <c r="J282" s="98">
        <f t="shared" si="5"/>
        <v>570</v>
      </c>
      <c r="L282" s="121">
        <f>+J282</f>
        <v>570</v>
      </c>
      <c r="M282" s="121">
        <f>+L282</f>
        <v>570</v>
      </c>
      <c r="N282" s="121">
        <f>+M282</f>
        <v>570</v>
      </c>
    </row>
    <row r="283" spans="2:14" ht="14.45" customHeight="1" x14ac:dyDescent="0.2">
      <c r="B283" s="810" t="s">
        <v>51</v>
      </c>
      <c r="C283" s="811"/>
      <c r="D283" s="99">
        <v>11400</v>
      </c>
      <c r="E283" s="99">
        <f t="shared" ref="E283:J283" si="6">+E277+E282</f>
        <v>11400</v>
      </c>
      <c r="F283" s="99">
        <f t="shared" si="6"/>
        <v>11400</v>
      </c>
      <c r="G283" s="99">
        <f t="shared" si="6"/>
        <v>11400</v>
      </c>
      <c r="H283" s="99">
        <f t="shared" si="6"/>
        <v>11400</v>
      </c>
      <c r="I283" s="99">
        <f t="shared" si="6"/>
        <v>11400</v>
      </c>
      <c r="J283" s="99">
        <f t="shared" si="6"/>
        <v>11400</v>
      </c>
      <c r="L283" s="122">
        <f>+L277+L282</f>
        <v>11400</v>
      </c>
      <c r="M283" s="122">
        <f>+M277+M282</f>
        <v>11400</v>
      </c>
      <c r="N283" s="122">
        <f>+N277+N282</f>
        <v>11400</v>
      </c>
    </row>
    <row r="284" spans="2:14" ht="14.45" hidden="1" customHeight="1" x14ac:dyDescent="0.2">
      <c r="B284" s="71" t="s">
        <v>52</v>
      </c>
      <c r="C284" s="44"/>
      <c r="D284" s="91" t="e">
        <f>+D277*#REF!+D282*#REF!</f>
        <v>#REF!</v>
      </c>
      <c r="E284" s="91" t="e">
        <f>+D284</f>
        <v>#REF!</v>
      </c>
      <c r="F284" s="91"/>
      <c r="G284" s="91"/>
      <c r="H284" s="91" t="e">
        <f>+E284</f>
        <v>#REF!</v>
      </c>
      <c r="I284" s="91" t="e">
        <f>+#REF!</f>
        <v>#REF!</v>
      </c>
      <c r="J284" s="91" t="e">
        <f>+I284</f>
        <v>#REF!</v>
      </c>
      <c r="K284" s="118" t="e">
        <f>+#REF!</f>
        <v>#REF!</v>
      </c>
      <c r="L284" s="122" t="e">
        <f>+K284</f>
        <v>#REF!</v>
      </c>
      <c r="M284" s="122" t="e">
        <f>+L284</f>
        <v>#REF!</v>
      </c>
    </row>
    <row r="285" spans="2:14" ht="14.45" customHeight="1" x14ac:dyDescent="0.2">
      <c r="B285" s="72"/>
      <c r="C285" s="21"/>
      <c r="D285" s="156"/>
      <c r="E285" s="156"/>
      <c r="F285" s="156"/>
      <c r="G285" s="156"/>
      <c r="H285" s="156"/>
      <c r="I285" s="156"/>
      <c r="J285" s="156"/>
      <c r="K285" s="156"/>
      <c r="L285" s="122"/>
      <c r="M285" s="122"/>
    </row>
    <row r="286" spans="2:14" ht="14.45" customHeight="1" x14ac:dyDescent="0.2">
      <c r="B286" s="4" t="s">
        <v>297</v>
      </c>
      <c r="C286" s="21"/>
      <c r="D286" s="21"/>
      <c r="E286" s="21"/>
      <c r="F286" s="21"/>
      <c r="G286" s="21"/>
      <c r="H286" s="21"/>
      <c r="I286" s="21"/>
      <c r="J286" s="6"/>
      <c r="K286" s="156"/>
      <c r="L286" s="122"/>
      <c r="M286" s="122"/>
    </row>
    <row r="287" spans="2:14" ht="17.25" customHeight="1" x14ac:dyDescent="0.2">
      <c r="B287" s="816" t="s">
        <v>34</v>
      </c>
      <c r="C287" s="817"/>
      <c r="D287" s="150" t="s">
        <v>30</v>
      </c>
      <c r="E287" s="150" t="s">
        <v>31</v>
      </c>
      <c r="F287" s="150" t="s">
        <v>72</v>
      </c>
      <c r="G287" s="172" t="s">
        <v>248</v>
      </c>
      <c r="H287" s="150" t="s">
        <v>79</v>
      </c>
      <c r="I287" s="150" t="s">
        <v>80</v>
      </c>
      <c r="J287" s="150" t="s">
        <v>32</v>
      </c>
      <c r="K287" s="156"/>
      <c r="L287" s="122"/>
      <c r="M287" s="122"/>
    </row>
    <row r="288" spans="2:14" ht="17.25" customHeight="1" x14ac:dyDescent="0.2">
      <c r="B288" s="14" t="s">
        <v>42</v>
      </c>
      <c r="C288" s="20"/>
      <c r="D288" s="94">
        <v>10830</v>
      </c>
      <c r="E288" s="95">
        <f t="shared" ref="E288:J288" si="7">+D288</f>
        <v>10830</v>
      </c>
      <c r="F288" s="95">
        <f t="shared" si="7"/>
        <v>10830</v>
      </c>
      <c r="G288" s="95">
        <f t="shared" si="7"/>
        <v>10830</v>
      </c>
      <c r="H288" s="95">
        <f t="shared" si="7"/>
        <v>10830</v>
      </c>
      <c r="I288" s="95">
        <f t="shared" si="7"/>
        <v>10830</v>
      </c>
      <c r="J288" s="95">
        <f t="shared" si="7"/>
        <v>10830</v>
      </c>
      <c r="K288" s="156"/>
      <c r="L288" s="122"/>
      <c r="M288" s="122"/>
    </row>
    <row r="289" spans="2:14" ht="17.25" customHeight="1" x14ac:dyDescent="0.2">
      <c r="B289" s="7" t="s">
        <v>43</v>
      </c>
      <c r="C289" s="22"/>
      <c r="D289" s="96"/>
      <c r="E289" s="97"/>
      <c r="F289" s="97"/>
      <c r="G289" s="97"/>
      <c r="H289" s="97"/>
      <c r="I289" s="97"/>
      <c r="J289" s="97"/>
      <c r="K289" s="156"/>
      <c r="L289" s="122"/>
      <c r="M289" s="122"/>
    </row>
    <row r="290" spans="2:14" ht="17.25" customHeight="1" x14ac:dyDescent="0.2">
      <c r="B290" s="7" t="s">
        <v>44</v>
      </c>
      <c r="C290" s="22"/>
      <c r="D290" s="96"/>
      <c r="E290" s="97"/>
      <c r="F290" s="97"/>
      <c r="G290" s="97"/>
      <c r="H290" s="97"/>
      <c r="I290" s="97"/>
      <c r="J290" s="97"/>
      <c r="K290" s="156"/>
      <c r="L290" s="122"/>
      <c r="M290" s="122"/>
    </row>
    <row r="291" spans="2:14" ht="17.25" customHeight="1" x14ac:dyDescent="0.2">
      <c r="B291" s="7" t="s">
        <v>45</v>
      </c>
      <c r="C291" s="22"/>
      <c r="D291" s="96"/>
      <c r="E291" s="97"/>
      <c r="F291" s="97"/>
      <c r="G291" s="97"/>
      <c r="H291" s="97"/>
      <c r="I291" s="97"/>
      <c r="J291" s="97"/>
      <c r="K291" s="156"/>
      <c r="L291" s="122"/>
      <c r="M291" s="122"/>
    </row>
    <row r="292" spans="2:14" ht="17.25" customHeight="1" x14ac:dyDescent="0.2">
      <c r="B292" s="7" t="s">
        <v>46</v>
      </c>
      <c r="C292" s="22"/>
      <c r="D292" s="96"/>
      <c r="E292" s="97"/>
      <c r="F292" s="97"/>
      <c r="G292" s="97"/>
      <c r="H292" s="97"/>
      <c r="I292" s="97"/>
      <c r="J292" s="97"/>
      <c r="K292" s="156"/>
      <c r="L292" s="122"/>
      <c r="M292" s="122"/>
    </row>
    <row r="293" spans="2:14" ht="17.25" customHeight="1" x14ac:dyDescent="0.2">
      <c r="B293" s="70" t="s">
        <v>47</v>
      </c>
      <c r="C293" s="23"/>
      <c r="D293" s="98">
        <v>570</v>
      </c>
      <c r="E293" s="98">
        <f t="shared" ref="E293:J293" si="8">+D293</f>
        <v>570</v>
      </c>
      <c r="F293" s="98">
        <f t="shared" si="8"/>
        <v>570</v>
      </c>
      <c r="G293" s="98">
        <f t="shared" si="8"/>
        <v>570</v>
      </c>
      <c r="H293" s="98">
        <f t="shared" si="8"/>
        <v>570</v>
      </c>
      <c r="I293" s="98">
        <f t="shared" si="8"/>
        <v>570</v>
      </c>
      <c r="J293" s="98">
        <f t="shared" si="8"/>
        <v>570</v>
      </c>
      <c r="K293" s="156"/>
      <c r="L293" s="122"/>
      <c r="M293" s="122"/>
    </row>
    <row r="294" spans="2:14" ht="17.25" customHeight="1" x14ac:dyDescent="0.2">
      <c r="B294" s="810" t="s">
        <v>51</v>
      </c>
      <c r="C294" s="811"/>
      <c r="D294" s="99">
        <v>11400</v>
      </c>
      <c r="E294" s="99">
        <f t="shared" ref="E294:J294" si="9">+E288+E293</f>
        <v>11400</v>
      </c>
      <c r="F294" s="99">
        <f t="shared" si="9"/>
        <v>11400</v>
      </c>
      <c r="G294" s="99">
        <f t="shared" si="9"/>
        <v>11400</v>
      </c>
      <c r="H294" s="99">
        <f t="shared" si="9"/>
        <v>11400</v>
      </c>
      <c r="I294" s="99">
        <f t="shared" si="9"/>
        <v>11400</v>
      </c>
      <c r="J294" s="99">
        <f t="shared" si="9"/>
        <v>11400</v>
      </c>
      <c r="K294" s="156"/>
      <c r="L294" s="122"/>
      <c r="M294" s="122"/>
    </row>
    <row r="295" spans="2:14" ht="14.45" customHeight="1" x14ac:dyDescent="0.2">
      <c r="B295" s="72"/>
      <c r="C295" s="21"/>
      <c r="D295" s="156"/>
      <c r="E295" s="156"/>
      <c r="F295" s="156"/>
      <c r="G295" s="156"/>
      <c r="H295" s="156"/>
      <c r="I295" s="156"/>
      <c r="J295" s="156"/>
      <c r="K295" s="156"/>
      <c r="L295" s="122"/>
      <c r="M295" s="122"/>
    </row>
    <row r="296" spans="2:14" x14ac:dyDescent="0.2">
      <c r="C296" s="72"/>
      <c r="D296" s="21"/>
      <c r="E296" s="21"/>
      <c r="F296" s="21"/>
      <c r="G296" s="21"/>
      <c r="H296" s="21"/>
      <c r="I296" s="6"/>
      <c r="J296" s="6"/>
    </row>
    <row r="297" spans="2:14" x14ac:dyDescent="0.2">
      <c r="B297" s="31" t="s">
        <v>348</v>
      </c>
      <c r="C297" s="21"/>
      <c r="D297" s="21"/>
      <c r="E297" s="21"/>
      <c r="F297" s="21"/>
      <c r="G297" s="21"/>
      <c r="H297" s="21"/>
      <c r="I297" s="6"/>
      <c r="J297" s="6"/>
    </row>
    <row r="298" spans="2:14" x14ac:dyDescent="0.2">
      <c r="B298" s="4" t="s">
        <v>298</v>
      </c>
      <c r="C298" s="21"/>
      <c r="D298" s="21"/>
      <c r="E298" s="21"/>
      <c r="F298" s="21"/>
      <c r="G298" s="21"/>
      <c r="H298" s="21"/>
      <c r="I298" s="6"/>
      <c r="J298" s="6"/>
    </row>
    <row r="299" spans="2:14" ht="17.45" customHeight="1" x14ac:dyDescent="0.2">
      <c r="B299" s="816" t="s">
        <v>34</v>
      </c>
      <c r="C299" s="817"/>
      <c r="D299" s="110" t="s">
        <v>30</v>
      </c>
      <c r="E299" s="110" t="s">
        <v>31</v>
      </c>
      <c r="F299" s="110" t="s">
        <v>72</v>
      </c>
      <c r="G299" s="172" t="s">
        <v>248</v>
      </c>
      <c r="H299" s="110" t="s">
        <v>79</v>
      </c>
      <c r="I299" s="110" t="s">
        <v>80</v>
      </c>
      <c r="J299" s="110" t="s">
        <v>32</v>
      </c>
      <c r="L299" s="119" t="s">
        <v>79</v>
      </c>
      <c r="M299" s="119" t="s">
        <v>80</v>
      </c>
      <c r="N299" s="119" t="s">
        <v>32</v>
      </c>
    </row>
    <row r="300" spans="2:14" ht="15" customHeight="1" x14ac:dyDescent="0.2">
      <c r="B300" s="14" t="s">
        <v>42</v>
      </c>
      <c r="C300" s="20"/>
      <c r="D300" s="94">
        <v>30260</v>
      </c>
      <c r="E300" s="95">
        <f t="shared" ref="E300:J300" si="10">+D300</f>
        <v>30260</v>
      </c>
      <c r="F300" s="95">
        <f t="shared" si="10"/>
        <v>30260</v>
      </c>
      <c r="G300" s="95">
        <f t="shared" si="10"/>
        <v>30260</v>
      </c>
      <c r="H300" s="95">
        <f t="shared" si="10"/>
        <v>30260</v>
      </c>
      <c r="I300" s="95">
        <f t="shared" si="10"/>
        <v>30260</v>
      </c>
      <c r="J300" s="95">
        <f t="shared" si="10"/>
        <v>30260</v>
      </c>
      <c r="L300" s="121">
        <f>+J300</f>
        <v>30260</v>
      </c>
      <c r="M300" s="121">
        <f>+L300</f>
        <v>30260</v>
      </c>
      <c r="N300" s="121">
        <f>+M300</f>
        <v>30260</v>
      </c>
    </row>
    <row r="301" spans="2:14" ht="15" customHeight="1" x14ac:dyDescent="0.2">
      <c r="B301" s="7" t="s">
        <v>43</v>
      </c>
      <c r="C301" s="22"/>
      <c r="D301" s="96"/>
      <c r="E301" s="97"/>
      <c r="F301" s="97"/>
      <c r="G301" s="97"/>
      <c r="H301" s="97"/>
      <c r="I301" s="97"/>
      <c r="J301" s="97"/>
      <c r="L301" s="121"/>
      <c r="M301" s="121"/>
      <c r="N301" s="121"/>
    </row>
    <row r="302" spans="2:14" ht="15" customHeight="1" x14ac:dyDescent="0.2">
      <c r="B302" s="7" t="s">
        <v>44</v>
      </c>
      <c r="C302" s="22"/>
      <c r="D302" s="96">
        <v>3560</v>
      </c>
      <c r="E302" s="97">
        <f t="shared" ref="E302:J302" si="11">+D302</f>
        <v>3560</v>
      </c>
      <c r="F302" s="97">
        <f t="shared" si="11"/>
        <v>3560</v>
      </c>
      <c r="G302" s="97">
        <f t="shared" si="11"/>
        <v>3560</v>
      </c>
      <c r="H302" s="97">
        <f t="shared" si="11"/>
        <v>3560</v>
      </c>
      <c r="I302" s="97">
        <f t="shared" si="11"/>
        <v>3560</v>
      </c>
      <c r="J302" s="97">
        <f t="shared" si="11"/>
        <v>3560</v>
      </c>
      <c r="L302" s="121">
        <f>+J302</f>
        <v>3560</v>
      </c>
      <c r="M302" s="121">
        <f>+L302</f>
        <v>3560</v>
      </c>
      <c r="N302" s="121">
        <f>+M302</f>
        <v>3560</v>
      </c>
    </row>
    <row r="303" spans="2:14" ht="15" customHeight="1" x14ac:dyDescent="0.2">
      <c r="B303" s="7" t="s">
        <v>45</v>
      </c>
      <c r="C303" s="22"/>
      <c r="D303" s="96"/>
      <c r="E303" s="97"/>
      <c r="F303" s="97"/>
      <c r="G303" s="97"/>
      <c r="H303" s="97"/>
      <c r="I303" s="97"/>
      <c r="J303" s="97"/>
      <c r="L303" s="121"/>
      <c r="M303" s="121"/>
      <c r="N303" s="121"/>
    </row>
    <row r="304" spans="2:14" ht="15" customHeight="1" x14ac:dyDescent="0.2">
      <c r="B304" s="7" t="s">
        <v>46</v>
      </c>
      <c r="C304" s="22"/>
      <c r="D304" s="96"/>
      <c r="E304" s="97"/>
      <c r="F304" s="97"/>
      <c r="G304" s="97"/>
      <c r="H304" s="97"/>
      <c r="I304" s="97"/>
      <c r="J304" s="97"/>
      <c r="L304" s="121"/>
      <c r="M304" s="121"/>
      <c r="N304" s="121"/>
    </row>
    <row r="305" spans="2:14" ht="15" customHeight="1" x14ac:dyDescent="0.2">
      <c r="B305" s="70" t="s">
        <v>47</v>
      </c>
      <c r="C305" s="23"/>
      <c r="D305" s="98">
        <v>1780</v>
      </c>
      <c r="E305" s="98">
        <f t="shared" ref="E305:J306" si="12">+D305</f>
        <v>1780</v>
      </c>
      <c r="F305" s="98">
        <f t="shared" si="12"/>
        <v>1780</v>
      </c>
      <c r="G305" s="98">
        <f t="shared" si="12"/>
        <v>1780</v>
      </c>
      <c r="H305" s="98">
        <f t="shared" si="12"/>
        <v>1780</v>
      </c>
      <c r="I305" s="98">
        <f t="shared" si="12"/>
        <v>1780</v>
      </c>
      <c r="J305" s="98">
        <f t="shared" si="12"/>
        <v>1780</v>
      </c>
      <c r="L305" s="121">
        <f>+J305</f>
        <v>1780</v>
      </c>
      <c r="M305" s="121">
        <f>+L305</f>
        <v>1780</v>
      </c>
      <c r="N305" s="121">
        <f>+M305</f>
        <v>1780</v>
      </c>
    </row>
    <row r="306" spans="2:14" ht="15" customHeight="1" x14ac:dyDescent="0.2">
      <c r="B306" s="810" t="s">
        <v>51</v>
      </c>
      <c r="C306" s="811"/>
      <c r="D306" s="99">
        <v>35600</v>
      </c>
      <c r="E306" s="99">
        <f t="shared" si="12"/>
        <v>35600</v>
      </c>
      <c r="F306" s="99">
        <f t="shared" si="12"/>
        <v>35600</v>
      </c>
      <c r="G306" s="99">
        <f t="shared" si="12"/>
        <v>35600</v>
      </c>
      <c r="H306" s="99">
        <f t="shared" si="12"/>
        <v>35600</v>
      </c>
      <c r="I306" s="99">
        <f t="shared" si="12"/>
        <v>35600</v>
      </c>
      <c r="J306" s="99">
        <f t="shared" si="12"/>
        <v>35600</v>
      </c>
      <c r="L306" s="122">
        <f>+J306</f>
        <v>35600</v>
      </c>
      <c r="M306" s="122">
        <f>+L306</f>
        <v>35600</v>
      </c>
      <c r="N306" s="122">
        <f>+M306</f>
        <v>35600</v>
      </c>
    </row>
    <row r="307" spans="2:14" ht="15" hidden="1" customHeight="1" x14ac:dyDescent="0.2">
      <c r="B307" s="71" t="s">
        <v>52</v>
      </c>
      <c r="C307" s="44"/>
      <c r="D307" s="91" t="e">
        <f>+D300*#REF!+D302*#REF!+D305*#REF!</f>
        <v>#REF!</v>
      </c>
      <c r="E307" s="91" t="e">
        <f>+D307</f>
        <v>#REF!</v>
      </c>
      <c r="F307" s="91"/>
      <c r="G307" s="91"/>
      <c r="H307" s="91" t="e">
        <f>+E307</f>
        <v>#REF!</v>
      </c>
      <c r="I307" s="91" t="e">
        <f>+#REF!</f>
        <v>#REF!</v>
      </c>
      <c r="J307" s="91" t="e">
        <f>+I307</f>
        <v>#REF!</v>
      </c>
      <c r="K307" s="118" t="e">
        <f>+#REF!</f>
        <v>#REF!</v>
      </c>
      <c r="L307" s="122" t="e">
        <f>+K307</f>
        <v>#REF!</v>
      </c>
      <c r="M307" s="122" t="e">
        <f>+L307</f>
        <v>#REF!</v>
      </c>
    </row>
    <row r="308" spans="2:14" x14ac:dyDescent="0.2">
      <c r="C308" s="21"/>
      <c r="D308" s="21"/>
      <c r="E308" s="21"/>
      <c r="F308" s="21"/>
      <c r="G308" s="21"/>
      <c r="H308" s="21"/>
      <c r="I308" s="21"/>
      <c r="J308" s="6"/>
    </row>
    <row r="309" spans="2:14" x14ac:dyDescent="0.2">
      <c r="B309" s="4" t="s">
        <v>299</v>
      </c>
      <c r="C309" s="21"/>
      <c r="D309" s="21"/>
      <c r="E309" s="21"/>
      <c r="F309" s="21"/>
      <c r="G309" s="21"/>
      <c r="H309" s="21"/>
      <c r="I309" s="21"/>
      <c r="J309" s="6"/>
    </row>
    <row r="310" spans="2:14" ht="15.75" customHeight="1" x14ac:dyDescent="0.2">
      <c r="B310" s="816" t="s">
        <v>34</v>
      </c>
      <c r="C310" s="817"/>
      <c r="D310" s="150" t="s">
        <v>30</v>
      </c>
      <c r="E310" s="150" t="s">
        <v>31</v>
      </c>
      <c r="F310" s="150" t="s">
        <v>72</v>
      </c>
      <c r="G310" s="172" t="s">
        <v>248</v>
      </c>
      <c r="H310" s="150" t="s">
        <v>79</v>
      </c>
      <c r="I310" s="150" t="s">
        <v>80</v>
      </c>
      <c r="J310" s="150" t="s">
        <v>32</v>
      </c>
    </row>
    <row r="311" spans="2:14" ht="15.75" customHeight="1" x14ac:dyDescent="0.2">
      <c r="B311" s="14" t="s">
        <v>42</v>
      </c>
      <c r="C311" s="20"/>
      <c r="D311" s="94">
        <v>10830</v>
      </c>
      <c r="E311" s="95">
        <f t="shared" ref="E311:J311" si="13">+D311</f>
        <v>10830</v>
      </c>
      <c r="F311" s="95">
        <f t="shared" si="13"/>
        <v>10830</v>
      </c>
      <c r="G311" s="95">
        <f t="shared" si="13"/>
        <v>10830</v>
      </c>
      <c r="H311" s="95">
        <f t="shared" si="13"/>
        <v>10830</v>
      </c>
      <c r="I311" s="95">
        <f t="shared" si="13"/>
        <v>10830</v>
      </c>
      <c r="J311" s="95">
        <f t="shared" si="13"/>
        <v>10830</v>
      </c>
    </row>
    <row r="312" spans="2:14" ht="15.75" customHeight="1" x14ac:dyDescent="0.2">
      <c r="B312" s="7" t="s">
        <v>43</v>
      </c>
      <c r="C312" s="22"/>
      <c r="D312" s="96"/>
      <c r="E312" s="97"/>
      <c r="F312" s="97"/>
      <c r="G312" s="97"/>
      <c r="H312" s="97"/>
      <c r="I312" s="97"/>
      <c r="J312" s="97"/>
    </row>
    <row r="313" spans="2:14" ht="15.75" customHeight="1" x14ac:dyDescent="0.2">
      <c r="B313" s="7" t="s">
        <v>44</v>
      </c>
      <c r="C313" s="22"/>
      <c r="D313" s="96"/>
      <c r="E313" s="97"/>
      <c r="F313" s="97"/>
      <c r="G313" s="97"/>
      <c r="H313" s="97"/>
      <c r="I313" s="97"/>
      <c r="J313" s="97"/>
    </row>
    <row r="314" spans="2:14" ht="15.75" customHeight="1" x14ac:dyDescent="0.2">
      <c r="B314" s="7" t="s">
        <v>45</v>
      </c>
      <c r="C314" s="22"/>
      <c r="D314" s="96"/>
      <c r="E314" s="97"/>
      <c r="F314" s="97"/>
      <c r="G314" s="97"/>
      <c r="H314" s="97"/>
      <c r="I314" s="97"/>
      <c r="J314" s="97"/>
    </row>
    <row r="315" spans="2:14" ht="15.75" customHeight="1" x14ac:dyDescent="0.2">
      <c r="B315" s="7" t="s">
        <v>46</v>
      </c>
      <c r="C315" s="22"/>
      <c r="D315" s="96"/>
      <c r="E315" s="97"/>
      <c r="F315" s="97"/>
      <c r="G315" s="97"/>
      <c r="H315" s="97"/>
      <c r="I315" s="97"/>
      <c r="J315" s="97"/>
    </row>
    <row r="316" spans="2:14" ht="15.75" customHeight="1" x14ac:dyDescent="0.2">
      <c r="B316" s="70" t="s">
        <v>47</v>
      </c>
      <c r="C316" s="23"/>
      <c r="D316" s="98">
        <v>570</v>
      </c>
      <c r="E316" s="98">
        <f t="shared" ref="E316:J316" si="14">+D316</f>
        <v>570</v>
      </c>
      <c r="F316" s="98">
        <f t="shared" si="14"/>
        <v>570</v>
      </c>
      <c r="G316" s="98">
        <f t="shared" si="14"/>
        <v>570</v>
      </c>
      <c r="H316" s="98">
        <f t="shared" si="14"/>
        <v>570</v>
      </c>
      <c r="I316" s="98">
        <f t="shared" si="14"/>
        <v>570</v>
      </c>
      <c r="J316" s="98">
        <f t="shared" si="14"/>
        <v>570</v>
      </c>
    </row>
    <row r="317" spans="2:14" ht="15.75" customHeight="1" x14ac:dyDescent="0.2">
      <c r="B317" s="810" t="s">
        <v>51</v>
      </c>
      <c r="C317" s="811"/>
      <c r="D317" s="99">
        <v>11400</v>
      </c>
      <c r="E317" s="99">
        <f t="shared" ref="E317:J317" si="15">+E311+E316</f>
        <v>11400</v>
      </c>
      <c r="F317" s="99">
        <f t="shared" si="15"/>
        <v>11400</v>
      </c>
      <c r="G317" s="99">
        <f t="shared" si="15"/>
        <v>11400</v>
      </c>
      <c r="H317" s="99">
        <f t="shared" si="15"/>
        <v>11400</v>
      </c>
      <c r="I317" s="99">
        <f t="shared" si="15"/>
        <v>11400</v>
      </c>
      <c r="J317" s="99">
        <f t="shared" si="15"/>
        <v>11400</v>
      </c>
    </row>
    <row r="318" spans="2:14" x14ac:dyDescent="0.2">
      <c r="C318" s="21"/>
      <c r="D318" s="21"/>
      <c r="E318" s="21"/>
      <c r="F318" s="21"/>
      <c r="G318" s="21"/>
      <c r="H318" s="21"/>
      <c r="I318" s="6"/>
      <c r="J318" s="6"/>
    </row>
    <row r="319" spans="2:14" s="64" customFormat="1" x14ac:dyDescent="0.2">
      <c r="B319" s="184"/>
      <c r="G319" s="10"/>
      <c r="J319" s="10"/>
      <c r="L319" s="138"/>
      <c r="M319" s="138"/>
      <c r="N319" s="138"/>
    </row>
    <row r="320" spans="2:14" s="64" customFormat="1" x14ac:dyDescent="0.2">
      <c r="B320" s="32" t="s">
        <v>442</v>
      </c>
      <c r="C320" s="10"/>
      <c r="D320" s="10"/>
      <c r="E320" s="32"/>
      <c r="F320" s="32"/>
      <c r="G320" s="10"/>
      <c r="H320" s="10"/>
      <c r="I320" s="10"/>
      <c r="K320" s="32"/>
      <c r="L320" s="138"/>
      <c r="M320" s="138"/>
      <c r="N320" s="138"/>
    </row>
    <row r="321" spans="2:19" s="64" customFormat="1" x14ac:dyDescent="0.2">
      <c r="B321" s="32"/>
      <c r="C321" s="10"/>
      <c r="D321" s="10"/>
      <c r="E321" s="32"/>
      <c r="F321" s="32"/>
      <c r="G321" s="10"/>
      <c r="H321" s="10"/>
      <c r="I321" s="10"/>
      <c r="K321" s="32"/>
      <c r="L321" s="138"/>
      <c r="M321" s="138"/>
      <c r="N321" s="138"/>
    </row>
    <row r="322" spans="2:19" ht="31.15" customHeight="1" x14ac:dyDescent="0.2">
      <c r="B322" s="757" t="s">
        <v>24</v>
      </c>
      <c r="C322" s="775"/>
      <c r="D322" s="758"/>
      <c r="E322" s="103" t="s">
        <v>41</v>
      </c>
      <c r="F322" s="162" t="s">
        <v>430</v>
      </c>
      <c r="G322" s="172" t="s">
        <v>431</v>
      </c>
      <c r="H322" s="64"/>
      <c r="I322" s="64"/>
      <c r="J322" s="64"/>
      <c r="K322" s="64"/>
      <c r="O322" s="64"/>
      <c r="P322" s="64"/>
      <c r="Q322" s="64"/>
      <c r="R322" s="64"/>
      <c r="S322" s="64"/>
    </row>
    <row r="323" spans="2:19" ht="18" customHeight="1" x14ac:dyDescent="0.2">
      <c r="B323" s="11" t="s">
        <v>40</v>
      </c>
      <c r="C323" s="38"/>
      <c r="D323" s="38"/>
      <c r="E323" s="98">
        <v>0</v>
      </c>
      <c r="F323" s="190">
        <v>66284.812176285195</v>
      </c>
      <c r="G323" s="98">
        <f>+F323+E323</f>
        <v>66284.812176285195</v>
      </c>
      <c r="H323" s="64"/>
      <c r="I323" s="64"/>
      <c r="J323" s="64"/>
    </row>
    <row r="324" spans="2:19" ht="18" customHeight="1" x14ac:dyDescent="0.2">
      <c r="B324" s="11" t="s">
        <v>198</v>
      </c>
      <c r="C324" s="38"/>
      <c r="D324" s="38"/>
      <c r="E324" s="98">
        <f>+H266</f>
        <v>685580</v>
      </c>
      <c r="F324" s="190">
        <v>205586.54956883853</v>
      </c>
      <c r="G324" s="98">
        <f>+F324+E324</f>
        <v>891166.54956883856</v>
      </c>
      <c r="H324" s="64"/>
      <c r="I324" s="64"/>
      <c r="J324" s="64"/>
    </row>
    <row r="325" spans="2:19" ht="18" customHeight="1" x14ac:dyDescent="0.2">
      <c r="B325" s="11" t="s">
        <v>190</v>
      </c>
      <c r="C325" s="74"/>
      <c r="D325" s="74"/>
      <c r="E325" s="99">
        <f>+E324-E323</f>
        <v>685580</v>
      </c>
      <c r="F325" s="91">
        <f>+F324-F323</f>
        <v>139301.73739255333</v>
      </c>
      <c r="G325" s="99">
        <f>G324-G323</f>
        <v>824881.73739255336</v>
      </c>
      <c r="H325" s="64"/>
      <c r="I325" s="64"/>
      <c r="J325" s="64"/>
    </row>
    <row r="326" spans="2:19" s="64" customFormat="1" x14ac:dyDescent="0.2">
      <c r="B326" s="10"/>
      <c r="E326" s="10"/>
      <c r="F326" s="10"/>
      <c r="J326" s="10"/>
      <c r="L326" s="138"/>
      <c r="M326" s="138"/>
      <c r="N326" s="138"/>
    </row>
    <row r="327" spans="2:19" s="64" customFormat="1" x14ac:dyDescent="0.2">
      <c r="B327" s="32" t="s">
        <v>349</v>
      </c>
      <c r="E327" s="10"/>
      <c r="F327" s="10"/>
      <c r="J327" s="10"/>
      <c r="L327" s="138"/>
      <c r="M327" s="138"/>
      <c r="N327" s="138"/>
    </row>
    <row r="328" spans="2:19" s="64" customFormat="1" x14ac:dyDescent="0.2">
      <c r="B328" s="10"/>
      <c r="E328" s="10"/>
      <c r="F328" s="10"/>
      <c r="J328" s="10"/>
      <c r="L328" s="138"/>
      <c r="M328" s="138"/>
      <c r="N328" s="138"/>
    </row>
    <row r="329" spans="2:19" s="64" customFormat="1" x14ac:dyDescent="0.2">
      <c r="B329" s="32" t="s">
        <v>445</v>
      </c>
      <c r="C329" s="10"/>
      <c r="D329" s="10"/>
      <c r="E329" s="10"/>
      <c r="F329" s="10"/>
      <c r="G329" s="10"/>
      <c r="H329" s="10"/>
      <c r="I329" s="10"/>
      <c r="J329" s="10"/>
      <c r="L329" s="138"/>
      <c r="M329" s="138"/>
      <c r="N329" s="138"/>
    </row>
    <row r="330" spans="2:19" s="64" customFormat="1" x14ac:dyDescent="0.2">
      <c r="B330" s="10"/>
      <c r="C330" s="10"/>
      <c r="D330" s="10"/>
      <c r="E330" s="10"/>
      <c r="F330" s="10"/>
      <c r="G330" s="10"/>
      <c r="H330" s="10"/>
      <c r="I330" s="10"/>
      <c r="J330" s="10"/>
      <c r="L330" s="138"/>
      <c r="M330" s="138"/>
      <c r="N330" s="138"/>
    </row>
    <row r="331" spans="2:19" ht="19.899999999999999" customHeight="1" x14ac:dyDescent="0.2">
      <c r="B331" s="808" t="s">
        <v>27</v>
      </c>
      <c r="C331" s="808"/>
      <c r="D331" s="103" t="s">
        <v>30</v>
      </c>
      <c r="E331" s="172" t="s">
        <v>31</v>
      </c>
      <c r="F331" s="172" t="s">
        <v>72</v>
      </c>
      <c r="G331" s="172" t="s">
        <v>248</v>
      </c>
      <c r="H331" s="103" t="s">
        <v>79</v>
      </c>
      <c r="I331" s="103" t="s">
        <v>80</v>
      </c>
      <c r="J331" s="103" t="s">
        <v>32</v>
      </c>
      <c r="L331" s="119" t="s">
        <v>80</v>
      </c>
      <c r="M331" s="119" t="s">
        <v>32</v>
      </c>
    </row>
    <row r="332" spans="2:19" ht="31.9" customHeight="1" x14ac:dyDescent="0.2">
      <c r="B332" s="809" t="s">
        <v>181</v>
      </c>
      <c r="C332" s="809"/>
      <c r="D332" s="89">
        <v>166050</v>
      </c>
      <c r="E332" s="89">
        <f t="shared" ref="E332:J332" si="16">+D332</f>
        <v>166050</v>
      </c>
      <c r="F332" s="89">
        <f t="shared" si="16"/>
        <v>166050</v>
      </c>
      <c r="G332" s="89">
        <f t="shared" si="16"/>
        <v>166050</v>
      </c>
      <c r="H332" s="89">
        <f t="shared" si="16"/>
        <v>166050</v>
      </c>
      <c r="I332" s="89">
        <f t="shared" si="16"/>
        <v>166050</v>
      </c>
      <c r="J332" s="89">
        <f t="shared" si="16"/>
        <v>166050</v>
      </c>
      <c r="L332" s="121">
        <f>+I332</f>
        <v>166050</v>
      </c>
      <c r="M332" s="121">
        <f>+L332</f>
        <v>166050</v>
      </c>
    </row>
    <row r="333" spans="2:19" x14ac:dyDescent="0.2">
      <c r="B333" s="6"/>
      <c r="C333" s="6"/>
      <c r="D333" s="6"/>
      <c r="E333" s="6"/>
      <c r="F333" s="6"/>
      <c r="G333" s="6"/>
      <c r="H333" s="6"/>
      <c r="I333" s="6"/>
      <c r="J333" s="6"/>
    </row>
    <row r="334" spans="2:19" ht="16.5" customHeight="1" x14ac:dyDescent="0.2">
      <c r="B334" s="6" t="s">
        <v>444</v>
      </c>
      <c r="C334" s="6"/>
      <c r="D334" s="6"/>
      <c r="E334" s="868">
        <v>0.09</v>
      </c>
      <c r="F334" s="869"/>
      <c r="G334" s="869"/>
      <c r="H334" s="869"/>
      <c r="I334" s="869"/>
      <c r="J334" s="870"/>
    </row>
    <row r="335" spans="2:19" ht="16.5" customHeight="1" x14ac:dyDescent="0.2">
      <c r="B335" s="6" t="s">
        <v>443</v>
      </c>
      <c r="C335" s="6"/>
      <c r="D335" s="6"/>
      <c r="E335" s="859">
        <f>NPV(0.09,D332:M332)</f>
        <v>995510.746792424</v>
      </c>
      <c r="F335" s="860"/>
      <c r="G335" s="860"/>
      <c r="H335" s="860"/>
      <c r="I335" s="860"/>
      <c r="J335" s="861"/>
    </row>
    <row r="336" spans="2:19" x14ac:dyDescent="0.2">
      <c r="B336" s="55"/>
      <c r="C336" s="6"/>
      <c r="D336" s="6"/>
      <c r="E336" s="111"/>
      <c r="F336" s="111"/>
      <c r="G336" s="111"/>
      <c r="H336" s="111"/>
      <c r="I336" s="111"/>
      <c r="J336" s="111"/>
    </row>
    <row r="337" spans="2:14" x14ac:dyDescent="0.2">
      <c r="B337" s="10"/>
      <c r="C337" s="10"/>
      <c r="D337" s="6"/>
      <c r="E337" s="6"/>
      <c r="F337" s="6"/>
      <c r="G337" s="6"/>
      <c r="H337" s="6"/>
      <c r="I337" s="6"/>
      <c r="J337" s="6"/>
    </row>
    <row r="338" spans="2:14" ht="12.75" customHeight="1" x14ac:dyDescent="0.2">
      <c r="B338" s="32" t="s">
        <v>201</v>
      </c>
      <c r="C338" s="6"/>
      <c r="D338" s="6"/>
      <c r="E338" s="6"/>
      <c r="F338" s="6"/>
      <c r="G338" s="6"/>
      <c r="H338" s="6"/>
      <c r="I338" s="6"/>
      <c r="J338" s="6"/>
    </row>
    <row r="339" spans="2:14" ht="19.5" customHeight="1" x14ac:dyDescent="0.2">
      <c r="B339" s="747" t="s">
        <v>182</v>
      </c>
      <c r="C339" s="748"/>
      <c r="D339" s="748"/>
      <c r="E339" s="748"/>
      <c r="F339" s="748"/>
      <c r="G339" s="748"/>
      <c r="H339" s="748"/>
      <c r="I339" s="748"/>
      <c r="J339" s="749"/>
    </row>
    <row r="340" spans="2:14" ht="18.75" customHeight="1" x14ac:dyDescent="0.2">
      <c r="B340" s="750"/>
      <c r="C340" s="751"/>
      <c r="D340" s="751"/>
      <c r="E340" s="751"/>
      <c r="F340" s="751"/>
      <c r="G340" s="751"/>
      <c r="H340" s="751"/>
      <c r="I340" s="751"/>
      <c r="J340" s="752"/>
    </row>
    <row r="341" spans="2:14" ht="13.15" customHeight="1" x14ac:dyDescent="0.2">
      <c r="B341" s="753"/>
      <c r="C341" s="754"/>
      <c r="D341" s="754"/>
      <c r="E341" s="754"/>
      <c r="F341" s="754"/>
      <c r="G341" s="754"/>
      <c r="H341" s="754"/>
      <c r="I341" s="754"/>
      <c r="J341" s="755"/>
    </row>
    <row r="342" spans="2:14" ht="9.75" customHeight="1" x14ac:dyDescent="0.2">
      <c r="B342" s="2"/>
      <c r="C342" s="6"/>
      <c r="D342" s="6"/>
      <c r="E342" s="6"/>
      <c r="F342" s="6"/>
      <c r="G342" s="6"/>
      <c r="H342" s="6"/>
      <c r="I342" s="6"/>
      <c r="J342" s="6"/>
    </row>
    <row r="343" spans="2:14" ht="15.75" customHeight="1" x14ac:dyDescent="0.2">
      <c r="B343" s="12" t="s">
        <v>208</v>
      </c>
      <c r="C343" s="6"/>
      <c r="D343" s="6"/>
      <c r="E343" s="6"/>
      <c r="F343" s="6"/>
      <c r="G343" s="6"/>
      <c r="H343" s="6"/>
      <c r="I343" s="6"/>
      <c r="J343" s="6"/>
    </row>
    <row r="344" spans="2:14" ht="19.5" customHeight="1" x14ac:dyDescent="0.2">
      <c r="B344" s="747" t="s">
        <v>183</v>
      </c>
      <c r="C344" s="748"/>
      <c r="D344" s="748"/>
      <c r="E344" s="748"/>
      <c r="F344" s="748"/>
      <c r="G344" s="748"/>
      <c r="H344" s="748"/>
      <c r="I344" s="748"/>
      <c r="J344" s="749"/>
    </row>
    <row r="345" spans="2:14" ht="19.5" customHeight="1" x14ac:dyDescent="0.2">
      <c r="B345" s="750"/>
      <c r="C345" s="751"/>
      <c r="D345" s="751"/>
      <c r="E345" s="751"/>
      <c r="F345" s="751"/>
      <c r="G345" s="751"/>
      <c r="H345" s="751"/>
      <c r="I345" s="751"/>
      <c r="J345" s="752"/>
    </row>
    <row r="346" spans="2:14" ht="5.45" customHeight="1" x14ac:dyDescent="0.2">
      <c r="B346" s="753"/>
      <c r="C346" s="754"/>
      <c r="D346" s="754"/>
      <c r="E346" s="754"/>
      <c r="F346" s="754"/>
      <c r="G346" s="754"/>
      <c r="H346" s="754"/>
      <c r="I346" s="754"/>
      <c r="J346" s="755"/>
    </row>
    <row r="347" spans="2:14" s="64" customFormat="1" x14ac:dyDescent="0.2">
      <c r="E347" s="10"/>
      <c r="F347" s="10"/>
      <c r="G347" s="10"/>
      <c r="H347" s="10"/>
      <c r="I347" s="10"/>
      <c r="J347" s="10"/>
      <c r="L347" s="138"/>
      <c r="M347" s="138"/>
      <c r="N347" s="138"/>
    </row>
    <row r="348" spans="2:14" s="64" customFormat="1" x14ac:dyDescent="0.2">
      <c r="B348" s="32" t="s">
        <v>219</v>
      </c>
      <c r="C348" s="32"/>
      <c r="D348" s="32"/>
      <c r="E348" s="32"/>
      <c r="F348" s="32"/>
      <c r="G348" s="32"/>
      <c r="H348" s="32"/>
      <c r="I348" s="32"/>
      <c r="J348" s="32"/>
      <c r="L348" s="138"/>
      <c r="M348" s="138"/>
      <c r="N348" s="138"/>
    </row>
    <row r="349" spans="2:14" s="64" customFormat="1" x14ac:dyDescent="0.2">
      <c r="B349" s="32"/>
      <c r="C349" s="32"/>
      <c r="D349" s="32"/>
      <c r="E349" s="32"/>
      <c r="F349" s="32"/>
      <c r="G349" s="32"/>
      <c r="H349" s="32"/>
      <c r="I349" s="32"/>
      <c r="J349" s="32"/>
      <c r="L349" s="138"/>
      <c r="M349" s="138"/>
      <c r="N349" s="138"/>
    </row>
    <row r="350" spans="2:14" s="64" customFormat="1" x14ac:dyDescent="0.2">
      <c r="B350" s="32" t="s">
        <v>209</v>
      </c>
      <c r="C350" s="32"/>
      <c r="D350" s="213"/>
      <c r="E350" s="32"/>
      <c r="F350" s="32"/>
      <c r="G350" s="32"/>
      <c r="H350" s="32"/>
      <c r="I350" s="32"/>
      <c r="J350" s="32"/>
      <c r="L350" s="138"/>
      <c r="M350" s="138"/>
      <c r="N350" s="138"/>
    </row>
    <row r="351" spans="2:14" s="64" customFormat="1" x14ac:dyDescent="0.2">
      <c r="B351" s="32"/>
      <c r="C351" s="32"/>
      <c r="D351" s="32"/>
      <c r="E351" s="32"/>
      <c r="F351" s="32"/>
      <c r="G351" s="32"/>
      <c r="H351" s="32"/>
      <c r="I351" s="32"/>
      <c r="J351" s="32"/>
      <c r="L351" s="138"/>
      <c r="M351" s="138"/>
      <c r="N351" s="138"/>
    </row>
    <row r="352" spans="2:14" s="64" customFormat="1" ht="18" customHeight="1" x14ac:dyDescent="0.2">
      <c r="B352" s="10" t="s">
        <v>446</v>
      </c>
      <c r="C352" s="10"/>
      <c r="D352" s="10"/>
      <c r="E352" s="930">
        <f>+E335-G325</f>
        <v>170629.00939987064</v>
      </c>
      <c r="F352" s="931"/>
      <c r="G352" s="931"/>
      <c r="H352" s="931"/>
      <c r="I352" s="931"/>
      <c r="J352" s="932"/>
      <c r="L352" s="138"/>
      <c r="M352" s="138"/>
      <c r="N352" s="138"/>
    </row>
    <row r="353" spans="2:15" s="64" customFormat="1" ht="18" customHeight="1" x14ac:dyDescent="0.2">
      <c r="B353" s="10" t="s">
        <v>220</v>
      </c>
      <c r="C353" s="10"/>
      <c r="D353" s="10"/>
      <c r="E353" s="933">
        <v>0.123</v>
      </c>
      <c r="F353" s="934"/>
      <c r="G353" s="934"/>
      <c r="H353" s="934"/>
      <c r="I353" s="934"/>
      <c r="J353" s="935"/>
      <c r="L353" s="138"/>
      <c r="M353" s="138"/>
      <c r="N353" s="138"/>
    </row>
    <row r="354" spans="2:15" s="64" customFormat="1" x14ac:dyDescent="0.2">
      <c r="J354" s="10"/>
      <c r="L354" s="138"/>
      <c r="M354" s="138"/>
      <c r="N354" s="138"/>
    </row>
    <row r="355" spans="2:15" s="64" customFormat="1" x14ac:dyDescent="0.2">
      <c r="B355" s="184" t="s">
        <v>210</v>
      </c>
      <c r="J355" s="10"/>
      <c r="L355" s="138"/>
      <c r="M355" s="138"/>
      <c r="N355" s="138"/>
    </row>
    <row r="356" spans="2:15" s="64" customFormat="1" x14ac:dyDescent="0.2">
      <c r="J356" s="10"/>
      <c r="L356" s="138"/>
      <c r="M356" s="138"/>
      <c r="N356" s="138"/>
    </row>
    <row r="357" spans="2:15" s="64" customFormat="1" x14ac:dyDescent="0.2">
      <c r="B357" s="32" t="s">
        <v>211</v>
      </c>
      <c r="J357" s="10"/>
      <c r="L357" s="138"/>
      <c r="M357" s="138"/>
      <c r="N357" s="138"/>
    </row>
    <row r="358" spans="2:15" s="64" customFormat="1" x14ac:dyDescent="0.2">
      <c r="M358" s="138"/>
      <c r="N358" s="138"/>
      <c r="O358" s="138"/>
    </row>
    <row r="359" spans="2:15" ht="19.149999999999999" customHeight="1" x14ac:dyDescent="0.2">
      <c r="B359" s="757" t="s">
        <v>50</v>
      </c>
      <c r="C359" s="758"/>
      <c r="D359" s="103" t="s">
        <v>432</v>
      </c>
      <c r="E359" s="103" t="s">
        <v>433</v>
      </c>
      <c r="F359" s="149" t="s">
        <v>434</v>
      </c>
      <c r="G359" s="149" t="s">
        <v>435</v>
      </c>
      <c r="H359" s="149" t="s">
        <v>436</v>
      </c>
      <c r="I359" s="149" t="s">
        <v>437</v>
      </c>
      <c r="J359" s="103" t="s">
        <v>3</v>
      </c>
      <c r="K359" s="114"/>
      <c r="L359" s="4"/>
      <c r="M359" s="4"/>
      <c r="N359" s="4"/>
    </row>
    <row r="360" spans="2:15" ht="17.45" customHeight="1" x14ac:dyDescent="0.2">
      <c r="B360" s="782" t="s">
        <v>48</v>
      </c>
      <c r="C360" s="783"/>
      <c r="D360" s="93">
        <v>1</v>
      </c>
      <c r="E360" s="148"/>
      <c r="F360" s="56"/>
      <c r="G360" s="56"/>
      <c r="H360" s="56"/>
      <c r="I360" s="155"/>
      <c r="J360" s="93">
        <f>SUM(D360:I360)</f>
        <v>1</v>
      </c>
      <c r="K360" s="114"/>
      <c r="L360" s="4"/>
      <c r="M360" s="4"/>
      <c r="N360" s="4"/>
    </row>
    <row r="361" spans="2:15" ht="17.45" customHeight="1" x14ac:dyDescent="0.2">
      <c r="B361" s="167" t="s">
        <v>438</v>
      </c>
      <c r="C361" s="174"/>
      <c r="D361" s="93"/>
      <c r="E361" s="93">
        <v>0.1</v>
      </c>
      <c r="F361" s="93">
        <v>0.5</v>
      </c>
      <c r="G361" s="93">
        <v>0.4</v>
      </c>
      <c r="H361" s="93"/>
      <c r="I361" s="155"/>
      <c r="J361" s="93">
        <f>SUM(D361:I361)</f>
        <v>1</v>
      </c>
      <c r="K361" s="114"/>
      <c r="L361" s="4"/>
      <c r="M361" s="4"/>
      <c r="N361" s="4"/>
    </row>
    <row r="362" spans="2:15" ht="17.45" customHeight="1" x14ac:dyDescent="0.2">
      <c r="B362" s="176" t="s">
        <v>439</v>
      </c>
      <c r="C362" s="174"/>
      <c r="D362" s="105"/>
      <c r="E362" s="93"/>
      <c r="F362" s="56"/>
      <c r="G362" s="93">
        <v>1</v>
      </c>
      <c r="H362" s="56"/>
      <c r="I362" s="93"/>
      <c r="J362" s="93">
        <f>SUM(D362:I362)</f>
        <v>1</v>
      </c>
      <c r="K362" s="114"/>
      <c r="L362" s="4"/>
      <c r="M362" s="4"/>
      <c r="N362" s="4"/>
    </row>
    <row r="363" spans="2:15" ht="17.45" customHeight="1" x14ac:dyDescent="0.2">
      <c r="B363" s="176" t="s">
        <v>440</v>
      </c>
      <c r="C363" s="174"/>
      <c r="D363" s="105"/>
      <c r="E363" s="93"/>
      <c r="F363" s="56"/>
      <c r="G363" s="93">
        <v>0.3</v>
      </c>
      <c r="H363" s="93">
        <v>0.3</v>
      </c>
      <c r="I363" s="93">
        <v>0.4</v>
      </c>
      <c r="J363" s="93">
        <f>SUM(D363:I363)</f>
        <v>1</v>
      </c>
      <c r="K363" s="114"/>
      <c r="L363" s="4"/>
      <c r="M363" s="4"/>
      <c r="N363" s="4"/>
    </row>
    <row r="364" spans="2:15" ht="17.45" customHeight="1" x14ac:dyDescent="0.2"/>
    <row r="365" spans="2:15" ht="17.45" customHeight="1" x14ac:dyDescent="0.2">
      <c r="B365" s="45" t="s">
        <v>212</v>
      </c>
      <c r="C365" s="109"/>
      <c r="D365" s="109"/>
      <c r="E365" s="109"/>
      <c r="F365" s="109"/>
      <c r="G365" s="109"/>
      <c r="H365" s="109"/>
      <c r="K365" s="114"/>
      <c r="N365" s="4"/>
    </row>
    <row r="366" spans="2:15" ht="17.45" customHeight="1" x14ac:dyDescent="0.2">
      <c r="B366" s="35"/>
      <c r="C366" s="109"/>
      <c r="D366" s="109"/>
      <c r="E366" s="109"/>
      <c r="F366" s="109"/>
      <c r="G366" s="109"/>
      <c r="H366" s="109"/>
      <c r="K366" s="114"/>
      <c r="N366" s="4"/>
    </row>
    <row r="367" spans="2:15" ht="21" customHeight="1" x14ac:dyDescent="0.2">
      <c r="B367" s="757" t="s">
        <v>50</v>
      </c>
      <c r="C367" s="758"/>
      <c r="D367" s="172" t="s">
        <v>432</v>
      </c>
      <c r="E367" s="172" t="s">
        <v>433</v>
      </c>
      <c r="F367" s="172" t="s">
        <v>434</v>
      </c>
      <c r="G367" s="172" t="s">
        <v>435</v>
      </c>
      <c r="H367" s="172" t="s">
        <v>436</v>
      </c>
      <c r="I367" s="172" t="s">
        <v>437</v>
      </c>
      <c r="J367" s="172" t="s">
        <v>3</v>
      </c>
      <c r="K367" s="114"/>
      <c r="L367" s="4"/>
      <c r="M367" s="4"/>
      <c r="N367" s="4"/>
    </row>
    <row r="368" spans="2:15" ht="18.75" customHeight="1" x14ac:dyDescent="0.2">
      <c r="B368" s="782" t="s">
        <v>48</v>
      </c>
      <c r="C368" s="783"/>
      <c r="D368" s="93">
        <v>1</v>
      </c>
      <c r="E368" s="148"/>
      <c r="F368" s="56"/>
      <c r="G368" s="56"/>
      <c r="H368" s="56"/>
      <c r="I368" s="155"/>
      <c r="J368" s="93">
        <f>SUM(D368:I368)</f>
        <v>1</v>
      </c>
      <c r="K368" s="114"/>
      <c r="L368" s="4"/>
      <c r="M368" s="4"/>
      <c r="N368" s="4"/>
    </row>
    <row r="369" spans="2:22" ht="18.75" customHeight="1" x14ac:dyDescent="0.2">
      <c r="B369" s="167" t="s">
        <v>438</v>
      </c>
      <c r="C369" s="174"/>
      <c r="D369" s="93"/>
      <c r="E369" s="93">
        <v>0.6</v>
      </c>
      <c r="F369" s="93">
        <v>0.3</v>
      </c>
      <c r="G369" s="93">
        <v>0.1</v>
      </c>
      <c r="H369" s="93"/>
      <c r="I369" s="155"/>
      <c r="J369" s="93">
        <f>SUM(D369:I369)</f>
        <v>0.99999999999999989</v>
      </c>
      <c r="K369" s="114"/>
      <c r="L369" s="4"/>
      <c r="M369" s="4"/>
      <c r="N369" s="4"/>
    </row>
    <row r="370" spans="2:22" ht="18.75" customHeight="1" x14ac:dyDescent="0.2">
      <c r="B370" s="176" t="s">
        <v>439</v>
      </c>
      <c r="C370" s="174"/>
      <c r="D370" s="148"/>
      <c r="E370" s="93"/>
      <c r="F370" s="56"/>
      <c r="G370" s="93">
        <v>1</v>
      </c>
      <c r="H370" s="56"/>
      <c r="I370" s="93"/>
      <c r="J370" s="93">
        <f>SUM(D370:I370)</f>
        <v>1</v>
      </c>
      <c r="K370" s="114"/>
      <c r="L370" s="4"/>
      <c r="M370" s="4"/>
      <c r="N370" s="4"/>
    </row>
    <row r="371" spans="2:22" ht="18.75" customHeight="1" x14ac:dyDescent="0.2">
      <c r="B371" s="176" t="s">
        <v>440</v>
      </c>
      <c r="C371" s="174"/>
      <c r="D371" s="148"/>
      <c r="E371" s="93"/>
      <c r="F371" s="56"/>
      <c r="G371" s="93">
        <v>0.2</v>
      </c>
      <c r="H371" s="93">
        <v>0.4</v>
      </c>
      <c r="I371" s="93">
        <v>0.4</v>
      </c>
      <c r="J371" s="93">
        <f>SUM(D371:I371)</f>
        <v>1</v>
      </c>
      <c r="K371" s="114"/>
      <c r="L371" s="4"/>
      <c r="M371" s="4"/>
      <c r="N371" s="4"/>
      <c r="Q371" s="6"/>
      <c r="R371" s="6"/>
      <c r="S371" s="6"/>
    </row>
    <row r="372" spans="2:22" x14ac:dyDescent="0.2">
      <c r="B372" s="73"/>
      <c r="C372" s="131"/>
      <c r="D372" s="132"/>
      <c r="E372" s="132"/>
      <c r="F372" s="131"/>
      <c r="G372" s="133"/>
      <c r="H372" s="129"/>
      <c r="I372" s="10"/>
      <c r="J372" s="114"/>
      <c r="K372" s="114"/>
      <c r="M372" s="4"/>
      <c r="N372" s="4"/>
    </row>
    <row r="373" spans="2:22" ht="18.600000000000001" customHeight="1" x14ac:dyDescent="0.2">
      <c r="B373" s="771" t="s">
        <v>223</v>
      </c>
      <c r="C373" s="771"/>
      <c r="D373" s="771"/>
      <c r="E373" s="771"/>
      <c r="F373" s="771"/>
      <c r="G373" s="771"/>
      <c r="H373" s="771"/>
      <c r="I373" s="771"/>
      <c r="J373" s="771"/>
    </row>
    <row r="374" spans="2:22" s="64" customFormat="1" ht="18.600000000000001" customHeight="1" x14ac:dyDescent="0.2">
      <c r="B374" s="229"/>
      <c r="C374" s="229"/>
      <c r="D374" s="229"/>
      <c r="E374" s="229"/>
      <c r="F374" s="229"/>
      <c r="G374" s="229"/>
      <c r="H374" s="10"/>
      <c r="I374" s="10"/>
      <c r="J374" s="134"/>
      <c r="L374" s="138"/>
      <c r="M374" s="138"/>
      <c r="N374" s="138"/>
    </row>
    <row r="375" spans="2:22" s="64" customFormat="1" x14ac:dyDescent="0.2">
      <c r="B375" s="32" t="s">
        <v>213</v>
      </c>
      <c r="C375" s="10"/>
      <c r="D375" s="10"/>
      <c r="E375" s="10"/>
      <c r="F375" s="10"/>
      <c r="G375" s="10"/>
      <c r="H375" s="10"/>
      <c r="I375" s="10"/>
      <c r="J375" s="72"/>
      <c r="K375" s="10"/>
      <c r="L375" s="138"/>
      <c r="M375" s="138"/>
      <c r="N375" s="138"/>
    </row>
    <row r="376" spans="2:22" s="64" customFormat="1" x14ac:dyDescent="0.2">
      <c r="B376" s="10"/>
      <c r="C376" s="10"/>
      <c r="D376" s="10"/>
      <c r="E376" s="10"/>
      <c r="F376" s="10"/>
      <c r="G376" s="10"/>
      <c r="H376" s="10"/>
      <c r="I376" s="10"/>
      <c r="J376" s="135"/>
      <c r="K376" s="10"/>
      <c r="L376" s="138"/>
      <c r="M376" s="138"/>
      <c r="N376" s="138"/>
    </row>
    <row r="377" spans="2:22" s="64" customFormat="1" ht="24" customHeight="1" x14ac:dyDescent="0.2">
      <c r="B377" s="927" t="s">
        <v>214</v>
      </c>
      <c r="C377" s="927"/>
      <c r="D377" s="927"/>
      <c r="E377" s="927"/>
      <c r="F377" s="10"/>
      <c r="G377" s="10"/>
      <c r="H377" s="10"/>
      <c r="I377" s="10"/>
      <c r="J377" s="134"/>
      <c r="K377" s="10"/>
      <c r="L377" s="138"/>
      <c r="M377" s="138"/>
      <c r="N377" s="138"/>
    </row>
    <row r="378" spans="2:22" s="64" customFormat="1" ht="52.15" customHeight="1" x14ac:dyDescent="0.2">
      <c r="B378" s="772" t="s">
        <v>281</v>
      </c>
      <c r="C378" s="773"/>
      <c r="D378" s="773"/>
      <c r="E378" s="773"/>
      <c r="F378" s="773"/>
      <c r="G378" s="773"/>
      <c r="H378" s="773"/>
      <c r="I378" s="773"/>
      <c r="J378" s="774"/>
      <c r="K378" s="197"/>
      <c r="L378" s="197"/>
      <c r="M378" s="197"/>
      <c r="N378" s="197"/>
      <c r="O378" s="197"/>
      <c r="Q378" s="222"/>
    </row>
    <row r="379" spans="2:22" s="64" customFormat="1" x14ac:dyDescent="0.2">
      <c r="B379" s="10"/>
      <c r="C379" s="10"/>
      <c r="D379" s="10"/>
      <c r="E379" s="10"/>
      <c r="F379" s="10"/>
      <c r="G379" s="10"/>
      <c r="H379" s="10"/>
      <c r="I379" s="10"/>
      <c r="J379" s="10"/>
      <c r="K379" s="10"/>
      <c r="L379" s="138"/>
      <c r="M379" s="138"/>
      <c r="N379" s="138"/>
      <c r="Q379" s="10"/>
    </row>
    <row r="380" spans="2:22" s="64" customFormat="1" ht="37.5" customHeight="1" x14ac:dyDescent="0.2">
      <c r="B380" s="862" t="s">
        <v>18</v>
      </c>
      <c r="C380" s="862"/>
      <c r="D380" s="862"/>
      <c r="E380" s="862"/>
      <c r="F380" s="862"/>
      <c r="G380" s="862"/>
      <c r="H380" s="862"/>
      <c r="I380" s="10"/>
      <c r="L380" s="138"/>
      <c r="M380" s="138"/>
      <c r="N380" s="138"/>
      <c r="Q380" s="10"/>
    </row>
    <row r="381" spans="2:22" ht="18.75" customHeight="1" x14ac:dyDescent="0.2">
      <c r="B381" s="124" t="s">
        <v>19</v>
      </c>
      <c r="C381" s="807" t="s">
        <v>36</v>
      </c>
      <c r="D381" s="807"/>
      <c r="E381" s="807"/>
      <c r="F381" s="757" t="s">
        <v>20</v>
      </c>
      <c r="G381" s="775"/>
      <c r="H381" s="775"/>
      <c r="I381" s="775"/>
      <c r="J381" s="758"/>
      <c r="K381" s="226"/>
      <c r="L381" s="226"/>
      <c r="M381" s="226"/>
      <c r="N381" s="226"/>
      <c r="O381" s="226"/>
      <c r="Q381" s="228"/>
      <c r="R381" s="64"/>
      <c r="S381" s="64"/>
      <c r="T381" s="64"/>
      <c r="U381" s="64"/>
      <c r="V381" s="64"/>
    </row>
    <row r="382" spans="2:22" ht="42.75" customHeight="1" x14ac:dyDescent="0.2">
      <c r="B382" s="106" t="s">
        <v>180</v>
      </c>
      <c r="C382" s="867" t="s">
        <v>351</v>
      </c>
      <c r="D382" s="867"/>
      <c r="E382" s="867"/>
      <c r="F382" s="776" t="s">
        <v>350</v>
      </c>
      <c r="G382" s="777"/>
      <c r="H382" s="777"/>
      <c r="I382" s="777"/>
      <c r="J382" s="778"/>
      <c r="K382" s="227"/>
      <c r="L382" s="227"/>
      <c r="M382" s="227"/>
      <c r="N382" s="227"/>
      <c r="O382" s="227"/>
      <c r="Q382" s="222"/>
      <c r="R382" s="64"/>
      <c r="S382" s="64"/>
      <c r="T382" s="64"/>
      <c r="U382" s="64"/>
      <c r="V382" s="64"/>
    </row>
    <row r="383" spans="2:22" ht="13.5" customHeight="1" x14ac:dyDescent="0.2">
      <c r="B383" s="136"/>
      <c r="C383" s="127"/>
      <c r="D383" s="127"/>
      <c r="E383" s="127"/>
      <c r="F383" s="136"/>
      <c r="G383" s="136"/>
      <c r="H383" s="2"/>
      <c r="I383" s="138"/>
      <c r="J383" s="138"/>
      <c r="K383" s="138"/>
      <c r="L383" s="64"/>
      <c r="M383" s="64"/>
      <c r="N383" s="64"/>
      <c r="O383" s="64"/>
      <c r="P383" s="64"/>
      <c r="Q383" s="64"/>
      <c r="R383" s="64"/>
      <c r="S383" s="64"/>
      <c r="T383" s="64"/>
      <c r="U383" s="64"/>
      <c r="V383" s="64"/>
    </row>
    <row r="384" spans="2:22" ht="13.5" customHeight="1" x14ac:dyDescent="0.2">
      <c r="B384" s="73" t="s">
        <v>300</v>
      </c>
      <c r="C384" s="127"/>
      <c r="D384" s="127"/>
      <c r="E384" s="127"/>
      <c r="F384" s="136"/>
      <c r="G384" s="136"/>
      <c r="H384" s="2"/>
      <c r="I384" s="138"/>
      <c r="J384" s="138"/>
      <c r="K384" s="138"/>
      <c r="L384" s="64"/>
      <c r="M384" s="64"/>
      <c r="N384" s="64"/>
      <c r="O384" s="64"/>
      <c r="P384" s="64"/>
      <c r="Q384" s="64"/>
      <c r="R384" s="64"/>
      <c r="S384" s="64"/>
      <c r="T384" s="64"/>
      <c r="U384" s="64"/>
      <c r="V384" s="64"/>
    </row>
    <row r="385" spans="2:22" ht="14.45" customHeight="1" x14ac:dyDescent="0.2">
      <c r="B385" s="33" t="s">
        <v>301</v>
      </c>
      <c r="C385" s="6"/>
      <c r="D385" s="6"/>
      <c r="E385" s="6"/>
      <c r="F385" s="6"/>
      <c r="G385" s="10"/>
      <c r="H385" s="10"/>
      <c r="I385" s="10"/>
      <c r="J385" s="10"/>
      <c r="K385" s="10"/>
      <c r="L385" s="138"/>
      <c r="M385" s="138"/>
      <c r="N385" s="138"/>
      <c r="O385" s="10"/>
      <c r="P385" s="10"/>
      <c r="Q385" s="64"/>
      <c r="R385" s="64"/>
      <c r="S385" s="64"/>
      <c r="T385" s="64"/>
      <c r="U385" s="64"/>
      <c r="V385" s="64"/>
    </row>
    <row r="386" spans="2:22" ht="10.9" customHeight="1" x14ac:dyDescent="0.2">
      <c r="B386" s="6"/>
      <c r="C386" s="33"/>
      <c r="D386" s="33"/>
      <c r="E386" s="33"/>
      <c r="F386" s="33"/>
      <c r="G386" s="72"/>
      <c r="H386" s="72"/>
      <c r="I386" s="72"/>
      <c r="J386" s="10"/>
      <c r="K386" s="10"/>
      <c r="L386" s="138"/>
      <c r="M386" s="138"/>
      <c r="N386" s="138"/>
      <c r="O386" s="10"/>
      <c r="P386" s="10"/>
      <c r="Q386" s="64"/>
      <c r="R386" s="64"/>
      <c r="S386" s="64"/>
      <c r="T386" s="64"/>
      <c r="U386" s="64"/>
      <c r="V386" s="64"/>
    </row>
    <row r="387" spans="2:22" ht="10.9" customHeight="1" x14ac:dyDescent="0.2">
      <c r="B387" s="6"/>
      <c r="C387" s="6"/>
      <c r="D387" s="6"/>
      <c r="E387" s="6"/>
      <c r="F387" s="6"/>
      <c r="G387" s="10"/>
      <c r="H387" s="10"/>
      <c r="I387" s="10"/>
      <c r="J387" s="10"/>
      <c r="K387" s="10"/>
      <c r="L387" s="138"/>
      <c r="M387" s="138"/>
      <c r="N387" s="138"/>
      <c r="O387" s="10"/>
      <c r="P387" s="10"/>
      <c r="Q387" s="64"/>
      <c r="R387" s="64"/>
      <c r="S387" s="64"/>
      <c r="T387" s="64"/>
      <c r="U387" s="64"/>
      <c r="V387" s="64"/>
    </row>
    <row r="388" spans="2:22" ht="10.9" customHeight="1" x14ac:dyDescent="0.2">
      <c r="B388" s="6"/>
      <c r="C388" s="75" t="s">
        <v>6</v>
      </c>
      <c r="D388" s="105" t="s">
        <v>97</v>
      </c>
      <c r="E388" s="6"/>
      <c r="F388" s="6"/>
      <c r="G388" s="10"/>
      <c r="H388" s="10"/>
      <c r="I388" s="10"/>
      <c r="J388" s="10"/>
      <c r="K388" s="10"/>
      <c r="L388" s="138"/>
      <c r="M388" s="138"/>
      <c r="N388" s="138"/>
      <c r="O388" s="10"/>
      <c r="P388" s="10"/>
    </row>
    <row r="389" spans="2:22" ht="10.9" customHeight="1" x14ac:dyDescent="0.2">
      <c r="B389" s="6"/>
      <c r="C389" s="75"/>
      <c r="D389" s="6"/>
      <c r="E389" s="6"/>
      <c r="F389" s="6"/>
      <c r="G389" s="10"/>
      <c r="H389" s="10"/>
      <c r="I389" s="10"/>
      <c r="J389" s="10"/>
      <c r="K389" s="10"/>
      <c r="L389" s="138"/>
      <c r="M389" s="138"/>
      <c r="N389" s="138"/>
      <c r="O389" s="10"/>
      <c r="P389" s="10"/>
    </row>
    <row r="390" spans="2:22" ht="10.9" customHeight="1" x14ac:dyDescent="0.2">
      <c r="B390" s="6"/>
      <c r="C390" s="75" t="s">
        <v>7</v>
      </c>
      <c r="D390" s="56"/>
      <c r="E390" s="6"/>
      <c r="F390" s="6"/>
      <c r="G390" s="10"/>
      <c r="H390" s="21"/>
      <c r="I390" s="21"/>
      <c r="J390" s="10"/>
      <c r="K390" s="10"/>
      <c r="L390" s="138"/>
      <c r="M390" s="138"/>
      <c r="N390" s="138"/>
      <c r="O390" s="10"/>
      <c r="P390" s="10"/>
    </row>
    <row r="391" spans="2:22" ht="10.9" customHeight="1" x14ac:dyDescent="0.2">
      <c r="B391" s="6"/>
      <c r="C391" s="75"/>
      <c r="D391" s="6"/>
      <c r="E391" s="6"/>
      <c r="F391" s="6"/>
      <c r="G391" s="10"/>
      <c r="H391" s="21"/>
      <c r="I391" s="21"/>
      <c r="J391" s="10"/>
      <c r="K391" s="10"/>
      <c r="L391" s="138"/>
      <c r="M391" s="138"/>
      <c r="N391" s="138"/>
      <c r="O391" s="10"/>
      <c r="P391" s="10"/>
    </row>
    <row r="392" spans="2:22" ht="10.9" customHeight="1" x14ac:dyDescent="0.2">
      <c r="B392" s="6"/>
      <c r="C392" s="779" t="s">
        <v>12</v>
      </c>
      <c r="D392" s="780"/>
      <c r="E392" s="780"/>
      <c r="F392" s="780"/>
      <c r="G392" s="781"/>
      <c r="H392" s="72"/>
      <c r="I392" s="72"/>
      <c r="J392" s="10"/>
      <c r="K392" s="10"/>
      <c r="L392" s="138"/>
      <c r="M392" s="138"/>
      <c r="N392" s="138"/>
      <c r="O392" s="10"/>
      <c r="P392" s="10"/>
    </row>
    <row r="393" spans="2:22" x14ac:dyDescent="0.2">
      <c r="B393" s="6"/>
      <c r="C393" s="1" t="s">
        <v>8</v>
      </c>
      <c r="D393" s="19"/>
      <c r="E393" s="19"/>
      <c r="F393" s="19"/>
      <c r="G393" s="137"/>
      <c r="H393" s="72"/>
      <c r="I393" s="72"/>
      <c r="J393" s="10"/>
      <c r="K393" s="10"/>
      <c r="L393" s="138"/>
      <c r="M393" s="138"/>
      <c r="N393" s="138"/>
      <c r="O393" s="10"/>
      <c r="P393" s="10"/>
    </row>
    <row r="394" spans="2:22" x14ac:dyDescent="0.2">
      <c r="B394" s="6"/>
      <c r="C394" s="3"/>
      <c r="D394" s="60"/>
      <c r="E394" s="60"/>
      <c r="F394" s="60"/>
      <c r="G394" s="139"/>
      <c r="H394" s="72"/>
      <c r="I394" s="72"/>
      <c r="J394" s="10"/>
      <c r="K394" s="10"/>
      <c r="L394" s="138"/>
      <c r="M394" s="138"/>
      <c r="N394" s="138"/>
      <c r="O394" s="10"/>
      <c r="P394" s="10"/>
    </row>
    <row r="395" spans="2:22" x14ac:dyDescent="0.2">
      <c r="B395" s="6"/>
      <c r="C395" s="1" t="s">
        <v>9</v>
      </c>
      <c r="D395" s="140"/>
      <c r="E395" s="140"/>
      <c r="F395" s="140"/>
      <c r="G395" s="137"/>
      <c r="H395" s="72"/>
      <c r="I395" s="72"/>
      <c r="J395" s="10"/>
      <c r="K395" s="10"/>
      <c r="L395" s="138"/>
      <c r="M395" s="138"/>
      <c r="N395" s="138"/>
      <c r="O395" s="10"/>
      <c r="P395" s="10"/>
    </row>
    <row r="396" spans="2:22" x14ac:dyDescent="0.2">
      <c r="B396" s="6"/>
      <c r="C396" s="3"/>
      <c r="D396" s="60"/>
      <c r="E396" s="60"/>
      <c r="F396" s="60"/>
      <c r="G396" s="139"/>
      <c r="H396" s="72"/>
      <c r="I396" s="72"/>
      <c r="J396" s="10"/>
      <c r="K396" s="10"/>
      <c r="L396" s="138"/>
      <c r="M396" s="138"/>
      <c r="N396" s="138"/>
      <c r="O396" s="10"/>
      <c r="P396" s="10"/>
    </row>
    <row r="397" spans="2:22" ht="30" customHeight="1" x14ac:dyDescent="0.2">
      <c r="B397" s="6"/>
      <c r="C397" s="1" t="s">
        <v>37</v>
      </c>
      <c r="D397" s="140"/>
      <c r="E397" s="140"/>
      <c r="F397" s="140"/>
      <c r="G397" s="137"/>
      <c r="H397" s="72"/>
      <c r="I397" s="72"/>
      <c r="J397" s="10"/>
      <c r="K397" s="10"/>
      <c r="L397" s="138"/>
      <c r="M397" s="138"/>
      <c r="N397" s="138"/>
      <c r="O397" s="10"/>
      <c r="P397" s="10"/>
    </row>
    <row r="398" spans="2:22" ht="19.899999999999999" customHeight="1" x14ac:dyDescent="0.2">
      <c r="B398" s="6"/>
      <c r="C398" s="3"/>
      <c r="D398" s="126"/>
      <c r="E398" s="126"/>
      <c r="F398" s="126"/>
      <c r="G398" s="139"/>
      <c r="H398" s="10"/>
      <c r="I398" s="10"/>
      <c r="J398" s="10"/>
      <c r="K398" s="10"/>
      <c r="L398" s="138"/>
      <c r="M398" s="138"/>
      <c r="N398" s="138"/>
      <c r="O398" s="10"/>
      <c r="P398" s="10"/>
    </row>
    <row r="399" spans="2:22" ht="19.899999999999999" customHeight="1" x14ac:dyDescent="0.2">
      <c r="B399" s="6"/>
      <c r="C399" s="2"/>
      <c r="D399" s="6"/>
      <c r="E399" s="6"/>
      <c r="F399" s="6"/>
      <c r="G399" s="10"/>
      <c r="H399" s="10"/>
      <c r="I399" s="10"/>
      <c r="J399" s="10"/>
      <c r="K399" s="10"/>
      <c r="L399" s="138"/>
      <c r="M399" s="138"/>
      <c r="N399" s="138"/>
      <c r="O399" s="10"/>
      <c r="P399" s="10"/>
    </row>
    <row r="400" spans="2:22" ht="23.25" customHeight="1" x14ac:dyDescent="0.2">
      <c r="B400" s="73" t="s">
        <v>302</v>
      </c>
      <c r="C400" s="6"/>
      <c r="D400" s="6"/>
      <c r="E400" s="6"/>
      <c r="F400" s="6"/>
      <c r="G400" s="6"/>
      <c r="H400" s="6"/>
      <c r="I400" s="6"/>
      <c r="J400" s="10"/>
    </row>
    <row r="401" spans="2:14" ht="13.5" customHeight="1" x14ac:dyDescent="0.2">
      <c r="B401" s="73"/>
      <c r="C401" s="6"/>
      <c r="D401" s="6"/>
      <c r="E401" s="6"/>
      <c r="F401" s="6"/>
      <c r="G401" s="6"/>
      <c r="H401" s="6"/>
      <c r="I401" s="6"/>
      <c r="J401" s="10"/>
    </row>
    <row r="402" spans="2:14" ht="19.899999999999999" customHeight="1" x14ac:dyDescent="0.2">
      <c r="B402" s="6"/>
      <c r="C402" s="786" t="s">
        <v>10</v>
      </c>
      <c r="D402" s="786"/>
      <c r="E402" s="786" t="s">
        <v>16</v>
      </c>
      <c r="F402" s="786"/>
      <c r="G402" s="786"/>
      <c r="H402" s="103" t="s">
        <v>5</v>
      </c>
      <c r="J402" s="10"/>
    </row>
    <row r="403" spans="2:14" ht="19.899999999999999" customHeight="1" x14ac:dyDescent="0.2">
      <c r="B403" s="6"/>
      <c r="C403" s="805" t="s">
        <v>73</v>
      </c>
      <c r="D403" s="806"/>
      <c r="E403" s="787"/>
      <c r="F403" s="756"/>
      <c r="G403" s="756"/>
      <c r="H403" s="89"/>
      <c r="J403" s="10"/>
    </row>
    <row r="404" spans="2:14" ht="12.75" customHeight="1" x14ac:dyDescent="0.2">
      <c r="B404" s="6"/>
      <c r="C404" s="784" t="s">
        <v>197</v>
      </c>
      <c r="D404" s="785"/>
      <c r="E404" s="926" t="s">
        <v>352</v>
      </c>
      <c r="F404" s="926"/>
      <c r="G404" s="926"/>
      <c r="H404" s="89">
        <v>5250</v>
      </c>
      <c r="J404" s="10"/>
      <c r="K404" s="34"/>
    </row>
    <row r="405" spans="2:14" x14ac:dyDescent="0.2">
      <c r="B405" s="6"/>
      <c r="C405" s="785" t="s">
        <v>282</v>
      </c>
      <c r="D405" s="785"/>
      <c r="E405" s="759"/>
      <c r="F405" s="760"/>
      <c r="G405" s="761"/>
      <c r="H405" s="56"/>
      <c r="J405" s="10"/>
    </row>
    <row r="406" spans="2:14" x14ac:dyDescent="0.2">
      <c r="B406" s="6"/>
      <c r="C406" s="785" t="s">
        <v>78</v>
      </c>
      <c r="D406" s="785"/>
      <c r="E406" s="759"/>
      <c r="F406" s="760"/>
      <c r="G406" s="761"/>
      <c r="H406" s="56"/>
      <c r="J406" s="10"/>
    </row>
    <row r="407" spans="2:14" x14ac:dyDescent="0.2">
      <c r="B407" s="6"/>
      <c r="C407" s="863" t="s">
        <v>11</v>
      </c>
      <c r="D407" s="864"/>
      <c r="E407" s="865"/>
      <c r="F407" s="866"/>
      <c r="G407" s="866"/>
      <c r="H407" s="168"/>
      <c r="J407" s="10"/>
    </row>
    <row r="408" spans="2:14" ht="16.5" customHeight="1" x14ac:dyDescent="0.2">
      <c r="B408" s="6"/>
      <c r="C408" s="813" t="s">
        <v>77</v>
      </c>
      <c r="D408" s="815"/>
      <c r="E408" s="865"/>
      <c r="F408" s="866"/>
      <c r="G408" s="866"/>
      <c r="H408" s="168"/>
      <c r="J408" s="10"/>
    </row>
    <row r="409" spans="2:14" ht="33" customHeight="1" x14ac:dyDescent="0.2">
      <c r="B409" s="6"/>
      <c r="C409" s="813" t="s">
        <v>78</v>
      </c>
      <c r="D409" s="815"/>
      <c r="E409" s="836"/>
      <c r="F409" s="836"/>
      <c r="G409" s="836"/>
      <c r="H409" s="168"/>
      <c r="J409" s="10"/>
    </row>
    <row r="410" spans="2:14" s="64" customFormat="1" ht="15.75" customHeight="1" x14ac:dyDescent="0.2">
      <c r="B410" s="10"/>
      <c r="C410" s="72"/>
      <c r="D410" s="72"/>
      <c r="E410" s="21"/>
      <c r="F410" s="21"/>
      <c r="G410" s="21"/>
      <c r="H410" s="10"/>
      <c r="J410" s="10"/>
      <c r="L410" s="138"/>
      <c r="M410" s="138"/>
      <c r="N410" s="138"/>
    </row>
    <row r="411" spans="2:14" s="64" customFormat="1" ht="33" customHeight="1" x14ac:dyDescent="0.2">
      <c r="B411" s="230" t="s">
        <v>416</v>
      </c>
      <c r="C411" s="10"/>
      <c r="D411" s="10"/>
      <c r="E411" s="21"/>
      <c r="F411" s="21"/>
      <c r="G411" s="21"/>
      <c r="H411" s="21"/>
      <c r="I411" s="21"/>
      <c r="J411" s="10"/>
      <c r="L411" s="138"/>
      <c r="M411" s="138"/>
      <c r="N411" s="138"/>
    </row>
    <row r="412" spans="2:14" s="64" customFormat="1" ht="13.5" customHeight="1" x14ac:dyDescent="0.2">
      <c r="B412" s="799" t="s">
        <v>448</v>
      </c>
      <c r="C412" s="800"/>
      <c r="D412" s="800"/>
      <c r="E412" s="800"/>
      <c r="F412" s="800"/>
      <c r="G412" s="800"/>
      <c r="H412" s="800"/>
      <c r="I412" s="801"/>
      <c r="J412" s="138"/>
      <c r="K412" s="138"/>
    </row>
    <row r="413" spans="2:14" s="64" customFormat="1" ht="13.5" customHeight="1" x14ac:dyDescent="0.2">
      <c r="B413" s="802" t="s">
        <v>449</v>
      </c>
      <c r="C413" s="803"/>
      <c r="D413" s="803"/>
      <c r="E413" s="803"/>
      <c r="F413" s="803"/>
      <c r="G413" s="803"/>
      <c r="H413" s="803"/>
      <c r="I413" s="804"/>
      <c r="J413" s="138"/>
      <c r="K413" s="138"/>
    </row>
    <row r="414" spans="2:14" ht="13.5" customHeight="1" x14ac:dyDescent="0.2">
      <c r="B414" s="750" t="s">
        <v>450</v>
      </c>
      <c r="C414" s="751"/>
      <c r="D414" s="751"/>
      <c r="E414" s="751"/>
      <c r="F414" s="751"/>
      <c r="G414" s="751"/>
      <c r="H414" s="751"/>
      <c r="I414" s="752"/>
      <c r="J414" s="138"/>
      <c r="K414" s="114"/>
      <c r="L414" s="4"/>
      <c r="M414" s="4"/>
      <c r="N414" s="4"/>
    </row>
    <row r="415" spans="2:14" ht="13.5" customHeight="1" x14ac:dyDescent="0.2">
      <c r="B415" s="750" t="s">
        <v>451</v>
      </c>
      <c r="C415" s="751"/>
      <c r="D415" s="751"/>
      <c r="E415" s="751"/>
      <c r="F415" s="751"/>
      <c r="G415" s="751"/>
      <c r="H415" s="751"/>
      <c r="I415" s="752"/>
      <c r="J415" s="138"/>
      <c r="K415" s="114"/>
      <c r="L415" s="4"/>
      <c r="M415" s="4"/>
      <c r="N415" s="4"/>
    </row>
    <row r="416" spans="2:14" ht="13.5" customHeight="1" x14ac:dyDescent="0.2">
      <c r="B416" s="750" t="s">
        <v>452</v>
      </c>
      <c r="C416" s="751"/>
      <c r="D416" s="751"/>
      <c r="E416" s="751"/>
      <c r="F416" s="751"/>
      <c r="G416" s="751"/>
      <c r="H416" s="751"/>
      <c r="I416" s="752"/>
      <c r="J416" s="138"/>
      <c r="K416" s="114"/>
      <c r="L416" s="4"/>
      <c r="M416" s="4"/>
      <c r="N416" s="4"/>
    </row>
    <row r="417" spans="2:14" ht="13.5" customHeight="1" x14ac:dyDescent="0.2">
      <c r="B417" s="768" t="s">
        <v>453</v>
      </c>
      <c r="C417" s="769"/>
      <c r="D417" s="769"/>
      <c r="E417" s="769"/>
      <c r="F417" s="769"/>
      <c r="G417" s="769"/>
      <c r="H417" s="769"/>
      <c r="I417" s="770"/>
      <c r="J417" s="138"/>
      <c r="K417" s="114"/>
      <c r="L417" s="4"/>
      <c r="M417" s="4"/>
      <c r="N417" s="4"/>
    </row>
    <row r="418" spans="2:14" ht="12.75" customHeight="1" x14ac:dyDescent="0.2">
      <c r="B418" s="10"/>
      <c r="C418" s="186"/>
      <c r="D418" s="186"/>
      <c r="E418" s="186"/>
      <c r="F418" s="186"/>
      <c r="G418" s="186"/>
      <c r="H418" s="186"/>
      <c r="I418" s="186"/>
      <c r="J418" s="10"/>
    </row>
    <row r="419" spans="2:14" ht="21" customHeight="1" x14ac:dyDescent="0.2">
      <c r="B419" s="230" t="s">
        <v>313</v>
      </c>
      <c r="C419" s="10"/>
      <c r="D419" s="10"/>
      <c r="E419" s="10"/>
      <c r="F419" s="10"/>
      <c r="G419" s="10"/>
      <c r="H419" s="10"/>
      <c r="I419" s="10"/>
      <c r="J419" s="10"/>
    </row>
    <row r="420" spans="2:14" x14ac:dyDescent="0.2">
      <c r="B420" s="10"/>
      <c r="C420" s="69"/>
      <c r="D420" s="795"/>
      <c r="E420" s="795"/>
      <c r="F420" s="795"/>
      <c r="G420" s="795"/>
      <c r="H420" s="795"/>
      <c r="I420" s="795"/>
      <c r="J420" s="10"/>
    </row>
    <row r="421" spans="2:14" x14ac:dyDescent="0.2">
      <c r="B421" s="796" t="s">
        <v>447</v>
      </c>
      <c r="C421" s="797"/>
      <c r="D421" s="797"/>
      <c r="E421" s="797"/>
      <c r="F421" s="797"/>
      <c r="G421" s="797"/>
      <c r="H421" s="797"/>
      <c r="I421" s="798"/>
      <c r="J421" s="10"/>
    </row>
    <row r="422" spans="2:14" ht="15" customHeight="1" x14ac:dyDescent="0.2">
      <c r="B422" s="762" t="s">
        <v>177</v>
      </c>
      <c r="C422" s="763"/>
      <c r="D422" s="763"/>
      <c r="E422" s="763"/>
      <c r="F422" s="763"/>
      <c r="G422" s="763"/>
      <c r="H422" s="763"/>
      <c r="I422" s="764"/>
      <c r="J422" s="10"/>
    </row>
    <row r="423" spans="2:14" ht="15" customHeight="1" x14ac:dyDescent="0.2">
      <c r="B423" s="762" t="s">
        <v>303</v>
      </c>
      <c r="C423" s="763"/>
      <c r="D423" s="763"/>
      <c r="E423" s="763"/>
      <c r="F423" s="763"/>
      <c r="G423" s="763"/>
      <c r="H423" s="763"/>
      <c r="I423" s="764"/>
      <c r="J423" s="10"/>
    </row>
    <row r="424" spans="2:14" ht="15" customHeight="1" x14ac:dyDescent="0.2">
      <c r="B424" s="762" t="s">
        <v>304</v>
      </c>
      <c r="C424" s="763"/>
      <c r="D424" s="763"/>
      <c r="E424" s="763"/>
      <c r="F424" s="763"/>
      <c r="G424" s="763"/>
      <c r="H424" s="763"/>
      <c r="I424" s="764"/>
      <c r="J424" s="10"/>
    </row>
    <row r="425" spans="2:14" ht="15" customHeight="1" x14ac:dyDescent="0.2">
      <c r="B425" s="765" t="s">
        <v>305</v>
      </c>
      <c r="C425" s="766"/>
      <c r="D425" s="766"/>
      <c r="E425" s="766"/>
      <c r="F425" s="766"/>
      <c r="G425" s="766"/>
      <c r="H425" s="766"/>
      <c r="I425" s="767"/>
      <c r="J425" s="10"/>
    </row>
    <row r="426" spans="2:14" x14ac:dyDescent="0.2">
      <c r="B426" s="6"/>
      <c r="C426" s="123"/>
      <c r="D426" s="123"/>
      <c r="E426" s="123"/>
      <c r="F426" s="123"/>
      <c r="G426" s="123"/>
      <c r="H426" s="123"/>
      <c r="I426" s="123"/>
      <c r="J426" s="10"/>
    </row>
    <row r="427" spans="2:14" x14ac:dyDescent="0.2">
      <c r="B427" s="31" t="s">
        <v>314</v>
      </c>
      <c r="C427" s="6"/>
      <c r="D427" s="6"/>
      <c r="E427" s="6"/>
      <c r="F427" s="6"/>
      <c r="G427" s="6"/>
      <c r="H427" s="6"/>
      <c r="I427" s="6"/>
      <c r="J427" s="21"/>
    </row>
    <row r="428" spans="2:14" x14ac:dyDescent="0.2">
      <c r="E428" s="102">
        <v>42817</v>
      </c>
      <c r="F428" s="128"/>
      <c r="J428" s="21"/>
    </row>
    <row r="429" spans="2:14" x14ac:dyDescent="0.2">
      <c r="J429" s="21"/>
    </row>
    <row r="430" spans="2:14" x14ac:dyDescent="0.2">
      <c r="B430" s="31" t="s">
        <v>315</v>
      </c>
      <c r="J430" s="21"/>
    </row>
    <row r="433" spans="2:16" x14ac:dyDescent="0.2">
      <c r="C433" s="787"/>
      <c r="D433" s="756"/>
      <c r="E433" s="788"/>
      <c r="F433" s="24"/>
      <c r="G433" s="787"/>
      <c r="H433" s="756"/>
      <c r="I433" s="788"/>
      <c r="J433" s="6"/>
      <c r="K433" s="6"/>
      <c r="O433" s="6"/>
      <c r="P433" s="6"/>
    </row>
    <row r="434" spans="2:16" x14ac:dyDescent="0.2">
      <c r="C434" s="789"/>
      <c r="D434" s="790"/>
      <c r="E434" s="791"/>
      <c r="F434" s="24"/>
      <c r="G434" s="789"/>
      <c r="H434" s="790"/>
      <c r="I434" s="791"/>
      <c r="J434" s="6"/>
      <c r="K434" s="6"/>
      <c r="O434" s="6"/>
      <c r="P434" s="6"/>
    </row>
    <row r="435" spans="2:16" x14ac:dyDescent="0.2">
      <c r="C435" s="792"/>
      <c r="D435" s="793"/>
      <c r="E435" s="794"/>
      <c r="F435" s="24"/>
      <c r="G435" s="792"/>
      <c r="H435" s="793"/>
      <c r="I435" s="794"/>
      <c r="J435" s="6"/>
      <c r="K435" s="6"/>
      <c r="O435" s="6"/>
      <c r="P435" s="6"/>
    </row>
    <row r="436" spans="2:16" x14ac:dyDescent="0.2">
      <c r="C436" s="756" t="s">
        <v>22</v>
      </c>
      <c r="D436" s="756"/>
      <c r="E436" s="756"/>
      <c r="G436" s="756" t="s">
        <v>441</v>
      </c>
      <c r="H436" s="756"/>
      <c r="I436" s="756"/>
      <c r="J436" s="6"/>
    </row>
    <row r="438" spans="2:16" x14ac:dyDescent="0.2">
      <c r="B438" s="76"/>
    </row>
    <row r="439" spans="2:16" x14ac:dyDescent="0.2">
      <c r="C439" s="76"/>
      <c r="D439" s="76"/>
      <c r="E439" s="76"/>
      <c r="F439" s="76"/>
      <c r="G439" s="76"/>
      <c r="H439" s="76"/>
      <c r="I439" s="76"/>
    </row>
  </sheetData>
  <mergeCells count="191">
    <mergeCell ref="B368:C368"/>
    <mergeCell ref="D174:F176"/>
    <mergeCell ref="G174:J176"/>
    <mergeCell ref="D167:F170"/>
    <mergeCell ref="E404:G404"/>
    <mergeCell ref="B377:E377"/>
    <mergeCell ref="E191:F191"/>
    <mergeCell ref="B256:D256"/>
    <mergeCell ref="E352:J352"/>
    <mergeCell ref="E353:J353"/>
    <mergeCell ref="C246:G246"/>
    <mergeCell ref="G190:H190"/>
    <mergeCell ref="I190:J190"/>
    <mergeCell ref="G191:H191"/>
    <mergeCell ref="I191:J191"/>
    <mergeCell ref="G171:J173"/>
    <mergeCell ref="G168:J168"/>
    <mergeCell ref="G169:J169"/>
    <mergeCell ref="G170:J170"/>
    <mergeCell ref="B276:C276"/>
    <mergeCell ref="B299:C299"/>
    <mergeCell ref="B220:C223"/>
    <mergeCell ref="G167:J167"/>
    <mergeCell ref="B225:J225"/>
    <mergeCell ref="B2:J2"/>
    <mergeCell ref="B3:J3"/>
    <mergeCell ref="B11:J11"/>
    <mergeCell ref="B15:D15"/>
    <mergeCell ref="E15:J15"/>
    <mergeCell ref="B115:D115"/>
    <mergeCell ref="B120:D120"/>
    <mergeCell ref="E40:G40"/>
    <mergeCell ref="I40:J40"/>
    <mergeCell ref="E89:J89"/>
    <mergeCell ref="I111:J111"/>
    <mergeCell ref="E90:J90"/>
    <mergeCell ref="E93:J93"/>
    <mergeCell ref="E86:J86"/>
    <mergeCell ref="B95:B96"/>
    <mergeCell ref="C95:C96"/>
    <mergeCell ref="H113:J113"/>
    <mergeCell ref="B111:D111"/>
    <mergeCell ref="E107:J107"/>
    <mergeCell ref="B113:D113"/>
    <mergeCell ref="B114:D114"/>
    <mergeCell ref="H114:J114"/>
    <mergeCell ref="B112:D112"/>
    <mergeCell ref="B116:D116"/>
    <mergeCell ref="E22:J22"/>
    <mergeCell ref="E24:J24"/>
    <mergeCell ref="E26:J26"/>
    <mergeCell ref="E37:G37"/>
    <mergeCell ref="I37:J37"/>
    <mergeCell ref="E38:G38"/>
    <mergeCell ref="I38:J38"/>
    <mergeCell ref="B16:D16"/>
    <mergeCell ref="E16:J16"/>
    <mergeCell ref="B17:D17"/>
    <mergeCell ref="E17:J17"/>
    <mergeCell ref="B18:D18"/>
    <mergeCell ref="E18:J18"/>
    <mergeCell ref="E41:G41"/>
    <mergeCell ref="I41:J41"/>
    <mergeCell ref="E43:G43"/>
    <mergeCell ref="E44:G44"/>
    <mergeCell ref="B257:D257"/>
    <mergeCell ref="B258:D258"/>
    <mergeCell ref="E46:J46"/>
    <mergeCell ref="E48:J48"/>
    <mergeCell ref="E55:J55"/>
    <mergeCell ref="E64:J64"/>
    <mergeCell ref="C247:G247"/>
    <mergeCell ref="B149:J149"/>
    <mergeCell ref="B148:J148"/>
    <mergeCell ref="B122:D122"/>
    <mergeCell ref="B123:D123"/>
    <mergeCell ref="B161:D161"/>
    <mergeCell ref="B137:J137"/>
    <mergeCell ref="B138:J138"/>
    <mergeCell ref="C153:J153"/>
    <mergeCell ref="C154:J154"/>
    <mergeCell ref="C155:J155"/>
    <mergeCell ref="B124:D124"/>
    <mergeCell ref="C243:G243"/>
    <mergeCell ref="B219:C219"/>
    <mergeCell ref="E56:J56"/>
    <mergeCell ref="E57:J57"/>
    <mergeCell ref="E58:J58"/>
    <mergeCell ref="E63:J63"/>
    <mergeCell ref="C142:E142"/>
    <mergeCell ref="C141:E141"/>
    <mergeCell ref="D95:G95"/>
    <mergeCell ref="E87:J87"/>
    <mergeCell ref="E88:J88"/>
    <mergeCell ref="E91:J91"/>
    <mergeCell ref="C68:D68"/>
    <mergeCell ref="F68:G68"/>
    <mergeCell ref="C140:E140"/>
    <mergeCell ref="F140:I140"/>
    <mergeCell ref="P193:R193"/>
    <mergeCell ref="P194:R194"/>
    <mergeCell ref="E190:F190"/>
    <mergeCell ref="B190:D190"/>
    <mergeCell ref="C409:D409"/>
    <mergeCell ref="E409:G409"/>
    <mergeCell ref="E271:J271"/>
    <mergeCell ref="E272:J272"/>
    <mergeCell ref="B380:H380"/>
    <mergeCell ref="C406:D406"/>
    <mergeCell ref="C405:D405"/>
    <mergeCell ref="C407:D407"/>
    <mergeCell ref="E407:G407"/>
    <mergeCell ref="C408:D408"/>
    <mergeCell ref="E408:G408"/>
    <mergeCell ref="C382:E382"/>
    <mergeCell ref="E335:J335"/>
    <mergeCell ref="B359:C359"/>
    <mergeCell ref="C248:G248"/>
    <mergeCell ref="E334:J334"/>
    <mergeCell ref="B213:J215"/>
    <mergeCell ref="B227:J229"/>
    <mergeCell ref="D232:I232"/>
    <mergeCell ref="E270:J270"/>
    <mergeCell ref="B166:C166"/>
    <mergeCell ref="I68:J68"/>
    <mergeCell ref="B121:D121"/>
    <mergeCell ref="F106:G106"/>
    <mergeCell ref="I106:J106"/>
    <mergeCell ref="D166:F166"/>
    <mergeCell ref="G166:J166"/>
    <mergeCell ref="B167:C176"/>
    <mergeCell ref="F142:J142"/>
    <mergeCell ref="F141:J141"/>
    <mergeCell ref="D171:F173"/>
    <mergeCell ref="B162:D162"/>
    <mergeCell ref="B331:C331"/>
    <mergeCell ref="B332:C332"/>
    <mergeCell ref="B283:C283"/>
    <mergeCell ref="B294:C294"/>
    <mergeCell ref="B306:C306"/>
    <mergeCell ref="B317:C317"/>
    <mergeCell ref="B180:D180"/>
    <mergeCell ref="B181:D181"/>
    <mergeCell ref="B182:D182"/>
    <mergeCell ref="B183:D183"/>
    <mergeCell ref="B184:D184"/>
    <mergeCell ref="B287:C287"/>
    <mergeCell ref="B310:C310"/>
    <mergeCell ref="C249:G249"/>
    <mergeCell ref="B233:C233"/>
    <mergeCell ref="B234:C237"/>
    <mergeCell ref="C244:G244"/>
    <mergeCell ref="C245:G245"/>
    <mergeCell ref="B206:C206"/>
    <mergeCell ref="B207:C210"/>
    <mergeCell ref="E269:J269"/>
    <mergeCell ref="B200:J202"/>
    <mergeCell ref="B322:D322"/>
    <mergeCell ref="G433:I435"/>
    <mergeCell ref="G436:I436"/>
    <mergeCell ref="B412:I412"/>
    <mergeCell ref="B413:I413"/>
    <mergeCell ref="B414:I414"/>
    <mergeCell ref="B415:I415"/>
    <mergeCell ref="C403:D403"/>
    <mergeCell ref="E403:G403"/>
    <mergeCell ref="C381:E381"/>
    <mergeCell ref="B339:J341"/>
    <mergeCell ref="B344:J346"/>
    <mergeCell ref="C436:E436"/>
    <mergeCell ref="B367:C367"/>
    <mergeCell ref="E405:G405"/>
    <mergeCell ref="B423:I423"/>
    <mergeCell ref="B424:I424"/>
    <mergeCell ref="B425:I425"/>
    <mergeCell ref="B417:I417"/>
    <mergeCell ref="B373:J373"/>
    <mergeCell ref="B378:J378"/>
    <mergeCell ref="F381:J381"/>
    <mergeCell ref="F382:J382"/>
    <mergeCell ref="C392:G392"/>
    <mergeCell ref="E406:G406"/>
    <mergeCell ref="B360:C360"/>
    <mergeCell ref="C404:D404"/>
    <mergeCell ref="C402:D402"/>
    <mergeCell ref="E402:G402"/>
    <mergeCell ref="C433:E435"/>
    <mergeCell ref="D420:I420"/>
    <mergeCell ref="B416:I416"/>
    <mergeCell ref="B421:I421"/>
    <mergeCell ref="B422:I422"/>
  </mergeCells>
  <pageMargins left="0.70866141732283472" right="0.70866141732283472" top="0.74803149606299213" bottom="0.74803149606299213" header="0.31496062992125984" footer="0.31496062992125984"/>
  <pageSetup scale="55" fitToHeight="14" orientation="portrait" r:id="rId1"/>
  <rowBreaks count="3" manualBreakCount="3">
    <brk id="78" min="1" max="16" man="1"/>
    <brk id="326" min="1" max="16" man="1"/>
    <brk id="409" min="1" max="16"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C1:O79"/>
  <sheetViews>
    <sheetView zoomScale="130" zoomScaleNormal="130" workbookViewId="0">
      <selection activeCell="A8" sqref="A8"/>
    </sheetView>
  </sheetViews>
  <sheetFormatPr baseColWidth="10" defaultColWidth="11.42578125" defaultRowHeight="12.75" x14ac:dyDescent="0.2"/>
  <cols>
    <col min="1" max="1" width="2.28515625" style="244" customWidth="1"/>
    <col min="2" max="2" width="2.140625" style="244" customWidth="1"/>
    <col min="3" max="3" width="21.5703125" style="244" customWidth="1"/>
    <col min="4" max="15" width="8.28515625" style="339" customWidth="1"/>
    <col min="16" max="16384" width="11.42578125" style="244"/>
  </cols>
  <sheetData>
    <row r="1" spans="3:15" x14ac:dyDescent="0.2">
      <c r="C1" s="628"/>
      <c r="D1" s="629"/>
      <c r="E1" s="629"/>
      <c r="F1" s="629"/>
      <c r="G1" s="629"/>
      <c r="H1" s="629"/>
      <c r="I1" s="629"/>
      <c r="J1" s="629"/>
      <c r="K1" s="629"/>
      <c r="L1" s="629"/>
      <c r="M1" s="629"/>
      <c r="N1" s="629"/>
      <c r="O1" s="629"/>
    </row>
    <row r="2" spans="3:15" ht="21" x14ac:dyDescent="0.2">
      <c r="C2" s="633" t="s">
        <v>1084</v>
      </c>
      <c r="D2" s="629"/>
      <c r="E2" s="629"/>
      <c r="F2" s="629"/>
      <c r="G2" s="629"/>
      <c r="H2" s="629"/>
      <c r="I2" s="629"/>
      <c r="J2" s="629"/>
      <c r="K2" s="629"/>
      <c r="L2" s="629"/>
      <c r="M2" s="629"/>
      <c r="N2" s="629"/>
      <c r="O2" s="629"/>
    </row>
    <row r="3" spans="3:15" x14ac:dyDescent="0.2">
      <c r="C3" s="628"/>
      <c r="D3" s="629"/>
      <c r="E3" s="629"/>
      <c r="F3" s="629"/>
      <c r="G3" s="629"/>
      <c r="H3" s="629"/>
      <c r="I3" s="629"/>
      <c r="J3" s="629"/>
      <c r="K3" s="629"/>
      <c r="L3" s="629"/>
      <c r="M3" s="629"/>
      <c r="N3" s="629"/>
      <c r="O3" s="629"/>
    </row>
    <row r="4" spans="3:15" ht="15" x14ac:dyDescent="0.2">
      <c r="C4" s="630" t="s">
        <v>1082</v>
      </c>
      <c r="D4" s="629"/>
      <c r="E4" s="629"/>
      <c r="F4" s="629"/>
      <c r="G4" s="629"/>
      <c r="H4" s="629"/>
      <c r="I4" s="629"/>
      <c r="J4" s="629"/>
      <c r="K4" s="629"/>
      <c r="L4" s="629"/>
      <c r="M4" s="629"/>
      <c r="N4" s="629"/>
      <c r="O4" s="629"/>
    </row>
    <row r="5" spans="3:15" x14ac:dyDescent="0.2">
      <c r="C5" s="628"/>
      <c r="D5" s="629"/>
      <c r="E5" s="629"/>
      <c r="F5" s="629"/>
      <c r="G5" s="629"/>
      <c r="H5" s="629"/>
      <c r="I5" s="629"/>
      <c r="J5" s="629"/>
      <c r="K5" s="629"/>
      <c r="L5" s="629"/>
      <c r="M5" s="629"/>
      <c r="N5" s="629"/>
      <c r="O5" s="629"/>
    </row>
    <row r="6" spans="3:15" x14ac:dyDescent="0.2">
      <c r="C6" s="939" t="s">
        <v>1078</v>
      </c>
      <c r="D6" s="939" t="s">
        <v>1079</v>
      </c>
      <c r="E6" s="939"/>
      <c r="F6" s="939"/>
      <c r="G6" s="939"/>
      <c r="H6" s="939"/>
      <c r="I6" s="939"/>
      <c r="J6" s="939"/>
      <c r="K6" s="939"/>
      <c r="L6" s="939"/>
      <c r="M6" s="939"/>
      <c r="N6" s="939"/>
      <c r="O6" s="939"/>
    </row>
    <row r="7" spans="3:15" x14ac:dyDescent="0.2">
      <c r="C7" s="939"/>
      <c r="D7" s="631" t="s">
        <v>234</v>
      </c>
      <c r="E7" s="631" t="s">
        <v>235</v>
      </c>
      <c r="F7" s="631" t="s">
        <v>236</v>
      </c>
      <c r="G7" s="631" t="s">
        <v>237</v>
      </c>
      <c r="H7" s="631" t="s">
        <v>238</v>
      </c>
      <c r="I7" s="631" t="s">
        <v>239</v>
      </c>
      <c r="J7" s="631" t="s">
        <v>240</v>
      </c>
      <c r="K7" s="631" t="s">
        <v>241</v>
      </c>
      <c r="L7" s="631" t="s">
        <v>242</v>
      </c>
      <c r="M7" s="631" t="s">
        <v>243</v>
      </c>
      <c r="N7" s="631" t="s">
        <v>244</v>
      </c>
      <c r="O7" s="631" t="s">
        <v>245</v>
      </c>
    </row>
    <row r="8" spans="3:15" ht="15" x14ac:dyDescent="0.2">
      <c r="C8" s="650" t="s">
        <v>1086</v>
      </c>
      <c r="D8" s="651"/>
      <c r="E8" s="651"/>
      <c r="F8" s="651"/>
      <c r="G8" s="651">
        <v>5</v>
      </c>
      <c r="H8" s="652">
        <v>5</v>
      </c>
      <c r="I8" s="652">
        <v>5</v>
      </c>
      <c r="J8" s="652">
        <v>5</v>
      </c>
      <c r="K8" s="652">
        <v>5</v>
      </c>
      <c r="L8" s="652"/>
      <c r="M8" s="651"/>
      <c r="N8" s="651"/>
      <c r="O8" s="651"/>
    </row>
    <row r="9" spans="3:15" ht="15" x14ac:dyDescent="0.2">
      <c r="C9" s="650" t="s">
        <v>1087</v>
      </c>
      <c r="D9" s="651">
        <v>5</v>
      </c>
      <c r="E9" s="651">
        <v>5</v>
      </c>
      <c r="F9" s="651"/>
      <c r="G9" s="651"/>
      <c r="H9" s="652"/>
      <c r="I9" s="652"/>
      <c r="J9" s="652"/>
      <c r="K9" s="652"/>
      <c r="L9" s="652"/>
      <c r="M9" s="652">
        <v>5</v>
      </c>
      <c r="N9" s="651">
        <v>5</v>
      </c>
      <c r="O9" s="651">
        <v>5</v>
      </c>
    </row>
    <row r="10" spans="3:15" ht="15" x14ac:dyDescent="0.2">
      <c r="C10" s="650" t="s">
        <v>1088</v>
      </c>
      <c r="D10" s="651">
        <v>15</v>
      </c>
      <c r="E10" s="651">
        <v>15</v>
      </c>
      <c r="F10" s="651">
        <v>15</v>
      </c>
      <c r="G10" s="651">
        <v>15</v>
      </c>
      <c r="H10" s="652">
        <v>15</v>
      </c>
      <c r="I10" s="652">
        <v>15</v>
      </c>
      <c r="J10" s="652">
        <v>15</v>
      </c>
      <c r="K10" s="652">
        <v>15</v>
      </c>
      <c r="L10" s="652">
        <v>15</v>
      </c>
      <c r="M10" s="652">
        <v>15</v>
      </c>
      <c r="N10" s="651">
        <v>15</v>
      </c>
      <c r="O10" s="651">
        <v>15</v>
      </c>
    </row>
    <row r="11" spans="3:15" ht="15" x14ac:dyDescent="0.2">
      <c r="C11" s="653"/>
      <c r="D11" s="651"/>
      <c r="E11" s="651"/>
      <c r="F11" s="651"/>
      <c r="G11" s="652"/>
      <c r="H11" s="652"/>
      <c r="I11" s="652"/>
      <c r="J11" s="652"/>
      <c r="K11" s="652"/>
      <c r="L11" s="652"/>
      <c r="M11" s="652"/>
      <c r="N11" s="651"/>
      <c r="O11" s="651"/>
    </row>
    <row r="12" spans="3:15" ht="15" x14ac:dyDescent="0.2">
      <c r="C12" s="626" t="s">
        <v>1080</v>
      </c>
      <c r="D12" s="627">
        <f>SUM(D8:D11)</f>
        <v>20</v>
      </c>
      <c r="E12" s="627">
        <f t="shared" ref="E12:O12" si="0">SUM(E8:E11)</f>
        <v>20</v>
      </c>
      <c r="F12" s="627">
        <f t="shared" si="0"/>
        <v>15</v>
      </c>
      <c r="G12" s="627">
        <f t="shared" si="0"/>
        <v>20</v>
      </c>
      <c r="H12" s="627">
        <f t="shared" si="0"/>
        <v>20</v>
      </c>
      <c r="I12" s="627">
        <f t="shared" si="0"/>
        <v>20</v>
      </c>
      <c r="J12" s="627">
        <f t="shared" si="0"/>
        <v>20</v>
      </c>
      <c r="K12" s="627">
        <f t="shared" si="0"/>
        <v>20</v>
      </c>
      <c r="L12" s="627">
        <f t="shared" si="0"/>
        <v>15</v>
      </c>
      <c r="M12" s="627">
        <f t="shared" si="0"/>
        <v>20</v>
      </c>
      <c r="N12" s="627">
        <f t="shared" si="0"/>
        <v>20</v>
      </c>
      <c r="O12" s="627">
        <f t="shared" si="0"/>
        <v>20</v>
      </c>
    </row>
    <row r="13" spans="3:15" x14ac:dyDescent="0.2">
      <c r="C13" s="628"/>
      <c r="D13" s="629"/>
      <c r="E13" s="629"/>
      <c r="F13" s="629"/>
      <c r="G13" s="629"/>
      <c r="H13" s="629"/>
      <c r="I13" s="629"/>
      <c r="J13" s="629"/>
      <c r="K13" s="629"/>
      <c r="L13" s="629"/>
      <c r="M13" s="629"/>
      <c r="N13" s="629"/>
      <c r="O13" s="629"/>
    </row>
    <row r="14" spans="3:15" x14ac:dyDescent="0.2">
      <c r="C14" s="628"/>
      <c r="D14" s="629"/>
      <c r="E14" s="629"/>
      <c r="F14" s="629"/>
      <c r="G14" s="629"/>
      <c r="H14" s="629"/>
      <c r="I14" s="629"/>
      <c r="J14" s="629"/>
      <c r="K14" s="629"/>
      <c r="L14" s="629"/>
      <c r="M14" s="629"/>
      <c r="N14" s="629"/>
      <c r="O14" s="629"/>
    </row>
    <row r="15" spans="3:15" ht="15" x14ac:dyDescent="0.2">
      <c r="C15" s="630" t="s">
        <v>1083</v>
      </c>
      <c r="D15" s="629"/>
      <c r="E15" s="629"/>
      <c r="F15" s="629"/>
      <c r="G15" s="629"/>
      <c r="H15" s="629"/>
      <c r="I15" s="629"/>
      <c r="J15" s="629"/>
      <c r="K15" s="629"/>
      <c r="L15" s="629"/>
      <c r="M15" s="629"/>
      <c r="N15" s="629"/>
      <c r="O15" s="629"/>
    </row>
    <row r="16" spans="3:15" x14ac:dyDescent="0.2">
      <c r="C16" s="628"/>
      <c r="D16" s="629"/>
      <c r="E16" s="629"/>
      <c r="F16" s="629"/>
      <c r="G16" s="629"/>
      <c r="H16" s="629"/>
      <c r="I16" s="629"/>
      <c r="J16" s="629"/>
      <c r="K16" s="629"/>
      <c r="L16" s="629"/>
      <c r="M16" s="629"/>
      <c r="N16" s="629"/>
      <c r="O16" s="629"/>
    </row>
    <row r="17" spans="3:15" x14ac:dyDescent="0.2">
      <c r="C17" s="939" t="s">
        <v>1078</v>
      </c>
      <c r="D17" s="939" t="s">
        <v>458</v>
      </c>
      <c r="E17" s="939"/>
      <c r="F17" s="939"/>
      <c r="G17" s="939"/>
      <c r="H17" s="939"/>
      <c r="I17" s="939"/>
      <c r="J17" s="939"/>
      <c r="K17" s="939"/>
      <c r="L17" s="939"/>
      <c r="M17" s="939"/>
      <c r="N17" s="939"/>
      <c r="O17" s="939"/>
    </row>
    <row r="18" spans="3:15" x14ac:dyDescent="0.2">
      <c r="C18" s="939"/>
      <c r="D18" s="631" t="s">
        <v>234</v>
      </c>
      <c r="E18" s="631" t="s">
        <v>235</v>
      </c>
      <c r="F18" s="631" t="s">
        <v>236</v>
      </c>
      <c r="G18" s="631" t="s">
        <v>237</v>
      </c>
      <c r="H18" s="631" t="s">
        <v>238</v>
      </c>
      <c r="I18" s="631" t="s">
        <v>239</v>
      </c>
      <c r="J18" s="631" t="s">
        <v>240</v>
      </c>
      <c r="K18" s="631" t="s">
        <v>241</v>
      </c>
      <c r="L18" s="631" t="s">
        <v>242</v>
      </c>
      <c r="M18" s="631" t="s">
        <v>243</v>
      </c>
      <c r="N18" s="631" t="s">
        <v>244</v>
      </c>
      <c r="O18" s="631" t="s">
        <v>245</v>
      </c>
    </row>
    <row r="19" spans="3:15" ht="15" x14ac:dyDescent="0.2">
      <c r="C19" s="653" t="str">
        <f>+C8</f>
        <v>Maiz Amarillo Duro</v>
      </c>
      <c r="D19" s="651"/>
      <c r="E19" s="651"/>
      <c r="F19" s="651"/>
      <c r="G19" s="652">
        <v>0.5</v>
      </c>
      <c r="H19" s="652">
        <v>0.5</v>
      </c>
      <c r="I19" s="652">
        <v>1.1499999999999999</v>
      </c>
      <c r="J19" s="652">
        <v>1.1499999999999999</v>
      </c>
      <c r="K19" s="652">
        <v>0.75</v>
      </c>
      <c r="L19" s="652"/>
      <c r="M19" s="654"/>
      <c r="N19" s="654"/>
      <c r="O19" s="654"/>
    </row>
    <row r="20" spans="3:15" ht="15" x14ac:dyDescent="0.2">
      <c r="C20" s="653" t="str">
        <f>+C9</f>
        <v>Papa</v>
      </c>
      <c r="D20" s="651">
        <v>1.1000000000000001</v>
      </c>
      <c r="E20" s="651">
        <v>0.8</v>
      </c>
      <c r="F20" s="651"/>
      <c r="G20" s="654"/>
      <c r="H20" s="652"/>
      <c r="I20" s="652"/>
      <c r="J20" s="652"/>
      <c r="K20" s="652"/>
      <c r="L20" s="652"/>
      <c r="M20" s="652">
        <v>0.4</v>
      </c>
      <c r="N20" s="651">
        <v>0.75</v>
      </c>
      <c r="O20" s="651">
        <v>1.1499999999999999</v>
      </c>
    </row>
    <row r="21" spans="3:15" x14ac:dyDescent="0.2">
      <c r="C21" s="653" t="str">
        <f>+C10</f>
        <v>Alfalfa</v>
      </c>
      <c r="D21" s="651">
        <v>1</v>
      </c>
      <c r="E21" s="651">
        <v>1</v>
      </c>
      <c r="F21" s="651">
        <v>1</v>
      </c>
      <c r="G21" s="651">
        <v>1</v>
      </c>
      <c r="H21" s="651">
        <v>1</v>
      </c>
      <c r="I21" s="651">
        <v>1</v>
      </c>
      <c r="J21" s="651">
        <v>1</v>
      </c>
      <c r="K21" s="651">
        <v>1</v>
      </c>
      <c r="L21" s="651">
        <v>1</v>
      </c>
      <c r="M21" s="651">
        <v>1</v>
      </c>
      <c r="N21" s="651">
        <v>1</v>
      </c>
      <c r="O21" s="651">
        <v>1</v>
      </c>
    </row>
    <row r="22" spans="3:15" ht="15" x14ac:dyDescent="0.2">
      <c r="C22" s="653"/>
      <c r="D22" s="651"/>
      <c r="E22" s="651"/>
      <c r="F22" s="651"/>
      <c r="G22" s="652"/>
      <c r="H22" s="652"/>
      <c r="I22" s="652"/>
      <c r="J22" s="652"/>
      <c r="K22" s="652"/>
      <c r="L22" s="652"/>
      <c r="M22" s="652"/>
      <c r="N22" s="651"/>
      <c r="O22" s="651"/>
    </row>
    <row r="23" spans="3:15" ht="15" x14ac:dyDescent="0.2">
      <c r="C23" s="626" t="s">
        <v>1081</v>
      </c>
      <c r="D23" s="627">
        <f>+(D8*D19+D9*D20+D10*D21+D11*D22)/D12</f>
        <v>1.0249999999999999</v>
      </c>
      <c r="E23" s="627">
        <f>+(E8*E19+E9*E20+E10*E21+E11*E22)/E12</f>
        <v>0.95</v>
      </c>
      <c r="F23" s="627">
        <f t="shared" ref="F23:O23" si="1">+(F8*F19+F9*F20+F10*F21+F11*F22)/F12</f>
        <v>1</v>
      </c>
      <c r="G23" s="627">
        <f t="shared" si="1"/>
        <v>0.875</v>
      </c>
      <c r="H23" s="627">
        <f t="shared" si="1"/>
        <v>0.875</v>
      </c>
      <c r="I23" s="627">
        <f t="shared" si="1"/>
        <v>1.0375000000000001</v>
      </c>
      <c r="J23" s="627">
        <f t="shared" si="1"/>
        <v>1.0375000000000001</v>
      </c>
      <c r="K23" s="627">
        <f t="shared" si="1"/>
        <v>0.9375</v>
      </c>
      <c r="L23" s="627">
        <f t="shared" si="1"/>
        <v>1</v>
      </c>
      <c r="M23" s="627">
        <f t="shared" si="1"/>
        <v>0.85</v>
      </c>
      <c r="N23" s="627">
        <f t="shared" si="1"/>
        <v>0.9375</v>
      </c>
      <c r="O23" s="627">
        <f t="shared" si="1"/>
        <v>1.0375000000000001</v>
      </c>
    </row>
    <row r="24" spans="3:15" x14ac:dyDescent="0.2">
      <c r="C24" s="628"/>
      <c r="D24" s="629"/>
      <c r="E24" s="629"/>
      <c r="F24" s="629"/>
      <c r="G24" s="629"/>
      <c r="H24" s="629"/>
      <c r="I24" s="629"/>
      <c r="J24" s="629"/>
      <c r="K24" s="629"/>
      <c r="L24" s="629"/>
      <c r="M24" s="629"/>
      <c r="N24" s="629"/>
      <c r="O24" s="629"/>
    </row>
    <row r="25" spans="3:15" x14ac:dyDescent="0.2">
      <c r="C25" s="628"/>
      <c r="D25" s="629"/>
      <c r="E25" s="629"/>
      <c r="F25" s="629"/>
      <c r="G25" s="629"/>
      <c r="H25" s="629"/>
      <c r="I25" s="629"/>
      <c r="J25" s="629"/>
      <c r="K25" s="629"/>
      <c r="L25" s="629"/>
      <c r="M25" s="629"/>
      <c r="N25" s="629"/>
      <c r="O25" s="629"/>
    </row>
    <row r="26" spans="3:15" x14ac:dyDescent="0.2">
      <c r="C26" s="628"/>
      <c r="D26" s="629"/>
      <c r="E26" s="629"/>
      <c r="F26" s="629"/>
      <c r="G26" s="629"/>
      <c r="H26" s="629"/>
      <c r="I26" s="629"/>
      <c r="J26" s="629"/>
      <c r="K26" s="629"/>
      <c r="L26" s="629"/>
      <c r="M26" s="629"/>
      <c r="N26" s="629"/>
      <c r="O26" s="629"/>
    </row>
    <row r="27" spans="3:15" x14ac:dyDescent="0.2">
      <c r="C27" s="628"/>
      <c r="D27" s="629"/>
      <c r="E27" s="629"/>
      <c r="F27" s="629"/>
      <c r="G27" s="629"/>
      <c r="H27" s="629"/>
      <c r="I27" s="629"/>
      <c r="J27" s="629"/>
      <c r="K27" s="629"/>
      <c r="L27" s="629"/>
      <c r="M27" s="629"/>
      <c r="N27" s="629"/>
      <c r="O27" s="629"/>
    </row>
    <row r="28" spans="3:15" ht="21" x14ac:dyDescent="0.2">
      <c r="C28" s="633" t="s">
        <v>1085</v>
      </c>
      <c r="D28" s="629"/>
      <c r="E28" s="629"/>
      <c r="F28" s="629"/>
      <c r="G28" s="629"/>
      <c r="H28" s="629"/>
      <c r="I28" s="629"/>
      <c r="J28" s="629"/>
      <c r="K28" s="629"/>
      <c r="L28" s="629"/>
      <c r="M28" s="629"/>
      <c r="N28" s="629"/>
      <c r="O28" s="629"/>
    </row>
    <row r="29" spans="3:15" x14ac:dyDescent="0.2">
      <c r="C29" s="628"/>
      <c r="D29" s="629"/>
      <c r="E29" s="629"/>
      <c r="F29" s="629"/>
      <c r="G29" s="629"/>
      <c r="H29" s="629"/>
      <c r="I29" s="629"/>
      <c r="J29" s="629"/>
      <c r="K29" s="629"/>
      <c r="L29" s="629"/>
      <c r="M29" s="629"/>
      <c r="N29" s="629"/>
      <c r="O29" s="629"/>
    </row>
    <row r="30" spans="3:15" ht="15" x14ac:dyDescent="0.2">
      <c r="C30" s="632" t="s">
        <v>532</v>
      </c>
      <c r="D30" s="629"/>
      <c r="E30" s="629"/>
      <c r="F30" s="629"/>
      <c r="G30" s="629"/>
      <c r="H30" s="629"/>
      <c r="I30" s="629"/>
      <c r="J30" s="629"/>
      <c r="K30" s="629"/>
      <c r="L30" s="629"/>
      <c r="M30" s="629"/>
      <c r="N30" s="629"/>
      <c r="O30" s="629"/>
    </row>
    <row r="31" spans="3:15" x14ac:dyDescent="0.2">
      <c r="C31" s="628"/>
      <c r="D31" s="629"/>
      <c r="E31" s="629"/>
      <c r="F31" s="629"/>
      <c r="G31" s="629"/>
      <c r="H31" s="629"/>
      <c r="I31" s="629"/>
      <c r="J31" s="629"/>
      <c r="K31" s="629"/>
      <c r="L31" s="629"/>
      <c r="M31" s="629"/>
      <c r="N31" s="629"/>
      <c r="O31" s="629"/>
    </row>
    <row r="32" spans="3:15" ht="15" x14ac:dyDescent="0.2">
      <c r="C32" s="630" t="s">
        <v>1082</v>
      </c>
      <c r="D32" s="629"/>
      <c r="E32" s="629"/>
      <c r="F32" s="629"/>
      <c r="G32" s="629"/>
      <c r="H32" s="629"/>
      <c r="I32" s="629"/>
      <c r="J32" s="629"/>
      <c r="K32" s="629"/>
      <c r="L32" s="629"/>
      <c r="M32" s="629"/>
      <c r="N32" s="629"/>
      <c r="O32" s="629"/>
    </row>
    <row r="33" spans="3:15" x14ac:dyDescent="0.2">
      <c r="C33" s="628"/>
      <c r="D33" s="629"/>
      <c r="E33" s="629"/>
      <c r="F33" s="629"/>
      <c r="G33" s="629"/>
      <c r="H33" s="629"/>
      <c r="I33" s="629"/>
      <c r="J33" s="629"/>
      <c r="K33" s="629"/>
      <c r="L33" s="629"/>
      <c r="M33" s="629"/>
      <c r="N33" s="629"/>
      <c r="O33" s="629"/>
    </row>
    <row r="34" spans="3:15" x14ac:dyDescent="0.2">
      <c r="C34" s="940" t="s">
        <v>1078</v>
      </c>
      <c r="D34" s="942" t="s">
        <v>1079</v>
      </c>
      <c r="E34" s="943"/>
      <c r="F34" s="943"/>
      <c r="G34" s="943"/>
      <c r="H34" s="943"/>
      <c r="I34" s="943"/>
      <c r="J34" s="943"/>
      <c r="K34" s="943"/>
      <c r="L34" s="943"/>
      <c r="M34" s="943"/>
      <c r="N34" s="943"/>
      <c r="O34" s="944"/>
    </row>
    <row r="35" spans="3:15" x14ac:dyDescent="0.2">
      <c r="C35" s="941"/>
      <c r="D35" s="631" t="s">
        <v>234</v>
      </c>
      <c r="E35" s="631" t="s">
        <v>235</v>
      </c>
      <c r="F35" s="631" t="s">
        <v>236</v>
      </c>
      <c r="G35" s="631" t="s">
        <v>237</v>
      </c>
      <c r="H35" s="631" t="s">
        <v>238</v>
      </c>
      <c r="I35" s="631" t="s">
        <v>239</v>
      </c>
      <c r="J35" s="631" t="s">
        <v>240</v>
      </c>
      <c r="K35" s="631" t="s">
        <v>241</v>
      </c>
      <c r="L35" s="631" t="s">
        <v>242</v>
      </c>
      <c r="M35" s="631" t="s">
        <v>243</v>
      </c>
      <c r="N35" s="631" t="s">
        <v>244</v>
      </c>
      <c r="O35" s="631" t="s">
        <v>245</v>
      </c>
    </row>
    <row r="36" spans="3:15" ht="15" x14ac:dyDescent="0.2">
      <c r="C36" s="650" t="s">
        <v>1089</v>
      </c>
      <c r="D36" s="651"/>
      <c r="E36" s="651"/>
      <c r="F36" s="651"/>
      <c r="G36" s="651">
        <v>5</v>
      </c>
      <c r="H36" s="651">
        <v>5</v>
      </c>
      <c r="I36" s="651">
        <v>5</v>
      </c>
      <c r="J36" s="651">
        <v>5</v>
      </c>
      <c r="K36" s="651">
        <v>5</v>
      </c>
      <c r="L36" s="652">
        <v>5</v>
      </c>
      <c r="M36" s="651"/>
      <c r="N36" s="651"/>
      <c r="O36" s="651"/>
    </row>
    <row r="37" spans="3:15" ht="15" x14ac:dyDescent="0.2">
      <c r="C37" s="650" t="s">
        <v>1091</v>
      </c>
      <c r="D37" s="651">
        <v>5</v>
      </c>
      <c r="E37" s="651">
        <v>5</v>
      </c>
      <c r="F37" s="651"/>
      <c r="G37" s="651"/>
      <c r="H37" s="652"/>
      <c r="I37" s="652"/>
      <c r="J37" s="652"/>
      <c r="K37" s="652"/>
      <c r="L37" s="652"/>
      <c r="M37" s="652"/>
      <c r="N37" s="652">
        <v>5</v>
      </c>
      <c r="O37" s="652">
        <v>5</v>
      </c>
    </row>
    <row r="38" spans="3:15" x14ac:dyDescent="0.2">
      <c r="C38" s="650" t="s">
        <v>1088</v>
      </c>
      <c r="D38" s="651">
        <v>10</v>
      </c>
      <c r="E38" s="651">
        <v>10</v>
      </c>
      <c r="F38" s="651">
        <v>10</v>
      </c>
      <c r="G38" s="651">
        <v>10</v>
      </c>
      <c r="H38" s="651">
        <v>10</v>
      </c>
      <c r="I38" s="651">
        <v>10</v>
      </c>
      <c r="J38" s="651">
        <v>10</v>
      </c>
      <c r="K38" s="651">
        <v>10</v>
      </c>
      <c r="L38" s="651">
        <v>10</v>
      </c>
      <c r="M38" s="651">
        <v>10</v>
      </c>
      <c r="N38" s="651">
        <v>10</v>
      </c>
      <c r="O38" s="651">
        <v>10</v>
      </c>
    </row>
    <row r="39" spans="3:15" x14ac:dyDescent="0.2">
      <c r="C39" s="650"/>
      <c r="D39" s="651"/>
      <c r="E39" s="651"/>
      <c r="F39" s="651"/>
      <c r="G39" s="651"/>
      <c r="H39" s="651"/>
      <c r="I39" s="651"/>
      <c r="J39" s="651"/>
      <c r="K39" s="651"/>
      <c r="L39" s="651"/>
      <c r="M39" s="651"/>
      <c r="N39" s="651"/>
      <c r="O39" s="651"/>
    </row>
    <row r="40" spans="3:15" ht="15" x14ac:dyDescent="0.2">
      <c r="C40" s="653"/>
      <c r="D40" s="651"/>
      <c r="E40" s="651"/>
      <c r="F40" s="651"/>
      <c r="G40" s="652"/>
      <c r="H40" s="652"/>
      <c r="I40" s="652"/>
      <c r="J40" s="652"/>
      <c r="K40" s="652"/>
      <c r="L40" s="652"/>
      <c r="M40" s="652"/>
      <c r="N40" s="651"/>
      <c r="O40" s="651"/>
    </row>
    <row r="41" spans="3:15" ht="15" x14ac:dyDescent="0.2">
      <c r="C41" s="626" t="s">
        <v>1080</v>
      </c>
      <c r="D41" s="627">
        <f>SUM(D36:D40)</f>
        <v>15</v>
      </c>
      <c r="E41" s="627">
        <f t="shared" ref="E41:O41" si="2">SUM(E36:E40)</f>
        <v>15</v>
      </c>
      <c r="F41" s="627">
        <f t="shared" si="2"/>
        <v>10</v>
      </c>
      <c r="G41" s="627">
        <f t="shared" si="2"/>
        <v>15</v>
      </c>
      <c r="H41" s="627">
        <f t="shared" si="2"/>
        <v>15</v>
      </c>
      <c r="I41" s="627">
        <f t="shared" si="2"/>
        <v>15</v>
      </c>
      <c r="J41" s="627">
        <f t="shared" si="2"/>
        <v>15</v>
      </c>
      <c r="K41" s="627">
        <f t="shared" si="2"/>
        <v>15</v>
      </c>
      <c r="L41" s="627">
        <f t="shared" si="2"/>
        <v>15</v>
      </c>
      <c r="M41" s="627">
        <f t="shared" si="2"/>
        <v>10</v>
      </c>
      <c r="N41" s="627">
        <f t="shared" si="2"/>
        <v>15</v>
      </c>
      <c r="O41" s="627">
        <f t="shared" si="2"/>
        <v>15</v>
      </c>
    </row>
    <row r="42" spans="3:15" x14ac:dyDescent="0.2">
      <c r="C42" s="628"/>
      <c r="D42" s="629"/>
      <c r="E42" s="629"/>
      <c r="F42" s="629"/>
      <c r="G42" s="629"/>
      <c r="H42" s="629"/>
      <c r="I42" s="629"/>
      <c r="J42" s="629"/>
      <c r="K42" s="629"/>
      <c r="L42" s="629"/>
      <c r="M42" s="629"/>
      <c r="N42" s="629"/>
      <c r="O42" s="629"/>
    </row>
    <row r="43" spans="3:15" x14ac:dyDescent="0.2">
      <c r="C43" s="628"/>
      <c r="D43" s="629"/>
      <c r="E43" s="629"/>
      <c r="F43" s="629"/>
      <c r="G43" s="629"/>
      <c r="H43" s="629"/>
      <c r="I43" s="629"/>
      <c r="J43" s="629"/>
      <c r="K43" s="629"/>
      <c r="L43" s="629"/>
      <c r="M43" s="629"/>
      <c r="N43" s="629"/>
      <c r="O43" s="629"/>
    </row>
    <row r="44" spans="3:15" ht="15" x14ac:dyDescent="0.2">
      <c r="C44" s="630" t="s">
        <v>1083</v>
      </c>
      <c r="D44" s="629"/>
      <c r="E44" s="629"/>
      <c r="F44" s="629"/>
      <c r="G44" s="629"/>
      <c r="H44" s="629"/>
      <c r="I44" s="629"/>
      <c r="J44" s="629"/>
      <c r="K44" s="629"/>
      <c r="L44" s="629"/>
      <c r="M44" s="629"/>
      <c r="N44" s="629"/>
      <c r="O44" s="629"/>
    </row>
    <row r="45" spans="3:15" x14ac:dyDescent="0.2">
      <c r="C45" s="628"/>
      <c r="D45" s="629"/>
      <c r="E45" s="629"/>
      <c r="F45" s="629"/>
      <c r="G45" s="629"/>
      <c r="H45" s="629"/>
      <c r="I45" s="629"/>
      <c r="J45" s="629"/>
      <c r="K45" s="629"/>
      <c r="L45" s="629"/>
      <c r="M45" s="629"/>
      <c r="N45" s="629"/>
      <c r="O45" s="629"/>
    </row>
    <row r="46" spans="3:15" x14ac:dyDescent="0.2">
      <c r="C46" s="940" t="s">
        <v>1078</v>
      </c>
      <c r="D46" s="942" t="s">
        <v>458</v>
      </c>
      <c r="E46" s="943"/>
      <c r="F46" s="943"/>
      <c r="G46" s="943"/>
      <c r="H46" s="943"/>
      <c r="I46" s="943"/>
      <c r="J46" s="943"/>
      <c r="K46" s="943"/>
      <c r="L46" s="943"/>
      <c r="M46" s="943"/>
      <c r="N46" s="943"/>
      <c r="O46" s="944"/>
    </row>
    <row r="47" spans="3:15" x14ac:dyDescent="0.2">
      <c r="C47" s="941"/>
      <c r="D47" s="631" t="s">
        <v>234</v>
      </c>
      <c r="E47" s="631" t="s">
        <v>235</v>
      </c>
      <c r="F47" s="631" t="s">
        <v>236</v>
      </c>
      <c r="G47" s="631" t="s">
        <v>237</v>
      </c>
      <c r="H47" s="631" t="s">
        <v>238</v>
      </c>
      <c r="I47" s="631" t="s">
        <v>239</v>
      </c>
      <c r="J47" s="631" t="s">
        <v>240</v>
      </c>
      <c r="K47" s="631" t="s">
        <v>241</v>
      </c>
      <c r="L47" s="631" t="s">
        <v>242</v>
      </c>
      <c r="M47" s="631" t="s">
        <v>243</v>
      </c>
      <c r="N47" s="631" t="s">
        <v>244</v>
      </c>
      <c r="O47" s="631" t="s">
        <v>245</v>
      </c>
    </row>
    <row r="48" spans="3:15" ht="15" x14ac:dyDescent="0.2">
      <c r="C48" s="653" t="str">
        <f>+C36</f>
        <v>Quinua</v>
      </c>
      <c r="D48" s="651"/>
      <c r="E48" s="651"/>
      <c r="F48" s="651"/>
      <c r="G48" s="652">
        <v>0.65</v>
      </c>
      <c r="H48" s="652">
        <v>0.7</v>
      </c>
      <c r="I48" s="652">
        <v>0.75</v>
      </c>
      <c r="J48" s="652">
        <v>0.8</v>
      </c>
      <c r="K48" s="652">
        <v>0.83</v>
      </c>
      <c r="L48" s="652">
        <v>0.75</v>
      </c>
      <c r="M48" s="654"/>
      <c r="N48" s="654"/>
      <c r="O48" s="654"/>
    </row>
    <row r="49" spans="3:15" ht="15" x14ac:dyDescent="0.2">
      <c r="C49" s="653" t="str">
        <f>+C37</f>
        <v>Arverja</v>
      </c>
      <c r="D49" s="651">
        <v>1.05</v>
      </c>
      <c r="E49" s="651">
        <v>0.7</v>
      </c>
      <c r="F49" s="651"/>
      <c r="G49" s="654"/>
      <c r="H49" s="652"/>
      <c r="I49" s="652"/>
      <c r="J49" s="652"/>
      <c r="K49" s="652"/>
      <c r="L49" s="652"/>
      <c r="M49" s="652"/>
      <c r="N49" s="651">
        <v>0.7</v>
      </c>
      <c r="O49" s="651">
        <v>1</v>
      </c>
    </row>
    <row r="50" spans="3:15" x14ac:dyDescent="0.2">
      <c r="C50" s="653" t="str">
        <f>+C38</f>
        <v>Alfalfa</v>
      </c>
      <c r="D50" s="651">
        <v>1</v>
      </c>
      <c r="E50" s="651">
        <v>1</v>
      </c>
      <c r="F50" s="651">
        <v>1</v>
      </c>
      <c r="G50" s="651">
        <v>1</v>
      </c>
      <c r="H50" s="651">
        <v>1</v>
      </c>
      <c r="I50" s="651">
        <v>1</v>
      </c>
      <c r="J50" s="651">
        <v>1</v>
      </c>
      <c r="K50" s="651">
        <v>1</v>
      </c>
      <c r="L50" s="651">
        <v>1</v>
      </c>
      <c r="M50" s="651">
        <v>1</v>
      </c>
      <c r="N50" s="651">
        <v>1</v>
      </c>
      <c r="O50" s="651">
        <v>1</v>
      </c>
    </row>
    <row r="51" spans="3:15" ht="15" x14ac:dyDescent="0.2">
      <c r="C51" s="653"/>
      <c r="D51" s="651"/>
      <c r="E51" s="651"/>
      <c r="F51" s="651"/>
      <c r="G51" s="652"/>
      <c r="H51" s="652"/>
      <c r="I51" s="652"/>
      <c r="J51" s="652"/>
      <c r="K51" s="652"/>
      <c r="L51" s="652"/>
      <c r="M51" s="652"/>
      <c r="N51" s="651"/>
      <c r="O51" s="651"/>
    </row>
    <row r="52" spans="3:15" ht="15" x14ac:dyDescent="0.2">
      <c r="C52" s="653"/>
      <c r="D52" s="651"/>
      <c r="E52" s="651"/>
      <c r="F52" s="651"/>
      <c r="G52" s="652"/>
      <c r="H52" s="652"/>
      <c r="I52" s="652"/>
      <c r="J52" s="652"/>
      <c r="K52" s="652"/>
      <c r="L52" s="652"/>
      <c r="M52" s="652"/>
      <c r="N52" s="651"/>
      <c r="O52" s="651"/>
    </row>
    <row r="53" spans="3:15" ht="15" x14ac:dyDescent="0.2">
      <c r="C53" s="626" t="s">
        <v>1081</v>
      </c>
      <c r="D53" s="627">
        <f>+(D36*D48+D37*D49+D38*D50+D39*D51+D40*D52)/D41</f>
        <v>1.0166666666666666</v>
      </c>
      <c r="E53" s="627">
        <f>+(E36*E48+E37*E49+E38*E50+E39*E51+E40*E52)/E41</f>
        <v>0.9</v>
      </c>
      <c r="F53" s="627">
        <f t="shared" ref="F53:O53" si="3">+(F36*F48+F37*F49+F38*F50+F39*F51+F40*F52)/F41</f>
        <v>1</v>
      </c>
      <c r="G53" s="627">
        <f t="shared" si="3"/>
        <v>0.8833333333333333</v>
      </c>
      <c r="H53" s="627">
        <f t="shared" si="3"/>
        <v>0.9</v>
      </c>
      <c r="I53" s="627">
        <f t="shared" si="3"/>
        <v>0.91666666666666663</v>
      </c>
      <c r="J53" s="627">
        <f t="shared" si="3"/>
        <v>0.93333333333333335</v>
      </c>
      <c r="K53" s="627">
        <f t="shared" si="3"/>
        <v>0.94333333333333325</v>
      </c>
      <c r="L53" s="627">
        <f t="shared" si="3"/>
        <v>0.91666666666666663</v>
      </c>
      <c r="M53" s="627">
        <f t="shared" si="3"/>
        <v>1</v>
      </c>
      <c r="N53" s="627">
        <f t="shared" si="3"/>
        <v>0.9</v>
      </c>
      <c r="O53" s="627">
        <f t="shared" si="3"/>
        <v>1</v>
      </c>
    </row>
    <row r="54" spans="3:15" x14ac:dyDescent="0.2">
      <c r="C54" s="628"/>
      <c r="D54" s="629"/>
      <c r="E54" s="629"/>
      <c r="F54" s="629"/>
      <c r="G54" s="629"/>
      <c r="H54" s="629"/>
      <c r="I54" s="629"/>
      <c r="J54" s="629"/>
      <c r="K54" s="629"/>
      <c r="L54" s="629"/>
      <c r="M54" s="629"/>
      <c r="N54" s="629"/>
      <c r="O54" s="629"/>
    </row>
    <row r="55" spans="3:15" x14ac:dyDescent="0.2">
      <c r="C55" s="628"/>
      <c r="D55" s="629"/>
      <c r="E55" s="629"/>
      <c r="F55" s="629"/>
      <c r="G55" s="629"/>
      <c r="H55" s="629"/>
      <c r="I55" s="629"/>
      <c r="J55" s="629"/>
      <c r="K55" s="629"/>
      <c r="L55" s="629"/>
      <c r="M55" s="629"/>
      <c r="N55" s="629"/>
      <c r="O55" s="629"/>
    </row>
    <row r="56" spans="3:15" ht="15" x14ac:dyDescent="0.2">
      <c r="C56" s="632" t="s">
        <v>536</v>
      </c>
      <c r="D56" s="629"/>
      <c r="E56" s="629"/>
      <c r="F56" s="629"/>
      <c r="G56" s="629"/>
      <c r="H56" s="629"/>
      <c r="I56" s="629"/>
      <c r="J56" s="629"/>
      <c r="K56" s="629"/>
      <c r="L56" s="629"/>
      <c r="M56" s="629"/>
      <c r="N56" s="629"/>
      <c r="O56" s="629"/>
    </row>
    <row r="57" spans="3:15" x14ac:dyDescent="0.2">
      <c r="C57" s="628"/>
      <c r="D57" s="629"/>
      <c r="E57" s="629"/>
      <c r="F57" s="629"/>
      <c r="G57" s="629"/>
      <c r="H57" s="629"/>
      <c r="I57" s="629"/>
      <c r="J57" s="629"/>
      <c r="K57" s="629"/>
      <c r="L57" s="629"/>
      <c r="M57" s="629"/>
      <c r="N57" s="629"/>
      <c r="O57" s="629"/>
    </row>
    <row r="58" spans="3:15" ht="15" x14ac:dyDescent="0.2">
      <c r="C58" s="630" t="s">
        <v>1082</v>
      </c>
      <c r="D58" s="629"/>
      <c r="E58" s="629"/>
      <c r="F58" s="629"/>
      <c r="G58" s="629"/>
      <c r="H58" s="629"/>
      <c r="I58" s="629"/>
      <c r="J58" s="629"/>
      <c r="K58" s="629"/>
      <c r="L58" s="629"/>
      <c r="M58" s="629"/>
      <c r="N58" s="629"/>
      <c r="O58" s="629"/>
    </row>
    <row r="59" spans="3:15" x14ac:dyDescent="0.2">
      <c r="C59" s="628"/>
      <c r="D59" s="629"/>
      <c r="E59" s="629"/>
      <c r="F59" s="629"/>
      <c r="G59" s="629"/>
      <c r="H59" s="629"/>
      <c r="I59" s="629"/>
      <c r="J59" s="629"/>
      <c r="K59" s="629"/>
      <c r="L59" s="629"/>
      <c r="M59" s="629"/>
      <c r="N59" s="629"/>
      <c r="O59" s="629"/>
    </row>
    <row r="60" spans="3:15" x14ac:dyDescent="0.2">
      <c r="C60" s="940" t="s">
        <v>1078</v>
      </c>
      <c r="D60" s="942" t="s">
        <v>1079</v>
      </c>
      <c r="E60" s="943"/>
      <c r="F60" s="943"/>
      <c r="G60" s="943"/>
      <c r="H60" s="943"/>
      <c r="I60" s="943"/>
      <c r="J60" s="943"/>
      <c r="K60" s="943"/>
      <c r="L60" s="943"/>
      <c r="M60" s="943"/>
      <c r="N60" s="943"/>
      <c r="O60" s="944"/>
    </row>
    <row r="61" spans="3:15" x14ac:dyDescent="0.2">
      <c r="C61" s="941"/>
      <c r="D61" s="631" t="s">
        <v>234</v>
      </c>
      <c r="E61" s="631" t="s">
        <v>235</v>
      </c>
      <c r="F61" s="631" t="s">
        <v>236</v>
      </c>
      <c r="G61" s="631" t="s">
        <v>237</v>
      </c>
      <c r="H61" s="631" t="s">
        <v>238</v>
      </c>
      <c r="I61" s="631" t="s">
        <v>239</v>
      </c>
      <c r="J61" s="631" t="s">
        <v>240</v>
      </c>
      <c r="K61" s="631" t="s">
        <v>241</v>
      </c>
      <c r="L61" s="631" t="s">
        <v>242</v>
      </c>
      <c r="M61" s="631" t="s">
        <v>243</v>
      </c>
      <c r="N61" s="631" t="s">
        <v>244</v>
      </c>
      <c r="O61" s="631" t="s">
        <v>245</v>
      </c>
    </row>
    <row r="62" spans="3:15" x14ac:dyDescent="0.2">
      <c r="C62" s="650" t="s">
        <v>1090</v>
      </c>
      <c r="D62" s="651">
        <v>5</v>
      </c>
      <c r="E62" s="651">
        <v>5</v>
      </c>
      <c r="F62" s="651">
        <v>5</v>
      </c>
      <c r="G62" s="651">
        <v>5</v>
      </c>
      <c r="H62" s="651">
        <v>5</v>
      </c>
      <c r="I62" s="651">
        <v>5</v>
      </c>
      <c r="J62" s="651">
        <v>5</v>
      </c>
      <c r="K62" s="651">
        <v>5</v>
      </c>
      <c r="L62" s="651">
        <v>5</v>
      </c>
      <c r="M62" s="651">
        <v>5</v>
      </c>
      <c r="N62" s="651">
        <v>5</v>
      </c>
      <c r="O62" s="651">
        <v>5</v>
      </c>
    </row>
    <row r="63" spans="3:15" ht="15" x14ac:dyDescent="0.2">
      <c r="C63" s="650"/>
      <c r="D63" s="651"/>
      <c r="E63" s="651"/>
      <c r="F63" s="651"/>
      <c r="G63" s="651"/>
      <c r="H63" s="652"/>
      <c r="I63" s="652"/>
      <c r="J63" s="652"/>
      <c r="K63" s="652"/>
      <c r="L63" s="652"/>
      <c r="M63" s="652"/>
      <c r="N63" s="652"/>
      <c r="O63" s="652"/>
    </row>
    <row r="64" spans="3:15" x14ac:dyDescent="0.2">
      <c r="C64" s="650"/>
      <c r="D64" s="651"/>
      <c r="E64" s="651"/>
      <c r="F64" s="651"/>
      <c r="G64" s="651"/>
      <c r="H64" s="651"/>
      <c r="I64" s="651"/>
      <c r="J64" s="651"/>
      <c r="K64" s="651"/>
      <c r="L64" s="651"/>
      <c r="M64" s="651"/>
      <c r="N64" s="651"/>
      <c r="O64" s="651"/>
    </row>
    <row r="65" spans="3:15" x14ac:dyDescent="0.2">
      <c r="C65" s="650"/>
      <c r="D65" s="651"/>
      <c r="E65" s="651"/>
      <c r="F65" s="651"/>
      <c r="G65" s="651"/>
      <c r="H65" s="651"/>
      <c r="I65" s="651"/>
      <c r="J65" s="651"/>
      <c r="K65" s="651"/>
      <c r="L65" s="651"/>
      <c r="M65" s="651"/>
      <c r="N65" s="651"/>
      <c r="O65" s="651"/>
    </row>
    <row r="66" spans="3:15" ht="15" x14ac:dyDescent="0.2">
      <c r="C66" s="653"/>
      <c r="D66" s="651"/>
      <c r="E66" s="651"/>
      <c r="F66" s="651"/>
      <c r="G66" s="652"/>
      <c r="H66" s="652"/>
      <c r="I66" s="652"/>
      <c r="J66" s="652"/>
      <c r="K66" s="652"/>
      <c r="L66" s="652"/>
      <c r="M66" s="652"/>
      <c r="N66" s="651"/>
      <c r="O66" s="651"/>
    </row>
    <row r="67" spans="3:15" ht="15" x14ac:dyDescent="0.2">
      <c r="C67" s="626" t="s">
        <v>1080</v>
      </c>
      <c r="D67" s="627">
        <f>SUM(D62:D66)</f>
        <v>5</v>
      </c>
      <c r="E67" s="627">
        <f t="shared" ref="E67:O67" si="4">SUM(E62:E66)</f>
        <v>5</v>
      </c>
      <c r="F67" s="627">
        <f t="shared" si="4"/>
        <v>5</v>
      </c>
      <c r="G67" s="627">
        <f t="shared" si="4"/>
        <v>5</v>
      </c>
      <c r="H67" s="627">
        <f t="shared" si="4"/>
        <v>5</v>
      </c>
      <c r="I67" s="627">
        <f t="shared" si="4"/>
        <v>5</v>
      </c>
      <c r="J67" s="627">
        <f t="shared" si="4"/>
        <v>5</v>
      </c>
      <c r="K67" s="627">
        <f t="shared" si="4"/>
        <v>5</v>
      </c>
      <c r="L67" s="627">
        <f t="shared" si="4"/>
        <v>5</v>
      </c>
      <c r="M67" s="627">
        <f t="shared" si="4"/>
        <v>5</v>
      </c>
      <c r="N67" s="627">
        <f t="shared" si="4"/>
        <v>5</v>
      </c>
      <c r="O67" s="627">
        <f t="shared" si="4"/>
        <v>5</v>
      </c>
    </row>
    <row r="68" spans="3:15" x14ac:dyDescent="0.2">
      <c r="C68" s="628"/>
      <c r="D68" s="629"/>
      <c r="E68" s="629"/>
      <c r="F68" s="629"/>
      <c r="G68" s="629"/>
      <c r="H68" s="629"/>
      <c r="I68" s="629"/>
      <c r="J68" s="629"/>
      <c r="K68" s="629"/>
      <c r="L68" s="629"/>
      <c r="M68" s="629"/>
      <c r="N68" s="629"/>
      <c r="O68" s="629"/>
    </row>
    <row r="69" spans="3:15" x14ac:dyDescent="0.2">
      <c r="C69" s="628"/>
      <c r="D69" s="629"/>
      <c r="E69" s="629"/>
      <c r="F69" s="629"/>
      <c r="G69" s="629"/>
      <c r="H69" s="629"/>
      <c r="I69" s="629"/>
      <c r="J69" s="629"/>
      <c r="K69" s="629"/>
      <c r="L69" s="629"/>
      <c r="M69" s="629"/>
      <c r="N69" s="629"/>
      <c r="O69" s="629"/>
    </row>
    <row r="70" spans="3:15" ht="15" x14ac:dyDescent="0.2">
      <c r="C70" s="630" t="s">
        <v>1083</v>
      </c>
      <c r="D70" s="629"/>
      <c r="E70" s="629"/>
      <c r="F70" s="629"/>
      <c r="G70" s="629"/>
      <c r="H70" s="629"/>
      <c r="I70" s="629"/>
      <c r="J70" s="629"/>
      <c r="K70" s="629"/>
      <c r="L70" s="629"/>
      <c r="M70" s="629"/>
      <c r="N70" s="629"/>
      <c r="O70" s="629"/>
    </row>
    <row r="71" spans="3:15" x14ac:dyDescent="0.2">
      <c r="C71" s="628"/>
      <c r="D71" s="629"/>
      <c r="E71" s="629"/>
      <c r="F71" s="629"/>
      <c r="G71" s="629"/>
      <c r="H71" s="629"/>
      <c r="I71" s="629"/>
      <c r="J71" s="629"/>
      <c r="K71" s="629"/>
      <c r="L71" s="629"/>
      <c r="M71" s="629"/>
      <c r="N71" s="629"/>
      <c r="O71" s="629"/>
    </row>
    <row r="72" spans="3:15" x14ac:dyDescent="0.2">
      <c r="C72" s="940" t="s">
        <v>1078</v>
      </c>
      <c r="D72" s="942" t="s">
        <v>458</v>
      </c>
      <c r="E72" s="943"/>
      <c r="F72" s="943"/>
      <c r="G72" s="943"/>
      <c r="H72" s="943"/>
      <c r="I72" s="943"/>
      <c r="J72" s="943"/>
      <c r="K72" s="943"/>
      <c r="L72" s="943"/>
      <c r="M72" s="943"/>
      <c r="N72" s="943"/>
      <c r="O72" s="944"/>
    </row>
    <row r="73" spans="3:15" x14ac:dyDescent="0.2">
      <c r="C73" s="941"/>
      <c r="D73" s="631" t="s">
        <v>234</v>
      </c>
      <c r="E73" s="631" t="s">
        <v>235</v>
      </c>
      <c r="F73" s="631" t="s">
        <v>236</v>
      </c>
      <c r="G73" s="631" t="s">
        <v>237</v>
      </c>
      <c r="H73" s="631" t="s">
        <v>238</v>
      </c>
      <c r="I73" s="631" t="s">
        <v>239</v>
      </c>
      <c r="J73" s="631" t="s">
        <v>240</v>
      </c>
      <c r="K73" s="631" t="s">
        <v>241</v>
      </c>
      <c r="L73" s="631" t="s">
        <v>242</v>
      </c>
      <c r="M73" s="631" t="s">
        <v>243</v>
      </c>
      <c r="N73" s="631" t="s">
        <v>244</v>
      </c>
      <c r="O73" s="631" t="s">
        <v>245</v>
      </c>
    </row>
    <row r="74" spans="3:15" ht="15" x14ac:dyDescent="0.2">
      <c r="C74" s="653" t="str">
        <f>+C62</f>
        <v>Palto</v>
      </c>
      <c r="D74" s="651">
        <v>0.65</v>
      </c>
      <c r="E74" s="651">
        <v>0.6</v>
      </c>
      <c r="F74" s="651">
        <v>0.6</v>
      </c>
      <c r="G74" s="652">
        <v>0.65</v>
      </c>
      <c r="H74" s="652">
        <v>0.65</v>
      </c>
      <c r="I74" s="652">
        <v>0.7</v>
      </c>
      <c r="J74" s="652">
        <v>0.75</v>
      </c>
      <c r="K74" s="652">
        <v>0.75</v>
      </c>
      <c r="L74" s="652">
        <v>0.83</v>
      </c>
      <c r="M74" s="652">
        <v>0.8</v>
      </c>
      <c r="N74" s="651">
        <v>0.75</v>
      </c>
      <c r="O74" s="651">
        <v>0.7</v>
      </c>
    </row>
    <row r="75" spans="3:15" ht="15" x14ac:dyDescent="0.2">
      <c r="C75" s="653"/>
      <c r="D75" s="651"/>
      <c r="E75" s="651"/>
      <c r="F75" s="651"/>
      <c r="G75" s="654"/>
      <c r="H75" s="652"/>
      <c r="I75" s="652"/>
      <c r="J75" s="652"/>
      <c r="K75" s="652"/>
      <c r="L75" s="652"/>
      <c r="M75" s="652"/>
      <c r="N75" s="651"/>
      <c r="O75" s="651"/>
    </row>
    <row r="76" spans="3:15" x14ac:dyDescent="0.2">
      <c r="C76" s="653"/>
      <c r="D76" s="651"/>
      <c r="E76" s="651"/>
      <c r="F76" s="651"/>
      <c r="G76" s="651"/>
      <c r="H76" s="651"/>
      <c r="I76" s="651"/>
      <c r="J76" s="651"/>
      <c r="K76" s="651"/>
      <c r="L76" s="651"/>
      <c r="M76" s="651"/>
      <c r="N76" s="651"/>
      <c r="O76" s="651"/>
    </row>
    <row r="77" spans="3:15" ht="15" x14ac:dyDescent="0.2">
      <c r="C77" s="653"/>
      <c r="D77" s="651"/>
      <c r="E77" s="651"/>
      <c r="F77" s="651"/>
      <c r="G77" s="652"/>
      <c r="H77" s="652"/>
      <c r="I77" s="652"/>
      <c r="J77" s="652"/>
      <c r="K77" s="652"/>
      <c r="L77" s="652"/>
      <c r="M77" s="652"/>
      <c r="N77" s="651"/>
      <c r="O77" s="651"/>
    </row>
    <row r="78" spans="3:15" ht="15" x14ac:dyDescent="0.2">
      <c r="C78" s="653"/>
      <c r="D78" s="651"/>
      <c r="E78" s="651"/>
      <c r="F78" s="651"/>
      <c r="G78" s="652"/>
      <c r="H78" s="652"/>
      <c r="I78" s="652"/>
      <c r="J78" s="652"/>
      <c r="K78" s="652"/>
      <c r="L78" s="652"/>
      <c r="M78" s="652"/>
      <c r="N78" s="651"/>
      <c r="O78" s="651"/>
    </row>
    <row r="79" spans="3:15" ht="15" x14ac:dyDescent="0.2">
      <c r="C79" s="626" t="s">
        <v>1081</v>
      </c>
      <c r="D79" s="627">
        <f>+(D62*D74+D63*D75+D64*D76+D65*D77+D66*D78)/D67</f>
        <v>0.65</v>
      </c>
      <c r="E79" s="627">
        <f>+(E62*E74+E63*E75+E64*E76+E65*E77+E66*E78)/E67</f>
        <v>0.6</v>
      </c>
      <c r="F79" s="627">
        <f t="shared" ref="F79:O79" si="5">+(F62*F74+F63*F75+F64*F76+F65*F77+F66*F78)/F67</f>
        <v>0.6</v>
      </c>
      <c r="G79" s="627">
        <f t="shared" si="5"/>
        <v>0.65</v>
      </c>
      <c r="H79" s="627">
        <f t="shared" si="5"/>
        <v>0.65</v>
      </c>
      <c r="I79" s="627">
        <f t="shared" si="5"/>
        <v>0.7</v>
      </c>
      <c r="J79" s="627">
        <f t="shared" si="5"/>
        <v>0.75</v>
      </c>
      <c r="K79" s="627">
        <f t="shared" si="5"/>
        <v>0.75</v>
      </c>
      <c r="L79" s="627">
        <f t="shared" si="5"/>
        <v>0.82999999999999985</v>
      </c>
      <c r="M79" s="627">
        <f t="shared" si="5"/>
        <v>0.8</v>
      </c>
      <c r="N79" s="627">
        <f t="shared" si="5"/>
        <v>0.75</v>
      </c>
      <c r="O79" s="627">
        <f t="shared" si="5"/>
        <v>0.7</v>
      </c>
    </row>
  </sheetData>
  <sheetProtection algorithmName="SHA-512" hashValue="eQhVU56KsxnIffU2qmLOFMDE9fxJ7DcdToVBUco6atrqrl+tr5XCAxxGNvXapKZX8BZAWtaiBzAk//Cr/yCdMA==" saltValue="bty3dZcC1PGmwaakPi6EdQ==" spinCount="100000" sheet="1" objects="1" scenarios="1"/>
  <mergeCells count="12">
    <mergeCell ref="C6:C7"/>
    <mergeCell ref="D6:O6"/>
    <mergeCell ref="C17:C18"/>
    <mergeCell ref="D17:O17"/>
    <mergeCell ref="C72:C73"/>
    <mergeCell ref="D72:O72"/>
    <mergeCell ref="C34:C35"/>
    <mergeCell ref="D34:O34"/>
    <mergeCell ref="C46:C47"/>
    <mergeCell ref="D46:O46"/>
    <mergeCell ref="C60:C61"/>
    <mergeCell ref="D60:O60"/>
  </mergeCells>
  <dataValidations count="2">
    <dataValidation type="decimal" allowBlank="1" showInputMessage="1" showErrorMessage="1" sqref="D62:O66 D48:O52 D36:O40 D19:O22">
      <formula1>0</formula1>
      <formula2>999999.99</formula2>
    </dataValidation>
    <dataValidation type="decimal" allowBlank="1" showInputMessage="1" showErrorMessage="1" sqref="D74:O78">
      <formula1>0</formula1>
      <formula2>9999999.99</formula2>
    </dataValidation>
  </dataValidations>
  <pageMargins left="0.31496062992125984" right="0.23622047244094491" top="0.35433070866141736" bottom="0.43307086614173229" header="0.31496062992125984" footer="0.31496062992125984"/>
  <pageSetup paperSize="9" scale="7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V451"/>
  <sheetViews>
    <sheetView topLeftCell="A103" zoomScale="160" zoomScaleNormal="160" workbookViewId="0">
      <selection activeCell="E153" sqref="E153"/>
    </sheetView>
  </sheetViews>
  <sheetFormatPr baseColWidth="10" defaultRowHeight="12.75" x14ac:dyDescent="0.2"/>
  <cols>
    <col min="1" max="1" width="8" customWidth="1"/>
    <col min="2" max="4" width="18.7109375" customWidth="1"/>
    <col min="5" max="5" width="18.28515625" customWidth="1"/>
    <col min="6" max="7" width="15.42578125" customWidth="1"/>
    <col min="8" max="8" width="14.85546875" customWidth="1"/>
  </cols>
  <sheetData>
    <row r="2" spans="2:14" s="4" customFormat="1" ht="18" x14ac:dyDescent="0.2">
      <c r="B2" s="901" t="s">
        <v>353</v>
      </c>
      <c r="C2" s="902"/>
      <c r="D2" s="902"/>
      <c r="E2" s="902"/>
      <c r="F2" s="902"/>
      <c r="G2" s="902"/>
      <c r="H2" s="902"/>
      <c r="I2" s="902"/>
      <c r="J2" s="903"/>
      <c r="L2" s="114"/>
      <c r="M2" s="114"/>
      <c r="N2" s="114"/>
    </row>
    <row r="3" spans="2:14" s="4" customFormat="1" ht="20.25" customHeight="1" x14ac:dyDescent="0.2">
      <c r="B3" s="792" t="s">
        <v>215</v>
      </c>
      <c r="C3" s="904"/>
      <c r="D3" s="904"/>
      <c r="E3" s="904"/>
      <c r="F3" s="904"/>
      <c r="G3" s="904"/>
      <c r="H3" s="904"/>
      <c r="I3" s="904"/>
      <c r="J3" s="905"/>
      <c r="L3" s="114"/>
      <c r="M3" s="114"/>
      <c r="N3" s="114"/>
    </row>
    <row r="5" spans="2:14" s="4" customFormat="1" ht="18.75" customHeight="1" x14ac:dyDescent="0.2">
      <c r="B5" s="26" t="s">
        <v>29</v>
      </c>
      <c r="C5" s="27"/>
      <c r="D5" s="27"/>
      <c r="E5" s="27"/>
      <c r="F5" s="27"/>
      <c r="G5" s="27"/>
      <c r="H5" s="27"/>
      <c r="I5" s="27"/>
      <c r="J5" s="27"/>
      <c r="L5" s="114"/>
      <c r="M5" s="114"/>
      <c r="N5" s="114"/>
    </row>
    <row r="7" spans="2:14" s="4" customFormat="1" x14ac:dyDescent="0.2">
      <c r="B7" s="31" t="s">
        <v>1050</v>
      </c>
      <c r="G7" s="6"/>
      <c r="H7" s="6"/>
      <c r="I7" s="6"/>
      <c r="J7" s="6"/>
      <c r="K7" s="6"/>
      <c r="L7" s="114"/>
      <c r="M7" s="114"/>
      <c r="N7" s="114"/>
    </row>
    <row r="8" spans="2:14" s="4" customFormat="1" x14ac:dyDescent="0.2">
      <c r="G8" s="6"/>
      <c r="H8" s="6"/>
      <c r="I8" s="6"/>
      <c r="J8" s="6"/>
      <c r="K8" s="6"/>
      <c r="L8" s="114"/>
      <c r="M8" s="114"/>
      <c r="N8" s="114"/>
    </row>
    <row r="9" spans="2:14" s="4" customFormat="1" ht="16.899999999999999" customHeight="1" x14ac:dyDescent="0.2">
      <c r="B9" s="898" t="s">
        <v>14</v>
      </c>
      <c r="C9" s="899"/>
      <c r="D9" s="900"/>
      <c r="E9" s="782" t="s">
        <v>83</v>
      </c>
      <c r="F9" s="887"/>
      <c r="G9" s="887"/>
      <c r="H9" s="887"/>
      <c r="I9" s="887"/>
      <c r="J9" s="783"/>
      <c r="K9" s="6"/>
      <c r="L9" s="114"/>
      <c r="M9" s="114"/>
      <c r="N9" s="114"/>
    </row>
    <row r="10" spans="2:14" s="4" customFormat="1" ht="16.899999999999999" customHeight="1" x14ac:dyDescent="0.2">
      <c r="B10" s="898" t="s">
        <v>81</v>
      </c>
      <c r="C10" s="899"/>
      <c r="D10" s="900"/>
      <c r="E10" s="782" t="s">
        <v>84</v>
      </c>
      <c r="F10" s="887"/>
      <c r="G10" s="887"/>
      <c r="H10" s="887"/>
      <c r="I10" s="887"/>
      <c r="J10" s="783"/>
      <c r="K10" s="6"/>
      <c r="L10" s="114"/>
      <c r="M10" s="114"/>
      <c r="N10" s="114"/>
    </row>
    <row r="11" spans="2:14" s="4" customFormat="1" ht="16.899999999999999" customHeight="1" x14ac:dyDescent="0.2">
      <c r="B11" s="898" t="s">
        <v>82</v>
      </c>
      <c r="C11" s="899"/>
      <c r="D11" s="900"/>
      <c r="E11" s="782" t="s">
        <v>316</v>
      </c>
      <c r="F11" s="887"/>
      <c r="G11" s="887"/>
      <c r="H11" s="887"/>
      <c r="I11" s="887"/>
      <c r="J11" s="783"/>
      <c r="K11" s="6"/>
      <c r="L11" s="114"/>
      <c r="M11" s="114"/>
      <c r="N11" s="114"/>
    </row>
    <row r="12" spans="2:14" s="4" customFormat="1" ht="16.899999999999999" customHeight="1" x14ac:dyDescent="0.2">
      <c r="B12" s="898" t="s">
        <v>23</v>
      </c>
      <c r="C12" s="899"/>
      <c r="D12" s="900"/>
      <c r="E12" s="782" t="s">
        <v>251</v>
      </c>
      <c r="F12" s="887"/>
      <c r="G12" s="887"/>
      <c r="H12" s="887"/>
      <c r="I12" s="887"/>
      <c r="J12" s="783"/>
      <c r="K12" s="6"/>
      <c r="L12" s="114"/>
      <c r="M12" s="114"/>
      <c r="N12" s="114"/>
    </row>
    <row r="15" spans="2:14" s="4" customFormat="1" x14ac:dyDescent="0.2">
      <c r="B15" s="32" t="s">
        <v>1051</v>
      </c>
      <c r="L15" s="114"/>
      <c r="M15" s="114"/>
      <c r="N15" s="114"/>
    </row>
    <row r="16" spans="2:14" s="4" customFormat="1" x14ac:dyDescent="0.2">
      <c r="L16" s="114"/>
      <c r="M16" s="114"/>
      <c r="N16" s="114"/>
    </row>
    <row r="17" spans="2:14" s="4" customFormat="1" ht="15" customHeight="1" x14ac:dyDescent="0.2">
      <c r="B17" s="4" t="s">
        <v>89</v>
      </c>
      <c r="E17" s="889" t="s">
        <v>91</v>
      </c>
      <c r="F17" s="890"/>
      <c r="G17" s="890"/>
      <c r="H17" s="890"/>
      <c r="I17" s="890"/>
      <c r="J17" s="891"/>
      <c r="L17" s="114"/>
      <c r="M17" s="114"/>
      <c r="N17" s="114"/>
    </row>
    <row r="18" spans="2:14" s="4" customFormat="1" ht="10.15" customHeight="1" x14ac:dyDescent="0.2">
      <c r="D18" s="6"/>
      <c r="E18" s="77"/>
      <c r="F18" s="77"/>
      <c r="G18" s="78"/>
      <c r="H18" s="78"/>
      <c r="I18" s="78"/>
      <c r="J18" s="78"/>
      <c r="L18" s="114"/>
      <c r="M18" s="114"/>
      <c r="N18" s="114"/>
    </row>
    <row r="19" spans="2:14" s="4" customFormat="1" ht="15" customHeight="1" x14ac:dyDescent="0.2">
      <c r="B19" s="4" t="s">
        <v>90</v>
      </c>
      <c r="E19" s="889" t="s">
        <v>88</v>
      </c>
      <c r="F19" s="890"/>
      <c r="G19" s="890"/>
      <c r="H19" s="890"/>
      <c r="I19" s="890"/>
      <c r="J19" s="891"/>
      <c r="L19" s="114"/>
      <c r="M19" s="114"/>
      <c r="N19" s="114"/>
    </row>
    <row r="20" spans="2:14" s="4" customFormat="1" ht="10.15" customHeight="1" x14ac:dyDescent="0.2">
      <c r="D20" s="6"/>
      <c r="E20" s="77"/>
      <c r="F20" s="77"/>
      <c r="G20" s="78"/>
      <c r="H20" s="78"/>
      <c r="I20" s="78"/>
      <c r="J20" s="78"/>
      <c r="L20" s="114"/>
      <c r="M20" s="114"/>
      <c r="N20" s="114"/>
    </row>
    <row r="21" spans="2:14" s="4" customFormat="1" ht="15" customHeight="1" x14ac:dyDescent="0.2">
      <c r="B21" s="4" t="s">
        <v>2</v>
      </c>
      <c r="E21" s="889" t="s">
        <v>92</v>
      </c>
      <c r="F21" s="890"/>
      <c r="G21" s="890"/>
      <c r="H21" s="890"/>
      <c r="I21" s="890"/>
      <c r="J21" s="891"/>
      <c r="L21" s="114"/>
      <c r="M21" s="114"/>
      <c r="N21" s="114"/>
    </row>
    <row r="22" spans="2:14" s="4" customFormat="1" ht="10.15" customHeight="1" x14ac:dyDescent="0.2">
      <c r="D22" s="6"/>
      <c r="E22" s="77"/>
      <c r="F22" s="77"/>
      <c r="G22" s="78"/>
      <c r="H22" s="78"/>
      <c r="I22" s="78"/>
      <c r="J22" s="78"/>
      <c r="L22" s="114"/>
      <c r="M22" s="114"/>
      <c r="N22" s="114"/>
    </row>
    <row r="23" spans="2:14" s="4" customFormat="1" ht="15" customHeight="1" x14ac:dyDescent="0.2">
      <c r="B23" s="33" t="s">
        <v>200</v>
      </c>
      <c r="C23" s="33"/>
      <c r="D23" s="2"/>
      <c r="E23" s="151" t="s">
        <v>357</v>
      </c>
      <c r="F23" s="152"/>
      <c r="G23" s="152"/>
      <c r="H23" s="38" t="s">
        <v>284</v>
      </c>
      <c r="I23" s="152" t="s">
        <v>359</v>
      </c>
      <c r="J23" s="153"/>
      <c r="L23" s="114"/>
      <c r="M23" s="114"/>
      <c r="N23" s="114"/>
    </row>
    <row r="24" spans="2:14" s="4" customFormat="1" ht="10.15" customHeight="1" x14ac:dyDescent="0.2">
      <c r="D24" s="6"/>
      <c r="E24" s="78"/>
      <c r="F24" s="78"/>
      <c r="G24" s="78"/>
      <c r="H24" s="183"/>
      <c r="I24" s="78"/>
      <c r="J24" s="78"/>
      <c r="L24" s="114"/>
      <c r="M24" s="114"/>
      <c r="N24" s="114"/>
    </row>
    <row r="25" spans="2:14" s="4" customFormat="1" ht="15" customHeight="1" x14ac:dyDescent="0.2">
      <c r="B25" s="33" t="s">
        <v>21</v>
      </c>
      <c r="C25" s="33"/>
      <c r="D25" s="2"/>
      <c r="E25" s="151" t="s">
        <v>358</v>
      </c>
      <c r="F25" s="152"/>
      <c r="G25" s="152"/>
      <c r="H25" s="38" t="s">
        <v>284</v>
      </c>
      <c r="I25" s="152" t="s">
        <v>404</v>
      </c>
      <c r="J25" s="153"/>
      <c r="L25" s="114"/>
      <c r="M25" s="114"/>
      <c r="N25" s="114"/>
    </row>
    <row r="28" spans="2:14" s="4" customFormat="1" x14ac:dyDescent="0.2">
      <c r="B28" s="32" t="s">
        <v>1052</v>
      </c>
      <c r="L28" s="114"/>
      <c r="M28" s="114"/>
      <c r="N28" s="114"/>
    </row>
    <row r="29" spans="2:14" s="4" customFormat="1" x14ac:dyDescent="0.2">
      <c r="L29" s="114"/>
      <c r="M29" s="114"/>
      <c r="N29" s="114"/>
    </row>
    <row r="30" spans="2:14" s="4" customFormat="1" ht="15" customHeight="1" x14ac:dyDescent="0.2">
      <c r="B30" s="4" t="s">
        <v>89</v>
      </c>
      <c r="E30" s="889" t="s">
        <v>91</v>
      </c>
      <c r="F30" s="890"/>
      <c r="G30" s="890"/>
      <c r="H30" s="890"/>
      <c r="I30" s="890"/>
      <c r="J30" s="891"/>
      <c r="L30" s="114"/>
      <c r="M30" s="114"/>
      <c r="N30" s="114"/>
    </row>
    <row r="31" spans="2:14" s="4" customFormat="1" ht="10.15" customHeight="1" x14ac:dyDescent="0.2">
      <c r="D31" s="6"/>
      <c r="E31" s="77"/>
      <c r="F31" s="77"/>
      <c r="G31" s="78"/>
      <c r="H31" s="78"/>
      <c r="I31" s="78"/>
      <c r="J31" s="78"/>
      <c r="L31" s="114"/>
      <c r="M31" s="114"/>
      <c r="N31" s="114"/>
    </row>
    <row r="32" spans="2:14" s="4" customFormat="1" ht="15" customHeight="1" x14ac:dyDescent="0.2">
      <c r="B32" s="4" t="s">
        <v>90</v>
      </c>
      <c r="E32" s="889" t="s">
        <v>88</v>
      </c>
      <c r="F32" s="890"/>
      <c r="G32" s="890"/>
      <c r="H32" s="890"/>
      <c r="I32" s="890"/>
      <c r="J32" s="891"/>
      <c r="L32" s="114"/>
      <c r="M32" s="114"/>
      <c r="N32" s="114"/>
    </row>
    <row r="33" spans="2:14" s="4" customFormat="1" ht="10.15" customHeight="1" x14ac:dyDescent="0.2">
      <c r="D33" s="6"/>
      <c r="E33" s="77"/>
      <c r="F33" s="77"/>
      <c r="G33" s="78"/>
      <c r="H33" s="78"/>
      <c r="I33" s="78"/>
      <c r="J33" s="78"/>
      <c r="L33" s="114"/>
      <c r="M33" s="114"/>
      <c r="N33" s="114"/>
    </row>
    <row r="34" spans="2:14" s="4" customFormat="1" ht="15" customHeight="1" x14ac:dyDescent="0.2">
      <c r="B34" s="4" t="s">
        <v>2</v>
      </c>
      <c r="E34" s="889" t="s">
        <v>92</v>
      </c>
      <c r="F34" s="890"/>
      <c r="G34" s="890"/>
      <c r="H34" s="890"/>
      <c r="I34" s="890"/>
      <c r="J34" s="891"/>
      <c r="L34" s="114"/>
      <c r="M34" s="114"/>
      <c r="N34" s="114"/>
    </row>
    <row r="35" spans="2:14" s="4" customFormat="1" ht="10.15" customHeight="1" x14ac:dyDescent="0.2">
      <c r="D35" s="6"/>
      <c r="E35" s="77"/>
      <c r="F35" s="77"/>
      <c r="G35" s="78"/>
      <c r="H35" s="78"/>
      <c r="I35" s="78"/>
      <c r="J35" s="78"/>
      <c r="L35" s="114"/>
      <c r="M35" s="114"/>
      <c r="N35" s="114"/>
    </row>
    <row r="36" spans="2:14" s="4" customFormat="1" ht="14.45" customHeight="1" x14ac:dyDescent="0.2">
      <c r="B36" s="64" t="s">
        <v>13</v>
      </c>
      <c r="C36" s="64"/>
      <c r="D36" s="64"/>
      <c r="E36" s="151" t="s">
        <v>1045</v>
      </c>
      <c r="F36" s="152"/>
      <c r="G36" s="152"/>
      <c r="H36" s="38" t="s">
        <v>284</v>
      </c>
      <c r="I36" s="152" t="s">
        <v>359</v>
      </c>
      <c r="J36" s="153"/>
      <c r="L36" s="114"/>
      <c r="M36" s="114"/>
      <c r="N36" s="114"/>
    </row>
    <row r="37" spans="2:14" s="4" customFormat="1" ht="10.15" customHeight="1" x14ac:dyDescent="0.2">
      <c r="B37" s="64"/>
      <c r="C37" s="64"/>
      <c r="D37" s="64"/>
      <c r="E37" s="78"/>
      <c r="F37" s="78"/>
      <c r="G37" s="78"/>
      <c r="H37" s="183"/>
      <c r="I37" s="78"/>
      <c r="J37" s="78"/>
      <c r="L37" s="114"/>
      <c r="M37" s="114"/>
      <c r="N37" s="114"/>
    </row>
    <row r="38" spans="2:14" s="4" customFormat="1" ht="16.899999999999999" customHeight="1" x14ac:dyDescent="0.2">
      <c r="B38" s="64" t="s">
        <v>54</v>
      </c>
      <c r="C38" s="64"/>
      <c r="D38" s="64"/>
      <c r="E38" s="782" t="s">
        <v>93</v>
      </c>
      <c r="F38" s="887"/>
      <c r="G38" s="887"/>
      <c r="H38" s="887"/>
      <c r="I38" s="887"/>
      <c r="J38" s="783"/>
      <c r="K38" s="39"/>
      <c r="L38" s="114"/>
      <c r="M38" s="114"/>
      <c r="N38" s="114"/>
    </row>
    <row r="41" spans="2:14" s="4" customFormat="1" x14ac:dyDescent="0.2">
      <c r="B41" s="184" t="s">
        <v>1053</v>
      </c>
      <c r="C41" s="64"/>
      <c r="D41" s="64"/>
      <c r="E41" s="64"/>
      <c r="F41" s="64"/>
      <c r="G41" s="64"/>
      <c r="H41" s="64"/>
      <c r="I41" s="64"/>
      <c r="J41" s="64"/>
      <c r="L41" s="114"/>
      <c r="M41" s="114"/>
      <c r="N41" s="114"/>
    </row>
    <row r="42" spans="2:14" s="4" customFormat="1" x14ac:dyDescent="0.2">
      <c r="B42" s="64"/>
      <c r="C42" s="64"/>
      <c r="D42" s="64"/>
      <c r="E42" s="64"/>
      <c r="F42" s="64"/>
      <c r="G42" s="64"/>
      <c r="H42" s="64"/>
      <c r="I42" s="64"/>
      <c r="J42" s="64"/>
      <c r="L42" s="114"/>
      <c r="M42" s="114"/>
      <c r="N42" s="114"/>
    </row>
    <row r="43" spans="2:14" s="4" customFormat="1" x14ac:dyDescent="0.2">
      <c r="B43" s="45" t="s">
        <v>1054</v>
      </c>
      <c r="L43" s="114"/>
      <c r="M43" s="114"/>
      <c r="N43" s="114"/>
    </row>
    <row r="44" spans="2:14" s="4" customFormat="1" x14ac:dyDescent="0.2">
      <c r="L44" s="114"/>
      <c r="M44" s="114"/>
      <c r="N44" s="114"/>
    </row>
    <row r="45" spans="2:14" s="4" customFormat="1" ht="16.899999999999999" customHeight="1" x14ac:dyDescent="0.2">
      <c r="B45" s="4" t="s">
        <v>361</v>
      </c>
      <c r="E45" s="872" t="s">
        <v>85</v>
      </c>
      <c r="F45" s="872"/>
      <c r="G45" s="872"/>
      <c r="H45" s="872"/>
      <c r="I45" s="872"/>
      <c r="J45" s="872"/>
      <c r="L45" s="114"/>
      <c r="M45" s="114"/>
      <c r="N45" s="114"/>
    </row>
    <row r="46" spans="2:14" s="4" customFormat="1" ht="16.899999999999999" customHeight="1" x14ac:dyDescent="0.2">
      <c r="B46" s="4" t="s">
        <v>0</v>
      </c>
      <c r="E46" s="872" t="s">
        <v>86</v>
      </c>
      <c r="F46" s="872"/>
      <c r="G46" s="872"/>
      <c r="H46" s="872"/>
      <c r="I46" s="872"/>
      <c r="J46" s="872"/>
      <c r="L46" s="114"/>
      <c r="M46" s="114"/>
      <c r="N46" s="114"/>
    </row>
    <row r="47" spans="2:14" s="4" customFormat="1" ht="16.899999999999999" customHeight="1" x14ac:dyDescent="0.2">
      <c r="B47" s="4" t="s">
        <v>1</v>
      </c>
      <c r="E47" s="872" t="s">
        <v>87</v>
      </c>
      <c r="F47" s="872"/>
      <c r="G47" s="872"/>
      <c r="H47" s="872"/>
      <c r="I47" s="872"/>
      <c r="J47" s="872"/>
      <c r="L47" s="114"/>
      <c r="M47" s="114"/>
      <c r="N47" s="114"/>
    </row>
    <row r="48" spans="2:14" s="4" customFormat="1" ht="16.899999999999999" customHeight="1" x14ac:dyDescent="0.2">
      <c r="B48" s="4" t="s">
        <v>362</v>
      </c>
      <c r="E48" s="872" t="s">
        <v>363</v>
      </c>
      <c r="F48" s="872"/>
      <c r="G48" s="872"/>
      <c r="H48" s="872"/>
      <c r="I48" s="872"/>
      <c r="J48" s="872"/>
      <c r="L48" s="114"/>
      <c r="M48" s="114"/>
      <c r="N48" s="114"/>
    </row>
    <row r="49" spans="2:14" s="10" customFormat="1" ht="16.899999999999999" customHeight="1" x14ac:dyDescent="0.2">
      <c r="E49" s="239"/>
      <c r="F49" s="239"/>
      <c r="G49" s="239"/>
      <c r="H49" s="239"/>
      <c r="I49" s="239"/>
      <c r="J49" s="239"/>
      <c r="L49" s="138"/>
      <c r="M49" s="138"/>
      <c r="N49" s="138"/>
    </row>
    <row r="50" spans="2:14" s="10" customFormat="1" ht="16.899999999999999" customHeight="1" x14ac:dyDescent="0.2">
      <c r="B50" s="184" t="s">
        <v>1055</v>
      </c>
      <c r="E50" s="239"/>
      <c r="F50" s="239"/>
      <c r="G50" s="239"/>
      <c r="H50" s="239"/>
      <c r="I50" s="239"/>
      <c r="J50" s="239"/>
      <c r="L50" s="138"/>
      <c r="M50" s="138"/>
      <c r="N50" s="138"/>
    </row>
    <row r="51" spans="2:14" s="10" customFormat="1" ht="16.899999999999999" customHeight="1" x14ac:dyDescent="0.2">
      <c r="E51" s="239"/>
      <c r="F51" s="239"/>
      <c r="G51" s="239"/>
      <c r="H51" s="239"/>
      <c r="I51" s="239"/>
      <c r="J51" s="239"/>
      <c r="L51" s="138"/>
      <c r="M51" s="138"/>
      <c r="N51" s="138"/>
    </row>
    <row r="52" spans="2:14" s="4" customFormat="1" ht="16.899999999999999" customHeight="1" x14ac:dyDescent="0.2">
      <c r="B52" s="4" t="s">
        <v>456</v>
      </c>
      <c r="C52" s="24" t="s">
        <v>455</v>
      </c>
      <c r="E52" s="154" t="s">
        <v>226</v>
      </c>
      <c r="F52" s="232">
        <v>657259</v>
      </c>
      <c r="G52" s="154" t="s">
        <v>227</v>
      </c>
      <c r="H52" s="232">
        <v>9406136</v>
      </c>
      <c r="I52" s="154" t="s">
        <v>253</v>
      </c>
      <c r="J52" s="240" t="s">
        <v>364</v>
      </c>
      <c r="L52" s="114"/>
      <c r="M52" s="114"/>
      <c r="N52" s="114"/>
    </row>
    <row r="53" spans="2:14" s="4" customFormat="1" ht="16.899999999999999" customHeight="1" x14ac:dyDescent="0.2">
      <c r="B53" s="4" t="s">
        <v>228</v>
      </c>
      <c r="E53" s="873">
        <v>2542</v>
      </c>
      <c r="F53" s="874"/>
      <c r="G53" s="766"/>
      <c r="H53" s="766"/>
      <c r="I53" s="766"/>
      <c r="J53" s="767"/>
      <c r="L53" s="114"/>
      <c r="M53" s="114"/>
      <c r="N53" s="114"/>
    </row>
    <row r="54" spans="2:14" s="4" customFormat="1" ht="16.899999999999999" customHeight="1" x14ac:dyDescent="0.2">
      <c r="B54" s="4" t="s">
        <v>250</v>
      </c>
      <c r="E54" s="859" t="s">
        <v>249</v>
      </c>
      <c r="F54" s="860"/>
      <c r="G54" s="887"/>
      <c r="H54" s="887"/>
      <c r="I54" s="887"/>
      <c r="J54" s="783"/>
      <c r="L54" s="114"/>
      <c r="M54" s="114"/>
      <c r="N54" s="114"/>
    </row>
    <row r="55" spans="2:14" s="4" customFormat="1" ht="16.899999999999999" customHeight="1" x14ac:dyDescent="0.2">
      <c r="E55" s="111"/>
      <c r="F55" s="111"/>
      <c r="G55" s="241"/>
      <c r="H55" s="241"/>
      <c r="I55" s="241"/>
      <c r="J55" s="241"/>
      <c r="L55" s="114"/>
      <c r="M55" s="114"/>
      <c r="N55" s="114"/>
    </row>
    <row r="56" spans="2:14" s="64" customFormat="1" ht="16.899999999999999" customHeight="1" x14ac:dyDescent="0.2">
      <c r="B56" s="184" t="s">
        <v>1056</v>
      </c>
      <c r="E56" s="185"/>
      <c r="F56" s="185"/>
      <c r="G56" s="239"/>
      <c r="H56" s="239"/>
      <c r="I56" s="239"/>
      <c r="J56" s="239"/>
      <c r="L56" s="138"/>
      <c r="M56" s="138"/>
      <c r="N56" s="138"/>
    </row>
    <row r="57" spans="2:14" s="64" customFormat="1" ht="16.899999999999999" customHeight="1" x14ac:dyDescent="0.2">
      <c r="B57" s="184"/>
      <c r="E57" s="185"/>
      <c r="F57" s="185"/>
      <c r="G57" s="239"/>
      <c r="H57" s="239"/>
      <c r="I57" s="239"/>
      <c r="J57" s="239"/>
      <c r="L57" s="138"/>
      <c r="M57" s="138"/>
      <c r="N57" s="138"/>
    </row>
    <row r="58" spans="2:14" s="64" customFormat="1" ht="16.899999999999999" customHeight="1" x14ac:dyDescent="0.2">
      <c r="B58" s="191" t="s">
        <v>257</v>
      </c>
      <c r="C58" s="835" t="s">
        <v>544</v>
      </c>
      <c r="D58" s="835"/>
      <c r="E58" s="168" t="s">
        <v>255</v>
      </c>
      <c r="F58" s="880" t="s">
        <v>318</v>
      </c>
      <c r="G58" s="880"/>
      <c r="H58" s="168" t="s">
        <v>256</v>
      </c>
      <c r="I58" s="835" t="s">
        <v>319</v>
      </c>
      <c r="J58" s="835"/>
      <c r="L58" s="138"/>
      <c r="M58" s="138"/>
      <c r="N58" s="138"/>
    </row>
    <row r="59" spans="2:14" s="4" customFormat="1" ht="16.899999999999999" customHeight="1" x14ac:dyDescent="0.2">
      <c r="E59" s="111"/>
      <c r="G59" s="241"/>
      <c r="I59" s="241"/>
      <c r="J59" s="241"/>
      <c r="L59" s="114"/>
      <c r="M59" s="114"/>
      <c r="N59" s="114"/>
    </row>
    <row r="60" spans="2:14" s="64" customFormat="1" ht="16.899999999999999" customHeight="1" x14ac:dyDescent="0.2">
      <c r="B60" s="184" t="s">
        <v>1057</v>
      </c>
      <c r="E60" s="185"/>
      <c r="F60" s="185"/>
      <c r="G60" s="239"/>
      <c r="H60" s="239"/>
      <c r="I60" s="239"/>
      <c r="J60" s="239"/>
      <c r="L60" s="138"/>
      <c r="M60" s="138"/>
      <c r="N60" s="138"/>
    </row>
    <row r="61" spans="2:14" s="64" customFormat="1" ht="16.899999999999999" customHeight="1" x14ac:dyDescent="0.2">
      <c r="B61" s="184"/>
      <c r="E61" s="185"/>
      <c r="F61" s="185"/>
      <c r="G61" s="239"/>
      <c r="H61" s="239"/>
      <c r="I61" s="239"/>
      <c r="J61" s="239"/>
      <c r="L61" s="138"/>
      <c r="M61" s="138"/>
      <c r="N61" s="138"/>
    </row>
    <row r="62" spans="2:14" s="64" customFormat="1" ht="30.75" customHeight="1" x14ac:dyDescent="0.2">
      <c r="B62" s="238" t="s">
        <v>406</v>
      </c>
      <c r="C62" s="238" t="s">
        <v>407</v>
      </c>
      <c r="D62" s="238" t="s">
        <v>259</v>
      </c>
      <c r="E62" s="238" t="s">
        <v>260</v>
      </c>
      <c r="F62" s="238" t="s">
        <v>261</v>
      </c>
      <c r="G62" s="238" t="s">
        <v>262</v>
      </c>
      <c r="I62" s="187"/>
      <c r="J62" s="239"/>
      <c r="L62" s="138"/>
      <c r="M62" s="138"/>
      <c r="N62" s="138"/>
    </row>
    <row r="63" spans="2:14" s="64" customFormat="1" ht="33.75" customHeight="1" x14ac:dyDescent="0.2">
      <c r="B63" s="192" t="s">
        <v>365</v>
      </c>
      <c r="C63" s="189" t="s">
        <v>366</v>
      </c>
      <c r="D63" s="193">
        <v>300</v>
      </c>
      <c r="E63" s="194">
        <v>7</v>
      </c>
      <c r="F63" s="193" t="s">
        <v>370</v>
      </c>
      <c r="G63" s="193" t="s">
        <v>375</v>
      </c>
      <c r="I63" s="187"/>
      <c r="J63" s="239"/>
      <c r="L63" s="138"/>
      <c r="M63" s="138"/>
      <c r="N63" s="138"/>
    </row>
    <row r="64" spans="2:14" s="64" customFormat="1" ht="33.75" customHeight="1" x14ac:dyDescent="0.2">
      <c r="B64" s="192" t="s">
        <v>367</v>
      </c>
      <c r="C64" s="189" t="s">
        <v>319</v>
      </c>
      <c r="D64" s="193">
        <v>120</v>
      </c>
      <c r="E64" s="194">
        <v>5</v>
      </c>
      <c r="F64" s="193" t="s">
        <v>371</v>
      </c>
      <c r="G64" s="193" t="s">
        <v>376</v>
      </c>
      <c r="I64" s="187"/>
      <c r="J64" s="239"/>
      <c r="L64" s="138"/>
      <c r="M64" s="138"/>
      <c r="N64" s="138"/>
    </row>
    <row r="65" spans="2:14" s="64" customFormat="1" ht="33.75" customHeight="1" x14ac:dyDescent="0.2">
      <c r="B65" s="192" t="s">
        <v>368</v>
      </c>
      <c r="C65" s="189" t="s">
        <v>369</v>
      </c>
      <c r="D65" s="193">
        <v>50</v>
      </c>
      <c r="E65" s="194">
        <v>1</v>
      </c>
      <c r="F65" s="193" t="s">
        <v>372</v>
      </c>
      <c r="G65" s="193" t="s">
        <v>376</v>
      </c>
      <c r="I65" s="187"/>
      <c r="J65" s="239"/>
      <c r="L65" s="138"/>
      <c r="M65" s="138"/>
      <c r="N65" s="138"/>
    </row>
    <row r="66" spans="2:14" s="64" customFormat="1" ht="33.75" customHeight="1" x14ac:dyDescent="0.2">
      <c r="B66" s="192" t="s">
        <v>369</v>
      </c>
      <c r="C66" s="189" t="s">
        <v>373</v>
      </c>
      <c r="D66" s="193">
        <v>15</v>
      </c>
      <c r="E66" s="194">
        <v>0.5</v>
      </c>
      <c r="F66" s="193" t="s">
        <v>374</v>
      </c>
      <c r="G66" s="193" t="s">
        <v>377</v>
      </c>
      <c r="I66" s="188"/>
      <c r="J66" s="239"/>
      <c r="L66" s="138"/>
      <c r="M66" s="138"/>
      <c r="N66" s="138"/>
    </row>
    <row r="67" spans="2:14" s="64" customFormat="1" ht="16.899999999999999" customHeight="1" x14ac:dyDescent="0.2">
      <c r="B67" s="64" t="s">
        <v>408</v>
      </c>
      <c r="E67" s="185"/>
      <c r="F67" s="185"/>
      <c r="G67" s="239"/>
      <c r="H67" s="239"/>
      <c r="I67" s="239"/>
      <c r="J67" s="239"/>
      <c r="L67" s="138"/>
      <c r="M67" s="138"/>
      <c r="N67" s="138"/>
    </row>
    <row r="70" spans="2:14" s="4" customFormat="1" x14ac:dyDescent="0.2">
      <c r="B70" s="41" t="s">
        <v>217</v>
      </c>
      <c r="C70" s="42"/>
      <c r="D70" s="42"/>
      <c r="E70" s="43"/>
      <c r="F70" s="43"/>
      <c r="G70" s="42"/>
      <c r="H70" s="42"/>
      <c r="I70" s="42"/>
      <c r="J70" s="42"/>
      <c r="L70" s="114"/>
      <c r="M70" s="114"/>
      <c r="N70" s="114"/>
    </row>
    <row r="72" spans="2:14" s="64" customFormat="1" x14ac:dyDescent="0.2">
      <c r="B72" s="184" t="s">
        <v>1058</v>
      </c>
      <c r="L72" s="138"/>
      <c r="M72" s="138"/>
      <c r="N72" s="138"/>
    </row>
    <row r="73" spans="2:14" s="64" customFormat="1" x14ac:dyDescent="0.2">
      <c r="B73" s="184"/>
      <c r="L73" s="138"/>
      <c r="M73" s="138"/>
      <c r="N73" s="138"/>
    </row>
    <row r="74" spans="2:14" s="64" customFormat="1" x14ac:dyDescent="0.2">
      <c r="B74" s="184" t="s">
        <v>1059</v>
      </c>
      <c r="L74" s="138"/>
      <c r="M74" s="138"/>
      <c r="N74" s="138"/>
    </row>
    <row r="75" spans="2:14" s="64" customFormat="1" x14ac:dyDescent="0.2">
      <c r="B75" s="184"/>
      <c r="L75" s="138"/>
      <c r="M75" s="138"/>
      <c r="N75" s="138"/>
    </row>
    <row r="76" spans="2:14" s="64" customFormat="1" ht="16.899999999999999" customHeight="1" x14ac:dyDescent="0.2">
      <c r="B76" s="64" t="s">
        <v>307</v>
      </c>
      <c r="E76" s="878" t="s">
        <v>85</v>
      </c>
      <c r="F76" s="878"/>
      <c r="G76" s="878"/>
      <c r="H76" s="878"/>
      <c r="I76" s="878"/>
      <c r="J76" s="878"/>
      <c r="L76" s="138"/>
      <c r="M76" s="138"/>
      <c r="N76" s="138"/>
    </row>
    <row r="77" spans="2:14" s="64" customFormat="1" ht="16.899999999999999" customHeight="1" x14ac:dyDescent="0.2">
      <c r="B77" s="64" t="s">
        <v>308</v>
      </c>
      <c r="E77" s="878" t="s">
        <v>85</v>
      </c>
      <c r="F77" s="878"/>
      <c r="G77" s="878"/>
      <c r="H77" s="878"/>
      <c r="I77" s="878"/>
      <c r="J77" s="878"/>
      <c r="L77" s="138"/>
      <c r="M77" s="138"/>
      <c r="N77" s="138"/>
    </row>
    <row r="78" spans="2:14" s="64" customFormat="1" ht="16.899999999999999" customHeight="1" x14ac:dyDescent="0.2">
      <c r="B78" s="64" t="s">
        <v>229</v>
      </c>
      <c r="E78" s="878" t="s">
        <v>85</v>
      </c>
      <c r="F78" s="878"/>
      <c r="G78" s="878"/>
      <c r="H78" s="878"/>
      <c r="I78" s="878"/>
      <c r="J78" s="878"/>
      <c r="L78" s="138"/>
      <c r="M78" s="138"/>
      <c r="N78" s="138"/>
    </row>
    <row r="79" spans="2:14" s="64" customFormat="1" ht="16.899999999999999" customHeight="1" x14ac:dyDescent="0.2">
      <c r="B79" s="64" t="s">
        <v>306</v>
      </c>
      <c r="E79" s="878" t="s">
        <v>232</v>
      </c>
      <c r="F79" s="878"/>
      <c r="G79" s="878"/>
      <c r="H79" s="878"/>
      <c r="I79" s="878"/>
      <c r="J79" s="878"/>
      <c r="L79" s="138"/>
      <c r="M79" s="138"/>
      <c r="N79" s="138"/>
    </row>
    <row r="80" spans="2:14" s="64" customFormat="1" ht="16.899999999999999" customHeight="1" x14ac:dyDescent="0.2">
      <c r="B80" s="64" t="s">
        <v>230</v>
      </c>
      <c r="E80" s="878" t="s">
        <v>95</v>
      </c>
      <c r="F80" s="878"/>
      <c r="G80" s="878"/>
      <c r="H80" s="878"/>
      <c r="I80" s="878"/>
      <c r="J80" s="878"/>
      <c r="L80" s="138"/>
      <c r="M80" s="138"/>
      <c r="N80" s="138"/>
    </row>
    <row r="81" spans="2:16" s="64" customFormat="1" ht="16.5" customHeight="1" x14ac:dyDescent="0.2">
      <c r="B81" s="64" t="s">
        <v>266</v>
      </c>
      <c r="E81" s="878"/>
      <c r="F81" s="878"/>
      <c r="G81" s="878"/>
      <c r="H81" s="878"/>
      <c r="I81" s="878"/>
      <c r="J81" s="878"/>
      <c r="L81" s="138"/>
      <c r="M81" s="138"/>
      <c r="N81" s="138"/>
      <c r="P81" s="64" t="s">
        <v>454</v>
      </c>
    </row>
    <row r="82" spans="2:16" s="64" customFormat="1" ht="14.25" customHeight="1" x14ac:dyDescent="0.2">
      <c r="B82" s="329" t="s">
        <v>265</v>
      </c>
      <c r="E82" s="330" t="s">
        <v>1046</v>
      </c>
      <c r="F82" s="331" t="s">
        <v>97</v>
      </c>
      <c r="G82" s="168" t="s">
        <v>1047</v>
      </c>
      <c r="H82" s="168"/>
      <c r="L82" s="138"/>
      <c r="M82" s="138"/>
      <c r="N82" s="138"/>
      <c r="P82" s="64" t="s">
        <v>454</v>
      </c>
    </row>
    <row r="83" spans="2:16" s="64" customFormat="1" x14ac:dyDescent="0.2">
      <c r="B83" s="184"/>
      <c r="L83" s="138"/>
      <c r="M83" s="138"/>
      <c r="N83" s="138"/>
    </row>
    <row r="84" spans="2:16" s="64" customFormat="1" ht="17.25" customHeight="1" x14ac:dyDescent="0.2">
      <c r="B84" s="184" t="s">
        <v>1060</v>
      </c>
      <c r="E84" s="906"/>
      <c r="F84" s="906"/>
      <c r="G84" s="906"/>
      <c r="H84" s="906"/>
      <c r="I84" s="906"/>
      <c r="J84" s="906"/>
      <c r="L84" s="138"/>
      <c r="M84" s="138"/>
      <c r="N84" s="138"/>
    </row>
    <row r="85" spans="2:16" s="64" customFormat="1" ht="17.25" customHeight="1" x14ac:dyDescent="0.2">
      <c r="B85" s="184"/>
      <c r="E85" s="239"/>
      <c r="F85" s="239"/>
      <c r="G85" s="239"/>
      <c r="H85" s="239"/>
      <c r="I85" s="239"/>
      <c r="J85" s="239"/>
      <c r="L85" s="138"/>
      <c r="M85" s="138"/>
      <c r="N85" s="138"/>
    </row>
    <row r="86" spans="2:16" s="64" customFormat="1" ht="17.25" customHeight="1" x14ac:dyDescent="0.2">
      <c r="B86" s="786" t="s">
        <v>309</v>
      </c>
      <c r="C86" s="786" t="s">
        <v>310</v>
      </c>
      <c r="D86" s="786" t="s">
        <v>267</v>
      </c>
      <c r="E86" s="786"/>
      <c r="F86" s="786"/>
      <c r="G86" s="786"/>
      <c r="H86" s="239"/>
      <c r="I86" s="239"/>
      <c r="J86" s="239"/>
      <c r="L86" s="138"/>
      <c r="M86" s="138"/>
      <c r="N86" s="138"/>
    </row>
    <row r="87" spans="2:16" s="64" customFormat="1" ht="31.5" customHeight="1" x14ac:dyDescent="0.2">
      <c r="B87" s="786"/>
      <c r="C87" s="786"/>
      <c r="D87" s="238" t="s">
        <v>268</v>
      </c>
      <c r="E87" s="238" t="s">
        <v>269</v>
      </c>
      <c r="F87" s="238" t="s">
        <v>270</v>
      </c>
      <c r="G87" s="238" t="s">
        <v>502</v>
      </c>
      <c r="H87" s="239"/>
      <c r="I87" s="239"/>
      <c r="J87" s="239"/>
      <c r="L87" s="138"/>
      <c r="M87" s="138"/>
      <c r="N87" s="138"/>
    </row>
    <row r="88" spans="2:16" s="64" customFormat="1" ht="17.25" customHeight="1" x14ac:dyDescent="0.2">
      <c r="B88" s="196" t="s">
        <v>272</v>
      </c>
      <c r="C88" s="197"/>
      <c r="D88" s="197"/>
      <c r="E88" s="197"/>
      <c r="F88" s="197"/>
      <c r="G88" s="197"/>
      <c r="H88" s="239"/>
      <c r="I88" s="239"/>
      <c r="J88" s="239"/>
      <c r="L88" s="138"/>
      <c r="M88" s="138"/>
      <c r="N88" s="138"/>
    </row>
    <row r="89" spans="2:16" s="64" customFormat="1" ht="17.25" customHeight="1" x14ac:dyDescent="0.2">
      <c r="B89" s="196" t="s">
        <v>378</v>
      </c>
      <c r="C89" s="193" t="s">
        <v>369</v>
      </c>
      <c r="D89" s="193">
        <v>657278</v>
      </c>
      <c r="E89" s="193">
        <v>9406140</v>
      </c>
      <c r="F89" s="193" t="s">
        <v>364</v>
      </c>
      <c r="G89" s="198">
        <v>2595</v>
      </c>
      <c r="H89" s="239"/>
      <c r="I89" s="239"/>
      <c r="J89" s="239"/>
      <c r="L89" s="138"/>
      <c r="M89" s="138"/>
      <c r="N89" s="138"/>
    </row>
    <row r="90" spans="2:16" s="64" customFormat="1" ht="17.25" customHeight="1" x14ac:dyDescent="0.2">
      <c r="B90" s="196" t="s">
        <v>273</v>
      </c>
      <c r="C90" s="197"/>
      <c r="D90" s="197"/>
      <c r="E90" s="197"/>
      <c r="F90" s="197"/>
      <c r="G90" s="197"/>
      <c r="H90" s="239"/>
      <c r="I90" s="239"/>
      <c r="J90" s="239"/>
      <c r="L90" s="138"/>
      <c r="M90" s="138"/>
      <c r="N90" s="138"/>
    </row>
    <row r="91" spans="2:16" s="64" customFormat="1" ht="17.25" customHeight="1" x14ac:dyDescent="0.2">
      <c r="B91" s="196" t="s">
        <v>274</v>
      </c>
      <c r="C91" s="197"/>
      <c r="D91" s="197"/>
      <c r="E91" s="197"/>
      <c r="F91" s="197"/>
      <c r="G91" s="197"/>
      <c r="H91" s="239"/>
      <c r="I91" s="239"/>
      <c r="J91" s="239"/>
      <c r="L91" s="138"/>
      <c r="M91" s="138"/>
      <c r="N91" s="138"/>
    </row>
    <row r="92" spans="2:16" s="64" customFormat="1" ht="17.25" customHeight="1" x14ac:dyDescent="0.2">
      <c r="B92" s="196" t="s">
        <v>379</v>
      </c>
      <c r="C92" s="197"/>
      <c r="D92" s="197"/>
      <c r="E92" s="197"/>
      <c r="F92" s="197"/>
      <c r="G92" s="197"/>
      <c r="H92" s="239"/>
      <c r="I92" s="239"/>
      <c r="J92" s="239"/>
      <c r="L92" s="138"/>
      <c r="M92" s="138"/>
      <c r="N92" s="138"/>
    </row>
    <row r="93" spans="2:16" s="64" customFormat="1" ht="17.25" customHeight="1" x14ac:dyDescent="0.2">
      <c r="B93" s="196" t="s">
        <v>380</v>
      </c>
      <c r="C93" s="197"/>
      <c r="D93" s="197"/>
      <c r="E93" s="197"/>
      <c r="F93" s="197"/>
      <c r="G93" s="197"/>
      <c r="H93" s="239"/>
      <c r="I93" s="239"/>
      <c r="J93" s="239"/>
      <c r="L93" s="138"/>
      <c r="M93" s="138"/>
      <c r="N93" s="138"/>
    </row>
    <row r="94" spans="2:16" s="64" customFormat="1" ht="18" customHeight="1" x14ac:dyDescent="0.2">
      <c r="E94" s="239"/>
      <c r="F94" s="239"/>
      <c r="G94" s="239"/>
      <c r="H94" s="239"/>
      <c r="I94" s="239"/>
      <c r="J94" s="239"/>
      <c r="L94" s="138"/>
      <c r="M94" s="138"/>
      <c r="N94" s="138"/>
    </row>
    <row r="95" spans="2:16" s="64" customFormat="1" ht="18" customHeight="1" x14ac:dyDescent="0.2">
      <c r="B95" s="184" t="s">
        <v>1061</v>
      </c>
      <c r="E95" s="316"/>
      <c r="F95" s="316"/>
      <c r="G95" s="316"/>
      <c r="H95" s="316"/>
      <c r="I95" s="316"/>
      <c r="J95" s="316"/>
      <c r="L95" s="138"/>
      <c r="M95" s="138"/>
      <c r="N95" s="138"/>
    </row>
    <row r="96" spans="2:16" s="64" customFormat="1" ht="18" customHeight="1" x14ac:dyDescent="0.2">
      <c r="E96" s="316"/>
      <c r="F96" s="316"/>
      <c r="G96" s="316"/>
      <c r="H96" s="316"/>
      <c r="I96" s="316"/>
      <c r="J96" s="316"/>
      <c r="L96" s="138"/>
      <c r="M96" s="138"/>
      <c r="N96" s="138"/>
    </row>
    <row r="97" spans="2:14" s="64" customFormat="1" ht="18" customHeight="1" x14ac:dyDescent="0.2">
      <c r="B97" s="812" t="s">
        <v>293</v>
      </c>
      <c r="C97" s="812"/>
      <c r="D97" s="812"/>
      <c r="E97" s="319">
        <v>12</v>
      </c>
      <c r="F97" s="171" t="s">
        <v>294</v>
      </c>
      <c r="G97" s="201"/>
      <c r="H97" s="907"/>
      <c r="I97" s="907"/>
      <c r="J97" s="907"/>
      <c r="L97" s="138"/>
      <c r="M97" s="138"/>
      <c r="N97" s="138"/>
    </row>
    <row r="98" spans="2:14" s="64" customFormat="1" ht="18" customHeight="1" x14ac:dyDescent="0.2">
      <c r="E98" s="316"/>
      <c r="F98" s="316"/>
      <c r="G98" s="316"/>
      <c r="H98" s="316"/>
      <c r="I98" s="316"/>
      <c r="J98" s="316"/>
      <c r="L98" s="138"/>
      <c r="M98" s="138"/>
      <c r="N98" s="138"/>
    </row>
    <row r="99" spans="2:14" s="4" customFormat="1" x14ac:dyDescent="0.2">
      <c r="B99" s="31" t="s">
        <v>1062</v>
      </c>
      <c r="I99" s="10"/>
      <c r="J99" s="10"/>
      <c r="K99" s="10"/>
      <c r="L99" s="114"/>
      <c r="M99" s="114"/>
      <c r="N99" s="114"/>
    </row>
    <row r="100" spans="2:14" s="4" customFormat="1" x14ac:dyDescent="0.2">
      <c r="I100" s="10"/>
      <c r="J100" s="10"/>
      <c r="K100" s="10"/>
      <c r="L100" s="114"/>
      <c r="M100" s="114"/>
      <c r="N100" s="114"/>
    </row>
    <row r="101" spans="2:14" s="4" customFormat="1" x14ac:dyDescent="0.2">
      <c r="B101" s="31" t="s">
        <v>1064</v>
      </c>
      <c r="I101" s="10"/>
      <c r="J101" s="10"/>
      <c r="K101" s="10"/>
      <c r="L101" s="114"/>
      <c r="M101" s="114"/>
      <c r="N101" s="114"/>
    </row>
    <row r="102" spans="2:14" s="4" customFormat="1" x14ac:dyDescent="0.2">
      <c r="I102" s="10"/>
      <c r="J102" s="10"/>
      <c r="K102" s="10"/>
      <c r="L102" s="114"/>
      <c r="M102" s="114"/>
      <c r="N102" s="114"/>
    </row>
    <row r="103" spans="2:14" s="4" customFormat="1" ht="18.75" customHeight="1" x14ac:dyDescent="0.2">
      <c r="B103" s="856" t="s">
        <v>195</v>
      </c>
      <c r="C103" s="858"/>
      <c r="D103" s="858"/>
      <c r="E103" s="858"/>
      <c r="F103" s="858"/>
      <c r="G103" s="858"/>
      <c r="H103" s="858"/>
      <c r="I103" s="858"/>
      <c r="J103" s="857"/>
      <c r="K103" s="10"/>
      <c r="L103" s="114"/>
      <c r="M103" s="114"/>
      <c r="N103" s="114"/>
    </row>
    <row r="104" spans="2:14" s="4" customFormat="1" ht="21" customHeight="1" x14ac:dyDescent="0.2">
      <c r="B104" s="959" t="s">
        <v>1048</v>
      </c>
      <c r="C104" s="960"/>
      <c r="D104" s="960"/>
      <c r="E104" s="960"/>
      <c r="F104" s="960"/>
      <c r="G104" s="960"/>
      <c r="H104" s="960"/>
      <c r="I104" s="960"/>
      <c r="J104" s="961"/>
      <c r="K104" s="39"/>
      <c r="L104" s="114"/>
      <c r="M104" s="114"/>
      <c r="N104" s="114"/>
    </row>
    <row r="105" spans="2:14" s="4" customFormat="1" x14ac:dyDescent="0.2">
      <c r="I105" s="10"/>
      <c r="J105" s="10"/>
      <c r="K105" s="10"/>
      <c r="L105" s="114"/>
      <c r="M105" s="114"/>
      <c r="N105" s="114"/>
    </row>
    <row r="106" spans="2:14" s="4" customFormat="1" x14ac:dyDescent="0.2">
      <c r="B106" s="184" t="s">
        <v>1065</v>
      </c>
      <c r="I106" s="10"/>
      <c r="J106" s="10"/>
      <c r="K106" s="10"/>
      <c r="L106" s="114"/>
      <c r="M106" s="114"/>
      <c r="N106" s="114"/>
    </row>
    <row r="107" spans="2:14" s="4" customFormat="1" x14ac:dyDescent="0.2">
      <c r="I107" s="10"/>
      <c r="J107" s="10"/>
      <c r="K107" s="10"/>
      <c r="L107" s="114"/>
      <c r="M107" s="114"/>
      <c r="N107" s="114"/>
    </row>
    <row r="108" spans="2:14" s="4" customFormat="1" ht="18" customHeight="1" x14ac:dyDescent="0.2">
      <c r="B108" s="313" t="s">
        <v>57</v>
      </c>
      <c r="C108" s="775" t="s">
        <v>194</v>
      </c>
      <c r="D108" s="775"/>
      <c r="E108" s="758"/>
      <c r="F108" s="808" t="s">
        <v>56</v>
      </c>
      <c r="G108" s="808"/>
      <c r="H108" s="808"/>
      <c r="I108" s="808"/>
      <c r="J108" s="808"/>
      <c r="K108" s="114"/>
      <c r="L108" s="114"/>
      <c r="M108" s="114"/>
    </row>
    <row r="109" spans="2:14" s="4" customFormat="1" ht="60" customHeight="1" x14ac:dyDescent="0.2">
      <c r="B109" s="15" t="s">
        <v>75</v>
      </c>
      <c r="C109" s="945" t="s">
        <v>321</v>
      </c>
      <c r="D109" s="946"/>
      <c r="E109" s="947"/>
      <c r="F109" s="948" t="s">
        <v>322</v>
      </c>
      <c r="G109" s="949"/>
      <c r="H109" s="949"/>
      <c r="I109" s="949"/>
      <c r="J109" s="950"/>
      <c r="K109" s="114"/>
      <c r="L109" s="114"/>
      <c r="M109" s="114"/>
    </row>
    <row r="110" spans="2:14" s="4" customFormat="1" ht="60" customHeight="1" x14ac:dyDescent="0.2">
      <c r="B110" s="15" t="s">
        <v>74</v>
      </c>
      <c r="C110" s="945" t="s">
        <v>323</v>
      </c>
      <c r="D110" s="946"/>
      <c r="E110" s="947"/>
      <c r="F110" s="948" t="s">
        <v>324</v>
      </c>
      <c r="G110" s="949"/>
      <c r="H110" s="949"/>
      <c r="I110" s="949"/>
      <c r="J110" s="950"/>
      <c r="K110" s="114"/>
      <c r="L110" s="114"/>
      <c r="M110" s="114"/>
    </row>
    <row r="111" spans="2:14" s="4" customFormat="1" x14ac:dyDescent="0.2">
      <c r="B111" s="6"/>
      <c r="C111" s="6"/>
      <c r="J111" s="6"/>
      <c r="L111" s="114"/>
      <c r="M111" s="114"/>
      <c r="N111" s="114"/>
    </row>
    <row r="112" spans="2:14" s="4" customFormat="1" x14ac:dyDescent="0.2">
      <c r="B112" s="31" t="s">
        <v>1063</v>
      </c>
      <c r="G112" s="39"/>
      <c r="J112" s="6"/>
      <c r="L112" s="114"/>
      <c r="M112" s="114"/>
      <c r="N112" s="114"/>
    </row>
    <row r="113" spans="2:16" s="4" customFormat="1" x14ac:dyDescent="0.2">
      <c r="B113" s="31"/>
      <c r="G113" s="39"/>
      <c r="J113" s="6"/>
      <c r="L113" s="114"/>
      <c r="M113" s="114"/>
      <c r="N113" s="114"/>
    </row>
    <row r="114" spans="2:16" s="4" customFormat="1" x14ac:dyDescent="0.2">
      <c r="B114" s="31" t="s">
        <v>1066</v>
      </c>
      <c r="J114" s="6"/>
      <c r="L114" s="114"/>
      <c r="M114" s="114"/>
      <c r="N114" s="114"/>
    </row>
    <row r="115" spans="2:16" s="4" customFormat="1" x14ac:dyDescent="0.2">
      <c r="B115" s="31"/>
      <c r="J115" s="6"/>
      <c r="L115" s="114"/>
      <c r="M115" s="114"/>
      <c r="N115" s="114"/>
    </row>
    <row r="116" spans="2:16" s="4" customFormat="1" ht="16.899999999999999" customHeight="1" x14ac:dyDescent="0.2">
      <c r="B116" s="856" t="s">
        <v>186</v>
      </c>
      <c r="C116" s="858"/>
      <c r="D116" s="858"/>
      <c r="E116" s="858"/>
      <c r="F116" s="858"/>
      <c r="G116" s="858"/>
      <c r="H116" s="858"/>
      <c r="I116" s="858"/>
      <c r="J116" s="857"/>
      <c r="L116" s="114"/>
      <c r="M116" s="114"/>
      <c r="N116" s="114"/>
    </row>
    <row r="117" spans="2:16" s="4" customFormat="1" ht="24.75" customHeight="1" x14ac:dyDescent="0.2">
      <c r="B117" s="956" t="s">
        <v>1049</v>
      </c>
      <c r="C117" s="957"/>
      <c r="D117" s="957"/>
      <c r="E117" s="957"/>
      <c r="F117" s="957"/>
      <c r="G117" s="957"/>
      <c r="H117" s="957"/>
      <c r="I117" s="957"/>
      <c r="J117" s="958"/>
      <c r="K117" s="10"/>
      <c r="L117" s="114"/>
      <c r="M117" s="114"/>
      <c r="N117" s="114"/>
    </row>
    <row r="118" spans="2:16" s="64" customFormat="1" x14ac:dyDescent="0.2">
      <c r="B118" s="21"/>
      <c r="C118" s="21"/>
      <c r="D118" s="21"/>
      <c r="E118" s="21"/>
      <c r="F118" s="21"/>
      <c r="G118" s="10"/>
      <c r="H118" s="10"/>
      <c r="I118" s="13"/>
      <c r="J118" s="13"/>
      <c r="K118" s="21"/>
      <c r="L118" s="212"/>
      <c r="M118" s="212"/>
      <c r="N118" s="138"/>
    </row>
    <row r="119" spans="2:16" s="64" customFormat="1" x14ac:dyDescent="0.2">
      <c r="B119" s="184" t="s">
        <v>1067</v>
      </c>
      <c r="C119" s="21"/>
      <c r="D119" s="21"/>
      <c r="E119" s="21"/>
      <c r="F119" s="10"/>
      <c r="J119" s="213"/>
      <c r="K119" s="21"/>
      <c r="L119" s="212"/>
      <c r="M119" s="212"/>
      <c r="N119" s="138"/>
    </row>
    <row r="120" spans="2:16" s="64" customFormat="1" x14ac:dyDescent="0.2">
      <c r="B120" s="21"/>
      <c r="C120" s="21"/>
      <c r="D120" s="21"/>
      <c r="E120" s="21"/>
      <c r="F120" s="10"/>
      <c r="K120" s="21"/>
      <c r="L120" s="212"/>
      <c r="M120" s="212"/>
      <c r="N120" s="138"/>
    </row>
    <row r="121" spans="2:16" s="4" customFormat="1" ht="15.6" customHeight="1" x14ac:dyDescent="0.2">
      <c r="B121" s="313" t="s">
        <v>71</v>
      </c>
      <c r="C121" s="808" t="s">
        <v>187</v>
      </c>
      <c r="D121" s="808"/>
      <c r="E121" s="808"/>
      <c r="F121" s="808"/>
      <c r="G121" s="808"/>
      <c r="H121" s="808"/>
      <c r="I121" s="808"/>
      <c r="J121" s="808"/>
      <c r="K121" s="21"/>
      <c r="L121" s="113"/>
      <c r="M121" s="113"/>
      <c r="N121" s="114"/>
    </row>
    <row r="122" spans="2:16" s="64" customFormat="1" ht="18" customHeight="1" x14ac:dyDescent="0.2">
      <c r="B122" s="171">
        <v>1</v>
      </c>
      <c r="C122" s="879" t="s">
        <v>326</v>
      </c>
      <c r="D122" s="879"/>
      <c r="E122" s="879"/>
      <c r="F122" s="879"/>
      <c r="G122" s="879"/>
      <c r="H122" s="879"/>
      <c r="I122" s="879"/>
      <c r="J122" s="879"/>
      <c r="K122" s="21"/>
      <c r="L122" s="212"/>
      <c r="M122" s="212"/>
      <c r="N122" s="138"/>
    </row>
    <row r="123" spans="2:16" s="64" customFormat="1" ht="18" customHeight="1" x14ac:dyDescent="0.2">
      <c r="B123" s="171">
        <v>2</v>
      </c>
      <c r="C123" s="879" t="s">
        <v>327</v>
      </c>
      <c r="D123" s="879"/>
      <c r="E123" s="879"/>
      <c r="F123" s="879"/>
      <c r="G123" s="879"/>
      <c r="H123" s="879"/>
      <c r="I123" s="879"/>
      <c r="J123" s="879"/>
      <c r="K123" s="21"/>
      <c r="L123" s="212"/>
      <c r="M123" s="212"/>
      <c r="N123" s="138"/>
    </row>
    <row r="124" spans="2:16" s="64" customFormat="1" ht="18" customHeight="1" x14ac:dyDescent="0.2">
      <c r="E124" s="316"/>
      <c r="F124" s="316"/>
      <c r="G124" s="316"/>
      <c r="H124" s="316"/>
      <c r="I124" s="316"/>
      <c r="J124" s="316"/>
      <c r="L124" s="138"/>
      <c r="M124" s="138"/>
      <c r="N124" s="138"/>
    </row>
    <row r="125" spans="2:16" s="64" customFormat="1" ht="18" customHeight="1" x14ac:dyDescent="0.2">
      <c r="E125" s="316"/>
      <c r="F125" s="316"/>
      <c r="G125" s="316"/>
      <c r="H125" s="316"/>
      <c r="I125" s="316"/>
      <c r="J125" s="316"/>
      <c r="L125" s="138"/>
      <c r="M125" s="138"/>
      <c r="N125" s="138"/>
    </row>
    <row r="126" spans="2:16" s="4" customFormat="1" ht="17.25" customHeight="1" x14ac:dyDescent="0.2">
      <c r="B126" s="41" t="s">
        <v>218</v>
      </c>
      <c r="C126" s="42"/>
      <c r="D126" s="42"/>
      <c r="E126" s="43"/>
      <c r="F126" s="42"/>
      <c r="G126" s="42"/>
      <c r="H126" s="42"/>
      <c r="I126" s="42"/>
      <c r="J126" s="42"/>
      <c r="L126" s="114"/>
      <c r="M126" s="114"/>
      <c r="N126" s="114"/>
    </row>
    <row r="127" spans="2:16" s="4" customFormat="1" ht="15" customHeight="1" x14ac:dyDescent="0.2">
      <c r="B127" s="2"/>
      <c r="C127" s="2"/>
      <c r="D127" s="2"/>
      <c r="E127" s="2"/>
      <c r="F127" s="2"/>
      <c r="G127" s="2"/>
      <c r="H127" s="6"/>
      <c r="I127" s="6"/>
      <c r="J127" s="6"/>
      <c r="K127" s="6"/>
      <c r="L127" s="114"/>
      <c r="M127" s="114"/>
      <c r="N127" s="114"/>
      <c r="O127" s="6"/>
      <c r="P127" s="6"/>
    </row>
    <row r="128" spans="2:16" s="4" customFormat="1" x14ac:dyDescent="0.2">
      <c r="B128" s="31" t="s">
        <v>221</v>
      </c>
      <c r="L128" s="114"/>
      <c r="M128" s="114"/>
      <c r="N128" s="114"/>
    </row>
    <row r="129" spans="2:18" s="4" customFormat="1" x14ac:dyDescent="0.2">
      <c r="L129" s="114"/>
      <c r="M129" s="114"/>
      <c r="N129" s="114"/>
    </row>
    <row r="130" spans="2:18" s="4" customFormat="1" ht="24" customHeight="1" x14ac:dyDescent="0.2">
      <c r="B130" s="856" t="s">
        <v>335</v>
      </c>
      <c r="C130" s="858"/>
      <c r="D130" s="858"/>
      <c r="E130" s="856" t="s">
        <v>196</v>
      </c>
      <c r="F130" s="857"/>
      <c r="G130" s="856" t="s">
        <v>336</v>
      </c>
      <c r="H130" s="857"/>
      <c r="I130" s="757" t="s">
        <v>337</v>
      </c>
      <c r="J130" s="758"/>
      <c r="L130" s="114"/>
      <c r="M130" s="114"/>
      <c r="N130" s="114"/>
    </row>
    <row r="131" spans="2:18" s="4" customFormat="1" ht="18.75" customHeight="1" x14ac:dyDescent="0.2">
      <c r="B131" s="332" t="s">
        <v>338</v>
      </c>
      <c r="C131" s="333"/>
      <c r="D131" s="333"/>
      <c r="E131" s="952" t="s">
        <v>145</v>
      </c>
      <c r="F131" s="953"/>
      <c r="G131" s="954">
        <v>2362143</v>
      </c>
      <c r="H131" s="955"/>
      <c r="I131" s="936">
        <v>20</v>
      </c>
      <c r="J131" s="937"/>
      <c r="L131" s="114"/>
      <c r="M131" s="114"/>
      <c r="N131" s="114"/>
    </row>
    <row r="132" spans="2:18" s="64" customFormat="1" ht="19.5" customHeight="1" x14ac:dyDescent="0.2">
      <c r="E132" s="239"/>
      <c r="F132" s="239"/>
      <c r="G132" s="239"/>
      <c r="H132" s="239"/>
      <c r="I132" s="239"/>
      <c r="J132" s="239"/>
      <c r="L132" s="138"/>
      <c r="M132" s="138"/>
      <c r="N132" s="138"/>
    </row>
    <row r="133" spans="2:18" s="64" customFormat="1" ht="19.5" customHeight="1" x14ac:dyDescent="0.2">
      <c r="E133" s="239"/>
      <c r="F133" s="239"/>
      <c r="G133" s="239"/>
      <c r="H133" s="239"/>
      <c r="I133" s="239"/>
      <c r="J133" s="239"/>
      <c r="L133" s="138"/>
      <c r="M133" s="138"/>
      <c r="N133" s="138"/>
    </row>
    <row r="134" spans="2:18" s="6" customFormat="1" ht="16.5" customHeight="1" x14ac:dyDescent="0.2">
      <c r="B134" s="46" t="s">
        <v>222</v>
      </c>
      <c r="C134" s="47"/>
      <c r="D134" s="47"/>
      <c r="E134" s="47"/>
      <c r="F134" s="47"/>
      <c r="G134" s="47"/>
      <c r="H134" s="48"/>
      <c r="I134" s="42"/>
      <c r="J134" s="42"/>
      <c r="L134" s="116"/>
      <c r="M134" s="116"/>
      <c r="N134" s="116"/>
      <c r="O134" s="49"/>
      <c r="P134" s="855"/>
      <c r="Q134" s="855"/>
      <c r="R134" s="855"/>
    </row>
    <row r="135" spans="2:18" s="64" customFormat="1" ht="19.5" customHeight="1" x14ac:dyDescent="0.2">
      <c r="E135" s="239"/>
      <c r="F135" s="239"/>
      <c r="G135" s="239"/>
      <c r="H135" s="239"/>
      <c r="I135" s="239"/>
      <c r="J135" s="239"/>
      <c r="L135" s="138"/>
      <c r="M135" s="138"/>
      <c r="N135" s="138"/>
    </row>
    <row r="136" spans="2:18" s="10" customFormat="1" ht="18.600000000000001" customHeight="1" x14ac:dyDescent="0.2">
      <c r="B136" s="216" t="s">
        <v>202</v>
      </c>
      <c r="C136" s="323"/>
      <c r="D136" s="323"/>
      <c r="E136" s="213"/>
      <c r="F136" s="323"/>
      <c r="G136" s="324"/>
      <c r="H136" s="324"/>
      <c r="I136" s="325"/>
      <c r="J136" s="325"/>
      <c r="L136" s="326"/>
      <c r="M136" s="326"/>
      <c r="N136" s="326"/>
      <c r="O136" s="327"/>
    </row>
    <row r="137" spans="2:18" s="10" customFormat="1" ht="18.600000000000001" customHeight="1" x14ac:dyDescent="0.2">
      <c r="B137" s="216"/>
      <c r="C137" s="323"/>
      <c r="D137" s="323"/>
      <c r="E137" s="213"/>
      <c r="F137" s="323"/>
      <c r="G137" s="324"/>
      <c r="H137" s="324"/>
      <c r="I137" s="325"/>
      <c r="J137" s="325"/>
      <c r="L137" s="326"/>
      <c r="M137" s="326"/>
      <c r="N137" s="326"/>
      <c r="O137" s="327"/>
    </row>
    <row r="138" spans="2:18" s="10" customFormat="1" ht="15.6" customHeight="1" x14ac:dyDescent="0.2">
      <c r="B138" s="32" t="s">
        <v>188</v>
      </c>
      <c r="E138" s="248">
        <v>10</v>
      </c>
      <c r="F138" s="10" t="s">
        <v>1025</v>
      </c>
      <c r="G138" s="187"/>
      <c r="H138" s="187"/>
      <c r="I138" s="187"/>
      <c r="J138" s="187"/>
      <c r="L138" s="326"/>
      <c r="M138" s="326"/>
      <c r="N138" s="326"/>
      <c r="O138" s="327"/>
    </row>
    <row r="139" spans="2:18" s="10" customFormat="1" ht="15.6" customHeight="1" x14ac:dyDescent="0.2">
      <c r="G139" s="187"/>
      <c r="H139" s="187"/>
      <c r="I139" s="187"/>
      <c r="J139" s="187"/>
      <c r="L139" s="326"/>
      <c r="M139" s="326"/>
      <c r="N139" s="326"/>
      <c r="O139" s="327"/>
    </row>
    <row r="140" spans="2:18" s="10" customFormat="1" ht="15.6" customHeight="1" x14ac:dyDescent="0.2">
      <c r="B140" s="32" t="s">
        <v>189</v>
      </c>
      <c r="J140" s="187"/>
      <c r="L140" s="326"/>
      <c r="M140" s="326"/>
      <c r="N140" s="326"/>
      <c r="O140" s="327"/>
    </row>
    <row r="141" spans="2:18" s="10" customFormat="1" ht="15.6" customHeight="1" x14ac:dyDescent="0.2">
      <c r="B141" s="32"/>
      <c r="J141" s="187"/>
      <c r="L141" s="326"/>
      <c r="M141" s="326"/>
      <c r="N141" s="326"/>
      <c r="O141" s="327"/>
    </row>
    <row r="142" spans="2:18" s="10" customFormat="1" ht="15.6" customHeight="1" x14ac:dyDescent="0.2">
      <c r="B142" s="10" t="s">
        <v>1026</v>
      </c>
      <c r="G142" s="171" t="s">
        <v>97</v>
      </c>
      <c r="J142" s="187"/>
      <c r="L142" s="326"/>
      <c r="M142" s="326"/>
      <c r="N142" s="326"/>
      <c r="O142" s="327"/>
    </row>
    <row r="143" spans="2:18" s="10" customFormat="1" ht="15.6" customHeight="1" x14ac:dyDescent="0.2">
      <c r="B143" s="10" t="s">
        <v>1027</v>
      </c>
      <c r="G143" s="168"/>
      <c r="J143" s="187"/>
      <c r="L143" s="326"/>
      <c r="M143" s="326"/>
      <c r="N143" s="326"/>
      <c r="O143" s="327"/>
    </row>
    <row r="144" spans="2:18" s="64" customFormat="1" ht="19.5" customHeight="1" x14ac:dyDescent="0.2">
      <c r="E144" s="316"/>
      <c r="F144" s="316"/>
      <c r="G144" s="316"/>
      <c r="H144" s="316"/>
      <c r="I144" s="316"/>
      <c r="J144" s="316"/>
      <c r="L144" s="138"/>
      <c r="M144" s="138"/>
      <c r="N144" s="138"/>
    </row>
    <row r="145" spans="2:14" s="64" customFormat="1" ht="19.5" customHeight="1" x14ac:dyDescent="0.2">
      <c r="E145" s="316"/>
      <c r="F145" s="316"/>
      <c r="G145" s="316"/>
      <c r="H145" s="316"/>
      <c r="I145" s="316"/>
      <c r="J145" s="316"/>
      <c r="L145" s="138"/>
      <c r="M145" s="138"/>
      <c r="N145" s="138"/>
    </row>
    <row r="146" spans="2:14" s="64" customFormat="1" ht="19.5" customHeight="1" x14ac:dyDescent="0.2">
      <c r="B146" s="184" t="s">
        <v>550</v>
      </c>
      <c r="E146" s="239"/>
      <c r="F146" s="239"/>
      <c r="G146" s="239"/>
      <c r="H146" s="239"/>
      <c r="I146" s="239"/>
      <c r="J146" s="239"/>
      <c r="L146" s="138"/>
      <c r="M146" s="138"/>
      <c r="N146" s="138"/>
    </row>
    <row r="147" spans="2:14" s="64" customFormat="1" ht="19.5" customHeight="1" x14ac:dyDescent="0.2">
      <c r="E147" s="239"/>
      <c r="F147" s="239"/>
      <c r="G147" s="239"/>
      <c r="H147" s="239"/>
      <c r="I147" s="239"/>
      <c r="J147" s="239"/>
      <c r="L147" s="138"/>
      <c r="M147" s="138"/>
      <c r="N147" s="138"/>
    </row>
    <row r="148" spans="2:14" s="64" customFormat="1" ht="19.5" customHeight="1" x14ac:dyDescent="0.2">
      <c r="B148" s="184" t="s">
        <v>399</v>
      </c>
      <c r="E148" s="239"/>
      <c r="F148" s="239"/>
      <c r="G148" s="239"/>
      <c r="H148" s="239"/>
      <c r="I148" s="239"/>
      <c r="J148" s="239"/>
      <c r="L148" s="138"/>
      <c r="M148" s="138"/>
      <c r="N148" s="138"/>
    </row>
    <row r="149" spans="2:14" s="64" customFormat="1" ht="19.5" customHeight="1" x14ac:dyDescent="0.2">
      <c r="B149" s="184"/>
      <c r="E149" s="239"/>
      <c r="F149" s="239"/>
      <c r="G149" s="239"/>
      <c r="H149" s="239"/>
      <c r="I149" s="239"/>
      <c r="J149" s="239"/>
      <c r="L149" s="138"/>
      <c r="M149" s="138"/>
      <c r="N149" s="138"/>
    </row>
    <row r="150" spans="2:14" s="64" customFormat="1" ht="17.25" customHeight="1" x14ac:dyDescent="0.2">
      <c r="B150" s="64" t="s">
        <v>400</v>
      </c>
      <c r="C150" s="233"/>
      <c r="E150" s="168" t="s">
        <v>401</v>
      </c>
      <c r="F150" s="835" t="s">
        <v>97</v>
      </c>
      <c r="G150" s="835"/>
      <c r="H150" s="168" t="s">
        <v>402</v>
      </c>
      <c r="I150" s="836"/>
      <c r="J150" s="836"/>
      <c r="L150" s="138"/>
      <c r="M150" s="138"/>
      <c r="N150" s="138"/>
    </row>
    <row r="151" spans="2:14" s="64" customFormat="1" ht="17.25" customHeight="1" x14ac:dyDescent="0.2">
      <c r="B151" s="64" t="s">
        <v>403</v>
      </c>
      <c r="E151" s="878" t="s">
        <v>398</v>
      </c>
      <c r="F151" s="878"/>
      <c r="G151" s="878"/>
      <c r="H151" s="878"/>
      <c r="I151" s="878"/>
      <c r="J151" s="878"/>
      <c r="L151" s="138"/>
      <c r="M151" s="138"/>
      <c r="N151" s="138"/>
    </row>
    <row r="152" spans="2:14" s="64" customFormat="1" ht="17.25" customHeight="1" x14ac:dyDescent="0.2">
      <c r="E152" s="239"/>
      <c r="F152" s="239"/>
      <c r="G152" s="239"/>
      <c r="H152" s="239"/>
      <c r="I152" s="239"/>
      <c r="J152" s="239"/>
      <c r="L152" s="138"/>
      <c r="M152" s="138"/>
      <c r="N152" s="138"/>
    </row>
    <row r="153" spans="2:14" s="64" customFormat="1" ht="17.25" customHeight="1" x14ac:dyDescent="0.2">
      <c r="B153" s="184" t="s">
        <v>522</v>
      </c>
      <c r="E153" s="239"/>
      <c r="F153" s="239"/>
      <c r="G153" s="239"/>
      <c r="H153" s="239"/>
      <c r="I153" s="239"/>
      <c r="J153" s="239"/>
      <c r="L153" s="138"/>
      <c r="M153" s="138"/>
      <c r="N153" s="138"/>
    </row>
    <row r="154" spans="2:14" s="64" customFormat="1" ht="17.25" customHeight="1" x14ac:dyDescent="0.2">
      <c r="E154" s="239"/>
      <c r="F154" s="239"/>
      <c r="G154" s="239"/>
      <c r="H154" s="239"/>
      <c r="I154" s="239"/>
      <c r="J154" s="239"/>
      <c r="L154" s="138"/>
      <c r="M154" s="138"/>
      <c r="N154" s="138"/>
    </row>
    <row r="155" spans="2:14" s="64" customFormat="1" ht="17.25" customHeight="1" x14ac:dyDescent="0.2">
      <c r="B155" s="812" t="s">
        <v>381</v>
      </c>
      <c r="C155" s="812"/>
      <c r="D155" s="812"/>
      <c r="E155" s="242">
        <v>15</v>
      </c>
      <c r="F155" s="171" t="s">
        <v>154</v>
      </c>
      <c r="G155" s="201"/>
      <c r="H155" s="200"/>
      <c r="I155" s="906"/>
      <c r="J155" s="906"/>
      <c r="L155" s="138"/>
      <c r="M155" s="138"/>
      <c r="N155" s="138"/>
    </row>
    <row r="156" spans="2:14" s="64" customFormat="1" ht="17.25" customHeight="1" x14ac:dyDescent="0.2">
      <c r="B156" s="812" t="s">
        <v>521</v>
      </c>
      <c r="C156" s="812"/>
      <c r="D156" s="812"/>
      <c r="E156" s="242"/>
      <c r="F156" s="171" t="s">
        <v>99</v>
      </c>
      <c r="G156" s="201"/>
      <c r="H156" s="200"/>
      <c r="I156" s="239"/>
      <c r="J156" s="239"/>
      <c r="L156" s="138"/>
      <c r="M156" s="138"/>
      <c r="N156" s="138"/>
    </row>
    <row r="157" spans="2:14" s="64" customFormat="1" ht="17.25" customHeight="1" x14ac:dyDescent="0.2">
      <c r="B157" s="951"/>
      <c r="C157" s="951"/>
      <c r="D157" s="951"/>
      <c r="E157" s="237"/>
      <c r="F157" s="21"/>
      <c r="G157" s="201"/>
      <c r="H157" s="200"/>
      <c r="I157" s="239"/>
      <c r="J157" s="239"/>
      <c r="L157" s="138"/>
      <c r="M157" s="138"/>
      <c r="N157" s="138"/>
    </row>
    <row r="158" spans="2:14" s="254" customFormat="1" ht="52.5" customHeight="1" x14ac:dyDescent="0.2">
      <c r="B158" s="252" t="s">
        <v>519</v>
      </c>
      <c r="C158" s="252" t="s">
        <v>515</v>
      </c>
      <c r="D158" s="252" t="s">
        <v>516</v>
      </c>
      <c r="E158" s="252" t="s">
        <v>517</v>
      </c>
      <c r="F158" s="252" t="s">
        <v>518</v>
      </c>
      <c r="G158" s="220"/>
      <c r="H158" s="253"/>
      <c r="I158" s="253"/>
      <c r="J158" s="253"/>
      <c r="L158" s="255"/>
      <c r="M158" s="255"/>
      <c r="N158" s="255"/>
    </row>
    <row r="159" spans="2:14" s="64" customFormat="1" ht="17.25" customHeight="1" x14ac:dyDescent="0.2">
      <c r="B159" s="235" t="s">
        <v>503</v>
      </c>
      <c r="C159" s="235"/>
      <c r="D159" s="235"/>
      <c r="E159" s="242"/>
      <c r="F159" s="171"/>
      <c r="G159" s="201"/>
      <c r="H159" s="200"/>
      <c r="I159" s="239"/>
      <c r="J159" s="239"/>
      <c r="L159" s="138"/>
      <c r="M159" s="138"/>
      <c r="N159" s="138"/>
    </row>
    <row r="160" spans="2:14" s="64" customFormat="1" ht="17.25" customHeight="1" x14ac:dyDescent="0.2">
      <c r="B160" s="235" t="s">
        <v>504</v>
      </c>
      <c r="C160" s="235"/>
      <c r="D160" s="235"/>
      <c r="E160" s="242"/>
      <c r="F160" s="171"/>
      <c r="G160" s="201"/>
      <c r="H160" s="200"/>
      <c r="I160" s="239"/>
      <c r="J160" s="239"/>
      <c r="L160" s="138"/>
      <c r="M160" s="138"/>
      <c r="N160" s="138"/>
    </row>
    <row r="161" spans="2:14" s="64" customFormat="1" ht="17.25" customHeight="1" x14ac:dyDescent="0.2">
      <c r="B161" s="235" t="s">
        <v>505</v>
      </c>
      <c r="C161" s="235"/>
      <c r="D161" s="235"/>
      <c r="E161" s="242"/>
      <c r="F161" s="171"/>
      <c r="G161" s="201"/>
      <c r="H161" s="200"/>
      <c r="I161" s="239"/>
      <c r="J161" s="239"/>
      <c r="L161" s="138"/>
      <c r="M161" s="138"/>
      <c r="N161" s="138"/>
    </row>
    <row r="162" spans="2:14" s="64" customFormat="1" ht="17.25" customHeight="1" x14ac:dyDescent="0.2">
      <c r="B162" s="235" t="s">
        <v>506</v>
      </c>
      <c r="C162" s="235"/>
      <c r="D162" s="235"/>
      <c r="E162" s="242"/>
      <c r="F162" s="171"/>
      <c r="G162" s="201"/>
      <c r="H162" s="200"/>
      <c r="I162" s="239"/>
      <c r="J162" s="239"/>
      <c r="L162" s="138"/>
      <c r="M162" s="138"/>
      <c r="N162" s="138"/>
    </row>
    <row r="163" spans="2:14" s="64" customFormat="1" ht="17.25" customHeight="1" x14ac:dyDescent="0.2">
      <c r="B163" s="235" t="s">
        <v>507</v>
      </c>
      <c r="C163" s="235"/>
      <c r="D163" s="235"/>
      <c r="E163" s="242"/>
      <c r="F163" s="171"/>
      <c r="G163" s="201"/>
      <c r="H163" s="200"/>
      <c r="I163" s="239"/>
      <c r="J163" s="239"/>
      <c r="L163" s="138"/>
      <c r="M163" s="138"/>
      <c r="N163" s="138"/>
    </row>
    <row r="164" spans="2:14" s="64" customFormat="1" ht="17.25" customHeight="1" x14ac:dyDescent="0.2">
      <c r="B164" s="235" t="s">
        <v>508</v>
      </c>
      <c r="C164" s="235"/>
      <c r="D164" s="235"/>
      <c r="E164" s="242"/>
      <c r="F164" s="171"/>
      <c r="G164" s="201"/>
      <c r="H164" s="200"/>
      <c r="I164" s="239"/>
      <c r="J164" s="239"/>
      <c r="L164" s="138"/>
      <c r="M164" s="138"/>
      <c r="N164" s="138"/>
    </row>
    <row r="165" spans="2:14" s="64" customFormat="1" ht="17.25" customHeight="1" x14ac:dyDescent="0.2">
      <c r="B165" s="235" t="s">
        <v>509</v>
      </c>
      <c r="C165" s="235"/>
      <c r="D165" s="235"/>
      <c r="E165" s="242"/>
      <c r="F165" s="171"/>
      <c r="G165" s="201"/>
      <c r="H165" s="200"/>
      <c r="I165" s="239"/>
      <c r="J165" s="239"/>
      <c r="L165" s="138"/>
      <c r="M165" s="138"/>
      <c r="N165" s="138"/>
    </row>
    <row r="166" spans="2:14" s="64" customFormat="1" ht="17.25" customHeight="1" x14ac:dyDescent="0.2">
      <c r="B166" s="235" t="s">
        <v>510</v>
      </c>
      <c r="C166" s="235"/>
      <c r="D166" s="235"/>
      <c r="E166" s="242"/>
      <c r="F166" s="171"/>
      <c r="G166" s="201"/>
      <c r="H166" s="200"/>
      <c r="I166" s="239"/>
      <c r="J166" s="239"/>
      <c r="L166" s="138"/>
      <c r="M166" s="138"/>
      <c r="N166" s="138"/>
    </row>
    <row r="167" spans="2:14" s="64" customFormat="1" ht="17.25" customHeight="1" x14ac:dyDescent="0.2">
      <c r="B167" s="235" t="s">
        <v>511</v>
      </c>
      <c r="C167" s="235"/>
      <c r="D167" s="235"/>
      <c r="E167" s="242"/>
      <c r="F167" s="171"/>
      <c r="G167" s="201"/>
      <c r="H167" s="200"/>
      <c r="I167" s="239"/>
      <c r="J167" s="239"/>
      <c r="L167" s="138"/>
      <c r="M167" s="138"/>
      <c r="N167" s="138"/>
    </row>
    <row r="168" spans="2:14" s="64" customFormat="1" ht="17.25" customHeight="1" x14ac:dyDescent="0.2">
      <c r="B168" s="235" t="s">
        <v>512</v>
      </c>
      <c r="C168" s="235"/>
      <c r="D168" s="235"/>
      <c r="E168" s="242"/>
      <c r="F168" s="171"/>
      <c r="G168" s="201"/>
      <c r="H168" s="200"/>
      <c r="I168" s="239"/>
      <c r="J168" s="239"/>
      <c r="L168" s="138"/>
      <c r="M168" s="138"/>
      <c r="N168" s="138"/>
    </row>
    <row r="169" spans="2:14" s="64" customFormat="1" ht="17.25" customHeight="1" x14ac:dyDescent="0.2">
      <c r="B169" s="235" t="s">
        <v>513</v>
      </c>
      <c r="C169" s="235"/>
      <c r="D169" s="235"/>
      <c r="E169" s="242"/>
      <c r="F169" s="171"/>
      <c r="G169" s="201"/>
      <c r="H169" s="200"/>
      <c r="I169" s="239"/>
      <c r="J169" s="239"/>
      <c r="L169" s="138"/>
      <c r="M169" s="138"/>
      <c r="N169" s="138"/>
    </row>
    <row r="170" spans="2:14" s="64" customFormat="1" ht="17.25" customHeight="1" x14ac:dyDescent="0.2">
      <c r="B170" s="235" t="s">
        <v>514</v>
      </c>
      <c r="C170" s="235"/>
      <c r="D170" s="235"/>
      <c r="E170" s="242"/>
      <c r="F170" s="171"/>
      <c r="G170" s="201"/>
      <c r="H170" s="200"/>
      <c r="I170" s="239"/>
      <c r="J170" s="239"/>
      <c r="L170" s="138"/>
      <c r="M170" s="138"/>
      <c r="N170" s="138"/>
    </row>
    <row r="171" spans="2:14" s="64" customFormat="1" ht="17.25" customHeight="1" x14ac:dyDescent="0.2">
      <c r="B171" s="836" t="s">
        <v>520</v>
      </c>
      <c r="C171" s="836"/>
      <c r="D171" s="836"/>
      <c r="E171" s="836"/>
      <c r="F171" s="171"/>
      <c r="G171" s="201"/>
      <c r="H171" s="200"/>
      <c r="I171" s="239"/>
      <c r="J171" s="239"/>
      <c r="L171" s="138"/>
      <c r="M171" s="138"/>
      <c r="N171" s="138"/>
    </row>
    <row r="172" spans="2:14" s="64" customFormat="1" ht="17.25" customHeight="1" x14ac:dyDescent="0.2">
      <c r="B172" s="72"/>
      <c r="C172" s="72"/>
      <c r="D172" s="72"/>
      <c r="E172" s="237"/>
      <c r="F172" s="21"/>
      <c r="G172" s="201"/>
      <c r="H172" s="200"/>
      <c r="I172" s="239"/>
      <c r="J172" s="239"/>
      <c r="L172" s="138"/>
      <c r="M172" s="138"/>
      <c r="N172" s="138"/>
    </row>
    <row r="173" spans="2:14" s="64" customFormat="1" ht="17.25" customHeight="1" x14ac:dyDescent="0.2">
      <c r="B173" s="72"/>
      <c r="C173" s="72"/>
      <c r="D173" s="72"/>
      <c r="E173" s="314"/>
      <c r="F173" s="21"/>
      <c r="G173" s="201"/>
      <c r="H173" s="200"/>
      <c r="I173" s="316"/>
      <c r="J173" s="316"/>
      <c r="L173" s="138"/>
      <c r="M173" s="138"/>
      <c r="N173" s="138"/>
    </row>
    <row r="174" spans="2:14" s="64" customFormat="1" ht="17.25" customHeight="1" x14ac:dyDescent="0.2">
      <c r="B174" s="184" t="s">
        <v>523</v>
      </c>
      <c r="E174" s="239"/>
      <c r="F174" s="239"/>
      <c r="G174" s="239"/>
      <c r="H174" s="239"/>
      <c r="I174" s="239"/>
      <c r="J174" s="239"/>
      <c r="L174" s="138"/>
      <c r="M174" s="138"/>
      <c r="N174" s="138"/>
    </row>
    <row r="175" spans="2:14" s="64" customFormat="1" ht="17.25" customHeight="1" x14ac:dyDescent="0.2">
      <c r="E175" s="239"/>
      <c r="F175" s="239"/>
      <c r="G175" s="239"/>
      <c r="H175" s="239"/>
      <c r="I175" s="239"/>
      <c r="J175" s="239"/>
      <c r="L175" s="138"/>
      <c r="M175" s="138"/>
      <c r="N175" s="138"/>
    </row>
    <row r="176" spans="2:14" s="64" customFormat="1" ht="17.25" customHeight="1" x14ac:dyDescent="0.2">
      <c r="B176" s="812" t="s">
        <v>524</v>
      </c>
      <c r="C176" s="812"/>
      <c r="D176" s="812"/>
      <c r="E176" s="251">
        <v>20</v>
      </c>
      <c r="F176" s="207" t="s">
        <v>145</v>
      </c>
      <c r="G176" s="201"/>
      <c r="H176" s="200"/>
      <c r="I176" s="906"/>
      <c r="J176" s="906"/>
      <c r="L176" s="138"/>
      <c r="M176" s="138"/>
      <c r="N176" s="138"/>
    </row>
    <row r="177" spans="2:14" s="64" customFormat="1" ht="17.25" customHeight="1" x14ac:dyDescent="0.2">
      <c r="B177" s="812" t="s">
        <v>383</v>
      </c>
      <c r="C177" s="812"/>
      <c r="D177" s="812"/>
      <c r="E177" s="810" t="s">
        <v>285</v>
      </c>
      <c r="F177" s="811"/>
      <c r="H177" s="201"/>
      <c r="I177" s="200"/>
      <c r="J177" s="239"/>
      <c r="L177" s="138"/>
      <c r="M177" s="138"/>
      <c r="N177" s="138"/>
    </row>
    <row r="178" spans="2:14" s="64" customFormat="1" ht="17.25" customHeight="1" x14ac:dyDescent="0.2">
      <c r="B178" s="812" t="s">
        <v>525</v>
      </c>
      <c r="C178" s="812"/>
      <c r="D178" s="812"/>
      <c r="E178" s="242">
        <v>30</v>
      </c>
      <c r="F178" s="171" t="s">
        <v>130</v>
      </c>
      <c r="G178" s="201"/>
      <c r="H178" s="200"/>
      <c r="I178" s="239"/>
      <c r="J178" s="239"/>
      <c r="L178" s="138"/>
      <c r="M178" s="138"/>
      <c r="N178" s="138"/>
    </row>
    <row r="179" spans="2:14" s="64" customFormat="1" ht="17.25" customHeight="1" x14ac:dyDescent="0.2">
      <c r="B179" s="951"/>
      <c r="C179" s="951"/>
      <c r="D179" s="951"/>
      <c r="E179" s="237"/>
      <c r="F179" s="21"/>
      <c r="G179" s="201"/>
      <c r="H179" s="200"/>
      <c r="I179" s="239"/>
      <c r="J179" s="239"/>
      <c r="L179" s="138"/>
      <c r="M179" s="138"/>
      <c r="N179" s="138"/>
    </row>
    <row r="180" spans="2:14" s="254" customFormat="1" ht="30" customHeight="1" x14ac:dyDescent="0.2">
      <c r="B180" s="252" t="s">
        <v>538</v>
      </c>
      <c r="C180" s="252" t="s">
        <v>285</v>
      </c>
      <c r="D180" s="252" t="s">
        <v>285</v>
      </c>
      <c r="E180" s="252" t="s">
        <v>285</v>
      </c>
      <c r="F180" s="252"/>
      <c r="G180" s="258" t="s">
        <v>539</v>
      </c>
      <c r="H180" s="252" t="s">
        <v>540</v>
      </c>
      <c r="I180" s="253"/>
      <c r="J180" s="253"/>
      <c r="L180" s="255"/>
      <c r="M180" s="255"/>
      <c r="N180" s="255"/>
    </row>
    <row r="181" spans="2:14" s="254" customFormat="1" ht="24.75" customHeight="1" x14ac:dyDescent="0.2">
      <c r="B181" s="252" t="s">
        <v>537</v>
      </c>
      <c r="C181" s="252" t="s">
        <v>288</v>
      </c>
      <c r="D181" s="252" t="s">
        <v>526</v>
      </c>
      <c r="E181" s="252" t="s">
        <v>527</v>
      </c>
      <c r="F181" s="252"/>
      <c r="G181" s="258" t="s">
        <v>145</v>
      </c>
      <c r="H181" s="252" t="s">
        <v>530</v>
      </c>
      <c r="I181" s="253"/>
      <c r="J181" s="253"/>
      <c r="L181" s="255"/>
      <c r="M181" s="255"/>
      <c r="N181" s="255"/>
    </row>
    <row r="182" spans="2:14" s="64" customFormat="1" ht="17.25" customHeight="1" x14ac:dyDescent="0.2">
      <c r="B182" s="235" t="s">
        <v>503</v>
      </c>
      <c r="C182" s="242">
        <v>15</v>
      </c>
      <c r="D182" s="242"/>
      <c r="E182" s="242">
        <v>5</v>
      </c>
      <c r="F182" s="242"/>
      <c r="G182" s="259">
        <f>+C182+D182+E182+F182</f>
        <v>20</v>
      </c>
      <c r="H182" s="171"/>
      <c r="I182" s="239"/>
      <c r="J182" s="239"/>
      <c r="L182" s="138"/>
      <c r="M182" s="138"/>
      <c r="N182" s="138"/>
    </row>
    <row r="183" spans="2:14" s="64" customFormat="1" ht="17.25" customHeight="1" x14ac:dyDescent="0.2">
      <c r="B183" s="235" t="s">
        <v>504</v>
      </c>
      <c r="C183" s="319">
        <v>15</v>
      </c>
      <c r="D183" s="242"/>
      <c r="E183" s="242">
        <v>5</v>
      </c>
      <c r="F183" s="242"/>
      <c r="G183" s="259">
        <f t="shared" ref="G183:G193" si="0">+C183+D183+E183+F183</f>
        <v>20</v>
      </c>
      <c r="H183" s="171"/>
      <c r="I183" s="239"/>
      <c r="J183" s="239"/>
      <c r="L183" s="138"/>
      <c r="M183" s="138"/>
      <c r="N183" s="138"/>
    </row>
    <row r="184" spans="2:14" s="64" customFormat="1" ht="17.25" customHeight="1" x14ac:dyDescent="0.2">
      <c r="B184" s="235" t="s">
        <v>505</v>
      </c>
      <c r="C184" s="319">
        <v>15</v>
      </c>
      <c r="D184" s="242"/>
      <c r="E184" s="242"/>
      <c r="F184" s="242"/>
      <c r="G184" s="259">
        <f t="shared" si="0"/>
        <v>15</v>
      </c>
      <c r="H184" s="171"/>
      <c r="I184" s="239"/>
      <c r="J184" s="239"/>
      <c r="L184" s="138"/>
      <c r="M184" s="138"/>
      <c r="N184" s="138"/>
    </row>
    <row r="185" spans="2:14" s="64" customFormat="1" ht="17.25" customHeight="1" x14ac:dyDescent="0.2">
      <c r="B185" s="235" t="s">
        <v>506</v>
      </c>
      <c r="C185" s="319">
        <v>15</v>
      </c>
      <c r="D185" s="242">
        <v>5</v>
      </c>
      <c r="E185" s="242"/>
      <c r="F185" s="242"/>
      <c r="G185" s="259">
        <f t="shared" si="0"/>
        <v>20</v>
      </c>
      <c r="H185" s="171"/>
      <c r="I185" s="239"/>
      <c r="J185" s="239"/>
      <c r="L185" s="138"/>
      <c r="M185" s="138"/>
      <c r="N185" s="138"/>
    </row>
    <row r="186" spans="2:14" s="64" customFormat="1" ht="17.25" customHeight="1" x14ac:dyDescent="0.2">
      <c r="B186" s="235" t="s">
        <v>507</v>
      </c>
      <c r="C186" s="319">
        <v>15</v>
      </c>
      <c r="D186" s="242">
        <v>5</v>
      </c>
      <c r="E186" s="242"/>
      <c r="F186" s="242"/>
      <c r="G186" s="259">
        <f t="shared" si="0"/>
        <v>20</v>
      </c>
      <c r="H186" s="171"/>
      <c r="I186" s="239"/>
      <c r="J186" s="239"/>
      <c r="L186" s="138"/>
      <c r="M186" s="138"/>
      <c r="N186" s="138"/>
    </row>
    <row r="187" spans="2:14" s="64" customFormat="1" ht="17.25" customHeight="1" x14ac:dyDescent="0.2">
      <c r="B187" s="235" t="s">
        <v>508</v>
      </c>
      <c r="C187" s="319">
        <v>15</v>
      </c>
      <c r="D187" s="242">
        <v>5</v>
      </c>
      <c r="E187" s="242"/>
      <c r="F187" s="242"/>
      <c r="G187" s="259">
        <f t="shared" si="0"/>
        <v>20</v>
      </c>
      <c r="H187" s="171"/>
      <c r="I187" s="239"/>
      <c r="J187" s="239"/>
      <c r="L187" s="138"/>
      <c r="M187" s="138"/>
      <c r="N187" s="138"/>
    </row>
    <row r="188" spans="2:14" s="64" customFormat="1" ht="17.25" customHeight="1" x14ac:dyDescent="0.2">
      <c r="B188" s="235" t="s">
        <v>509</v>
      </c>
      <c r="C188" s="319">
        <v>15</v>
      </c>
      <c r="D188" s="242">
        <v>5</v>
      </c>
      <c r="E188" s="242"/>
      <c r="F188" s="242"/>
      <c r="G188" s="259">
        <f t="shared" si="0"/>
        <v>20</v>
      </c>
      <c r="H188" s="171"/>
      <c r="I188" s="239"/>
      <c r="J188" s="239"/>
      <c r="L188" s="138"/>
      <c r="M188" s="138"/>
      <c r="N188" s="138"/>
    </row>
    <row r="189" spans="2:14" s="64" customFormat="1" ht="17.25" customHeight="1" x14ac:dyDescent="0.2">
      <c r="B189" s="235" t="s">
        <v>510</v>
      </c>
      <c r="C189" s="319">
        <v>15</v>
      </c>
      <c r="D189" s="242">
        <v>5</v>
      </c>
      <c r="E189" s="242"/>
      <c r="F189" s="242"/>
      <c r="G189" s="259">
        <f t="shared" si="0"/>
        <v>20</v>
      </c>
      <c r="H189" s="171"/>
      <c r="I189" s="239"/>
      <c r="J189" s="239"/>
      <c r="L189" s="138"/>
      <c r="M189" s="138"/>
      <c r="N189" s="138"/>
    </row>
    <row r="190" spans="2:14" s="64" customFormat="1" ht="17.25" customHeight="1" x14ac:dyDescent="0.2">
      <c r="B190" s="235" t="s">
        <v>511</v>
      </c>
      <c r="C190" s="319">
        <v>15</v>
      </c>
      <c r="D190" s="242"/>
      <c r="E190" s="242"/>
      <c r="F190" s="242"/>
      <c r="G190" s="259">
        <f t="shared" si="0"/>
        <v>15</v>
      </c>
      <c r="H190" s="171"/>
      <c r="I190" s="239"/>
      <c r="J190" s="239"/>
      <c r="L190" s="138"/>
      <c r="M190" s="138"/>
      <c r="N190" s="138"/>
    </row>
    <row r="191" spans="2:14" s="64" customFormat="1" ht="17.25" customHeight="1" x14ac:dyDescent="0.2">
      <c r="B191" s="235" t="s">
        <v>512</v>
      </c>
      <c r="C191" s="319">
        <v>15</v>
      </c>
      <c r="D191" s="242"/>
      <c r="E191" s="242">
        <v>5</v>
      </c>
      <c r="F191" s="242"/>
      <c r="G191" s="259">
        <f t="shared" si="0"/>
        <v>20</v>
      </c>
      <c r="H191" s="171"/>
      <c r="I191" s="239"/>
      <c r="J191" s="239"/>
      <c r="L191" s="138"/>
      <c r="M191" s="138"/>
      <c r="N191" s="138"/>
    </row>
    <row r="192" spans="2:14" s="64" customFormat="1" ht="17.25" customHeight="1" x14ac:dyDescent="0.2">
      <c r="B192" s="235" t="s">
        <v>513</v>
      </c>
      <c r="C192" s="319">
        <v>15</v>
      </c>
      <c r="D192" s="242"/>
      <c r="E192" s="242">
        <v>5</v>
      </c>
      <c r="F192" s="242"/>
      <c r="G192" s="259">
        <f t="shared" si="0"/>
        <v>20</v>
      </c>
      <c r="H192" s="171"/>
      <c r="I192" s="239"/>
      <c r="J192" s="239"/>
      <c r="L192" s="138"/>
      <c r="M192" s="138"/>
      <c r="N192" s="138"/>
    </row>
    <row r="193" spans="2:14" s="64" customFormat="1" ht="17.25" customHeight="1" x14ac:dyDescent="0.2">
      <c r="B193" s="235" t="s">
        <v>514</v>
      </c>
      <c r="C193" s="319">
        <v>15</v>
      </c>
      <c r="D193" s="242"/>
      <c r="E193" s="242">
        <v>5</v>
      </c>
      <c r="F193" s="242"/>
      <c r="G193" s="259">
        <f t="shared" si="0"/>
        <v>20</v>
      </c>
      <c r="H193" s="171"/>
      <c r="I193" s="239"/>
      <c r="J193" s="239"/>
      <c r="L193" s="138"/>
      <c r="M193" s="138"/>
      <c r="N193" s="138"/>
    </row>
    <row r="194" spans="2:14" s="64" customFormat="1" ht="17.25" customHeight="1" x14ac:dyDescent="0.2">
      <c r="B194" s="836" t="s">
        <v>520</v>
      </c>
      <c r="C194" s="836"/>
      <c r="D194" s="836"/>
      <c r="E194" s="836"/>
      <c r="F194" s="836"/>
      <c r="G194" s="836"/>
      <c r="H194" s="171"/>
      <c r="I194" s="239"/>
      <c r="J194" s="239"/>
      <c r="L194" s="138"/>
      <c r="M194" s="138"/>
      <c r="N194" s="138"/>
    </row>
    <row r="195" spans="2:14" s="64" customFormat="1" ht="17.25" customHeight="1" x14ac:dyDescent="0.2">
      <c r="B195" s="72"/>
      <c r="C195" s="72"/>
      <c r="D195" s="72"/>
      <c r="E195" s="237"/>
      <c r="F195" s="21"/>
      <c r="G195" s="201"/>
      <c r="H195" s="200"/>
      <c r="I195" s="239"/>
      <c r="J195" s="239"/>
      <c r="L195" s="138"/>
      <c r="M195" s="138"/>
      <c r="N195" s="138"/>
    </row>
    <row r="196" spans="2:14" s="64" customFormat="1" ht="17.25" customHeight="1" x14ac:dyDescent="0.2">
      <c r="B196" s="72"/>
      <c r="C196" s="72"/>
      <c r="D196" s="72"/>
      <c r="E196" s="237"/>
      <c r="F196" s="21"/>
      <c r="G196" s="201"/>
      <c r="H196" s="200"/>
      <c r="I196" s="239"/>
      <c r="J196" s="239"/>
      <c r="L196" s="138"/>
      <c r="M196" s="138"/>
      <c r="N196" s="138"/>
    </row>
    <row r="197" spans="2:14" s="64" customFormat="1" ht="17.25" customHeight="1" x14ac:dyDescent="0.2">
      <c r="B197" s="184" t="s">
        <v>531</v>
      </c>
      <c r="E197" s="239"/>
      <c r="F197" s="239"/>
      <c r="G197" s="239"/>
      <c r="H197" s="239"/>
      <c r="I197" s="239"/>
      <c r="J197" s="239"/>
      <c r="L197" s="138"/>
      <c r="M197" s="138"/>
      <c r="N197" s="138"/>
    </row>
    <row r="198" spans="2:14" s="64" customFormat="1" ht="17.25" customHeight="1" x14ac:dyDescent="0.2">
      <c r="E198" s="239"/>
      <c r="F198" s="239"/>
      <c r="G198" s="239"/>
      <c r="H198" s="239"/>
      <c r="I198" s="239"/>
      <c r="J198" s="239"/>
      <c r="L198" s="138"/>
      <c r="M198" s="138"/>
      <c r="N198" s="138"/>
    </row>
    <row r="199" spans="2:14" s="64" customFormat="1" ht="17.25" customHeight="1" x14ac:dyDescent="0.2">
      <c r="B199" s="812" t="s">
        <v>524</v>
      </c>
      <c r="C199" s="812"/>
      <c r="D199" s="812"/>
      <c r="E199" s="257">
        <v>15</v>
      </c>
      <c r="F199" s="207" t="s">
        <v>145</v>
      </c>
      <c r="G199" s="201"/>
      <c r="H199" s="200"/>
      <c r="I199" s="906"/>
      <c r="J199" s="906"/>
      <c r="L199" s="138"/>
      <c r="M199" s="138"/>
      <c r="N199" s="138"/>
    </row>
    <row r="200" spans="2:14" s="64" customFormat="1" ht="17.25" customHeight="1" x14ac:dyDescent="0.2">
      <c r="B200" s="812" t="s">
        <v>383</v>
      </c>
      <c r="C200" s="812"/>
      <c r="D200" s="812"/>
      <c r="E200" s="810" t="s">
        <v>532</v>
      </c>
      <c r="F200" s="811"/>
      <c r="H200" s="201"/>
      <c r="I200" s="200"/>
      <c r="J200" s="239"/>
      <c r="L200" s="138"/>
      <c r="M200" s="138"/>
      <c r="N200" s="138"/>
    </row>
    <row r="201" spans="2:14" s="64" customFormat="1" ht="17.25" customHeight="1" x14ac:dyDescent="0.2">
      <c r="B201" s="812" t="s">
        <v>525</v>
      </c>
      <c r="C201" s="812"/>
      <c r="D201" s="812"/>
      <c r="E201" s="242">
        <v>75</v>
      </c>
      <c r="F201" s="171" t="s">
        <v>130</v>
      </c>
      <c r="G201" s="201"/>
      <c r="H201" s="200"/>
      <c r="I201" s="239"/>
      <c r="J201" s="239"/>
      <c r="L201" s="138"/>
      <c r="M201" s="138"/>
      <c r="N201" s="138"/>
    </row>
    <row r="202" spans="2:14" s="64" customFormat="1" ht="17.25" customHeight="1" x14ac:dyDescent="0.2">
      <c r="B202" s="951"/>
      <c r="C202" s="951"/>
      <c r="D202" s="951"/>
      <c r="E202" s="237"/>
      <c r="F202" s="21"/>
      <c r="G202" s="201"/>
      <c r="H202" s="200"/>
      <c r="I202" s="239"/>
      <c r="J202" s="239"/>
      <c r="L202" s="138"/>
      <c r="M202" s="138"/>
      <c r="N202" s="138"/>
    </row>
    <row r="203" spans="2:14" s="64" customFormat="1" ht="17.25" customHeight="1" x14ac:dyDescent="0.2">
      <c r="B203" s="812" t="s">
        <v>524</v>
      </c>
      <c r="C203" s="812"/>
      <c r="D203" s="812"/>
      <c r="E203" s="257">
        <v>5</v>
      </c>
      <c r="F203" s="207" t="s">
        <v>145</v>
      </c>
      <c r="G203" s="201"/>
      <c r="H203" s="200"/>
      <c r="I203" s="239"/>
      <c r="J203" s="239"/>
      <c r="L203" s="138"/>
      <c r="M203" s="138"/>
      <c r="N203" s="138"/>
    </row>
    <row r="204" spans="2:14" s="64" customFormat="1" ht="17.25" customHeight="1" x14ac:dyDescent="0.2">
      <c r="B204" s="812" t="s">
        <v>383</v>
      </c>
      <c r="C204" s="812"/>
      <c r="D204" s="812"/>
      <c r="E204" s="810" t="s">
        <v>536</v>
      </c>
      <c r="F204" s="811"/>
      <c r="G204" s="201"/>
      <c r="H204" s="200"/>
      <c r="I204" s="239"/>
      <c r="J204" s="239"/>
      <c r="L204" s="138"/>
      <c r="M204" s="138"/>
      <c r="N204" s="138"/>
    </row>
    <row r="205" spans="2:14" s="64" customFormat="1" ht="17.25" customHeight="1" x14ac:dyDescent="0.2">
      <c r="B205" s="812" t="s">
        <v>525</v>
      </c>
      <c r="C205" s="812"/>
      <c r="D205" s="812"/>
      <c r="E205" s="242">
        <v>90</v>
      </c>
      <c r="F205" s="171" t="s">
        <v>130</v>
      </c>
      <c r="G205" s="201"/>
      <c r="H205" s="200"/>
      <c r="I205" s="239"/>
      <c r="J205" s="239"/>
      <c r="L205" s="138"/>
      <c r="M205" s="138"/>
      <c r="N205" s="138"/>
    </row>
    <row r="206" spans="2:14" s="64" customFormat="1" ht="17.25" customHeight="1" x14ac:dyDescent="0.2">
      <c r="B206" s="72"/>
      <c r="C206" s="72"/>
      <c r="D206" s="72"/>
      <c r="E206" s="237"/>
      <c r="F206" s="21"/>
      <c r="G206" s="201"/>
      <c r="H206" s="200"/>
      <c r="I206" s="239"/>
      <c r="J206" s="239"/>
      <c r="L206" s="138"/>
      <c r="M206" s="138"/>
      <c r="N206" s="138"/>
    </row>
    <row r="207" spans="2:14" s="64" customFormat="1" ht="17.25" customHeight="1" x14ac:dyDescent="0.2">
      <c r="B207" s="72"/>
      <c r="C207" s="72"/>
      <c r="D207" s="72"/>
      <c r="E207" s="237"/>
      <c r="F207" s="21"/>
      <c r="G207" s="201"/>
      <c r="H207" s="200"/>
      <c r="I207" s="239"/>
      <c r="J207" s="239"/>
      <c r="L207" s="138"/>
      <c r="M207" s="138"/>
      <c r="N207" s="138"/>
    </row>
    <row r="208" spans="2:14" s="254" customFormat="1" ht="32.25" customHeight="1" x14ac:dyDescent="0.2">
      <c r="B208" s="252" t="s">
        <v>538</v>
      </c>
      <c r="C208" s="252" t="s">
        <v>532</v>
      </c>
      <c r="D208" s="252" t="s">
        <v>532</v>
      </c>
      <c r="E208" s="252" t="s">
        <v>532</v>
      </c>
      <c r="F208" s="252" t="s">
        <v>536</v>
      </c>
      <c r="G208" s="258" t="s">
        <v>539</v>
      </c>
      <c r="H208" s="252" t="s">
        <v>540</v>
      </c>
      <c r="I208" s="253"/>
      <c r="J208" s="253"/>
      <c r="L208" s="255"/>
      <c r="M208" s="255"/>
      <c r="N208" s="255"/>
    </row>
    <row r="209" spans="2:14" s="254" customFormat="1" ht="24.75" customHeight="1" x14ac:dyDescent="0.2">
      <c r="B209" s="252" t="s">
        <v>537</v>
      </c>
      <c r="C209" s="252" t="s">
        <v>288</v>
      </c>
      <c r="D209" s="252" t="s">
        <v>534</v>
      </c>
      <c r="E209" s="252" t="s">
        <v>533</v>
      </c>
      <c r="F209" s="252" t="s">
        <v>535</v>
      </c>
      <c r="G209" s="258" t="s">
        <v>145</v>
      </c>
      <c r="H209" s="252" t="s">
        <v>530</v>
      </c>
      <c r="I209" s="253"/>
      <c r="J209" s="253"/>
      <c r="L209" s="255"/>
      <c r="M209" s="255"/>
      <c r="N209" s="255"/>
    </row>
    <row r="210" spans="2:14" s="64" customFormat="1" ht="17.25" customHeight="1" x14ac:dyDescent="0.2">
      <c r="B210" s="235" t="s">
        <v>503</v>
      </c>
      <c r="C210" s="242">
        <v>10</v>
      </c>
      <c r="D210" s="242"/>
      <c r="E210" s="242">
        <v>5</v>
      </c>
      <c r="F210" s="242">
        <v>5</v>
      </c>
      <c r="G210" s="259">
        <f>+C210+D210+E210+F210</f>
        <v>20</v>
      </c>
      <c r="H210" s="171"/>
      <c r="I210" s="239"/>
      <c r="J210" s="239"/>
      <c r="L210" s="138"/>
      <c r="M210" s="138"/>
      <c r="N210" s="138"/>
    </row>
    <row r="211" spans="2:14" s="64" customFormat="1" ht="17.25" customHeight="1" x14ac:dyDescent="0.2">
      <c r="B211" s="235" t="s">
        <v>504</v>
      </c>
      <c r="C211" s="319">
        <v>10</v>
      </c>
      <c r="D211" s="242"/>
      <c r="E211" s="242">
        <v>5</v>
      </c>
      <c r="F211" s="242">
        <v>5</v>
      </c>
      <c r="G211" s="259">
        <f t="shared" ref="G211:G221" si="1">+C211+D211+E211+F211</f>
        <v>20</v>
      </c>
      <c r="H211" s="171"/>
      <c r="I211" s="239"/>
      <c r="J211" s="239"/>
      <c r="L211" s="138"/>
      <c r="M211" s="138"/>
      <c r="N211" s="138"/>
    </row>
    <row r="212" spans="2:14" s="64" customFormat="1" ht="17.25" customHeight="1" x14ac:dyDescent="0.2">
      <c r="B212" s="235" t="s">
        <v>505</v>
      </c>
      <c r="C212" s="319">
        <v>10</v>
      </c>
      <c r="D212" s="242"/>
      <c r="E212" s="242"/>
      <c r="F212" s="242">
        <v>5</v>
      </c>
      <c r="G212" s="259">
        <f t="shared" si="1"/>
        <v>15</v>
      </c>
      <c r="H212" s="171"/>
      <c r="I212" s="239"/>
      <c r="J212" s="239"/>
      <c r="L212" s="138"/>
      <c r="M212" s="138"/>
      <c r="N212" s="138"/>
    </row>
    <row r="213" spans="2:14" s="64" customFormat="1" ht="17.25" customHeight="1" x14ac:dyDescent="0.2">
      <c r="B213" s="235" t="s">
        <v>506</v>
      </c>
      <c r="C213" s="319">
        <v>10</v>
      </c>
      <c r="D213" s="242">
        <v>5</v>
      </c>
      <c r="E213" s="242"/>
      <c r="F213" s="242">
        <v>5</v>
      </c>
      <c r="G213" s="259">
        <f t="shared" si="1"/>
        <v>20</v>
      </c>
      <c r="H213" s="171"/>
      <c r="I213" s="239"/>
      <c r="J213" s="239"/>
      <c r="L213" s="138"/>
      <c r="M213" s="138"/>
      <c r="N213" s="138"/>
    </row>
    <row r="214" spans="2:14" s="64" customFormat="1" ht="17.25" customHeight="1" x14ac:dyDescent="0.2">
      <c r="B214" s="235" t="s">
        <v>507</v>
      </c>
      <c r="C214" s="319">
        <v>10</v>
      </c>
      <c r="D214" s="242">
        <v>5</v>
      </c>
      <c r="E214" s="242"/>
      <c r="F214" s="242">
        <v>5</v>
      </c>
      <c r="G214" s="259">
        <f t="shared" si="1"/>
        <v>20</v>
      </c>
      <c r="H214" s="171"/>
      <c r="I214" s="239"/>
      <c r="J214" s="239"/>
      <c r="L214" s="138"/>
      <c r="M214" s="138"/>
      <c r="N214" s="138"/>
    </row>
    <row r="215" spans="2:14" s="64" customFormat="1" ht="17.25" customHeight="1" x14ac:dyDescent="0.2">
      <c r="B215" s="235" t="s">
        <v>508</v>
      </c>
      <c r="C215" s="319">
        <v>10</v>
      </c>
      <c r="D215" s="242">
        <v>5</v>
      </c>
      <c r="E215" s="242"/>
      <c r="F215" s="242">
        <v>5</v>
      </c>
      <c r="G215" s="259">
        <f t="shared" si="1"/>
        <v>20</v>
      </c>
      <c r="H215" s="171"/>
      <c r="I215" s="239"/>
      <c r="J215" s="239"/>
      <c r="L215" s="138"/>
      <c r="M215" s="138"/>
      <c r="N215" s="138"/>
    </row>
    <row r="216" spans="2:14" s="64" customFormat="1" ht="17.25" customHeight="1" x14ac:dyDescent="0.2">
      <c r="B216" s="235" t="s">
        <v>509</v>
      </c>
      <c r="C216" s="319">
        <v>10</v>
      </c>
      <c r="D216" s="242">
        <v>5</v>
      </c>
      <c r="E216" s="242"/>
      <c r="F216" s="242">
        <v>5</v>
      </c>
      <c r="G216" s="259">
        <f t="shared" si="1"/>
        <v>20</v>
      </c>
      <c r="H216" s="171"/>
      <c r="I216" s="239"/>
      <c r="J216" s="239"/>
      <c r="L216" s="138"/>
      <c r="M216" s="138"/>
      <c r="N216" s="138"/>
    </row>
    <row r="217" spans="2:14" s="64" customFormat="1" ht="17.25" customHeight="1" x14ac:dyDescent="0.2">
      <c r="B217" s="235" t="s">
        <v>510</v>
      </c>
      <c r="C217" s="319">
        <v>10</v>
      </c>
      <c r="D217" s="242">
        <v>5</v>
      </c>
      <c r="E217" s="242"/>
      <c r="F217" s="242">
        <v>5</v>
      </c>
      <c r="G217" s="259">
        <f t="shared" si="1"/>
        <v>20</v>
      </c>
      <c r="H217" s="171"/>
      <c r="I217" s="239"/>
      <c r="J217" s="239"/>
      <c r="L217" s="138"/>
      <c r="M217" s="138"/>
      <c r="N217" s="138"/>
    </row>
    <row r="218" spans="2:14" s="64" customFormat="1" ht="17.25" customHeight="1" x14ac:dyDescent="0.2">
      <c r="B218" s="235" t="s">
        <v>511</v>
      </c>
      <c r="C218" s="319">
        <v>10</v>
      </c>
      <c r="D218" s="242"/>
      <c r="E218" s="242"/>
      <c r="F218" s="242">
        <v>5</v>
      </c>
      <c r="G218" s="259">
        <f t="shared" si="1"/>
        <v>15</v>
      </c>
      <c r="H218" s="171"/>
      <c r="I218" s="239"/>
      <c r="J218" s="239"/>
      <c r="L218" s="138"/>
      <c r="M218" s="138"/>
      <c r="N218" s="138"/>
    </row>
    <row r="219" spans="2:14" s="64" customFormat="1" ht="17.25" customHeight="1" x14ac:dyDescent="0.2">
      <c r="B219" s="235" t="s">
        <v>512</v>
      </c>
      <c r="C219" s="319">
        <v>10</v>
      </c>
      <c r="D219" s="242"/>
      <c r="E219" s="242">
        <v>5</v>
      </c>
      <c r="F219" s="242">
        <v>5</v>
      </c>
      <c r="G219" s="259">
        <f t="shared" si="1"/>
        <v>20</v>
      </c>
      <c r="H219" s="171"/>
      <c r="I219" s="239"/>
      <c r="J219" s="239"/>
      <c r="L219" s="138"/>
      <c r="M219" s="138"/>
      <c r="N219" s="138"/>
    </row>
    <row r="220" spans="2:14" s="64" customFormat="1" ht="17.25" customHeight="1" x14ac:dyDescent="0.2">
      <c r="B220" s="235" t="s">
        <v>513</v>
      </c>
      <c r="C220" s="319">
        <v>10</v>
      </c>
      <c r="D220" s="242"/>
      <c r="E220" s="242">
        <v>5</v>
      </c>
      <c r="F220" s="242">
        <v>5</v>
      </c>
      <c r="G220" s="259">
        <f t="shared" si="1"/>
        <v>20</v>
      </c>
      <c r="H220" s="171"/>
      <c r="I220" s="239"/>
      <c r="J220" s="239"/>
      <c r="L220" s="138"/>
      <c r="M220" s="138"/>
      <c r="N220" s="138"/>
    </row>
    <row r="221" spans="2:14" s="64" customFormat="1" ht="17.25" customHeight="1" x14ac:dyDescent="0.2">
      <c r="B221" s="235" t="s">
        <v>514</v>
      </c>
      <c r="C221" s="319">
        <v>10</v>
      </c>
      <c r="D221" s="242"/>
      <c r="E221" s="242">
        <v>5</v>
      </c>
      <c r="F221" s="242">
        <v>5</v>
      </c>
      <c r="G221" s="259">
        <f t="shared" si="1"/>
        <v>20</v>
      </c>
      <c r="H221" s="171"/>
      <c r="I221" s="239"/>
      <c r="J221" s="239"/>
      <c r="L221" s="138"/>
      <c r="M221" s="138"/>
      <c r="N221" s="138"/>
    </row>
    <row r="222" spans="2:14" s="64" customFormat="1" ht="17.25" customHeight="1" x14ac:dyDescent="0.2">
      <c r="B222" s="836" t="s">
        <v>520</v>
      </c>
      <c r="C222" s="836"/>
      <c r="D222" s="836"/>
      <c r="E222" s="836"/>
      <c r="F222" s="836"/>
      <c r="G222" s="836"/>
      <c r="H222" s="189"/>
      <c r="I222" s="239"/>
      <c r="J222" s="239"/>
      <c r="L222" s="138"/>
      <c r="M222" s="138"/>
      <c r="N222" s="138"/>
    </row>
    <row r="223" spans="2:14" s="64" customFormat="1" ht="17.25" customHeight="1" x14ac:dyDescent="0.2">
      <c r="B223" s="72"/>
      <c r="C223" s="72"/>
      <c r="D223" s="72"/>
      <c r="E223" s="237"/>
      <c r="F223" s="21"/>
      <c r="G223" s="201"/>
      <c r="H223" s="200"/>
      <c r="I223" s="239"/>
      <c r="J223" s="239"/>
      <c r="L223" s="138"/>
      <c r="M223" s="138"/>
      <c r="N223" s="138"/>
    </row>
    <row r="224" spans="2:14" s="64" customFormat="1" ht="17.25" customHeight="1" x14ac:dyDescent="0.2">
      <c r="B224" s="72"/>
      <c r="C224" s="72"/>
      <c r="D224" s="72"/>
      <c r="E224" s="237"/>
      <c r="F224" s="21"/>
      <c r="G224" s="201"/>
      <c r="H224" s="200"/>
      <c r="I224" s="239"/>
      <c r="J224" s="239"/>
      <c r="L224" s="138"/>
      <c r="M224" s="138"/>
      <c r="N224" s="138"/>
    </row>
    <row r="225" spans="2:14" s="64" customFormat="1" ht="17.25" customHeight="1" x14ac:dyDescent="0.2">
      <c r="B225" s="184" t="s">
        <v>546</v>
      </c>
      <c r="E225" s="239"/>
      <c r="F225" s="239"/>
      <c r="G225" s="239"/>
      <c r="H225" s="239"/>
      <c r="I225" s="239"/>
      <c r="J225" s="239"/>
      <c r="L225" s="138"/>
      <c r="M225" s="138"/>
      <c r="N225" s="138"/>
    </row>
    <row r="226" spans="2:14" s="64" customFormat="1" ht="17.25" customHeight="1" x14ac:dyDescent="0.2">
      <c r="E226" s="239"/>
      <c r="F226" s="239"/>
      <c r="G226" s="239"/>
      <c r="H226" s="239"/>
      <c r="I226" s="239"/>
      <c r="J226" s="239"/>
      <c r="L226" s="138"/>
      <c r="M226" s="138"/>
      <c r="N226" s="138"/>
    </row>
    <row r="227" spans="2:14" s="254" customFormat="1" ht="42.75" customHeight="1" x14ac:dyDescent="0.2">
      <c r="B227" s="252"/>
      <c r="C227" s="252" t="s">
        <v>541</v>
      </c>
      <c r="D227" s="252" t="s">
        <v>542</v>
      </c>
      <c r="E227" s="252" t="s">
        <v>543</v>
      </c>
      <c r="G227" s="13"/>
      <c r="H227" s="13"/>
      <c r="I227" s="13"/>
      <c r="J227" s="253"/>
      <c r="L227" s="255"/>
      <c r="M227" s="255"/>
      <c r="N227" s="255"/>
    </row>
    <row r="228" spans="2:14" s="64" customFormat="1" ht="17.25" customHeight="1" x14ac:dyDescent="0.2">
      <c r="B228" s="235" t="s">
        <v>503</v>
      </c>
      <c r="C228" s="242"/>
      <c r="D228" s="242"/>
      <c r="E228" s="242"/>
      <c r="G228" s="237"/>
      <c r="H228" s="21"/>
      <c r="I228" s="21"/>
      <c r="J228" s="239"/>
      <c r="L228" s="138"/>
      <c r="M228" s="138"/>
      <c r="N228" s="138"/>
    </row>
    <row r="229" spans="2:14" s="64" customFormat="1" ht="17.25" customHeight="1" x14ac:dyDescent="0.2">
      <c r="B229" s="235" t="s">
        <v>504</v>
      </c>
      <c r="C229" s="242"/>
      <c r="D229" s="242"/>
      <c r="E229" s="242"/>
      <c r="G229" s="237"/>
      <c r="H229" s="21"/>
      <c r="I229" s="21"/>
      <c r="J229" s="239"/>
      <c r="L229" s="138"/>
      <c r="M229" s="138"/>
      <c r="N229" s="138"/>
    </row>
    <row r="230" spans="2:14" s="64" customFormat="1" ht="17.25" customHeight="1" x14ac:dyDescent="0.2">
      <c r="B230" s="235" t="s">
        <v>505</v>
      </c>
      <c r="C230" s="242"/>
      <c r="D230" s="242"/>
      <c r="E230" s="242"/>
      <c r="G230" s="237" t="s">
        <v>545</v>
      </c>
      <c r="H230" s="21"/>
      <c r="I230" s="21"/>
      <c r="J230" s="239"/>
      <c r="L230" s="138"/>
      <c r="M230" s="138"/>
      <c r="N230" s="138"/>
    </row>
    <row r="231" spans="2:14" s="64" customFormat="1" ht="17.25" customHeight="1" x14ac:dyDescent="0.2">
      <c r="B231" s="235" t="s">
        <v>506</v>
      </c>
      <c r="C231" s="242"/>
      <c r="D231" s="242"/>
      <c r="E231" s="242"/>
      <c r="G231" s="237"/>
      <c r="H231" s="21"/>
      <c r="I231" s="21"/>
      <c r="J231" s="239"/>
      <c r="L231" s="138"/>
      <c r="M231" s="138"/>
      <c r="N231" s="138"/>
    </row>
    <row r="232" spans="2:14" s="64" customFormat="1" ht="17.25" customHeight="1" x14ac:dyDescent="0.2">
      <c r="B232" s="235" t="s">
        <v>507</v>
      </c>
      <c r="C232" s="242"/>
      <c r="D232" s="242"/>
      <c r="E232" s="242"/>
      <c r="G232" s="237"/>
      <c r="H232" s="21"/>
      <c r="I232" s="21"/>
      <c r="J232" s="239"/>
      <c r="L232" s="138"/>
      <c r="M232" s="138"/>
      <c r="N232" s="138"/>
    </row>
    <row r="233" spans="2:14" s="64" customFormat="1" ht="17.25" customHeight="1" x14ac:dyDescent="0.2">
      <c r="B233" s="235" t="s">
        <v>508</v>
      </c>
      <c r="C233" s="242"/>
      <c r="D233" s="242"/>
      <c r="E233" s="242"/>
      <c r="G233" s="237"/>
      <c r="H233" s="21"/>
      <c r="I233" s="21"/>
      <c r="J233" s="239"/>
      <c r="L233" s="138"/>
      <c r="M233" s="138"/>
      <c r="N233" s="138"/>
    </row>
    <row r="234" spans="2:14" s="64" customFormat="1" ht="17.25" customHeight="1" x14ac:dyDescent="0.2">
      <c r="B234" s="235" t="s">
        <v>509</v>
      </c>
      <c r="C234" s="242"/>
      <c r="D234" s="242"/>
      <c r="E234" s="242"/>
      <c r="G234" s="237"/>
      <c r="H234" s="21"/>
      <c r="I234" s="21"/>
      <c r="J234" s="239"/>
      <c r="L234" s="138"/>
      <c r="M234" s="138"/>
      <c r="N234" s="138"/>
    </row>
    <row r="235" spans="2:14" s="64" customFormat="1" ht="17.25" customHeight="1" x14ac:dyDescent="0.2">
      <c r="B235" s="235" t="s">
        <v>510</v>
      </c>
      <c r="C235" s="242"/>
      <c r="D235" s="242"/>
      <c r="E235" s="242"/>
      <c r="G235" s="237"/>
      <c r="H235" s="21"/>
      <c r="I235" s="21"/>
      <c r="J235" s="239"/>
      <c r="L235" s="138"/>
      <c r="M235" s="138"/>
      <c r="N235" s="138"/>
    </row>
    <row r="236" spans="2:14" s="64" customFormat="1" ht="17.25" customHeight="1" x14ac:dyDescent="0.2">
      <c r="B236" s="235" t="s">
        <v>511</v>
      </c>
      <c r="C236" s="242"/>
      <c r="D236" s="242"/>
      <c r="E236" s="242"/>
      <c r="G236" s="237"/>
      <c r="H236" s="21"/>
      <c r="I236" s="21"/>
      <c r="J236" s="239"/>
      <c r="L236" s="138"/>
      <c r="M236" s="138"/>
      <c r="N236" s="138"/>
    </row>
    <row r="237" spans="2:14" s="64" customFormat="1" ht="17.25" customHeight="1" x14ac:dyDescent="0.2">
      <c r="B237" s="235" t="s">
        <v>512</v>
      </c>
      <c r="C237" s="242"/>
      <c r="D237" s="242"/>
      <c r="E237" s="242"/>
      <c r="G237" s="237"/>
      <c r="H237" s="21"/>
      <c r="I237" s="21"/>
      <c r="J237" s="239"/>
      <c r="L237" s="138"/>
      <c r="M237" s="138"/>
      <c r="N237" s="138"/>
    </row>
    <row r="238" spans="2:14" s="64" customFormat="1" ht="17.25" customHeight="1" x14ac:dyDescent="0.2">
      <c r="B238" s="235" t="s">
        <v>513</v>
      </c>
      <c r="C238" s="242"/>
      <c r="D238" s="242"/>
      <c r="E238" s="242"/>
      <c r="G238" s="237"/>
      <c r="H238" s="21"/>
      <c r="I238" s="21"/>
      <c r="J238" s="239"/>
      <c r="L238" s="138"/>
      <c r="M238" s="138"/>
      <c r="N238" s="138"/>
    </row>
    <row r="239" spans="2:14" s="64" customFormat="1" ht="17.25" customHeight="1" x14ac:dyDescent="0.2">
      <c r="B239" s="235" t="s">
        <v>514</v>
      </c>
      <c r="C239" s="242"/>
      <c r="D239" s="242"/>
      <c r="E239" s="242"/>
      <c r="G239" s="237"/>
      <c r="H239" s="21"/>
      <c r="I239" s="21"/>
      <c r="J239" s="239"/>
      <c r="L239" s="138"/>
      <c r="M239" s="138"/>
      <c r="N239" s="138"/>
    </row>
    <row r="240" spans="2:14" s="64" customFormat="1" ht="17.25" customHeight="1" x14ac:dyDescent="0.2">
      <c r="B240" s="168" t="s">
        <v>520</v>
      </c>
      <c r="C240" s="168"/>
      <c r="D240" s="168"/>
      <c r="E240" s="168"/>
      <c r="G240" s="10"/>
      <c r="H240" s="10"/>
      <c r="I240" s="21"/>
      <c r="J240" s="239"/>
      <c r="L240" s="138"/>
      <c r="M240" s="138"/>
      <c r="N240" s="138"/>
    </row>
    <row r="241" spans="2:14" s="64" customFormat="1" ht="17.25" customHeight="1" x14ac:dyDescent="0.2">
      <c r="B241" s="72"/>
      <c r="C241" s="72"/>
      <c r="D241" s="72"/>
      <c r="E241" s="237"/>
      <c r="F241" s="21"/>
      <c r="G241" s="201"/>
      <c r="H241" s="200"/>
      <c r="I241" s="239"/>
      <c r="J241" s="239"/>
      <c r="L241" s="138"/>
      <c r="M241" s="138"/>
      <c r="N241" s="138"/>
    </row>
    <row r="242" spans="2:14" s="64" customFormat="1" ht="17.25" customHeight="1" x14ac:dyDescent="0.2">
      <c r="B242" s="72"/>
      <c r="C242" s="72"/>
      <c r="D242" s="72"/>
      <c r="E242" s="237"/>
      <c r="F242" s="21"/>
      <c r="G242" s="201"/>
      <c r="H242" s="200"/>
      <c r="I242" s="239"/>
      <c r="J242" s="239"/>
      <c r="L242" s="138"/>
      <c r="M242" s="138"/>
      <c r="N242" s="138"/>
    </row>
    <row r="243" spans="2:14" s="64" customFormat="1" ht="17.25" customHeight="1" x14ac:dyDescent="0.2">
      <c r="B243" s="184" t="s">
        <v>547</v>
      </c>
      <c r="E243" s="239"/>
      <c r="F243" s="239"/>
      <c r="G243" s="239"/>
      <c r="H243" s="239"/>
      <c r="I243" s="239"/>
      <c r="J243" s="239"/>
      <c r="L243" s="138"/>
      <c r="M243" s="138"/>
      <c r="N243" s="138"/>
    </row>
    <row r="244" spans="2:14" s="64" customFormat="1" ht="17.25" customHeight="1" x14ac:dyDescent="0.2">
      <c r="E244" s="239"/>
      <c r="F244" s="239"/>
      <c r="G244" s="239"/>
      <c r="H244" s="239"/>
      <c r="I244" s="239"/>
      <c r="J244" s="239"/>
      <c r="L244" s="138"/>
      <c r="M244" s="138"/>
      <c r="N244" s="138"/>
    </row>
    <row r="245" spans="2:14" s="254" customFormat="1" ht="42.75" customHeight="1" x14ac:dyDescent="0.2">
      <c r="B245" s="252"/>
      <c r="C245" s="252" t="s">
        <v>541</v>
      </c>
      <c r="D245" s="252" t="s">
        <v>548</v>
      </c>
      <c r="E245" s="252" t="s">
        <v>549</v>
      </c>
      <c r="G245" s="13"/>
      <c r="H245" s="13"/>
      <c r="I245" s="13"/>
      <c r="J245" s="253"/>
      <c r="L245" s="255"/>
      <c r="M245" s="255"/>
      <c r="N245" s="255"/>
    </row>
    <row r="246" spans="2:14" s="64" customFormat="1" ht="17.25" customHeight="1" x14ac:dyDescent="0.2">
      <c r="B246" s="235" t="s">
        <v>503</v>
      </c>
      <c r="C246" s="242"/>
      <c r="D246" s="242"/>
      <c r="E246" s="242"/>
      <c r="G246" s="237"/>
      <c r="H246" s="21"/>
      <c r="I246" s="21"/>
      <c r="J246" s="239"/>
      <c r="L246" s="138"/>
      <c r="M246" s="138"/>
      <c r="N246" s="138"/>
    </row>
    <row r="247" spans="2:14" s="64" customFormat="1" ht="17.25" customHeight="1" x14ac:dyDescent="0.2">
      <c r="B247" s="235" t="s">
        <v>504</v>
      </c>
      <c r="C247" s="242"/>
      <c r="D247" s="242"/>
      <c r="E247" s="242"/>
      <c r="G247" s="237"/>
      <c r="H247" s="21"/>
      <c r="I247" s="21"/>
      <c r="J247" s="239"/>
      <c r="L247" s="138"/>
      <c r="M247" s="138"/>
      <c r="N247" s="138"/>
    </row>
    <row r="248" spans="2:14" s="64" customFormat="1" ht="17.25" customHeight="1" x14ac:dyDescent="0.2">
      <c r="B248" s="235" t="s">
        <v>505</v>
      </c>
      <c r="C248" s="242"/>
      <c r="D248" s="242"/>
      <c r="E248" s="242"/>
      <c r="G248" s="237" t="s">
        <v>545</v>
      </c>
      <c r="H248" s="21"/>
      <c r="I248" s="21"/>
      <c r="J248" s="239"/>
      <c r="L248" s="138"/>
      <c r="M248" s="138"/>
      <c r="N248" s="138"/>
    </row>
    <row r="249" spans="2:14" s="64" customFormat="1" ht="17.25" customHeight="1" x14ac:dyDescent="0.2">
      <c r="B249" s="235" t="s">
        <v>506</v>
      </c>
      <c r="C249" s="242"/>
      <c r="D249" s="242"/>
      <c r="E249" s="242"/>
      <c r="G249" s="237"/>
      <c r="H249" s="21"/>
      <c r="I249" s="21"/>
      <c r="J249" s="239"/>
      <c r="L249" s="138"/>
      <c r="M249" s="138"/>
      <c r="N249" s="138"/>
    </row>
    <row r="250" spans="2:14" s="64" customFormat="1" ht="17.25" customHeight="1" x14ac:dyDescent="0.2">
      <c r="B250" s="235" t="s">
        <v>507</v>
      </c>
      <c r="C250" s="242"/>
      <c r="D250" s="242"/>
      <c r="E250" s="242"/>
      <c r="G250" s="237"/>
      <c r="H250" s="21"/>
      <c r="I250" s="21"/>
      <c r="J250" s="239"/>
      <c r="L250" s="138"/>
      <c r="M250" s="138"/>
      <c r="N250" s="138"/>
    </row>
    <row r="251" spans="2:14" s="64" customFormat="1" ht="17.25" customHeight="1" x14ac:dyDescent="0.2">
      <c r="B251" s="235" t="s">
        <v>508</v>
      </c>
      <c r="C251" s="242"/>
      <c r="D251" s="242"/>
      <c r="E251" s="242"/>
      <c r="G251" s="237"/>
      <c r="H251" s="21"/>
      <c r="I251" s="21"/>
      <c r="J251" s="239"/>
      <c r="L251" s="138"/>
      <c r="M251" s="138"/>
      <c r="N251" s="138"/>
    </row>
    <row r="252" spans="2:14" s="64" customFormat="1" ht="17.25" customHeight="1" x14ac:dyDescent="0.2">
      <c r="B252" s="235" t="s">
        <v>509</v>
      </c>
      <c r="C252" s="242"/>
      <c r="D252" s="242"/>
      <c r="E252" s="242"/>
      <c r="G252" s="237"/>
      <c r="H252" s="21"/>
      <c r="I252" s="21"/>
      <c r="J252" s="239"/>
      <c r="L252" s="138"/>
      <c r="M252" s="138"/>
      <c r="N252" s="138"/>
    </row>
    <row r="253" spans="2:14" s="64" customFormat="1" ht="17.25" customHeight="1" x14ac:dyDescent="0.2">
      <c r="B253" s="235" t="s">
        <v>510</v>
      </c>
      <c r="C253" s="242"/>
      <c r="D253" s="242"/>
      <c r="E253" s="242"/>
      <c r="G253" s="237"/>
      <c r="H253" s="21"/>
      <c r="I253" s="21"/>
      <c r="J253" s="239"/>
      <c r="L253" s="138"/>
      <c r="M253" s="138"/>
      <c r="N253" s="138"/>
    </row>
    <row r="254" spans="2:14" s="64" customFormat="1" ht="17.25" customHeight="1" x14ac:dyDescent="0.2">
      <c r="B254" s="235" t="s">
        <v>511</v>
      </c>
      <c r="C254" s="242"/>
      <c r="D254" s="242"/>
      <c r="E254" s="242"/>
      <c r="G254" s="237"/>
      <c r="H254" s="21"/>
      <c r="I254" s="21"/>
      <c r="J254" s="239"/>
      <c r="L254" s="138"/>
      <c r="M254" s="138"/>
      <c r="N254" s="138"/>
    </row>
    <row r="255" spans="2:14" s="64" customFormat="1" ht="17.25" customHeight="1" x14ac:dyDescent="0.2">
      <c r="B255" s="235" t="s">
        <v>512</v>
      </c>
      <c r="C255" s="242"/>
      <c r="D255" s="242"/>
      <c r="E255" s="242"/>
      <c r="G255" s="237"/>
      <c r="H255" s="21"/>
      <c r="I255" s="21"/>
      <c r="J255" s="239"/>
      <c r="L255" s="138"/>
      <c r="M255" s="138"/>
      <c r="N255" s="138"/>
    </row>
    <row r="256" spans="2:14" s="64" customFormat="1" ht="17.25" customHeight="1" x14ac:dyDescent="0.2">
      <c r="B256" s="235" t="s">
        <v>513</v>
      </c>
      <c r="C256" s="242"/>
      <c r="D256" s="242"/>
      <c r="E256" s="242"/>
      <c r="G256" s="237"/>
      <c r="H256" s="21"/>
      <c r="I256" s="21"/>
      <c r="J256" s="239"/>
      <c r="L256" s="138"/>
      <c r="M256" s="138"/>
      <c r="N256" s="138"/>
    </row>
    <row r="257" spans="2:15" s="64" customFormat="1" ht="17.25" customHeight="1" x14ac:dyDescent="0.2">
      <c r="B257" s="235" t="s">
        <v>514</v>
      </c>
      <c r="C257" s="242"/>
      <c r="D257" s="242"/>
      <c r="E257" s="242"/>
      <c r="G257" s="237"/>
      <c r="H257" s="21"/>
      <c r="I257" s="21"/>
      <c r="J257" s="239"/>
      <c r="L257" s="138"/>
      <c r="M257" s="138"/>
      <c r="N257" s="138"/>
    </row>
    <row r="258" spans="2:15" s="64" customFormat="1" ht="17.25" customHeight="1" x14ac:dyDescent="0.2">
      <c r="B258" s="168" t="s">
        <v>520</v>
      </c>
      <c r="C258" s="168"/>
      <c r="D258" s="168"/>
      <c r="E258" s="168"/>
      <c r="G258" s="10"/>
      <c r="H258" s="10"/>
      <c r="I258" s="21"/>
      <c r="J258" s="239"/>
      <c r="L258" s="138"/>
      <c r="M258" s="138"/>
      <c r="N258" s="138"/>
    </row>
    <row r="259" spans="2:15" s="64" customFormat="1" ht="17.25" customHeight="1" x14ac:dyDescent="0.2">
      <c r="B259" s="72"/>
      <c r="C259" s="72"/>
      <c r="D259" s="72"/>
      <c r="E259" s="237"/>
      <c r="F259" s="21"/>
      <c r="G259" s="201"/>
      <c r="H259" s="200"/>
      <c r="I259" s="239"/>
      <c r="J259" s="239"/>
      <c r="L259" s="138"/>
      <c r="M259" s="138"/>
      <c r="N259" s="138"/>
    </row>
    <row r="260" spans="2:15" s="64" customFormat="1" ht="17.25" customHeight="1" x14ac:dyDescent="0.2">
      <c r="B260" s="72"/>
      <c r="C260" s="72"/>
      <c r="D260" s="72"/>
      <c r="E260" s="314"/>
      <c r="F260" s="21"/>
      <c r="G260" s="201"/>
      <c r="H260" s="200"/>
      <c r="I260" s="316"/>
      <c r="J260" s="316"/>
      <c r="L260" s="138"/>
      <c r="M260" s="138"/>
      <c r="N260" s="138"/>
    </row>
    <row r="269" spans="2:15" s="64" customFormat="1" ht="17.25" customHeight="1" x14ac:dyDescent="0.2">
      <c r="B269" s="72"/>
      <c r="C269" s="72"/>
      <c r="D269" s="72"/>
      <c r="E269" s="314"/>
      <c r="F269" s="21"/>
      <c r="G269" s="201"/>
      <c r="H269" s="200"/>
      <c r="I269" s="316"/>
      <c r="J269" s="316"/>
      <c r="L269" s="138"/>
      <c r="M269" s="138"/>
      <c r="N269" s="138"/>
    </row>
    <row r="270" spans="2:15" s="10" customFormat="1" ht="12.75" customHeight="1" x14ac:dyDescent="0.2">
      <c r="B270" s="229"/>
      <c r="C270" s="323"/>
      <c r="D270" s="323"/>
      <c r="E270" s="323"/>
      <c r="F270" s="323"/>
      <c r="G270" s="323"/>
      <c r="H270" s="324"/>
      <c r="I270" s="325"/>
      <c r="J270" s="325"/>
      <c r="L270" s="326"/>
      <c r="M270" s="326"/>
      <c r="N270" s="326"/>
      <c r="O270" s="327"/>
    </row>
    <row r="271" spans="2:15" s="10" customFormat="1" ht="12.75" customHeight="1" x14ac:dyDescent="0.2">
      <c r="B271" s="229"/>
      <c r="C271" s="323"/>
      <c r="D271" s="323"/>
      <c r="E271" s="323"/>
      <c r="F271" s="323"/>
      <c r="G271" s="323"/>
      <c r="H271" s="324"/>
      <c r="I271" s="325"/>
      <c r="J271" s="325"/>
      <c r="L271" s="326"/>
      <c r="M271" s="326"/>
      <c r="N271" s="326"/>
      <c r="O271" s="327"/>
    </row>
    <row r="272" spans="2:15" s="64" customFormat="1" ht="17.25" customHeight="1" x14ac:dyDescent="0.2">
      <c r="B272" s="184" t="s">
        <v>1043</v>
      </c>
      <c r="C272" s="72"/>
      <c r="D272" s="72"/>
      <c r="E272" s="237"/>
      <c r="F272" s="21"/>
      <c r="G272" s="201"/>
      <c r="H272" s="200"/>
      <c r="I272" s="239"/>
      <c r="J272" s="239"/>
      <c r="L272" s="138"/>
      <c r="M272" s="138"/>
      <c r="N272" s="138"/>
    </row>
    <row r="273" spans="2:22" s="64" customFormat="1" ht="17.25" customHeight="1" x14ac:dyDescent="0.2">
      <c r="B273" s="72"/>
      <c r="C273" s="72"/>
      <c r="D273" s="72"/>
      <c r="E273" s="237"/>
      <c r="F273" s="21"/>
      <c r="G273" s="201"/>
      <c r="H273" s="200"/>
      <c r="I273" s="239"/>
      <c r="J273" s="239"/>
      <c r="L273" s="138"/>
      <c r="M273" s="138"/>
      <c r="N273" s="138"/>
    </row>
    <row r="274" spans="2:22" s="64" customFormat="1" ht="17.25" customHeight="1" x14ac:dyDescent="0.2">
      <c r="B274" s="72" t="s">
        <v>1017</v>
      </c>
      <c r="C274" s="72"/>
      <c r="D274" s="72"/>
      <c r="E274" s="237"/>
      <c r="F274" s="21"/>
      <c r="G274" s="201"/>
      <c r="H274" s="200"/>
      <c r="I274" s="239"/>
      <c r="J274" s="239"/>
      <c r="L274" s="138"/>
      <c r="M274" s="138"/>
      <c r="N274" s="138"/>
    </row>
    <row r="275" spans="2:22" s="64" customFormat="1" ht="17.25" customHeight="1" x14ac:dyDescent="0.2">
      <c r="B275" s="72"/>
      <c r="C275" s="72"/>
      <c r="D275" s="72"/>
      <c r="E275" s="237"/>
      <c r="F275" s="21"/>
      <c r="G275" s="201"/>
      <c r="H275" s="200"/>
      <c r="I275" s="239"/>
      <c r="J275" s="239"/>
      <c r="L275" s="138"/>
      <c r="M275" s="138"/>
      <c r="N275" s="138"/>
    </row>
    <row r="276" spans="2:22" s="4" customFormat="1" ht="13.5" customHeight="1" x14ac:dyDescent="0.2">
      <c r="B276" s="73" t="s">
        <v>300</v>
      </c>
      <c r="C276" s="127"/>
      <c r="D276" s="127"/>
      <c r="E276" s="127"/>
      <c r="F276" s="136"/>
      <c r="G276" s="136"/>
      <c r="H276" s="2"/>
      <c r="I276" s="138"/>
      <c r="J276" s="138"/>
      <c r="K276" s="138"/>
      <c r="L276" s="64"/>
      <c r="M276" s="64"/>
      <c r="N276" s="64"/>
      <c r="O276" s="64"/>
      <c r="P276" s="64"/>
      <c r="Q276" s="64"/>
      <c r="R276" s="64"/>
      <c r="S276" s="64"/>
      <c r="T276" s="64"/>
      <c r="U276" s="64"/>
      <c r="V276" s="64"/>
    </row>
    <row r="277" spans="2:22" s="4" customFormat="1" ht="14.45" customHeight="1" x14ac:dyDescent="0.2">
      <c r="B277" s="33" t="s">
        <v>301</v>
      </c>
      <c r="C277" s="6"/>
      <c r="D277" s="6"/>
      <c r="E277" s="6"/>
      <c r="F277" s="6"/>
      <c r="G277" s="10"/>
      <c r="H277" s="10"/>
      <c r="I277" s="10"/>
      <c r="J277" s="10"/>
      <c r="K277" s="10"/>
      <c r="L277" s="138"/>
      <c r="M277" s="138"/>
      <c r="N277" s="138"/>
      <c r="O277" s="10"/>
      <c r="P277" s="10"/>
      <c r="Q277" s="64"/>
      <c r="R277" s="64"/>
      <c r="S277" s="64"/>
      <c r="T277" s="64"/>
      <c r="U277" s="64"/>
      <c r="V277" s="64"/>
    </row>
    <row r="278" spans="2:22" s="4" customFormat="1" ht="10.9" customHeight="1" x14ac:dyDescent="0.2">
      <c r="B278" s="6"/>
      <c r="C278" s="33"/>
      <c r="D278" s="33"/>
      <c r="E278" s="33"/>
      <c r="F278" s="33"/>
      <c r="G278" s="72"/>
      <c r="H278" s="72"/>
      <c r="I278" s="72"/>
      <c r="J278" s="10"/>
      <c r="K278" s="10"/>
      <c r="L278" s="138"/>
      <c r="M278" s="138"/>
      <c r="N278" s="138"/>
      <c r="O278" s="10"/>
      <c r="P278" s="10"/>
      <c r="Q278" s="64"/>
      <c r="R278" s="64"/>
      <c r="S278" s="64"/>
      <c r="T278" s="64"/>
      <c r="U278" s="64"/>
      <c r="V278" s="64"/>
    </row>
    <row r="279" spans="2:22" s="4" customFormat="1" ht="10.9" customHeight="1" x14ac:dyDescent="0.2">
      <c r="B279" s="6"/>
      <c r="C279" s="6"/>
      <c r="D279" s="6"/>
      <c r="E279" s="6"/>
      <c r="F279" s="6"/>
      <c r="G279" s="10"/>
      <c r="H279" s="10"/>
      <c r="I279" s="10"/>
      <c r="J279" s="10"/>
      <c r="K279" s="10"/>
      <c r="L279" s="138"/>
      <c r="M279" s="138"/>
      <c r="N279" s="138"/>
      <c r="O279" s="10"/>
      <c r="P279" s="10"/>
      <c r="Q279" s="64"/>
      <c r="R279" s="64"/>
      <c r="S279" s="64"/>
      <c r="T279" s="64"/>
      <c r="U279" s="64"/>
      <c r="V279" s="64"/>
    </row>
    <row r="280" spans="2:22" s="4" customFormat="1" ht="10.9" customHeight="1" x14ac:dyDescent="0.2">
      <c r="B280" s="6"/>
      <c r="C280" s="75" t="s">
        <v>6</v>
      </c>
      <c r="D280" s="318" t="s">
        <v>97</v>
      </c>
      <c r="E280" s="6"/>
      <c r="F280" s="6"/>
      <c r="G280" s="10"/>
      <c r="H280" s="10"/>
      <c r="I280" s="10"/>
      <c r="J280" s="10"/>
      <c r="K280" s="10"/>
      <c r="L280" s="138"/>
      <c r="M280" s="138"/>
      <c r="N280" s="138"/>
      <c r="O280" s="10"/>
      <c r="P280" s="10"/>
    </row>
    <row r="281" spans="2:22" s="4" customFormat="1" ht="10.9" customHeight="1" x14ac:dyDescent="0.2">
      <c r="B281" s="6"/>
      <c r="C281" s="75"/>
      <c r="D281" s="6"/>
      <c r="E281" s="6"/>
      <c r="F281" s="6"/>
      <c r="G281" s="10"/>
      <c r="H281" s="10"/>
      <c r="I281" s="10"/>
      <c r="J281" s="10"/>
      <c r="K281" s="10"/>
      <c r="L281" s="138"/>
      <c r="M281" s="138"/>
      <c r="N281" s="138"/>
      <c r="O281" s="10"/>
      <c r="P281" s="10"/>
    </row>
    <row r="282" spans="2:22" s="4" customFormat="1" ht="10.9" customHeight="1" x14ac:dyDescent="0.2">
      <c r="B282" s="6"/>
      <c r="C282" s="75" t="s">
        <v>7</v>
      </c>
      <c r="D282" s="56"/>
      <c r="E282" s="6"/>
      <c r="F282" s="6"/>
      <c r="G282" s="10"/>
      <c r="H282" s="21"/>
      <c r="I282" s="21"/>
      <c r="J282" s="10"/>
      <c r="K282" s="10"/>
      <c r="L282" s="138"/>
      <c r="M282" s="138"/>
      <c r="N282" s="138"/>
      <c r="O282" s="10"/>
      <c r="P282" s="10"/>
    </row>
    <row r="283" spans="2:22" s="4" customFormat="1" ht="10.9" customHeight="1" x14ac:dyDescent="0.2">
      <c r="B283" s="6"/>
      <c r="C283" s="75"/>
      <c r="D283" s="6"/>
      <c r="E283" s="6"/>
      <c r="F283" s="6"/>
      <c r="G283" s="10"/>
      <c r="H283" s="21"/>
      <c r="I283" s="21"/>
      <c r="J283" s="10"/>
      <c r="K283" s="10"/>
      <c r="L283" s="138"/>
      <c r="M283" s="138"/>
      <c r="N283" s="138"/>
      <c r="O283" s="10"/>
      <c r="P283" s="10"/>
    </row>
    <row r="284" spans="2:22" s="4" customFormat="1" ht="10.9" customHeight="1" x14ac:dyDescent="0.2">
      <c r="B284" s="6"/>
      <c r="C284" s="779" t="s">
        <v>12</v>
      </c>
      <c r="D284" s="780"/>
      <c r="E284" s="780"/>
      <c r="F284" s="780"/>
      <c r="G284" s="781"/>
      <c r="H284" s="72"/>
      <c r="I284" s="72"/>
      <c r="J284" s="10"/>
      <c r="K284" s="10"/>
      <c r="L284" s="138"/>
      <c r="M284" s="138"/>
      <c r="N284" s="138"/>
      <c r="O284" s="10"/>
      <c r="P284" s="10"/>
    </row>
    <row r="285" spans="2:22" s="4" customFormat="1" x14ac:dyDescent="0.2">
      <c r="B285" s="6"/>
      <c r="C285" s="1" t="s">
        <v>8</v>
      </c>
      <c r="D285" s="19"/>
      <c r="E285" s="19"/>
      <c r="F285" s="19"/>
      <c r="G285" s="137"/>
      <c r="H285" s="72"/>
      <c r="I285" s="72"/>
      <c r="J285" s="10"/>
      <c r="K285" s="10"/>
      <c r="L285" s="138"/>
      <c r="M285" s="138"/>
      <c r="N285" s="138"/>
      <c r="O285" s="10"/>
      <c r="P285" s="10"/>
    </row>
    <row r="286" spans="2:22" s="4" customFormat="1" x14ac:dyDescent="0.2">
      <c r="B286" s="6"/>
      <c r="C286" s="3"/>
      <c r="D286" s="60"/>
      <c r="E286" s="60"/>
      <c r="F286" s="60"/>
      <c r="G286" s="139"/>
      <c r="H286" s="72"/>
      <c r="I286" s="72"/>
      <c r="J286" s="10"/>
      <c r="K286" s="10"/>
      <c r="L286" s="138"/>
      <c r="M286" s="138"/>
      <c r="N286" s="138"/>
      <c r="O286" s="10"/>
      <c r="P286" s="10"/>
    </row>
    <row r="287" spans="2:22" s="4" customFormat="1" x14ac:dyDescent="0.2">
      <c r="B287" s="6"/>
      <c r="C287" s="1" t="s">
        <v>9</v>
      </c>
      <c r="D287" s="140"/>
      <c r="E287" s="140"/>
      <c r="F287" s="140"/>
      <c r="G287" s="137"/>
      <c r="H287" s="72"/>
      <c r="I287" s="72"/>
      <c r="J287" s="10"/>
      <c r="K287" s="10"/>
      <c r="L287" s="138"/>
      <c r="M287" s="138"/>
      <c r="N287" s="138"/>
      <c r="O287" s="10"/>
      <c r="P287" s="10"/>
    </row>
    <row r="288" spans="2:22" s="4" customFormat="1" x14ac:dyDescent="0.2">
      <c r="B288" s="6"/>
      <c r="C288" s="3"/>
      <c r="D288" s="60"/>
      <c r="E288" s="60"/>
      <c r="F288" s="60"/>
      <c r="G288" s="139"/>
      <c r="H288" s="72"/>
      <c r="I288" s="72"/>
      <c r="J288" s="10"/>
      <c r="K288" s="10"/>
      <c r="L288" s="138"/>
      <c r="M288" s="138"/>
      <c r="N288" s="138"/>
      <c r="O288" s="10"/>
      <c r="P288" s="10"/>
    </row>
    <row r="289" spans="2:16" s="4" customFormat="1" ht="30" customHeight="1" x14ac:dyDescent="0.2">
      <c r="B289" s="6"/>
      <c r="C289" s="1" t="s">
        <v>37</v>
      </c>
      <c r="D289" s="140"/>
      <c r="E289" s="140"/>
      <c r="F289" s="140"/>
      <c r="G289" s="137"/>
      <c r="H289" s="72"/>
      <c r="I289" s="72"/>
      <c r="J289" s="10"/>
      <c r="K289" s="10"/>
      <c r="L289" s="138"/>
      <c r="M289" s="138"/>
      <c r="N289" s="138"/>
      <c r="O289" s="10"/>
      <c r="P289" s="10"/>
    </row>
    <row r="290" spans="2:16" s="4" customFormat="1" ht="19.899999999999999" customHeight="1" x14ac:dyDescent="0.2">
      <c r="B290" s="6"/>
      <c r="C290" s="3"/>
      <c r="D290" s="126"/>
      <c r="E290" s="126"/>
      <c r="F290" s="126"/>
      <c r="G290" s="139"/>
      <c r="H290" s="10"/>
      <c r="I290" s="10"/>
      <c r="J290" s="10"/>
      <c r="K290" s="10"/>
      <c r="L290" s="138"/>
      <c r="M290" s="138"/>
      <c r="N290" s="138"/>
      <c r="O290" s="10"/>
      <c r="P290" s="10"/>
    </row>
    <row r="291" spans="2:16" s="4" customFormat="1" ht="19.899999999999999" customHeight="1" x14ac:dyDescent="0.2">
      <c r="B291" s="6"/>
      <c r="C291" s="2"/>
      <c r="D291" s="6"/>
      <c r="E291" s="6"/>
      <c r="F291" s="6"/>
      <c r="G291" s="10"/>
      <c r="H291" s="10"/>
      <c r="I291" s="10"/>
      <c r="J291" s="10"/>
      <c r="K291" s="10"/>
      <c r="L291" s="138"/>
      <c r="M291" s="138"/>
      <c r="N291" s="138"/>
      <c r="O291" s="10"/>
      <c r="P291" s="10"/>
    </row>
    <row r="292" spans="2:16" s="4" customFormat="1" ht="23.25" customHeight="1" x14ac:dyDescent="0.2">
      <c r="B292" s="73" t="s">
        <v>302</v>
      </c>
      <c r="C292" s="6"/>
      <c r="D292" s="6"/>
      <c r="E292" s="6"/>
      <c r="F292" s="6"/>
      <c r="G292" s="6"/>
      <c r="H292" s="6"/>
      <c r="I292" s="6"/>
      <c r="J292" s="10"/>
      <c r="L292" s="114"/>
      <c r="M292" s="114"/>
      <c r="N292" s="114"/>
    </row>
    <row r="293" spans="2:16" s="4" customFormat="1" ht="13.5" customHeight="1" x14ac:dyDescent="0.2">
      <c r="B293" s="73"/>
      <c r="C293" s="6"/>
      <c r="D293" s="6"/>
      <c r="E293" s="6"/>
      <c r="F293" s="6"/>
      <c r="G293" s="6"/>
      <c r="H293" s="6"/>
      <c r="I293" s="6"/>
      <c r="J293" s="10"/>
      <c r="L293" s="114"/>
      <c r="M293" s="114"/>
      <c r="N293" s="114"/>
    </row>
    <row r="294" spans="2:16" s="4" customFormat="1" ht="19.899999999999999" customHeight="1" x14ac:dyDescent="0.2">
      <c r="B294" s="6"/>
      <c r="C294" s="786" t="s">
        <v>10</v>
      </c>
      <c r="D294" s="786"/>
      <c r="E294" s="786" t="s">
        <v>16</v>
      </c>
      <c r="F294" s="786"/>
      <c r="G294" s="786"/>
      <c r="H294" s="315" t="s">
        <v>5</v>
      </c>
      <c r="J294" s="10"/>
      <c r="L294" s="114"/>
      <c r="M294" s="114"/>
      <c r="N294" s="114"/>
    </row>
    <row r="295" spans="2:16" s="4" customFormat="1" ht="19.899999999999999" customHeight="1" x14ac:dyDescent="0.2">
      <c r="B295" s="6"/>
      <c r="C295" s="805" t="s">
        <v>73</v>
      </c>
      <c r="D295" s="806"/>
      <c r="E295" s="787"/>
      <c r="F295" s="756"/>
      <c r="G295" s="756"/>
      <c r="H295" s="89"/>
      <c r="J295" s="10"/>
      <c r="L295" s="114"/>
      <c r="M295" s="114"/>
      <c r="N295" s="114"/>
    </row>
    <row r="296" spans="2:16" s="4" customFormat="1" ht="12.75" customHeight="1" x14ac:dyDescent="0.2">
      <c r="B296" s="6"/>
      <c r="C296" s="784" t="s">
        <v>197</v>
      </c>
      <c r="D296" s="785"/>
      <c r="E296" s="926" t="s">
        <v>352</v>
      </c>
      <c r="F296" s="926"/>
      <c r="G296" s="926"/>
      <c r="H296" s="89">
        <v>5250</v>
      </c>
      <c r="J296" s="10"/>
      <c r="K296" s="34"/>
      <c r="L296" s="114"/>
      <c r="M296" s="114"/>
      <c r="N296" s="114"/>
    </row>
    <row r="297" spans="2:16" s="4" customFormat="1" x14ac:dyDescent="0.2">
      <c r="B297" s="6"/>
      <c r="C297" s="785" t="s">
        <v>282</v>
      </c>
      <c r="D297" s="785"/>
      <c r="E297" s="759"/>
      <c r="F297" s="760"/>
      <c r="G297" s="761"/>
      <c r="H297" s="56"/>
      <c r="J297" s="10"/>
      <c r="L297" s="114"/>
      <c r="M297" s="114"/>
      <c r="N297" s="114"/>
    </row>
    <row r="298" spans="2:16" s="4" customFormat="1" x14ac:dyDescent="0.2">
      <c r="B298" s="6"/>
      <c r="C298" s="785" t="s">
        <v>78</v>
      </c>
      <c r="D298" s="785"/>
      <c r="E298" s="759"/>
      <c r="F298" s="760"/>
      <c r="G298" s="761"/>
      <c r="H298" s="56"/>
      <c r="J298" s="10"/>
      <c r="L298" s="114"/>
      <c r="M298" s="114"/>
      <c r="N298" s="114"/>
    </row>
    <row r="299" spans="2:16" s="4" customFormat="1" x14ac:dyDescent="0.2">
      <c r="B299" s="6"/>
      <c r="C299" s="863" t="s">
        <v>11</v>
      </c>
      <c r="D299" s="864"/>
      <c r="E299" s="865"/>
      <c r="F299" s="866"/>
      <c r="G299" s="866"/>
      <c r="H299" s="168"/>
      <c r="J299" s="10"/>
      <c r="L299" s="114"/>
      <c r="M299" s="114"/>
      <c r="N299" s="114"/>
    </row>
    <row r="300" spans="2:16" s="4" customFormat="1" ht="16.5" customHeight="1" x14ac:dyDescent="0.2">
      <c r="B300" s="6"/>
      <c r="C300" s="813" t="s">
        <v>77</v>
      </c>
      <c r="D300" s="815"/>
      <c r="E300" s="865"/>
      <c r="F300" s="866"/>
      <c r="G300" s="866"/>
      <c r="H300" s="168"/>
      <c r="J300" s="10"/>
      <c r="L300" s="114"/>
      <c r="M300" s="114"/>
      <c r="N300" s="114"/>
    </row>
    <row r="301" spans="2:16" s="4" customFormat="1" ht="33" customHeight="1" x14ac:dyDescent="0.2">
      <c r="B301" s="6"/>
      <c r="C301" s="813" t="s">
        <v>78</v>
      </c>
      <c r="D301" s="815"/>
      <c r="E301" s="836"/>
      <c r="F301" s="836"/>
      <c r="G301" s="836"/>
      <c r="H301" s="168"/>
      <c r="J301" s="10"/>
      <c r="L301" s="114"/>
      <c r="M301" s="114"/>
      <c r="N301" s="114"/>
    </row>
    <row r="302" spans="2:16" s="64" customFormat="1" ht="17.25" customHeight="1" x14ac:dyDescent="0.2">
      <c r="B302" s="72"/>
      <c r="C302" s="72"/>
      <c r="D302" s="72"/>
      <c r="E302" s="314"/>
      <c r="F302" s="21"/>
      <c r="G302" s="201"/>
      <c r="H302" s="200"/>
      <c r="I302" s="316"/>
      <c r="J302" s="316"/>
      <c r="L302" s="138"/>
      <c r="M302" s="138"/>
      <c r="N302" s="138"/>
    </row>
    <row r="303" spans="2:16" s="64" customFormat="1" ht="17.25" customHeight="1" x14ac:dyDescent="0.2">
      <c r="B303" s="72"/>
      <c r="C303" s="72"/>
      <c r="D303" s="72"/>
      <c r="E303" s="314"/>
      <c r="F303" s="21"/>
      <c r="G303" s="201"/>
      <c r="H303" s="200"/>
      <c r="I303" s="316"/>
      <c r="J303" s="316"/>
      <c r="L303" s="138"/>
      <c r="M303" s="138"/>
      <c r="N303" s="138"/>
    </row>
    <row r="304" spans="2:16" s="64" customFormat="1" ht="17.25" customHeight="1" x14ac:dyDescent="0.2">
      <c r="B304" s="72"/>
      <c r="C304" s="72"/>
      <c r="D304" s="72"/>
      <c r="E304" s="314"/>
      <c r="F304" s="21"/>
      <c r="G304" s="201"/>
      <c r="H304" s="200"/>
      <c r="I304" s="316"/>
      <c r="J304" s="316"/>
      <c r="L304" s="138"/>
      <c r="M304" s="138"/>
      <c r="N304" s="138"/>
    </row>
    <row r="305" spans="2:15" s="64" customFormat="1" ht="17.25" customHeight="1" x14ac:dyDescent="0.2">
      <c r="B305" s="72"/>
      <c r="C305" s="72"/>
      <c r="D305" s="72"/>
      <c r="E305" s="314"/>
      <c r="F305" s="21"/>
      <c r="G305" s="201"/>
      <c r="H305" s="200"/>
      <c r="I305" s="316"/>
      <c r="J305" s="316"/>
      <c r="L305" s="138"/>
      <c r="M305" s="138"/>
      <c r="N305" s="138"/>
    </row>
    <row r="306" spans="2:15" s="64" customFormat="1" ht="17.25" customHeight="1" x14ac:dyDescent="0.2">
      <c r="B306" s="72"/>
      <c r="C306" s="72"/>
      <c r="D306" s="72"/>
      <c r="E306" s="314"/>
      <c r="F306" s="21"/>
      <c r="G306" s="201"/>
      <c r="H306" s="200"/>
      <c r="I306" s="316"/>
      <c r="J306" s="316"/>
      <c r="L306" s="138"/>
      <c r="M306" s="138"/>
      <c r="N306" s="138"/>
    </row>
    <row r="307" spans="2:15" s="64" customFormat="1" ht="17.25" customHeight="1" x14ac:dyDescent="0.2">
      <c r="B307" s="72"/>
      <c r="C307" s="72"/>
      <c r="D307" s="72"/>
      <c r="E307" s="314"/>
      <c r="F307" s="21"/>
      <c r="G307" s="201"/>
      <c r="H307" s="200"/>
      <c r="I307" s="316"/>
      <c r="J307" s="316"/>
      <c r="L307" s="138"/>
      <c r="M307" s="138"/>
      <c r="N307" s="138"/>
    </row>
    <row r="308" spans="2:15" s="64" customFormat="1" ht="17.25" customHeight="1" x14ac:dyDescent="0.2">
      <c r="C308" s="72"/>
      <c r="D308" s="72"/>
      <c r="E308" s="237"/>
      <c r="F308" s="21"/>
      <c r="G308" s="201"/>
      <c r="H308" s="200"/>
      <c r="I308" s="239"/>
      <c r="J308" s="239"/>
      <c r="L308" s="138"/>
      <c r="M308" s="138"/>
      <c r="N308" s="138"/>
    </row>
    <row r="309" spans="2:15" s="64" customFormat="1" ht="17.25" customHeight="1" x14ac:dyDescent="0.2">
      <c r="B309" s="72"/>
      <c r="C309" s="72"/>
      <c r="D309" s="72"/>
      <c r="E309" s="237"/>
      <c r="F309" s="21"/>
      <c r="G309" s="201"/>
      <c r="H309" s="200"/>
      <c r="I309" s="239"/>
      <c r="J309" s="239"/>
      <c r="L309" s="138"/>
      <c r="M309" s="138"/>
      <c r="N309" s="138"/>
    </row>
    <row r="310" spans="2:15" s="64" customFormat="1" ht="17.25" customHeight="1" x14ac:dyDescent="0.2">
      <c r="B310" s="72" t="s">
        <v>1042</v>
      </c>
      <c r="C310" s="72"/>
      <c r="D310" s="72"/>
      <c r="E310" s="237"/>
      <c r="F310" s="21"/>
      <c r="G310" s="201"/>
      <c r="H310" s="200"/>
      <c r="I310" s="239"/>
      <c r="J310" s="239"/>
      <c r="L310" s="138"/>
      <c r="M310" s="138"/>
      <c r="N310" s="138"/>
    </row>
    <row r="311" spans="2:15" s="10" customFormat="1" ht="12.75" customHeight="1" x14ac:dyDescent="0.2">
      <c r="B311" s="229"/>
      <c r="C311" s="323"/>
      <c r="D311" s="323"/>
      <c r="E311" s="323"/>
      <c r="F311" s="323"/>
      <c r="G311" s="323"/>
      <c r="H311" s="324"/>
      <c r="I311" s="325"/>
      <c r="J311" s="325"/>
      <c r="L311" s="326"/>
      <c r="M311" s="326"/>
      <c r="N311" s="326"/>
      <c r="O311" s="327"/>
    </row>
    <row r="312" spans="2:15" s="10" customFormat="1" ht="12.75" customHeight="1" x14ac:dyDescent="0.2">
      <c r="B312" s="229"/>
      <c r="C312" s="323"/>
      <c r="D312" s="323"/>
      <c r="E312" s="323"/>
      <c r="F312" s="323"/>
      <c r="G312" s="323"/>
      <c r="H312" s="324"/>
      <c r="I312" s="325"/>
      <c r="J312" s="325"/>
      <c r="L312" s="326"/>
      <c r="M312" s="326"/>
      <c r="N312" s="326"/>
      <c r="O312" s="327"/>
    </row>
    <row r="313" spans="2:15" s="10" customFormat="1" ht="12.75" customHeight="1" x14ac:dyDescent="0.2">
      <c r="B313" s="229"/>
      <c r="C313" s="323"/>
      <c r="D313" s="323"/>
      <c r="E313" s="323"/>
      <c r="F313" s="323"/>
      <c r="G313" s="323"/>
      <c r="H313" s="324"/>
      <c r="I313" s="325"/>
      <c r="J313" s="325"/>
      <c r="L313" s="326"/>
      <c r="M313" s="326"/>
      <c r="N313" s="326"/>
      <c r="O313" s="327"/>
    </row>
    <row r="314" spans="2:15" s="10" customFormat="1" ht="12.75" customHeight="1" x14ac:dyDescent="0.2">
      <c r="B314" s="72" t="s">
        <v>1041</v>
      </c>
      <c r="C314" s="323"/>
      <c r="D314" s="323"/>
      <c r="E314" s="323"/>
      <c r="F314" s="323"/>
      <c r="G314" s="323"/>
      <c r="H314" s="324"/>
      <c r="I314" s="325"/>
      <c r="J314" s="325"/>
      <c r="L314" s="326"/>
      <c r="M314" s="326"/>
      <c r="N314" s="326"/>
      <c r="O314" s="327"/>
    </row>
    <row r="315" spans="2:15" s="10" customFormat="1" ht="12.75" customHeight="1" x14ac:dyDescent="0.2">
      <c r="B315" s="229"/>
      <c r="C315" s="323"/>
      <c r="D315" s="323"/>
      <c r="E315" s="323"/>
      <c r="F315" s="323"/>
      <c r="G315" s="323"/>
      <c r="H315" s="324"/>
      <c r="I315" s="325"/>
      <c r="J315" s="325"/>
      <c r="L315" s="326"/>
      <c r="M315" s="326"/>
      <c r="N315" s="326"/>
      <c r="O315" s="327"/>
    </row>
    <row r="316" spans="2:15" s="10" customFormat="1" ht="12.75" customHeight="1" x14ac:dyDescent="0.2">
      <c r="B316" s="229"/>
      <c r="C316" s="323"/>
      <c r="D316" s="323"/>
      <c r="E316" s="323"/>
      <c r="F316" s="323"/>
      <c r="G316" s="323"/>
      <c r="H316" s="324"/>
      <c r="I316" s="325"/>
      <c r="J316" s="325"/>
      <c r="L316" s="326"/>
      <c r="M316" s="326"/>
      <c r="N316" s="326"/>
      <c r="O316" s="327"/>
    </row>
    <row r="325" spans="2:14" s="64" customFormat="1" ht="17.25" customHeight="1" x14ac:dyDescent="0.2">
      <c r="B325" s="72"/>
      <c r="C325" s="72"/>
      <c r="D325" s="72"/>
      <c r="E325" s="250"/>
      <c r="F325" s="21"/>
      <c r="G325" s="201"/>
      <c r="H325" s="200"/>
      <c r="I325" s="249"/>
      <c r="J325" s="249"/>
      <c r="L325" s="138"/>
      <c r="M325" s="138"/>
      <c r="N325" s="138"/>
    </row>
    <row r="326" spans="2:14" s="64" customFormat="1" ht="17.25" customHeight="1" x14ac:dyDescent="0.2">
      <c r="B326" s="184" t="s">
        <v>1044</v>
      </c>
      <c r="C326" s="72"/>
      <c r="D326" s="72"/>
      <c r="E326" s="250"/>
      <c r="F326" s="21"/>
      <c r="G326" s="201"/>
      <c r="H326" s="200"/>
      <c r="I326" s="249"/>
      <c r="J326" s="249"/>
      <c r="L326" s="138"/>
      <c r="M326" s="138"/>
      <c r="N326" s="138"/>
    </row>
    <row r="327" spans="2:14" s="64" customFormat="1" ht="17.25" customHeight="1" x14ac:dyDescent="0.2">
      <c r="B327" s="72"/>
      <c r="C327" s="72"/>
      <c r="D327" s="72"/>
      <c r="E327" s="250"/>
      <c r="F327" s="21"/>
      <c r="G327" s="201"/>
      <c r="H327" s="200"/>
      <c r="I327" s="249"/>
      <c r="J327" s="249"/>
      <c r="L327" s="138"/>
      <c r="M327" s="138"/>
      <c r="N327" s="138"/>
    </row>
    <row r="328" spans="2:14" s="64" customFormat="1" ht="17.25" customHeight="1" x14ac:dyDescent="0.2">
      <c r="B328" s="184" t="s">
        <v>1018</v>
      </c>
      <c r="C328" s="72"/>
      <c r="D328" s="72"/>
      <c r="E328" s="250"/>
      <c r="F328" s="21"/>
      <c r="G328" s="201"/>
      <c r="H328" s="200"/>
      <c r="I328" s="249"/>
      <c r="J328" s="249"/>
      <c r="L328" s="138"/>
      <c r="M328" s="138"/>
      <c r="N328" s="138"/>
    </row>
    <row r="329" spans="2:14" s="64" customFormat="1" ht="17.25" customHeight="1" x14ac:dyDescent="0.2">
      <c r="B329" s="72"/>
      <c r="C329" s="72"/>
      <c r="D329" s="72"/>
      <c r="E329" s="237"/>
      <c r="F329" s="21"/>
      <c r="G329" s="201"/>
      <c r="H329" s="200"/>
      <c r="I329" s="239"/>
      <c r="J329" s="239"/>
      <c r="L329" s="138"/>
      <c r="M329" s="138"/>
      <c r="N329" s="138"/>
    </row>
    <row r="330" spans="2:14" s="64" customFormat="1" ht="17.25" customHeight="1" x14ac:dyDescent="0.2">
      <c r="B330" s="72" t="s">
        <v>1029</v>
      </c>
      <c r="C330" s="72"/>
      <c r="D330" s="72"/>
      <c r="E330" s="250"/>
      <c r="F330" s="21"/>
      <c r="G330" s="201"/>
      <c r="H330" s="200"/>
      <c r="I330" s="249"/>
      <c r="J330" s="249"/>
      <c r="L330" s="138"/>
      <c r="M330" s="138"/>
      <c r="N330" s="138"/>
    </row>
    <row r="331" spans="2:14" s="64" customFormat="1" ht="17.25" customHeight="1" x14ac:dyDescent="0.2">
      <c r="B331" s="72"/>
      <c r="C331" s="72"/>
      <c r="D331" s="72"/>
      <c r="E331" s="250"/>
      <c r="F331" s="21"/>
      <c r="G331" s="201"/>
      <c r="H331" s="200"/>
      <c r="I331" s="249"/>
      <c r="J331" s="249"/>
      <c r="L331" s="138"/>
      <c r="M331" s="138"/>
      <c r="N331" s="138"/>
    </row>
    <row r="332" spans="2:14" s="64" customFormat="1" ht="17.25" customHeight="1" x14ac:dyDescent="0.2">
      <c r="B332" s="72"/>
      <c r="C332" s="21" t="str">
        <f>+D181</f>
        <v>MAIZ</v>
      </c>
      <c r="D332" s="21" t="str">
        <f>+E181</f>
        <v>PAPA</v>
      </c>
      <c r="F332" s="21"/>
      <c r="G332" s="201"/>
      <c r="H332" s="200"/>
      <c r="I332" s="239"/>
      <c r="J332" s="239"/>
      <c r="L332" s="138"/>
      <c r="M332" s="138"/>
      <c r="N332" s="138"/>
    </row>
    <row r="333" spans="2:14" s="64" customFormat="1" ht="17.25" customHeight="1" x14ac:dyDescent="0.2">
      <c r="B333" s="72" t="s">
        <v>1024</v>
      </c>
      <c r="C333" s="21">
        <f>+D217</f>
        <v>5</v>
      </c>
      <c r="D333" s="21">
        <f>+E193</f>
        <v>5</v>
      </c>
      <c r="F333" s="21"/>
      <c r="G333" s="201"/>
      <c r="H333" s="200"/>
      <c r="I333" s="249"/>
      <c r="J333" s="249"/>
      <c r="L333" s="138"/>
      <c r="M333" s="138"/>
      <c r="N333" s="138"/>
    </row>
    <row r="334" spans="2:14" s="64" customFormat="1" ht="17.25" customHeight="1" x14ac:dyDescent="0.2">
      <c r="B334" s="72" t="s">
        <v>1019</v>
      </c>
      <c r="C334" s="72"/>
      <c r="D334" s="72"/>
      <c r="E334" s="237"/>
      <c r="F334" s="21"/>
      <c r="G334" s="201"/>
      <c r="H334" s="200"/>
      <c r="I334" s="239"/>
      <c r="J334" s="239"/>
      <c r="L334" s="138"/>
      <c r="M334" s="138"/>
      <c r="N334" s="138"/>
    </row>
    <row r="335" spans="2:14" s="64" customFormat="1" ht="17.25" customHeight="1" x14ac:dyDescent="0.2">
      <c r="B335" s="72" t="s">
        <v>1020</v>
      </c>
      <c r="C335" s="72"/>
      <c r="D335" s="72"/>
      <c r="E335" s="237"/>
      <c r="F335" s="21"/>
      <c r="G335" s="201"/>
      <c r="H335" s="200"/>
      <c r="I335" s="239"/>
      <c r="J335" s="239"/>
      <c r="L335" s="138"/>
      <c r="M335" s="138"/>
      <c r="N335" s="138"/>
    </row>
    <row r="336" spans="2:14" s="64" customFormat="1" ht="17.25" customHeight="1" x14ac:dyDescent="0.2">
      <c r="B336" s="72" t="s">
        <v>1021</v>
      </c>
      <c r="C336" s="72"/>
      <c r="D336" s="72"/>
      <c r="E336" s="237"/>
      <c r="F336" s="21"/>
      <c r="G336" s="201"/>
      <c r="H336" s="200"/>
      <c r="I336" s="239"/>
      <c r="J336" s="239"/>
      <c r="L336" s="138"/>
      <c r="M336" s="138"/>
      <c r="N336" s="138"/>
    </row>
    <row r="337" spans="2:14" s="64" customFormat="1" ht="17.25" customHeight="1" x14ac:dyDescent="0.2">
      <c r="B337" s="72"/>
      <c r="C337" s="72"/>
      <c r="D337" s="72"/>
      <c r="E337" s="237"/>
      <c r="F337" s="21"/>
      <c r="G337" s="201"/>
      <c r="H337" s="200"/>
      <c r="I337" s="239"/>
      <c r="J337" s="239"/>
      <c r="L337" s="138"/>
      <c r="M337" s="138"/>
      <c r="N337" s="138"/>
    </row>
    <row r="338" spans="2:14" s="64" customFormat="1" ht="17.25" customHeight="1" x14ac:dyDescent="0.2">
      <c r="B338" s="72" t="s">
        <v>1022</v>
      </c>
      <c r="C338" s="72"/>
      <c r="D338" s="72"/>
      <c r="E338" s="237"/>
      <c r="F338" s="21"/>
      <c r="G338" s="201"/>
      <c r="H338" s="200"/>
      <c r="I338" s="239"/>
      <c r="J338" s="239"/>
      <c r="L338" s="138"/>
      <c r="M338" s="138"/>
      <c r="N338" s="138"/>
    </row>
    <row r="339" spans="2:14" s="64" customFormat="1" ht="17.25" customHeight="1" x14ac:dyDescent="0.2">
      <c r="B339" s="72" t="s">
        <v>1023</v>
      </c>
      <c r="C339" s="72"/>
      <c r="D339" s="72"/>
      <c r="E339" s="237"/>
      <c r="F339" s="21"/>
      <c r="G339" s="201"/>
      <c r="H339" s="200"/>
      <c r="I339" s="239"/>
      <c r="J339" s="239"/>
      <c r="L339" s="138"/>
      <c r="M339" s="138"/>
      <c r="N339" s="138"/>
    </row>
    <row r="340" spans="2:14" s="64" customFormat="1" ht="17.25" customHeight="1" x14ac:dyDescent="0.2">
      <c r="B340" s="72"/>
      <c r="C340" s="72"/>
      <c r="D340" s="72"/>
      <c r="E340" s="237"/>
      <c r="F340" s="21"/>
      <c r="G340" s="201"/>
      <c r="H340" s="200"/>
      <c r="I340" s="239"/>
      <c r="J340" s="239"/>
      <c r="L340" s="138"/>
      <c r="M340" s="138"/>
      <c r="N340" s="138"/>
    </row>
    <row r="341" spans="2:14" s="64" customFormat="1" ht="17.25" customHeight="1" x14ac:dyDescent="0.2">
      <c r="B341" s="72" t="s">
        <v>1030</v>
      </c>
      <c r="C341" s="72"/>
      <c r="D341" s="72"/>
      <c r="E341" s="237"/>
      <c r="F341" s="21"/>
      <c r="G341" s="201"/>
      <c r="H341" s="200"/>
      <c r="I341" s="239"/>
      <c r="J341" s="239"/>
      <c r="L341" s="138"/>
      <c r="M341" s="138"/>
      <c r="N341" s="138"/>
    </row>
    <row r="342" spans="2:14" s="64" customFormat="1" ht="17.25" customHeight="1" x14ac:dyDescent="0.2">
      <c r="B342" s="72"/>
      <c r="C342" s="72"/>
      <c r="D342" s="72"/>
      <c r="E342" s="250"/>
      <c r="F342" s="21"/>
      <c r="G342" s="201"/>
      <c r="H342" s="200"/>
      <c r="I342" s="249"/>
      <c r="J342" s="249"/>
      <c r="L342" s="138"/>
      <c r="M342" s="138"/>
      <c r="N342" s="138"/>
    </row>
    <row r="343" spans="2:14" s="64" customFormat="1" ht="17.25" customHeight="1" x14ac:dyDescent="0.2">
      <c r="B343" s="72"/>
      <c r="C343" s="21" t="str">
        <f>+C181</f>
        <v>ALFALFA</v>
      </c>
      <c r="D343" s="21" t="s">
        <v>1031</v>
      </c>
      <c r="E343" s="21" t="s">
        <v>1032</v>
      </c>
      <c r="F343" s="21" t="s">
        <v>1033</v>
      </c>
      <c r="G343" s="21" t="s">
        <v>1034</v>
      </c>
      <c r="H343" s="21" t="s">
        <v>1035</v>
      </c>
      <c r="I343" s="21" t="s">
        <v>1036</v>
      </c>
      <c r="J343" s="21" t="s">
        <v>1037</v>
      </c>
      <c r="K343" s="21" t="s">
        <v>1038</v>
      </c>
      <c r="L343" s="21" t="s">
        <v>1039</v>
      </c>
      <c r="M343" s="21" t="s">
        <v>1040</v>
      </c>
      <c r="N343" s="138"/>
    </row>
    <row r="344" spans="2:14" s="64" customFormat="1" ht="17.25" customHeight="1" x14ac:dyDescent="0.2">
      <c r="B344" s="72" t="s">
        <v>1024</v>
      </c>
      <c r="C344" s="21">
        <f>+C193</f>
        <v>15</v>
      </c>
      <c r="D344" s="21"/>
      <c r="E344" s="21"/>
      <c r="F344" s="21"/>
      <c r="G344" s="201"/>
      <c r="H344" s="200"/>
      <c r="I344" s="249"/>
      <c r="J344" s="249"/>
      <c r="L344" s="138"/>
      <c r="M344" s="138"/>
      <c r="N344" s="138"/>
    </row>
    <row r="345" spans="2:14" s="64" customFormat="1" ht="17.25" customHeight="1" x14ac:dyDescent="0.2">
      <c r="B345" s="72" t="s">
        <v>1019</v>
      </c>
      <c r="C345" s="72"/>
      <c r="D345" s="72"/>
      <c r="E345" s="250"/>
      <c r="F345" s="21"/>
      <c r="G345" s="201"/>
      <c r="H345" s="200"/>
      <c r="I345" s="249"/>
      <c r="J345" s="249"/>
      <c r="L345" s="138"/>
      <c r="M345" s="138"/>
      <c r="N345" s="138"/>
    </row>
    <row r="346" spans="2:14" s="64" customFormat="1" ht="17.25" customHeight="1" x14ac:dyDescent="0.2">
      <c r="B346" s="72" t="s">
        <v>1020</v>
      </c>
      <c r="C346" s="72"/>
      <c r="D346" s="72"/>
      <c r="E346" s="250"/>
      <c r="F346" s="21"/>
      <c r="G346" s="201"/>
      <c r="H346" s="200"/>
      <c r="I346" s="249"/>
      <c r="J346" s="249"/>
      <c r="L346" s="138"/>
      <c r="M346" s="138"/>
      <c r="N346" s="138"/>
    </row>
    <row r="347" spans="2:14" s="64" customFormat="1" ht="17.25" customHeight="1" x14ac:dyDescent="0.2">
      <c r="B347" s="72" t="s">
        <v>1021</v>
      </c>
      <c r="C347" s="72"/>
      <c r="D347" s="72"/>
      <c r="E347" s="250"/>
      <c r="F347" s="21"/>
      <c r="G347" s="201"/>
      <c r="H347" s="200"/>
      <c r="I347" s="249"/>
      <c r="J347" s="249"/>
      <c r="L347" s="138"/>
      <c r="M347" s="138"/>
      <c r="N347" s="138"/>
    </row>
    <row r="348" spans="2:14" s="64" customFormat="1" ht="17.25" customHeight="1" x14ac:dyDescent="0.2">
      <c r="B348" s="72"/>
      <c r="C348" s="72"/>
      <c r="D348" s="72"/>
      <c r="E348" s="250"/>
      <c r="F348" s="21"/>
      <c r="G348" s="201"/>
      <c r="H348" s="200"/>
      <c r="I348" s="249"/>
      <c r="J348" s="249"/>
      <c r="L348" s="138"/>
      <c r="M348" s="138"/>
      <c r="N348" s="138"/>
    </row>
    <row r="349" spans="2:14" s="64" customFormat="1" ht="17.25" customHeight="1" x14ac:dyDescent="0.2">
      <c r="B349" s="72" t="s">
        <v>1022</v>
      </c>
      <c r="C349" s="72"/>
      <c r="D349" s="72"/>
      <c r="E349" s="250"/>
      <c r="F349" s="21"/>
      <c r="G349" s="201"/>
      <c r="H349" s="200"/>
      <c r="I349" s="249"/>
      <c r="J349" s="249"/>
      <c r="L349" s="138"/>
      <c r="M349" s="138"/>
      <c r="N349" s="138"/>
    </row>
    <row r="350" spans="2:14" s="64" customFormat="1" ht="17.25" customHeight="1" x14ac:dyDescent="0.2">
      <c r="B350" s="72" t="s">
        <v>1023</v>
      </c>
      <c r="C350" s="72"/>
      <c r="D350" s="72"/>
      <c r="E350" s="250"/>
      <c r="F350" s="21"/>
      <c r="G350" s="201"/>
      <c r="H350" s="200"/>
      <c r="I350" s="249"/>
      <c r="J350" s="249"/>
      <c r="L350" s="138"/>
      <c r="M350" s="138"/>
      <c r="N350" s="138"/>
    </row>
    <row r="351" spans="2:14" s="64" customFormat="1" ht="17.25" customHeight="1" x14ac:dyDescent="0.2">
      <c r="B351" s="72"/>
      <c r="C351" s="72"/>
      <c r="D351" s="72"/>
      <c r="E351" s="250"/>
      <c r="F351" s="21"/>
      <c r="G351" s="201"/>
      <c r="H351" s="200"/>
      <c r="I351" s="249"/>
      <c r="J351" s="249"/>
      <c r="L351" s="138"/>
      <c r="M351" s="138"/>
      <c r="N351" s="138"/>
    </row>
    <row r="352" spans="2:14" s="64" customFormat="1" ht="17.25" customHeight="1" x14ac:dyDescent="0.2">
      <c r="B352" s="184" t="s">
        <v>1028</v>
      </c>
      <c r="C352" s="72"/>
      <c r="D352" s="72"/>
      <c r="E352" s="250"/>
      <c r="F352" s="21"/>
      <c r="G352" s="201"/>
      <c r="H352" s="200"/>
      <c r="I352" s="249"/>
      <c r="J352" s="249"/>
      <c r="L352" s="138"/>
      <c r="M352" s="138"/>
      <c r="N352" s="138"/>
    </row>
    <row r="353" spans="2:14" s="64" customFormat="1" ht="17.25" customHeight="1" x14ac:dyDescent="0.2">
      <c r="B353" s="72"/>
      <c r="C353" s="72"/>
      <c r="D353" s="72"/>
      <c r="E353" s="250"/>
      <c r="F353" s="21"/>
      <c r="G353" s="201"/>
      <c r="H353" s="200"/>
      <c r="I353" s="249"/>
      <c r="J353" s="249"/>
      <c r="L353" s="138"/>
      <c r="M353" s="138"/>
      <c r="N353" s="138"/>
    </row>
    <row r="354" spans="2:14" s="64" customFormat="1" ht="17.25" customHeight="1" x14ac:dyDescent="0.2">
      <c r="B354" s="72" t="s">
        <v>1029</v>
      </c>
      <c r="C354" s="72"/>
      <c r="D354" s="72"/>
      <c r="E354" s="250"/>
      <c r="F354" s="21"/>
      <c r="G354" s="201"/>
      <c r="H354" s="200"/>
      <c r="I354" s="249"/>
      <c r="J354" s="249"/>
      <c r="L354" s="138"/>
      <c r="M354" s="138"/>
      <c r="N354" s="138"/>
    </row>
    <row r="355" spans="2:14" s="64" customFormat="1" ht="17.25" customHeight="1" x14ac:dyDescent="0.2">
      <c r="B355" s="72"/>
      <c r="C355" s="72"/>
      <c r="D355" s="72"/>
      <c r="E355" s="250"/>
      <c r="F355" s="21"/>
      <c r="G355" s="201"/>
      <c r="H355" s="200"/>
      <c r="I355" s="249"/>
      <c r="J355" s="249"/>
      <c r="L355" s="138"/>
      <c r="M355" s="138"/>
      <c r="N355" s="138"/>
    </row>
    <row r="356" spans="2:14" s="64" customFormat="1" ht="17.25" customHeight="1" x14ac:dyDescent="0.2">
      <c r="B356" s="72"/>
      <c r="C356" s="21" t="str">
        <f>+D209</f>
        <v>HABA</v>
      </c>
      <c r="D356" s="21" t="str">
        <f>+E209</f>
        <v>QUINUA</v>
      </c>
      <c r="G356" s="201"/>
      <c r="H356" s="200"/>
      <c r="I356" s="249"/>
      <c r="J356" s="249"/>
      <c r="L356" s="138"/>
      <c r="M356" s="138"/>
      <c r="N356" s="138"/>
    </row>
    <row r="357" spans="2:14" s="64" customFormat="1" ht="17.25" customHeight="1" x14ac:dyDescent="0.2">
      <c r="B357" s="72" t="s">
        <v>1024</v>
      </c>
      <c r="C357" s="21">
        <f>+D217</f>
        <v>5</v>
      </c>
      <c r="D357" s="21">
        <f>+E211</f>
        <v>5</v>
      </c>
      <c r="G357" s="201"/>
      <c r="H357" s="200"/>
      <c r="I357" s="249"/>
      <c r="J357" s="249"/>
      <c r="L357" s="138"/>
      <c r="M357" s="138"/>
      <c r="N357" s="138"/>
    </row>
    <row r="358" spans="2:14" s="64" customFormat="1" ht="17.25" customHeight="1" x14ac:dyDescent="0.2">
      <c r="B358" s="72" t="s">
        <v>1019</v>
      </c>
      <c r="C358" s="72"/>
      <c r="D358" s="72"/>
      <c r="E358" s="250"/>
      <c r="F358" s="250"/>
      <c r="G358" s="201"/>
      <c r="H358" s="200"/>
      <c r="I358" s="249"/>
      <c r="J358" s="249"/>
      <c r="L358" s="138"/>
      <c r="M358" s="138"/>
      <c r="N358" s="138"/>
    </row>
    <row r="359" spans="2:14" s="64" customFormat="1" ht="17.25" customHeight="1" x14ac:dyDescent="0.2">
      <c r="B359" s="72" t="s">
        <v>1020</v>
      </c>
      <c r="C359" s="72"/>
      <c r="D359" s="72"/>
      <c r="E359" s="250"/>
      <c r="F359" s="250"/>
      <c r="G359" s="201"/>
      <c r="H359" s="200"/>
      <c r="I359" s="249"/>
      <c r="J359" s="249"/>
      <c r="L359" s="138"/>
      <c r="M359" s="138"/>
      <c r="N359" s="138"/>
    </row>
    <row r="360" spans="2:14" s="64" customFormat="1" ht="17.25" customHeight="1" x14ac:dyDescent="0.2">
      <c r="B360" s="72" t="s">
        <v>1021</v>
      </c>
      <c r="C360" s="72"/>
      <c r="D360" s="72"/>
      <c r="E360" s="250"/>
      <c r="F360" s="250"/>
      <c r="G360" s="201"/>
      <c r="H360" s="200"/>
      <c r="I360" s="249"/>
      <c r="J360" s="249"/>
      <c r="L360" s="138"/>
      <c r="M360" s="138"/>
      <c r="N360" s="138"/>
    </row>
    <row r="361" spans="2:14" s="64" customFormat="1" ht="17.25" customHeight="1" x14ac:dyDescent="0.2">
      <c r="B361" s="72"/>
      <c r="C361" s="72"/>
      <c r="D361" s="72"/>
      <c r="E361" s="250"/>
      <c r="F361" s="250"/>
      <c r="G361" s="201"/>
      <c r="H361" s="200"/>
      <c r="I361" s="249"/>
      <c r="J361" s="249"/>
      <c r="L361" s="138"/>
      <c r="M361" s="138"/>
      <c r="N361" s="138"/>
    </row>
    <row r="362" spans="2:14" s="64" customFormat="1" ht="17.25" customHeight="1" x14ac:dyDescent="0.2">
      <c r="B362" s="72" t="s">
        <v>1022</v>
      </c>
      <c r="C362" s="72"/>
      <c r="D362" s="72"/>
      <c r="E362" s="250"/>
      <c r="F362" s="250"/>
      <c r="G362" s="201"/>
      <c r="H362" s="200"/>
      <c r="I362" s="249"/>
      <c r="J362" s="249"/>
      <c r="L362" s="138"/>
      <c r="M362" s="138"/>
      <c r="N362" s="138"/>
    </row>
    <row r="363" spans="2:14" s="64" customFormat="1" ht="17.25" customHeight="1" x14ac:dyDescent="0.2">
      <c r="B363" s="72" t="s">
        <v>1023</v>
      </c>
      <c r="C363" s="72"/>
      <c r="D363" s="72"/>
      <c r="E363" s="250"/>
      <c r="F363" s="250"/>
      <c r="G363" s="201"/>
      <c r="H363" s="200"/>
      <c r="I363" s="249"/>
      <c r="J363" s="249"/>
      <c r="L363" s="138"/>
      <c r="M363" s="138"/>
      <c r="N363" s="138"/>
    </row>
    <row r="364" spans="2:14" s="64" customFormat="1" ht="17.25" customHeight="1" x14ac:dyDescent="0.2">
      <c r="B364" s="72"/>
      <c r="C364" s="72"/>
      <c r="D364" s="72"/>
      <c r="E364" s="250"/>
      <c r="F364" s="250"/>
      <c r="G364" s="201"/>
      <c r="H364" s="200"/>
      <c r="I364" s="249"/>
      <c r="J364" s="249"/>
      <c r="L364" s="138"/>
      <c r="M364" s="138"/>
      <c r="N364" s="138"/>
    </row>
    <row r="365" spans="2:14" s="64" customFormat="1" ht="17.25" customHeight="1" x14ac:dyDescent="0.2">
      <c r="B365" s="72"/>
      <c r="C365" s="72"/>
      <c r="D365" s="72"/>
      <c r="E365" s="237"/>
      <c r="F365" s="21"/>
      <c r="G365" s="201"/>
      <c r="H365" s="200"/>
      <c r="I365" s="239"/>
      <c r="J365" s="239"/>
      <c r="L365" s="138"/>
      <c r="M365" s="138"/>
      <c r="N365" s="138"/>
    </row>
    <row r="366" spans="2:14" s="64" customFormat="1" ht="17.25" customHeight="1" x14ac:dyDescent="0.2">
      <c r="B366" s="72" t="s">
        <v>1030</v>
      </c>
      <c r="C366" s="72"/>
      <c r="D366" s="72"/>
      <c r="E366" s="250"/>
      <c r="F366" s="21"/>
      <c r="G366" s="201"/>
      <c r="H366" s="200"/>
      <c r="I366" s="249"/>
      <c r="J366" s="249"/>
      <c r="L366" s="138"/>
      <c r="M366" s="138"/>
      <c r="N366" s="138"/>
    </row>
    <row r="367" spans="2:14" s="64" customFormat="1" ht="17.25" customHeight="1" x14ac:dyDescent="0.2">
      <c r="B367" s="72"/>
      <c r="C367" s="72"/>
      <c r="D367" s="72"/>
      <c r="E367" s="250"/>
      <c r="F367" s="21"/>
      <c r="G367" s="201"/>
      <c r="H367" s="200"/>
      <c r="I367" s="249"/>
      <c r="J367" s="249"/>
      <c r="L367" s="138"/>
      <c r="M367" s="138"/>
      <c r="N367" s="138"/>
    </row>
    <row r="368" spans="2:14" s="64" customFormat="1" ht="17.25" customHeight="1" x14ac:dyDescent="0.2">
      <c r="B368" s="72"/>
      <c r="C368" s="21" t="str">
        <f>+C209</f>
        <v>ALFALFA</v>
      </c>
      <c r="D368" s="21" t="s">
        <v>1031</v>
      </c>
      <c r="E368" s="21" t="s">
        <v>1032</v>
      </c>
      <c r="F368" s="21" t="s">
        <v>1033</v>
      </c>
      <c r="G368" s="21" t="s">
        <v>1034</v>
      </c>
      <c r="H368" s="21" t="s">
        <v>1035</v>
      </c>
      <c r="I368" s="21" t="s">
        <v>1036</v>
      </c>
      <c r="J368" s="21" t="s">
        <v>1037</v>
      </c>
      <c r="K368" s="21" t="s">
        <v>1038</v>
      </c>
      <c r="L368" s="21" t="s">
        <v>1039</v>
      </c>
      <c r="M368" s="21" t="s">
        <v>1040</v>
      </c>
      <c r="N368" s="138"/>
    </row>
    <row r="369" spans="2:14" s="64" customFormat="1" ht="17.25" customHeight="1" x14ac:dyDescent="0.2">
      <c r="B369" s="72" t="s">
        <v>1024</v>
      </c>
      <c r="C369" s="21">
        <f>+C221</f>
        <v>10</v>
      </c>
      <c r="D369" s="21"/>
      <c r="E369" s="21"/>
      <c r="F369" s="21"/>
      <c r="G369" s="201"/>
      <c r="H369" s="200"/>
      <c r="I369" s="249"/>
      <c r="J369" s="249"/>
      <c r="L369" s="138"/>
      <c r="M369" s="138"/>
      <c r="N369" s="138"/>
    </row>
    <row r="370" spans="2:14" s="64" customFormat="1" ht="17.25" customHeight="1" x14ac:dyDescent="0.2">
      <c r="B370" s="72" t="s">
        <v>1019</v>
      </c>
      <c r="C370" s="72"/>
      <c r="D370" s="72"/>
      <c r="E370" s="250"/>
      <c r="F370" s="21"/>
      <c r="G370" s="201"/>
      <c r="H370" s="200"/>
      <c r="I370" s="249"/>
      <c r="J370" s="249"/>
      <c r="L370" s="138"/>
      <c r="M370" s="138"/>
      <c r="N370" s="138"/>
    </row>
    <row r="371" spans="2:14" s="64" customFormat="1" ht="17.25" customHeight="1" x14ac:dyDescent="0.2">
      <c r="B371" s="72" t="s">
        <v>1020</v>
      </c>
      <c r="C371" s="72"/>
      <c r="D371" s="72"/>
      <c r="E371" s="250"/>
      <c r="F371" s="21"/>
      <c r="G371" s="201"/>
      <c r="H371" s="200"/>
      <c r="I371" s="249"/>
      <c r="J371" s="249"/>
      <c r="L371" s="138"/>
      <c r="M371" s="138"/>
      <c r="N371" s="138"/>
    </row>
    <row r="372" spans="2:14" s="64" customFormat="1" ht="17.25" customHeight="1" x14ac:dyDescent="0.2">
      <c r="B372" s="72" t="s">
        <v>1021</v>
      </c>
      <c r="C372" s="72"/>
      <c r="D372" s="72"/>
      <c r="E372" s="250"/>
      <c r="F372" s="21"/>
      <c r="G372" s="201"/>
      <c r="H372" s="200"/>
      <c r="I372" s="249"/>
      <c r="J372" s="249"/>
      <c r="L372" s="138"/>
      <c r="M372" s="138"/>
      <c r="N372" s="138"/>
    </row>
    <row r="373" spans="2:14" s="64" customFormat="1" ht="17.25" customHeight="1" x14ac:dyDescent="0.2">
      <c r="B373" s="72"/>
      <c r="C373" s="72"/>
      <c r="D373" s="72"/>
      <c r="E373" s="250"/>
      <c r="F373" s="21"/>
      <c r="G373" s="201"/>
      <c r="H373" s="200"/>
      <c r="I373" s="249"/>
      <c r="J373" s="249"/>
      <c r="L373" s="138"/>
      <c r="M373" s="138"/>
      <c r="N373" s="138"/>
    </row>
    <row r="374" spans="2:14" s="64" customFormat="1" ht="17.25" customHeight="1" x14ac:dyDescent="0.2">
      <c r="B374" s="72" t="s">
        <v>1022</v>
      </c>
      <c r="C374" s="72"/>
      <c r="D374" s="72"/>
      <c r="E374" s="250"/>
      <c r="F374" s="21"/>
      <c r="G374" s="201"/>
      <c r="H374" s="200"/>
      <c r="I374" s="249"/>
      <c r="J374" s="249"/>
      <c r="L374" s="138"/>
      <c r="M374" s="138"/>
      <c r="N374" s="138"/>
    </row>
    <row r="375" spans="2:14" s="64" customFormat="1" ht="17.25" customHeight="1" x14ac:dyDescent="0.2">
      <c r="B375" s="72" t="s">
        <v>1023</v>
      </c>
      <c r="C375" s="72"/>
      <c r="D375" s="72"/>
      <c r="E375" s="250"/>
      <c r="F375" s="21"/>
      <c r="G375" s="201"/>
      <c r="H375" s="200"/>
      <c r="I375" s="249"/>
      <c r="J375" s="249"/>
      <c r="L375" s="138"/>
      <c r="M375" s="138"/>
      <c r="N375" s="138"/>
    </row>
    <row r="376" spans="2:14" s="64" customFormat="1" ht="17.25" customHeight="1" x14ac:dyDescent="0.2">
      <c r="B376" s="72"/>
      <c r="C376" s="72"/>
      <c r="D376" s="72"/>
      <c r="E376" s="237"/>
      <c r="F376" s="21"/>
      <c r="G376" s="201"/>
      <c r="H376" s="200"/>
      <c r="I376" s="239"/>
      <c r="J376" s="239"/>
      <c r="L376" s="138"/>
      <c r="M376" s="138"/>
      <c r="N376" s="138"/>
    </row>
    <row r="377" spans="2:14" s="64" customFormat="1" ht="17.25" customHeight="1" x14ac:dyDescent="0.2">
      <c r="B377" s="72" t="s">
        <v>1030</v>
      </c>
      <c r="C377" s="72"/>
      <c r="D377" s="72"/>
      <c r="E377" s="250"/>
      <c r="F377" s="21"/>
      <c r="G377" s="201"/>
      <c r="H377" s="200"/>
      <c r="I377" s="249"/>
      <c r="J377" s="249"/>
      <c r="L377" s="138"/>
      <c r="M377" s="138"/>
      <c r="N377" s="138"/>
    </row>
    <row r="378" spans="2:14" s="64" customFormat="1" ht="17.25" customHeight="1" x14ac:dyDescent="0.2">
      <c r="B378" s="72"/>
      <c r="C378" s="72"/>
      <c r="D378" s="72"/>
      <c r="E378" s="250"/>
      <c r="F378" s="21"/>
      <c r="G378" s="201"/>
      <c r="H378" s="200"/>
      <c r="I378" s="249"/>
      <c r="J378" s="249"/>
      <c r="L378" s="138"/>
      <c r="M378" s="138"/>
      <c r="N378" s="138"/>
    </row>
    <row r="379" spans="2:14" s="64" customFormat="1" ht="17.25" customHeight="1" x14ac:dyDescent="0.2">
      <c r="B379" s="72"/>
      <c r="C379" s="21" t="str">
        <f>+F209</f>
        <v>PALTO</v>
      </c>
      <c r="D379" s="21" t="s">
        <v>1031</v>
      </c>
      <c r="E379" s="21" t="s">
        <v>1032</v>
      </c>
      <c r="F379" s="21" t="s">
        <v>1033</v>
      </c>
      <c r="G379" s="21" t="s">
        <v>1034</v>
      </c>
      <c r="H379" s="21" t="s">
        <v>1035</v>
      </c>
      <c r="I379" s="21" t="s">
        <v>1036</v>
      </c>
      <c r="J379" s="21" t="s">
        <v>1037</v>
      </c>
      <c r="K379" s="21" t="s">
        <v>1038</v>
      </c>
      <c r="L379" s="21" t="s">
        <v>1039</v>
      </c>
      <c r="M379" s="21" t="s">
        <v>1040</v>
      </c>
      <c r="N379" s="138"/>
    </row>
    <row r="380" spans="2:14" s="64" customFormat="1" ht="17.25" customHeight="1" x14ac:dyDescent="0.2">
      <c r="B380" s="72" t="s">
        <v>1024</v>
      </c>
      <c r="C380" s="21">
        <f>+F211</f>
        <v>5</v>
      </c>
      <c r="D380" s="21"/>
      <c r="E380" s="21"/>
      <c r="F380" s="21"/>
      <c r="G380" s="201"/>
      <c r="H380" s="200"/>
      <c r="I380" s="249"/>
      <c r="J380" s="249"/>
      <c r="L380" s="138"/>
      <c r="M380" s="138"/>
      <c r="N380" s="138"/>
    </row>
    <row r="381" spans="2:14" s="64" customFormat="1" ht="17.25" customHeight="1" x14ac:dyDescent="0.2">
      <c r="B381" s="72" t="s">
        <v>1019</v>
      </c>
      <c r="C381" s="72"/>
      <c r="D381" s="72"/>
      <c r="E381" s="250"/>
      <c r="F381" s="21"/>
      <c r="G381" s="201"/>
      <c r="H381" s="200"/>
      <c r="I381" s="249"/>
      <c r="J381" s="249"/>
      <c r="L381" s="138"/>
      <c r="M381" s="138"/>
      <c r="N381" s="138"/>
    </row>
    <row r="382" spans="2:14" s="64" customFormat="1" ht="17.25" customHeight="1" x14ac:dyDescent="0.2">
      <c r="B382" s="72" t="s">
        <v>1020</v>
      </c>
      <c r="C382" s="72"/>
      <c r="D382" s="72"/>
      <c r="E382" s="250"/>
      <c r="F382" s="21"/>
      <c r="G382" s="201"/>
      <c r="H382" s="200"/>
      <c r="I382" s="249"/>
      <c r="J382" s="249"/>
      <c r="L382" s="138"/>
      <c r="M382" s="138"/>
      <c r="N382" s="138"/>
    </row>
    <row r="383" spans="2:14" s="64" customFormat="1" ht="17.25" customHeight="1" x14ac:dyDescent="0.2">
      <c r="B383" s="72" t="s">
        <v>1021</v>
      </c>
      <c r="C383" s="72"/>
      <c r="D383" s="72"/>
      <c r="E383" s="250"/>
      <c r="F383" s="21"/>
      <c r="G383" s="201"/>
      <c r="H383" s="200"/>
      <c r="I383" s="249"/>
      <c r="J383" s="249"/>
      <c r="L383" s="138"/>
      <c r="M383" s="138"/>
      <c r="N383" s="138"/>
    </row>
    <row r="384" spans="2:14" s="64" customFormat="1" ht="17.25" customHeight="1" x14ac:dyDescent="0.2">
      <c r="B384" s="72"/>
      <c r="C384" s="72"/>
      <c r="D384" s="72"/>
      <c r="E384" s="250"/>
      <c r="F384" s="21"/>
      <c r="G384" s="201"/>
      <c r="H384" s="200"/>
      <c r="I384" s="249"/>
      <c r="J384" s="249"/>
      <c r="L384" s="138"/>
      <c r="M384" s="138"/>
      <c r="N384" s="138"/>
    </row>
    <row r="385" spans="2:14" s="64" customFormat="1" ht="17.25" customHeight="1" x14ac:dyDescent="0.2">
      <c r="B385" s="72" t="s">
        <v>1022</v>
      </c>
      <c r="C385" s="72"/>
      <c r="D385" s="72"/>
      <c r="E385" s="250"/>
      <c r="F385" s="21"/>
      <c r="G385" s="201"/>
      <c r="H385" s="200"/>
      <c r="I385" s="249"/>
      <c r="J385" s="249"/>
      <c r="L385" s="138"/>
      <c r="M385" s="138"/>
      <c r="N385" s="138"/>
    </row>
    <row r="386" spans="2:14" s="64" customFormat="1" ht="17.25" customHeight="1" x14ac:dyDescent="0.2">
      <c r="B386" s="72" t="s">
        <v>1023</v>
      </c>
      <c r="C386" s="72"/>
      <c r="D386" s="72"/>
      <c r="E386" s="250"/>
      <c r="F386" s="21"/>
      <c r="G386" s="201"/>
      <c r="H386" s="200"/>
      <c r="I386" s="249"/>
      <c r="J386" s="249"/>
      <c r="L386" s="138"/>
      <c r="M386" s="138"/>
      <c r="N386" s="138"/>
    </row>
    <row r="387" spans="2:14" s="64" customFormat="1" ht="17.25" customHeight="1" x14ac:dyDescent="0.2">
      <c r="B387" s="72"/>
      <c r="C387" s="72"/>
      <c r="D387" s="72"/>
      <c r="E387" s="237"/>
      <c r="F387" s="21"/>
      <c r="G387" s="201"/>
      <c r="H387" s="200"/>
      <c r="I387" s="239"/>
      <c r="J387" s="239"/>
      <c r="L387" s="138"/>
      <c r="M387" s="138"/>
      <c r="N387" s="138"/>
    </row>
    <row r="388" spans="2:14" s="64" customFormat="1" ht="17.25" customHeight="1" x14ac:dyDescent="0.2">
      <c r="B388" s="72"/>
      <c r="C388" s="72"/>
      <c r="D388" s="72"/>
      <c r="E388" s="237"/>
      <c r="F388" s="21"/>
      <c r="G388" s="201"/>
      <c r="H388" s="200"/>
      <c r="I388" s="239"/>
      <c r="J388" s="239"/>
      <c r="L388" s="138"/>
      <c r="M388" s="138"/>
      <c r="N388" s="138"/>
    </row>
    <row r="389" spans="2:14" s="64" customFormat="1" ht="17.25" customHeight="1" x14ac:dyDescent="0.2">
      <c r="B389" s="72"/>
      <c r="C389" s="72"/>
      <c r="D389" s="72"/>
      <c r="E389" s="237"/>
      <c r="F389" s="21"/>
      <c r="G389" s="201"/>
      <c r="H389" s="200"/>
      <c r="I389" s="239"/>
      <c r="J389" s="239"/>
      <c r="L389" s="138"/>
      <c r="M389" s="138"/>
      <c r="N389" s="138"/>
    </row>
    <row r="390" spans="2:14" s="64" customFormat="1" ht="17.25" customHeight="1" x14ac:dyDescent="0.2">
      <c r="B390" s="72"/>
      <c r="C390" s="72"/>
      <c r="D390" s="72"/>
      <c r="E390" s="237"/>
      <c r="F390" s="21"/>
      <c r="G390" s="201"/>
      <c r="H390" s="200"/>
      <c r="I390" s="239"/>
      <c r="J390" s="239"/>
      <c r="L390" s="138"/>
      <c r="M390" s="138"/>
      <c r="N390" s="138"/>
    </row>
    <row r="391" spans="2:14" s="64" customFormat="1" ht="17.25" customHeight="1" x14ac:dyDescent="0.2">
      <c r="B391" s="72"/>
      <c r="C391" s="72"/>
      <c r="D391" s="72"/>
      <c r="E391" s="237"/>
      <c r="F391" s="21"/>
      <c r="G391" s="201"/>
      <c r="H391" s="200"/>
      <c r="I391" s="239"/>
      <c r="J391" s="239"/>
      <c r="L391" s="138"/>
      <c r="M391" s="138"/>
      <c r="N391" s="138"/>
    </row>
    <row r="392" spans="2:14" s="64" customFormat="1" ht="17.25" customHeight="1" x14ac:dyDescent="0.2">
      <c r="B392" s="72"/>
      <c r="C392" s="72"/>
      <c r="D392" s="72"/>
      <c r="E392" s="237"/>
      <c r="F392" s="21"/>
      <c r="G392" s="201"/>
      <c r="H392" s="200"/>
      <c r="I392" s="239"/>
      <c r="J392" s="239"/>
      <c r="L392" s="138"/>
      <c r="M392" s="138"/>
      <c r="N392" s="138"/>
    </row>
    <row r="393" spans="2:14" s="64" customFormat="1" ht="17.25" customHeight="1" x14ac:dyDescent="0.2">
      <c r="B393" s="72"/>
      <c r="C393" s="72"/>
      <c r="D393" s="72"/>
      <c r="E393" s="237"/>
      <c r="F393" s="21"/>
      <c r="G393" s="201"/>
      <c r="H393" s="200"/>
      <c r="I393" s="239"/>
      <c r="J393" s="239"/>
      <c r="L393" s="138"/>
      <c r="M393" s="138"/>
      <c r="N393" s="138"/>
    </row>
    <row r="394" spans="2:14" s="64" customFormat="1" ht="17.25" customHeight="1" x14ac:dyDescent="0.2">
      <c r="B394" s="72"/>
      <c r="C394" s="72"/>
      <c r="D394" s="72"/>
      <c r="E394" s="237"/>
      <c r="F394" s="21"/>
      <c r="G394" s="201"/>
      <c r="H394" s="200"/>
      <c r="I394" s="239"/>
      <c r="J394" s="239"/>
      <c r="L394" s="138"/>
      <c r="M394" s="138"/>
      <c r="N394" s="138"/>
    </row>
    <row r="395" spans="2:14" s="64" customFormat="1" ht="17.25" customHeight="1" x14ac:dyDescent="0.2">
      <c r="B395" s="72"/>
      <c r="C395" s="72"/>
      <c r="D395" s="72"/>
      <c r="E395" s="237"/>
      <c r="F395" s="21"/>
      <c r="G395" s="201"/>
      <c r="H395" s="200"/>
      <c r="I395" s="239"/>
      <c r="J395" s="239"/>
      <c r="L395" s="138"/>
      <c r="M395" s="138"/>
      <c r="N395" s="138"/>
    </row>
    <row r="396" spans="2:14" s="64" customFormat="1" ht="17.25" customHeight="1" x14ac:dyDescent="0.2">
      <c r="B396" s="72"/>
      <c r="C396" s="72"/>
      <c r="D396" s="72"/>
      <c r="E396" s="237"/>
      <c r="F396" s="21"/>
      <c r="G396" s="201"/>
      <c r="H396" s="200"/>
      <c r="I396" s="239"/>
      <c r="J396" s="239"/>
      <c r="L396" s="138"/>
      <c r="M396" s="138"/>
      <c r="N396" s="138"/>
    </row>
    <row r="397" spans="2:14" s="64" customFormat="1" ht="17.25" customHeight="1" x14ac:dyDescent="0.2">
      <c r="B397" s="72"/>
      <c r="C397" s="72"/>
      <c r="D397" s="72"/>
      <c r="E397" s="237"/>
      <c r="F397" s="21"/>
      <c r="G397" s="201"/>
      <c r="H397" s="200"/>
      <c r="I397" s="239"/>
      <c r="J397" s="239"/>
      <c r="L397" s="138"/>
      <c r="M397" s="138"/>
      <c r="N397" s="138"/>
    </row>
    <row r="398" spans="2:14" s="64" customFormat="1" ht="17.25" customHeight="1" x14ac:dyDescent="0.2">
      <c r="B398" s="72"/>
      <c r="C398" s="72"/>
      <c r="D398" s="72"/>
      <c r="E398" s="237"/>
      <c r="F398" s="21"/>
      <c r="G398" s="201"/>
      <c r="H398" s="200"/>
      <c r="I398" s="239"/>
      <c r="J398" s="239"/>
      <c r="L398" s="138"/>
      <c r="M398" s="138"/>
      <c r="N398" s="138"/>
    </row>
    <row r="399" spans="2:14" s="64" customFormat="1" ht="17.25" customHeight="1" x14ac:dyDescent="0.2">
      <c r="B399" s="72"/>
      <c r="C399" s="72"/>
      <c r="D399" s="72"/>
      <c r="E399" s="237"/>
      <c r="F399" s="21"/>
      <c r="G399" s="201"/>
      <c r="H399" s="200"/>
      <c r="I399" s="239"/>
      <c r="J399" s="239"/>
      <c r="L399" s="138"/>
      <c r="M399" s="138"/>
      <c r="N399" s="138"/>
    </row>
    <row r="400" spans="2:14" s="64" customFormat="1" ht="17.25" customHeight="1" x14ac:dyDescent="0.2">
      <c r="B400" s="951"/>
      <c r="C400" s="951"/>
      <c r="D400" s="951"/>
      <c r="E400" s="237"/>
      <c r="F400" s="21"/>
      <c r="G400" s="201"/>
      <c r="H400" s="200"/>
      <c r="I400" s="239"/>
      <c r="J400" s="239"/>
      <c r="L400" s="138"/>
      <c r="M400" s="138"/>
      <c r="N400" s="138"/>
    </row>
    <row r="401" spans="2:14" s="64" customFormat="1" ht="17.25" customHeight="1" x14ac:dyDescent="0.2">
      <c r="B401" s="951"/>
      <c r="C401" s="951"/>
      <c r="D401" s="951"/>
      <c r="E401" s="237"/>
      <c r="F401" s="21"/>
      <c r="G401" s="201"/>
      <c r="H401" s="200"/>
      <c r="I401" s="239"/>
      <c r="L401" s="138"/>
      <c r="M401" s="138"/>
      <c r="N401" s="138"/>
    </row>
    <row r="402" spans="2:14" s="64" customFormat="1" ht="17.25" customHeight="1" x14ac:dyDescent="0.2">
      <c r="B402" s="951"/>
      <c r="C402" s="951"/>
      <c r="D402" s="951"/>
      <c r="E402" s="237"/>
      <c r="F402" s="21"/>
      <c r="G402" s="201"/>
      <c r="H402" s="200"/>
      <c r="I402" s="239"/>
      <c r="J402" s="239"/>
      <c r="L402" s="138"/>
      <c r="M402" s="138"/>
      <c r="N402" s="138"/>
    </row>
    <row r="403" spans="2:14" s="10" customFormat="1" ht="17.25" customHeight="1" x14ac:dyDescent="0.2">
      <c r="B403" s="72"/>
      <c r="C403" s="72"/>
      <c r="D403" s="72"/>
      <c r="E403" s="202"/>
      <c r="F403" s="237"/>
      <c r="G403" s="201"/>
      <c r="H403" s="237"/>
      <c r="I403" s="202"/>
      <c r="J403" s="239"/>
      <c r="L403" s="138"/>
      <c r="M403" s="138"/>
      <c r="N403" s="138"/>
    </row>
    <row r="404" spans="2:14" s="10" customFormat="1" ht="17.25" customHeight="1" x14ac:dyDescent="0.2">
      <c r="B404" s="184" t="s">
        <v>414</v>
      </c>
      <c r="C404" s="72"/>
      <c r="D404" s="72"/>
      <c r="E404" s="202"/>
      <c r="F404" s="237"/>
      <c r="G404" s="201"/>
      <c r="H404" s="237"/>
      <c r="I404" s="202"/>
      <c r="J404" s="239"/>
      <c r="L404" s="138"/>
      <c r="M404" s="138"/>
      <c r="N404" s="138"/>
    </row>
    <row r="405" spans="2:14" s="10" customFormat="1" ht="17.25" customHeight="1" x14ac:dyDescent="0.2">
      <c r="B405" s="72"/>
      <c r="C405" s="72"/>
      <c r="D405" s="72"/>
      <c r="E405" s="202"/>
      <c r="F405" s="237"/>
      <c r="G405" s="201"/>
      <c r="H405" s="237"/>
      <c r="I405" s="202"/>
      <c r="J405" s="239"/>
      <c r="L405" s="138"/>
      <c r="M405" s="138"/>
      <c r="N405" s="138"/>
    </row>
    <row r="406" spans="2:14" s="64" customFormat="1" ht="17.25" customHeight="1" x14ac:dyDescent="0.2">
      <c r="B406" s="812" t="s">
        <v>385</v>
      </c>
      <c r="C406" s="812"/>
      <c r="D406" s="812"/>
      <c r="E406" s="242" t="s">
        <v>289</v>
      </c>
      <c r="F406" s="242" t="s">
        <v>288</v>
      </c>
      <c r="G406" s="236"/>
      <c r="H406" s="236"/>
      <c r="I406" s="236"/>
      <c r="J406" s="236"/>
      <c r="L406" s="138"/>
      <c r="M406" s="138"/>
      <c r="N406" s="138"/>
    </row>
    <row r="407" spans="2:14" s="64" customFormat="1" ht="17.25" customHeight="1" x14ac:dyDescent="0.2">
      <c r="B407" s="813" t="s">
        <v>386</v>
      </c>
      <c r="C407" s="814"/>
      <c r="D407" s="815"/>
      <c r="E407" s="208">
        <v>15000</v>
      </c>
      <c r="F407" s="208">
        <v>15000</v>
      </c>
      <c r="G407" s="236"/>
      <c r="H407" s="236"/>
      <c r="I407" s="236"/>
      <c r="J407" s="236"/>
      <c r="L407" s="138"/>
      <c r="M407" s="138"/>
      <c r="N407" s="138"/>
    </row>
    <row r="408" spans="2:14" s="64" customFormat="1" ht="17.25" customHeight="1" x14ac:dyDescent="0.2">
      <c r="B408" s="813" t="s">
        <v>411</v>
      </c>
      <c r="C408" s="814"/>
      <c r="D408" s="815"/>
      <c r="E408" s="208">
        <v>0.2</v>
      </c>
      <c r="F408" s="208">
        <v>0.2</v>
      </c>
      <c r="G408" s="236"/>
      <c r="H408" s="236"/>
      <c r="I408" s="236"/>
      <c r="J408" s="236"/>
      <c r="L408" s="138"/>
      <c r="M408" s="138"/>
      <c r="N408" s="138"/>
    </row>
    <row r="409" spans="2:14" s="64" customFormat="1" ht="17.25" customHeight="1" x14ac:dyDescent="0.2">
      <c r="B409" s="813" t="s">
        <v>412</v>
      </c>
      <c r="C409" s="814"/>
      <c r="D409" s="815"/>
      <c r="E409" s="208">
        <v>1800</v>
      </c>
      <c r="F409" s="208">
        <v>2000</v>
      </c>
      <c r="G409" s="236"/>
      <c r="H409" s="236"/>
      <c r="I409" s="236"/>
      <c r="J409" s="236"/>
      <c r="L409" s="138"/>
      <c r="M409" s="138"/>
      <c r="N409" s="138"/>
    </row>
    <row r="410" spans="2:14" s="64" customFormat="1" ht="24.75" customHeight="1" x14ac:dyDescent="0.2">
      <c r="B410" s="812" t="s">
        <v>387</v>
      </c>
      <c r="C410" s="812"/>
      <c r="D410" s="812"/>
      <c r="E410" s="210" t="s">
        <v>290</v>
      </c>
      <c r="F410" s="209">
        <v>0.3</v>
      </c>
      <c r="G410" s="211" t="s">
        <v>389</v>
      </c>
      <c r="H410" s="209">
        <v>0.7</v>
      </c>
      <c r="I410" s="211" t="s">
        <v>291</v>
      </c>
      <c r="J410" s="189"/>
      <c r="L410" s="138"/>
      <c r="M410" s="138"/>
      <c r="N410" s="138"/>
    </row>
    <row r="414" spans="2:14" s="4" customFormat="1" ht="18.600000000000001" customHeight="1" x14ac:dyDescent="0.2">
      <c r="B414" s="771" t="s">
        <v>223</v>
      </c>
      <c r="C414" s="771"/>
      <c r="D414" s="771"/>
      <c r="E414" s="771"/>
      <c r="F414" s="771"/>
      <c r="G414" s="771"/>
      <c r="H414" s="771"/>
      <c r="I414" s="771"/>
      <c r="J414" s="771"/>
      <c r="L414" s="114"/>
      <c r="M414" s="114"/>
      <c r="N414" s="114"/>
    </row>
    <row r="416" spans="2:14" s="64" customFormat="1" ht="24" customHeight="1" x14ac:dyDescent="0.2">
      <c r="B416" s="927" t="s">
        <v>214</v>
      </c>
      <c r="C416" s="927"/>
      <c r="D416" s="927"/>
      <c r="E416" s="927"/>
      <c r="F416" s="10"/>
      <c r="G416" s="10"/>
      <c r="H416" s="10"/>
      <c r="I416" s="10"/>
      <c r="J416" s="321"/>
      <c r="K416" s="10"/>
      <c r="L416" s="138"/>
      <c r="M416" s="138"/>
      <c r="N416" s="138"/>
    </row>
    <row r="417" spans="2:22" s="64" customFormat="1" ht="52.15" customHeight="1" x14ac:dyDescent="0.2">
      <c r="B417" s="772" t="s">
        <v>281</v>
      </c>
      <c r="C417" s="773"/>
      <c r="D417" s="773"/>
      <c r="E417" s="773"/>
      <c r="F417" s="773"/>
      <c r="G417" s="773"/>
      <c r="H417" s="773"/>
      <c r="I417" s="773"/>
      <c r="J417" s="774"/>
      <c r="K417" s="197"/>
      <c r="L417" s="197"/>
      <c r="M417" s="197"/>
      <c r="N417" s="197"/>
      <c r="O417" s="197"/>
      <c r="Q417" s="222"/>
    </row>
    <row r="418" spans="2:22" s="64" customFormat="1" x14ac:dyDescent="0.2">
      <c r="B418" s="10"/>
      <c r="C418" s="10"/>
      <c r="D418" s="10"/>
      <c r="E418" s="10"/>
      <c r="F418" s="10"/>
      <c r="G418" s="10"/>
      <c r="H418" s="10"/>
      <c r="I418" s="10"/>
      <c r="J418" s="10"/>
      <c r="K418" s="10"/>
      <c r="L418" s="138"/>
      <c r="M418" s="138"/>
      <c r="N418" s="138"/>
      <c r="Q418" s="10"/>
    </row>
    <row r="419" spans="2:22" s="64" customFormat="1" ht="37.5" customHeight="1" x14ac:dyDescent="0.2">
      <c r="B419" s="862" t="s">
        <v>18</v>
      </c>
      <c r="C419" s="862"/>
      <c r="D419" s="862"/>
      <c r="E419" s="862"/>
      <c r="F419" s="862"/>
      <c r="G419" s="862"/>
      <c r="H419" s="862"/>
      <c r="I419" s="10"/>
      <c r="L419" s="138"/>
      <c r="M419" s="138"/>
      <c r="N419" s="138"/>
      <c r="Q419" s="10"/>
    </row>
    <row r="420" spans="2:22" s="4" customFormat="1" ht="18.75" customHeight="1" x14ac:dyDescent="0.2">
      <c r="B420" s="315" t="s">
        <v>19</v>
      </c>
      <c r="C420" s="807" t="s">
        <v>36</v>
      </c>
      <c r="D420" s="807"/>
      <c r="E420" s="807"/>
      <c r="F420" s="757" t="s">
        <v>20</v>
      </c>
      <c r="G420" s="775"/>
      <c r="H420" s="775"/>
      <c r="I420" s="775"/>
      <c r="J420" s="758"/>
      <c r="K420" s="226"/>
      <c r="L420" s="226"/>
      <c r="M420" s="226"/>
      <c r="N420" s="226"/>
      <c r="O420" s="226"/>
      <c r="Q420" s="228"/>
      <c r="R420" s="64"/>
      <c r="S420" s="64"/>
      <c r="T420" s="64"/>
      <c r="U420" s="64"/>
      <c r="V420" s="64"/>
    </row>
    <row r="421" spans="2:22" s="4" customFormat="1" ht="42.75" customHeight="1" x14ac:dyDescent="0.2">
      <c r="B421" s="320" t="s">
        <v>180</v>
      </c>
      <c r="C421" s="867" t="s">
        <v>351</v>
      </c>
      <c r="D421" s="867"/>
      <c r="E421" s="867"/>
      <c r="F421" s="776" t="s">
        <v>350</v>
      </c>
      <c r="G421" s="777"/>
      <c r="H421" s="777"/>
      <c r="I421" s="777"/>
      <c r="J421" s="778"/>
      <c r="K421" s="227"/>
      <c r="L421" s="227"/>
      <c r="M421" s="227"/>
      <c r="N421" s="227"/>
      <c r="O421" s="227"/>
      <c r="Q421" s="222"/>
      <c r="R421" s="64"/>
      <c r="S421" s="64"/>
      <c r="T421" s="64"/>
      <c r="U421" s="64"/>
      <c r="V421" s="64"/>
    </row>
    <row r="424" spans="2:22" s="64" customFormat="1" ht="33" customHeight="1" x14ac:dyDescent="0.2">
      <c r="B424" s="230" t="s">
        <v>416</v>
      </c>
      <c r="C424" s="10"/>
      <c r="D424" s="10"/>
      <c r="E424" s="21"/>
      <c r="F424" s="21"/>
      <c r="G424" s="21"/>
      <c r="H424" s="21"/>
      <c r="I424" s="21"/>
      <c r="J424" s="10"/>
      <c r="L424" s="138"/>
      <c r="M424" s="138"/>
      <c r="N424" s="138"/>
    </row>
    <row r="425" spans="2:22" s="64" customFormat="1" ht="13.5" customHeight="1" x14ac:dyDescent="0.2">
      <c r="B425" s="799" t="s">
        <v>448</v>
      </c>
      <c r="C425" s="800"/>
      <c r="D425" s="800"/>
      <c r="E425" s="800"/>
      <c r="F425" s="800"/>
      <c r="G425" s="800"/>
      <c r="H425" s="800"/>
      <c r="I425" s="801"/>
      <c r="J425" s="138"/>
      <c r="K425" s="138"/>
    </row>
    <row r="426" spans="2:22" s="64" customFormat="1" ht="13.5" customHeight="1" x14ac:dyDescent="0.2">
      <c r="B426" s="802" t="s">
        <v>449</v>
      </c>
      <c r="C426" s="803"/>
      <c r="D426" s="803"/>
      <c r="E426" s="803"/>
      <c r="F426" s="803"/>
      <c r="G426" s="803"/>
      <c r="H426" s="803"/>
      <c r="I426" s="804"/>
      <c r="J426" s="138"/>
      <c r="K426" s="138"/>
    </row>
    <row r="427" spans="2:22" s="4" customFormat="1" ht="13.5" customHeight="1" x14ac:dyDescent="0.2">
      <c r="B427" s="750" t="s">
        <v>450</v>
      </c>
      <c r="C427" s="751"/>
      <c r="D427" s="751"/>
      <c r="E427" s="751"/>
      <c r="F427" s="751"/>
      <c r="G427" s="751"/>
      <c r="H427" s="751"/>
      <c r="I427" s="752"/>
      <c r="J427" s="138"/>
      <c r="K427" s="114"/>
    </row>
    <row r="428" spans="2:22" s="4" customFormat="1" ht="13.5" customHeight="1" x14ac:dyDescent="0.2">
      <c r="B428" s="750" t="s">
        <v>451</v>
      </c>
      <c r="C428" s="751"/>
      <c r="D428" s="751"/>
      <c r="E428" s="751"/>
      <c r="F428" s="751"/>
      <c r="G428" s="751"/>
      <c r="H428" s="751"/>
      <c r="I428" s="752"/>
      <c r="J428" s="138"/>
      <c r="K428" s="114"/>
    </row>
    <row r="429" spans="2:22" s="4" customFormat="1" ht="13.5" customHeight="1" x14ac:dyDescent="0.2">
      <c r="B429" s="750" t="s">
        <v>452</v>
      </c>
      <c r="C429" s="751"/>
      <c r="D429" s="751"/>
      <c r="E429" s="751"/>
      <c r="F429" s="751"/>
      <c r="G429" s="751"/>
      <c r="H429" s="751"/>
      <c r="I429" s="752"/>
      <c r="J429" s="138"/>
      <c r="K429" s="114"/>
    </row>
    <row r="430" spans="2:22" s="4" customFormat="1" ht="13.5" customHeight="1" x14ac:dyDescent="0.2">
      <c r="B430" s="768" t="s">
        <v>453</v>
      </c>
      <c r="C430" s="769"/>
      <c r="D430" s="769"/>
      <c r="E430" s="769"/>
      <c r="F430" s="769"/>
      <c r="G430" s="769"/>
      <c r="H430" s="769"/>
      <c r="I430" s="770"/>
      <c r="J430" s="138"/>
      <c r="K430" s="114"/>
    </row>
    <row r="431" spans="2:22" s="4" customFormat="1" ht="12.75" customHeight="1" x14ac:dyDescent="0.2">
      <c r="B431" s="10"/>
      <c r="C431" s="316"/>
      <c r="D431" s="316"/>
      <c r="E431" s="316"/>
      <c r="F431" s="316"/>
      <c r="G431" s="316"/>
      <c r="H431" s="316"/>
      <c r="I431" s="316"/>
      <c r="J431" s="10"/>
      <c r="L431" s="114"/>
      <c r="M431" s="114"/>
      <c r="N431" s="114"/>
    </row>
    <row r="432" spans="2:22" s="4" customFormat="1" ht="21" customHeight="1" x14ac:dyDescent="0.2">
      <c r="B432" s="230" t="s">
        <v>313</v>
      </c>
      <c r="C432" s="10"/>
      <c r="D432" s="10"/>
      <c r="E432" s="10"/>
      <c r="F432" s="10"/>
      <c r="G432" s="10"/>
      <c r="H432" s="10"/>
      <c r="I432" s="10"/>
      <c r="J432" s="10"/>
      <c r="L432" s="114"/>
      <c r="M432" s="114"/>
      <c r="N432" s="114"/>
    </row>
    <row r="433" spans="2:16" s="4" customFormat="1" x14ac:dyDescent="0.2">
      <c r="B433" s="10"/>
      <c r="C433" s="69"/>
      <c r="D433" s="795"/>
      <c r="E433" s="795"/>
      <c r="F433" s="795"/>
      <c r="G433" s="795"/>
      <c r="H433" s="795"/>
      <c r="I433" s="795"/>
      <c r="J433" s="10"/>
      <c r="L433" s="114"/>
      <c r="M433" s="114"/>
      <c r="N433" s="114"/>
    </row>
    <row r="434" spans="2:16" s="4" customFormat="1" x14ac:dyDescent="0.2">
      <c r="B434" s="796" t="s">
        <v>447</v>
      </c>
      <c r="C434" s="797"/>
      <c r="D434" s="797"/>
      <c r="E434" s="797"/>
      <c r="F434" s="797"/>
      <c r="G434" s="797"/>
      <c r="H434" s="797"/>
      <c r="I434" s="798"/>
      <c r="J434" s="10"/>
      <c r="L434" s="114"/>
      <c r="M434" s="114"/>
      <c r="N434" s="114"/>
    </row>
    <row r="435" spans="2:16" s="4" customFormat="1" ht="15" customHeight="1" x14ac:dyDescent="0.2">
      <c r="B435" s="762" t="s">
        <v>177</v>
      </c>
      <c r="C435" s="763"/>
      <c r="D435" s="763"/>
      <c r="E435" s="763"/>
      <c r="F435" s="763"/>
      <c r="G435" s="763"/>
      <c r="H435" s="763"/>
      <c r="I435" s="764"/>
      <c r="J435" s="10"/>
      <c r="L435" s="114"/>
      <c r="M435" s="114"/>
      <c r="N435" s="114"/>
    </row>
    <row r="436" spans="2:16" s="4" customFormat="1" ht="15" customHeight="1" x14ac:dyDescent="0.2">
      <c r="B436" s="762" t="s">
        <v>303</v>
      </c>
      <c r="C436" s="763"/>
      <c r="D436" s="763"/>
      <c r="E436" s="763"/>
      <c r="F436" s="763"/>
      <c r="G436" s="763"/>
      <c r="H436" s="763"/>
      <c r="I436" s="764"/>
      <c r="J436" s="10"/>
      <c r="L436" s="114"/>
      <c r="M436" s="114"/>
      <c r="N436" s="114"/>
    </row>
    <row r="437" spans="2:16" s="4" customFormat="1" ht="15" customHeight="1" x14ac:dyDescent="0.2">
      <c r="B437" s="762" t="s">
        <v>304</v>
      </c>
      <c r="C437" s="763"/>
      <c r="D437" s="763"/>
      <c r="E437" s="763"/>
      <c r="F437" s="763"/>
      <c r="G437" s="763"/>
      <c r="H437" s="763"/>
      <c r="I437" s="764"/>
      <c r="J437" s="10"/>
      <c r="L437" s="114"/>
      <c r="M437" s="114"/>
      <c r="N437" s="114"/>
    </row>
    <row r="438" spans="2:16" s="4" customFormat="1" ht="15" customHeight="1" x14ac:dyDescent="0.2">
      <c r="B438" s="765" t="s">
        <v>305</v>
      </c>
      <c r="C438" s="766"/>
      <c r="D438" s="766"/>
      <c r="E438" s="766"/>
      <c r="F438" s="766"/>
      <c r="G438" s="766"/>
      <c r="H438" s="766"/>
      <c r="I438" s="767"/>
      <c r="J438" s="10"/>
      <c r="L438" s="114"/>
      <c r="M438" s="114"/>
      <c r="N438" s="114"/>
    </row>
    <row r="439" spans="2:16" s="4" customFormat="1" x14ac:dyDescent="0.2">
      <c r="B439" s="6"/>
      <c r="C439" s="317"/>
      <c r="D439" s="317"/>
      <c r="E439" s="317"/>
      <c r="F439" s="317"/>
      <c r="G439" s="317"/>
      <c r="H439" s="317"/>
      <c r="I439" s="317"/>
      <c r="J439" s="10"/>
      <c r="L439" s="114"/>
      <c r="M439" s="114"/>
      <c r="N439" s="114"/>
    </row>
    <row r="440" spans="2:16" s="4" customFormat="1" x14ac:dyDescent="0.2">
      <c r="B440" s="31" t="s">
        <v>314</v>
      </c>
      <c r="C440" s="6"/>
      <c r="D440" s="6"/>
      <c r="E440" s="6"/>
      <c r="F440" s="6"/>
      <c r="G440" s="6"/>
      <c r="H440" s="6"/>
      <c r="I440" s="6"/>
      <c r="J440" s="21"/>
      <c r="L440" s="114"/>
      <c r="M440" s="114"/>
      <c r="N440" s="114"/>
    </row>
    <row r="441" spans="2:16" s="4" customFormat="1" x14ac:dyDescent="0.2">
      <c r="E441" s="102">
        <v>42817</v>
      </c>
      <c r="F441" s="128"/>
      <c r="J441" s="21"/>
      <c r="L441" s="114"/>
      <c r="M441" s="114"/>
      <c r="N441" s="114"/>
    </row>
    <row r="442" spans="2:16" s="4" customFormat="1" x14ac:dyDescent="0.2">
      <c r="J442" s="21"/>
      <c r="L442" s="114"/>
      <c r="M442" s="114"/>
      <c r="N442" s="114"/>
    </row>
    <row r="443" spans="2:16" s="4" customFormat="1" x14ac:dyDescent="0.2">
      <c r="B443" s="31" t="s">
        <v>315</v>
      </c>
      <c r="J443" s="21"/>
      <c r="L443" s="114"/>
      <c r="M443" s="114"/>
      <c r="N443" s="114"/>
    </row>
    <row r="444" spans="2:16" s="4" customFormat="1" x14ac:dyDescent="0.2">
      <c r="L444" s="114"/>
      <c r="M444" s="114"/>
      <c r="N444" s="114"/>
    </row>
    <row r="445" spans="2:16" s="4" customFormat="1" x14ac:dyDescent="0.2">
      <c r="L445" s="114"/>
      <c r="M445" s="114"/>
      <c r="N445" s="114"/>
    </row>
    <row r="446" spans="2:16" s="4" customFormat="1" x14ac:dyDescent="0.2">
      <c r="C446" s="787"/>
      <c r="D446" s="756"/>
      <c r="E446" s="788"/>
      <c r="F446" s="24"/>
      <c r="G446" s="787"/>
      <c r="H446" s="756"/>
      <c r="I446" s="788"/>
      <c r="J446" s="6"/>
      <c r="K446" s="6"/>
      <c r="L446" s="114"/>
      <c r="M446" s="114"/>
      <c r="N446" s="114"/>
      <c r="O446" s="6"/>
      <c r="P446" s="6"/>
    </row>
    <row r="447" spans="2:16" s="4" customFormat="1" x14ac:dyDescent="0.2">
      <c r="C447" s="789"/>
      <c r="D447" s="790"/>
      <c r="E447" s="791"/>
      <c r="F447" s="24"/>
      <c r="G447" s="789"/>
      <c r="H447" s="790"/>
      <c r="I447" s="791"/>
      <c r="J447" s="6"/>
      <c r="K447" s="6"/>
      <c r="L447" s="114"/>
      <c r="M447" s="114"/>
      <c r="N447" s="114"/>
      <c r="O447" s="6"/>
      <c r="P447" s="6"/>
    </row>
    <row r="448" spans="2:16" s="4" customFormat="1" x14ac:dyDescent="0.2">
      <c r="C448" s="792"/>
      <c r="D448" s="793"/>
      <c r="E448" s="794"/>
      <c r="F448" s="24"/>
      <c r="G448" s="792"/>
      <c r="H448" s="793"/>
      <c r="I448" s="794"/>
      <c r="J448" s="6"/>
      <c r="K448" s="6"/>
      <c r="L448" s="114"/>
      <c r="M448" s="114"/>
      <c r="N448" s="114"/>
      <c r="O448" s="6"/>
      <c r="P448" s="6"/>
    </row>
    <row r="449" spans="2:14" s="4" customFormat="1" x14ac:dyDescent="0.2">
      <c r="C449" s="756" t="s">
        <v>22</v>
      </c>
      <c r="D449" s="756"/>
      <c r="E449" s="756"/>
      <c r="G449" s="756" t="s">
        <v>441</v>
      </c>
      <c r="H449" s="756"/>
      <c r="I449" s="756"/>
      <c r="J449" s="6"/>
      <c r="L449" s="114"/>
      <c r="M449" s="114"/>
      <c r="N449" s="114"/>
    </row>
    <row r="450" spans="2:14" s="4" customFormat="1" x14ac:dyDescent="0.2">
      <c r="L450" s="114"/>
      <c r="M450" s="114"/>
      <c r="N450" s="114"/>
    </row>
    <row r="451" spans="2:14" s="4" customFormat="1" x14ac:dyDescent="0.2">
      <c r="B451" s="76"/>
      <c r="L451" s="114"/>
      <c r="M451" s="114"/>
      <c r="N451" s="114"/>
    </row>
  </sheetData>
  <mergeCells count="134">
    <mergeCell ref="B2:J2"/>
    <mergeCell ref="B3:J3"/>
    <mergeCell ref="C110:E110"/>
    <mergeCell ref="F110:J110"/>
    <mergeCell ref="B116:J116"/>
    <mergeCell ref="B97:D97"/>
    <mergeCell ref="H97:J97"/>
    <mergeCell ref="B103:J103"/>
    <mergeCell ref="B104:J104"/>
    <mergeCell ref="C108:E108"/>
    <mergeCell ref="E48:J48"/>
    <mergeCell ref="E53:J53"/>
    <mergeCell ref="E54:J54"/>
    <mergeCell ref="C58:D58"/>
    <mergeCell ref="F58:G58"/>
    <mergeCell ref="I58:J58"/>
    <mergeCell ref="E76:J76"/>
    <mergeCell ref="E19:J19"/>
    <mergeCell ref="E21:J21"/>
    <mergeCell ref="E30:J30"/>
    <mergeCell ref="E32:J32"/>
    <mergeCell ref="E34:J34"/>
    <mergeCell ref="E45:J45"/>
    <mergeCell ref="E38:J38"/>
    <mergeCell ref="C446:E448"/>
    <mergeCell ref="G446:I448"/>
    <mergeCell ref="C421:E421"/>
    <mergeCell ref="F421:J421"/>
    <mergeCell ref="B425:I425"/>
    <mergeCell ref="C449:E449"/>
    <mergeCell ref="G449:I449"/>
    <mergeCell ref="B429:I429"/>
    <mergeCell ref="B430:I430"/>
    <mergeCell ref="D433:I433"/>
    <mergeCell ref="B437:I437"/>
    <mergeCell ref="B438:I438"/>
    <mergeCell ref="B434:I434"/>
    <mergeCell ref="B435:I435"/>
    <mergeCell ref="B436:I436"/>
    <mergeCell ref="B426:I426"/>
    <mergeCell ref="B427:I427"/>
    <mergeCell ref="B428:I428"/>
    <mergeCell ref="B416:E416"/>
    <mergeCell ref="B417:J417"/>
    <mergeCell ref="B419:H419"/>
    <mergeCell ref="C420:E420"/>
    <mergeCell ref="F420:J420"/>
    <mergeCell ref="P134:R134"/>
    <mergeCell ref="B414:J414"/>
    <mergeCell ref="C284:G284"/>
    <mergeCell ref="C294:D294"/>
    <mergeCell ref="E294:G294"/>
    <mergeCell ref="C295:D295"/>
    <mergeCell ref="E295:G295"/>
    <mergeCell ref="C296:D296"/>
    <mergeCell ref="E296:G296"/>
    <mergeCell ref="C297:D297"/>
    <mergeCell ref="E297:G297"/>
    <mergeCell ref="C298:D298"/>
    <mergeCell ref="E298:G298"/>
    <mergeCell ref="C299:D299"/>
    <mergeCell ref="E299:G299"/>
    <mergeCell ref="C300:D300"/>
    <mergeCell ref="E300:G300"/>
    <mergeCell ref="B410:D410"/>
    <mergeCell ref="B406:D406"/>
    <mergeCell ref="B407:D407"/>
    <mergeCell ref="B408:D408"/>
    <mergeCell ref="B409:D409"/>
    <mergeCell ref="B202:D202"/>
    <mergeCell ref="B199:D199"/>
    <mergeCell ref="I199:J199"/>
    <mergeCell ref="B204:D204"/>
    <mergeCell ref="E204:F204"/>
    <mergeCell ref="B205:D205"/>
    <mergeCell ref="B203:D203"/>
    <mergeCell ref="B400:D400"/>
    <mergeCell ref="B401:D401"/>
    <mergeCell ref="B402:D402"/>
    <mergeCell ref="C301:D301"/>
    <mergeCell ref="E301:G301"/>
    <mergeCell ref="B171:E171"/>
    <mergeCell ref="B177:D177"/>
    <mergeCell ref="B179:D179"/>
    <mergeCell ref="B200:D200"/>
    <mergeCell ref="E200:F200"/>
    <mergeCell ref="B222:G222"/>
    <mergeCell ref="B178:D178"/>
    <mergeCell ref="E177:F177"/>
    <mergeCell ref="B194:G194"/>
    <mergeCell ref="B155:D155"/>
    <mergeCell ref="I155:J155"/>
    <mergeCell ref="B156:D156"/>
    <mergeCell ref="B176:D176"/>
    <mergeCell ref="B201:D201"/>
    <mergeCell ref="B86:B87"/>
    <mergeCell ref="C86:C87"/>
    <mergeCell ref="D86:G86"/>
    <mergeCell ref="F150:G150"/>
    <mergeCell ref="I150:J150"/>
    <mergeCell ref="B157:D157"/>
    <mergeCell ref="I176:J176"/>
    <mergeCell ref="F108:J108"/>
    <mergeCell ref="E131:F131"/>
    <mergeCell ref="G131:H131"/>
    <mergeCell ref="I131:J131"/>
    <mergeCell ref="B130:D130"/>
    <mergeCell ref="E130:F130"/>
    <mergeCell ref="G130:H130"/>
    <mergeCell ref="I130:J130"/>
    <mergeCell ref="C123:J123"/>
    <mergeCell ref="B117:J117"/>
    <mergeCell ref="C121:J121"/>
    <mergeCell ref="C122:J122"/>
    <mergeCell ref="E151:J151"/>
    <mergeCell ref="E77:J77"/>
    <mergeCell ref="E78:J78"/>
    <mergeCell ref="E79:J79"/>
    <mergeCell ref="E80:J80"/>
    <mergeCell ref="E81:J81"/>
    <mergeCell ref="E84:J84"/>
    <mergeCell ref="C109:E109"/>
    <mergeCell ref="F109:J109"/>
    <mergeCell ref="E46:J46"/>
    <mergeCell ref="E47:J47"/>
    <mergeCell ref="B12:D12"/>
    <mergeCell ref="E12:J12"/>
    <mergeCell ref="E17:J17"/>
    <mergeCell ref="B9:D9"/>
    <mergeCell ref="E9:J9"/>
    <mergeCell ref="B10:D10"/>
    <mergeCell ref="E10:J10"/>
    <mergeCell ref="B11:D11"/>
    <mergeCell ref="E11:J1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2:Q36"/>
  <sheetViews>
    <sheetView zoomScale="90" zoomScaleNormal="90" workbookViewId="0">
      <selection activeCell="I12" sqref="I12"/>
    </sheetView>
  </sheetViews>
  <sheetFormatPr baseColWidth="10" defaultColWidth="12.5703125" defaultRowHeight="15" x14ac:dyDescent="0.2"/>
  <cols>
    <col min="1" max="1" width="1.28515625" style="568" customWidth="1"/>
    <col min="2" max="2" width="4.7109375" style="567" customWidth="1"/>
    <col min="3" max="3" width="13.7109375" style="568" customWidth="1"/>
    <col min="4" max="4" width="16.42578125" style="567" customWidth="1"/>
    <col min="5" max="5" width="13.28515625" style="567" customWidth="1"/>
    <col min="6" max="17" width="9.5703125" style="567" customWidth="1"/>
    <col min="18" max="16384" width="12.5703125" style="568"/>
  </cols>
  <sheetData>
    <row r="2" spans="2:17" hidden="1" x14ac:dyDescent="0.2"/>
    <row r="3" spans="2:17" ht="21" x14ac:dyDescent="0.2">
      <c r="C3" s="963" t="s">
        <v>1097</v>
      </c>
      <c r="D3" s="963"/>
      <c r="E3" s="963"/>
      <c r="F3" s="963"/>
      <c r="G3" s="963"/>
      <c r="H3" s="963"/>
      <c r="I3" s="963"/>
      <c r="J3" s="963"/>
      <c r="K3" s="963"/>
      <c r="L3" s="963"/>
      <c r="M3" s="963"/>
      <c r="N3" s="963"/>
      <c r="O3" s="963"/>
      <c r="P3" s="963"/>
      <c r="Q3" s="963"/>
    </row>
    <row r="4" spans="2:17" ht="18" customHeight="1" x14ac:dyDescent="0.2">
      <c r="D4" s="568"/>
      <c r="E4" s="568"/>
      <c r="F4" s="568"/>
      <c r="G4" s="568"/>
      <c r="H4" s="568"/>
      <c r="I4" s="568"/>
      <c r="J4" s="568"/>
      <c r="K4" s="568"/>
      <c r="L4" s="568"/>
      <c r="M4" s="568"/>
      <c r="N4" s="568"/>
      <c r="O4" s="568"/>
      <c r="P4" s="568"/>
      <c r="Q4" s="568"/>
    </row>
    <row r="5" spans="2:17" ht="18" customHeight="1" x14ac:dyDescent="0.2">
      <c r="B5" s="964" t="s">
        <v>71</v>
      </c>
      <c r="C5" s="964" t="s">
        <v>24</v>
      </c>
      <c r="D5" s="964" t="s">
        <v>101</v>
      </c>
      <c r="E5" s="964" t="s">
        <v>102</v>
      </c>
      <c r="F5" s="965" t="s">
        <v>103</v>
      </c>
      <c r="G5" s="965"/>
      <c r="H5" s="965"/>
      <c r="I5" s="965"/>
      <c r="J5" s="965"/>
      <c r="K5" s="965"/>
      <c r="L5" s="965"/>
      <c r="M5" s="965"/>
      <c r="N5" s="965"/>
      <c r="O5" s="965"/>
      <c r="P5" s="965"/>
      <c r="Q5" s="965"/>
    </row>
    <row r="6" spans="2:17" ht="15" customHeight="1" x14ac:dyDescent="0.2">
      <c r="B6" s="964"/>
      <c r="C6" s="964"/>
      <c r="D6" s="964"/>
      <c r="E6" s="964"/>
      <c r="F6" s="477" t="s">
        <v>104</v>
      </c>
      <c r="G6" s="477" t="s">
        <v>105</v>
      </c>
      <c r="H6" s="477" t="s">
        <v>106</v>
      </c>
      <c r="I6" s="477" t="s">
        <v>107</v>
      </c>
      <c r="J6" s="477" t="s">
        <v>108</v>
      </c>
      <c r="K6" s="477" t="s">
        <v>109</v>
      </c>
      <c r="L6" s="477" t="s">
        <v>110</v>
      </c>
      <c r="M6" s="477" t="s">
        <v>111</v>
      </c>
      <c r="N6" s="477" t="s">
        <v>112</v>
      </c>
      <c r="O6" s="477" t="s">
        <v>113</v>
      </c>
      <c r="P6" s="477" t="s">
        <v>114</v>
      </c>
      <c r="Q6" s="477" t="s">
        <v>115</v>
      </c>
    </row>
    <row r="7" spans="2:17" ht="19.149999999999999" customHeight="1" x14ac:dyDescent="0.2">
      <c r="B7" s="569" t="s">
        <v>116</v>
      </c>
      <c r="C7" s="966" t="s">
        <v>171</v>
      </c>
      <c r="D7" s="968" t="s">
        <v>172</v>
      </c>
      <c r="E7" s="570" t="s">
        <v>1095</v>
      </c>
      <c r="F7" s="571">
        <f>+Oferta!G15</f>
        <v>38880</v>
      </c>
      <c r="G7" s="571">
        <f>+Oferta!H15</f>
        <v>38880</v>
      </c>
      <c r="H7" s="571">
        <f>+Oferta!I15</f>
        <v>38880</v>
      </c>
      <c r="I7" s="571">
        <f>+Oferta!J15</f>
        <v>25920</v>
      </c>
      <c r="J7" s="571">
        <f>+Oferta!K15</f>
        <v>25920</v>
      </c>
      <c r="K7" s="571">
        <f>+Oferta!L15</f>
        <v>25920</v>
      </c>
      <c r="L7" s="571">
        <f>+Oferta!M15</f>
        <v>25920</v>
      </c>
      <c r="M7" s="571">
        <f>+Oferta!N15</f>
        <v>25920</v>
      </c>
      <c r="N7" s="571">
        <f>+Oferta!O15</f>
        <v>25920</v>
      </c>
      <c r="O7" s="571">
        <f>+Oferta!P15</f>
        <v>25920</v>
      </c>
      <c r="P7" s="571">
        <f>+Oferta!Q15</f>
        <v>38880</v>
      </c>
      <c r="Q7" s="571">
        <f>+Oferta!R15</f>
        <v>38880</v>
      </c>
    </row>
    <row r="8" spans="2:17" ht="19.149999999999999" customHeight="1" x14ac:dyDescent="0.2">
      <c r="B8" s="569" t="s">
        <v>120</v>
      </c>
      <c r="C8" s="967"/>
      <c r="D8" s="969"/>
      <c r="E8" s="570" t="s">
        <v>1096</v>
      </c>
      <c r="F8" s="571">
        <f>+Oferta!G15/Oferta!G12</f>
        <v>1254.1935483870968</v>
      </c>
      <c r="G8" s="571">
        <f>+Oferta!H15/Oferta!H12</f>
        <v>1388.5714285714287</v>
      </c>
      <c r="H8" s="571">
        <f>+Oferta!I15/Oferta!I12</f>
        <v>1254.1935483870968</v>
      </c>
      <c r="I8" s="571">
        <f>+Oferta!J15/Oferta!J12</f>
        <v>864</v>
      </c>
      <c r="J8" s="571">
        <f>+Oferta!K15/Oferta!K12</f>
        <v>836.12903225806451</v>
      </c>
      <c r="K8" s="571">
        <f>+Oferta!L15/Oferta!L12</f>
        <v>864</v>
      </c>
      <c r="L8" s="571">
        <f>+Oferta!M15/Oferta!M12</f>
        <v>836.12903225806451</v>
      </c>
      <c r="M8" s="571">
        <f>+Oferta!N15/Oferta!N12</f>
        <v>836.12903225806451</v>
      </c>
      <c r="N8" s="571">
        <f>+Oferta!O15/Oferta!O12</f>
        <v>864</v>
      </c>
      <c r="O8" s="571">
        <f>+Oferta!P15/Oferta!P12</f>
        <v>836.12903225806451</v>
      </c>
      <c r="P8" s="571">
        <f>+Oferta!Q15/Oferta!Q12</f>
        <v>1296</v>
      </c>
      <c r="Q8" s="571">
        <f>+Oferta!R15/Oferta!R12</f>
        <v>1254.1935483870968</v>
      </c>
    </row>
    <row r="9" spans="2:17" ht="19.149999999999999" customHeight="1" x14ac:dyDescent="0.2">
      <c r="B9" s="569" t="s">
        <v>121</v>
      </c>
      <c r="C9" s="966" t="s">
        <v>175</v>
      </c>
      <c r="D9" s="968" t="s">
        <v>176</v>
      </c>
      <c r="E9" s="570" t="s">
        <v>1095</v>
      </c>
      <c r="F9" s="571">
        <f>+Demanda!F37</f>
        <v>32260.666666666661</v>
      </c>
      <c r="G9" s="571">
        <f>+Demanda!G37</f>
        <v>5688.0000000000009</v>
      </c>
      <c r="H9" s="571">
        <f>+Demanda!H37</f>
        <v>11390</v>
      </c>
      <c r="I9" s="571">
        <f>+Demanda!I37</f>
        <v>34941.666666666664</v>
      </c>
      <c r="J9" s="571">
        <f>+Demanda!J37</f>
        <v>52935.000000000007</v>
      </c>
      <c r="K9" s="571">
        <f>+Demanda!K37</f>
        <v>59842.500000000015</v>
      </c>
      <c r="L9" s="571">
        <f>+Demanda!L37</f>
        <v>65735.833333333343</v>
      </c>
      <c r="M9" s="571">
        <f>+Demanda!M37</f>
        <v>67495.833333333343</v>
      </c>
      <c r="N9" s="571">
        <f>+Demanda!N37</f>
        <v>43600</v>
      </c>
      <c r="O9" s="571">
        <f>+Demanda!O37</f>
        <v>22380.666666666661</v>
      </c>
      <c r="P9" s="571">
        <f>+Demanda!P37</f>
        <v>50862.5</v>
      </c>
      <c r="Q9" s="571">
        <f>+Demanda!Q37</f>
        <v>21634.916666666668</v>
      </c>
    </row>
    <row r="10" spans="2:17" ht="19.149999999999999" customHeight="1" x14ac:dyDescent="0.2">
      <c r="B10" s="569" t="s">
        <v>124</v>
      </c>
      <c r="C10" s="967"/>
      <c r="D10" s="969"/>
      <c r="E10" s="570" t="s">
        <v>1096</v>
      </c>
      <c r="F10" s="571">
        <f>+Demanda!F36</f>
        <v>1040.6666666666665</v>
      </c>
      <c r="G10" s="571">
        <f>+Demanda!G36</f>
        <v>203.14285714285717</v>
      </c>
      <c r="H10" s="571">
        <f>+Demanda!H36</f>
        <v>367.41935483870969</v>
      </c>
      <c r="I10" s="571">
        <f>+Demanda!I36</f>
        <v>1164.7222222222222</v>
      </c>
      <c r="J10" s="571">
        <f>+Demanda!J36</f>
        <v>1707.5806451612905</v>
      </c>
      <c r="K10" s="571">
        <f>+Demanda!K36</f>
        <v>1994.7500000000005</v>
      </c>
      <c r="L10" s="571">
        <f>+Demanda!L36</f>
        <v>2120.5107526881725</v>
      </c>
      <c r="M10" s="571">
        <f>+Demanda!M36</f>
        <v>2177.2849462365593</v>
      </c>
      <c r="N10" s="571">
        <f>+Demanda!N36</f>
        <v>1453.3333333333333</v>
      </c>
      <c r="O10" s="571">
        <f>+Demanda!O36</f>
        <v>721.95698924731164</v>
      </c>
      <c r="P10" s="571">
        <f>+Demanda!P36</f>
        <v>1695.4166666666667</v>
      </c>
      <c r="Q10" s="571">
        <f>+Demanda!Q36</f>
        <v>697.90053763440869</v>
      </c>
    </row>
    <row r="11" spans="2:17" ht="19.149999999999999" customHeight="1" x14ac:dyDescent="0.2">
      <c r="B11" s="572"/>
      <c r="C11" s="573"/>
      <c r="D11" s="573"/>
      <c r="E11" s="574"/>
      <c r="F11" s="573"/>
      <c r="G11" s="573"/>
      <c r="H11" s="573"/>
      <c r="I11" s="573"/>
      <c r="J11" s="573"/>
      <c r="K11" s="573"/>
      <c r="L11" s="573"/>
      <c r="M11" s="573"/>
      <c r="N11" s="573"/>
      <c r="O11" s="573"/>
      <c r="P11" s="573"/>
      <c r="Q11" s="575"/>
    </row>
    <row r="12" spans="2:17" ht="19.149999999999999" customHeight="1" x14ac:dyDescent="0.2">
      <c r="B12" s="569" t="s">
        <v>126</v>
      </c>
      <c r="C12" s="970" t="s">
        <v>177</v>
      </c>
      <c r="D12" s="569" t="s">
        <v>178</v>
      </c>
      <c r="E12" s="570" t="s">
        <v>1095</v>
      </c>
      <c r="F12" s="576">
        <f t="shared" ref="F12:Q13" si="0">+F7-F9</f>
        <v>6619.3333333333394</v>
      </c>
      <c r="G12" s="576">
        <f t="shared" si="0"/>
        <v>33192</v>
      </c>
      <c r="H12" s="576">
        <f t="shared" si="0"/>
        <v>27490</v>
      </c>
      <c r="I12" s="576">
        <f t="shared" si="0"/>
        <v>-9021.6666666666642</v>
      </c>
      <c r="J12" s="576">
        <f t="shared" si="0"/>
        <v>-27015.000000000007</v>
      </c>
      <c r="K12" s="576">
        <f t="shared" si="0"/>
        <v>-33922.500000000015</v>
      </c>
      <c r="L12" s="576">
        <f t="shared" si="0"/>
        <v>-39815.833333333343</v>
      </c>
      <c r="M12" s="576">
        <f t="shared" si="0"/>
        <v>-41575.833333333343</v>
      </c>
      <c r="N12" s="576">
        <f t="shared" si="0"/>
        <v>-17680</v>
      </c>
      <c r="O12" s="576">
        <f t="shared" si="0"/>
        <v>3539.3333333333394</v>
      </c>
      <c r="P12" s="576">
        <f t="shared" si="0"/>
        <v>-11982.5</v>
      </c>
      <c r="Q12" s="576">
        <f t="shared" si="0"/>
        <v>17245.083333333332</v>
      </c>
    </row>
    <row r="13" spans="2:17" ht="19.149999999999999" customHeight="1" x14ac:dyDescent="0.2">
      <c r="B13" s="569" t="s">
        <v>129</v>
      </c>
      <c r="C13" s="971"/>
      <c r="D13" s="569" t="s">
        <v>179</v>
      </c>
      <c r="E13" s="570" t="s">
        <v>1096</v>
      </c>
      <c r="F13" s="577">
        <f t="shared" si="0"/>
        <v>213.52688172043031</v>
      </c>
      <c r="G13" s="577">
        <f t="shared" si="0"/>
        <v>1185.4285714285716</v>
      </c>
      <c r="H13" s="577">
        <f t="shared" si="0"/>
        <v>886.77419354838707</v>
      </c>
      <c r="I13" s="577">
        <f t="shared" si="0"/>
        <v>-300.72222222222217</v>
      </c>
      <c r="J13" s="577">
        <f t="shared" si="0"/>
        <v>-871.45161290322596</v>
      </c>
      <c r="K13" s="577">
        <f t="shared" si="0"/>
        <v>-1130.7500000000005</v>
      </c>
      <c r="L13" s="577">
        <f t="shared" si="0"/>
        <v>-1284.3817204301081</v>
      </c>
      <c r="M13" s="577">
        <f t="shared" si="0"/>
        <v>-1341.1559139784949</v>
      </c>
      <c r="N13" s="577">
        <f t="shared" si="0"/>
        <v>-589.33333333333326</v>
      </c>
      <c r="O13" s="577">
        <f t="shared" si="0"/>
        <v>114.17204301075287</v>
      </c>
      <c r="P13" s="577">
        <f t="shared" si="0"/>
        <v>-399.41666666666674</v>
      </c>
      <c r="Q13" s="577">
        <f t="shared" si="0"/>
        <v>556.29301075268813</v>
      </c>
    </row>
    <row r="14" spans="2:17" ht="15" customHeight="1" x14ac:dyDescent="0.2">
      <c r="C14" s="972"/>
      <c r="D14" s="972"/>
      <c r="E14" s="972"/>
      <c r="F14" s="972"/>
      <c r="G14" s="972"/>
      <c r="H14" s="972"/>
      <c r="I14" s="972"/>
      <c r="J14" s="972"/>
      <c r="K14" s="972"/>
      <c r="L14" s="972"/>
      <c r="M14" s="972"/>
      <c r="N14" s="972"/>
      <c r="O14" s="972"/>
      <c r="P14" s="972"/>
      <c r="Q14" s="972"/>
    </row>
    <row r="15" spans="2:17" ht="15" customHeight="1" x14ac:dyDescent="0.2">
      <c r="C15" s="578"/>
      <c r="D15" s="579"/>
      <c r="E15" s="579"/>
      <c r="F15" s="580"/>
      <c r="G15" s="580"/>
      <c r="H15" s="580"/>
      <c r="I15" s="580"/>
      <c r="J15" s="580"/>
      <c r="K15" s="580"/>
      <c r="L15" s="580"/>
      <c r="M15" s="580"/>
      <c r="N15" s="580"/>
      <c r="O15" s="580"/>
      <c r="P15" s="580"/>
      <c r="Q15" s="580"/>
    </row>
    <row r="16" spans="2:17" ht="15" customHeight="1" x14ac:dyDescent="0.2">
      <c r="F16" s="581"/>
      <c r="G16" s="581"/>
      <c r="H16" s="581"/>
      <c r="I16" s="581"/>
      <c r="J16" s="581"/>
      <c r="K16" s="581"/>
      <c r="L16" s="581"/>
      <c r="M16" s="581"/>
      <c r="N16" s="581"/>
      <c r="O16" s="581"/>
      <c r="P16" s="581"/>
      <c r="Q16" s="581"/>
    </row>
    <row r="17" spans="2:17" ht="15" customHeight="1" x14ac:dyDescent="0.2">
      <c r="C17" s="582"/>
      <c r="D17" s="583"/>
    </row>
    <row r="18" spans="2:17" ht="15" customHeight="1" x14ac:dyDescent="0.2">
      <c r="C18" s="582"/>
      <c r="D18" s="583"/>
      <c r="F18" s="584"/>
      <c r="G18" s="584"/>
      <c r="H18" s="584"/>
      <c r="I18" s="584"/>
      <c r="J18" s="584"/>
      <c r="K18" s="584"/>
      <c r="L18" s="584"/>
      <c r="M18" s="584"/>
      <c r="N18" s="584"/>
      <c r="O18" s="584"/>
      <c r="P18" s="584"/>
      <c r="Q18" s="584"/>
    </row>
    <row r="19" spans="2:17" ht="15" customHeight="1" x14ac:dyDescent="0.2">
      <c r="C19" s="582"/>
      <c r="D19" s="583"/>
    </row>
    <row r="20" spans="2:17" ht="17.45" customHeight="1" x14ac:dyDescent="0.2">
      <c r="C20" s="963" t="s">
        <v>1098</v>
      </c>
      <c r="D20" s="963"/>
      <c r="E20" s="963"/>
      <c r="F20" s="963"/>
      <c r="G20" s="963"/>
      <c r="H20" s="963"/>
      <c r="I20" s="963"/>
      <c r="J20" s="963"/>
      <c r="K20" s="963"/>
      <c r="L20" s="963"/>
      <c r="M20" s="963"/>
      <c r="N20" s="963"/>
      <c r="O20" s="963"/>
      <c r="P20" s="963"/>
      <c r="Q20" s="963"/>
    </row>
    <row r="21" spans="2:17" ht="15" customHeight="1" x14ac:dyDescent="0.2">
      <c r="D21" s="568"/>
      <c r="E21" s="568"/>
      <c r="F21" s="568"/>
      <c r="G21" s="568"/>
      <c r="H21" s="568"/>
      <c r="I21" s="568"/>
      <c r="J21" s="568"/>
      <c r="K21" s="568"/>
      <c r="L21" s="568"/>
      <c r="M21" s="568"/>
      <c r="N21" s="568"/>
      <c r="O21" s="568"/>
      <c r="P21" s="568"/>
      <c r="Q21" s="568"/>
    </row>
    <row r="22" spans="2:17" ht="16.149999999999999" customHeight="1" x14ac:dyDescent="0.2">
      <c r="B22" s="964" t="s">
        <v>71</v>
      </c>
      <c r="C22" s="964" t="s">
        <v>24</v>
      </c>
      <c r="D22" s="964" t="s">
        <v>101</v>
      </c>
      <c r="E22" s="964" t="s">
        <v>102</v>
      </c>
      <c r="F22" s="965" t="s">
        <v>103</v>
      </c>
      <c r="G22" s="965"/>
      <c r="H22" s="965"/>
      <c r="I22" s="965"/>
      <c r="J22" s="965"/>
      <c r="K22" s="965"/>
      <c r="L22" s="965"/>
      <c r="M22" s="965"/>
      <c r="N22" s="965"/>
      <c r="O22" s="965"/>
      <c r="P22" s="965"/>
      <c r="Q22" s="965"/>
    </row>
    <row r="23" spans="2:17" ht="16.149999999999999" customHeight="1" x14ac:dyDescent="0.2">
      <c r="B23" s="964"/>
      <c r="C23" s="964"/>
      <c r="D23" s="964"/>
      <c r="E23" s="964"/>
      <c r="F23" s="477" t="s">
        <v>104</v>
      </c>
      <c r="G23" s="477" t="s">
        <v>105</v>
      </c>
      <c r="H23" s="477" t="s">
        <v>106</v>
      </c>
      <c r="I23" s="477" t="s">
        <v>107</v>
      </c>
      <c r="J23" s="477" t="s">
        <v>108</v>
      </c>
      <c r="K23" s="477" t="s">
        <v>109</v>
      </c>
      <c r="L23" s="477" t="s">
        <v>110</v>
      </c>
      <c r="M23" s="477" t="s">
        <v>111</v>
      </c>
      <c r="N23" s="477" t="s">
        <v>112</v>
      </c>
      <c r="O23" s="477" t="s">
        <v>113</v>
      </c>
      <c r="P23" s="477" t="s">
        <v>114</v>
      </c>
      <c r="Q23" s="477" t="s">
        <v>115</v>
      </c>
    </row>
    <row r="24" spans="2:17" ht="19.899999999999999" customHeight="1" x14ac:dyDescent="0.2">
      <c r="B24" s="569" t="s">
        <v>116</v>
      </c>
      <c r="C24" s="966" t="s">
        <v>171</v>
      </c>
      <c r="D24" s="968" t="s">
        <v>172</v>
      </c>
      <c r="E24" s="570" t="s">
        <v>173</v>
      </c>
      <c r="F24" s="571">
        <f>+F7</f>
        <v>38880</v>
      </c>
      <c r="G24" s="571">
        <f t="shared" ref="G24:Q24" si="1">+G7</f>
        <v>38880</v>
      </c>
      <c r="H24" s="571">
        <f t="shared" si="1"/>
        <v>38880</v>
      </c>
      <c r="I24" s="571">
        <f t="shared" si="1"/>
        <v>25920</v>
      </c>
      <c r="J24" s="571">
        <f t="shared" si="1"/>
        <v>25920</v>
      </c>
      <c r="K24" s="571">
        <f t="shared" si="1"/>
        <v>25920</v>
      </c>
      <c r="L24" s="571">
        <f t="shared" si="1"/>
        <v>25920</v>
      </c>
      <c r="M24" s="571">
        <f t="shared" si="1"/>
        <v>25920</v>
      </c>
      <c r="N24" s="571">
        <f t="shared" si="1"/>
        <v>25920</v>
      </c>
      <c r="O24" s="571">
        <f t="shared" si="1"/>
        <v>25920</v>
      </c>
      <c r="P24" s="571">
        <f t="shared" si="1"/>
        <v>38880</v>
      </c>
      <c r="Q24" s="571">
        <f t="shared" si="1"/>
        <v>38880</v>
      </c>
    </row>
    <row r="25" spans="2:17" ht="19.899999999999999" customHeight="1" x14ac:dyDescent="0.2">
      <c r="B25" s="569" t="s">
        <v>120</v>
      </c>
      <c r="C25" s="967"/>
      <c r="D25" s="969"/>
      <c r="E25" s="570" t="s">
        <v>174</v>
      </c>
      <c r="F25" s="571">
        <f>+F8</f>
        <v>1254.1935483870968</v>
      </c>
      <c r="G25" s="571">
        <f t="shared" ref="G25:Q25" si="2">+G8</f>
        <v>1388.5714285714287</v>
      </c>
      <c r="H25" s="571">
        <f t="shared" si="2"/>
        <v>1254.1935483870968</v>
      </c>
      <c r="I25" s="571">
        <f t="shared" si="2"/>
        <v>864</v>
      </c>
      <c r="J25" s="571">
        <f t="shared" si="2"/>
        <v>836.12903225806451</v>
      </c>
      <c r="K25" s="571">
        <f t="shared" si="2"/>
        <v>864</v>
      </c>
      <c r="L25" s="571">
        <f t="shared" si="2"/>
        <v>836.12903225806451</v>
      </c>
      <c r="M25" s="571">
        <f t="shared" si="2"/>
        <v>836.12903225806451</v>
      </c>
      <c r="N25" s="571">
        <f t="shared" si="2"/>
        <v>864</v>
      </c>
      <c r="O25" s="571">
        <f t="shared" si="2"/>
        <v>836.12903225806451</v>
      </c>
      <c r="P25" s="571">
        <f t="shared" si="2"/>
        <v>1296</v>
      </c>
      <c r="Q25" s="571">
        <f t="shared" si="2"/>
        <v>1254.1935483870968</v>
      </c>
    </row>
    <row r="26" spans="2:17" ht="19.899999999999999" customHeight="1" x14ac:dyDescent="0.2">
      <c r="B26" s="569" t="s">
        <v>121</v>
      </c>
      <c r="C26" s="966" t="s">
        <v>175</v>
      </c>
      <c r="D26" s="968" t="s">
        <v>176</v>
      </c>
      <c r="E26" s="570" t="s">
        <v>173</v>
      </c>
      <c r="F26" s="571">
        <f>+Demanda!F56+Demanda!F87</f>
        <v>10106.688888888888</v>
      </c>
      <c r="G26" s="571">
        <f>+Demanda!G56+Demanda!G87</f>
        <v>860.80000000000109</v>
      </c>
      <c r="H26" s="571">
        <f>+Demanda!H56+Demanda!H87</f>
        <v>3037.3333333333335</v>
      </c>
      <c r="I26" s="571">
        <f>+Demanda!I56+Demanda!I87</f>
        <v>12390.055555555555</v>
      </c>
      <c r="J26" s="571">
        <f>+Demanda!J56+Demanda!J87</f>
        <v>19580.3</v>
      </c>
      <c r="K26" s="571">
        <f>+Demanda!K56+Demanda!K87</f>
        <v>19090</v>
      </c>
      <c r="L26" s="571">
        <f>+Demanda!L56+Demanda!L87</f>
        <v>21661.722222222223</v>
      </c>
      <c r="M26" s="571">
        <f>+Demanda!M56+Demanda!M87</f>
        <v>24846.837777777779</v>
      </c>
      <c r="N26" s="571">
        <f>+Demanda!N56+Demanda!N87</f>
        <v>19425.277777777774</v>
      </c>
      <c r="O26" s="571">
        <f>+Demanda!O56+Demanda!O87</f>
        <v>8188.4444444444443</v>
      </c>
      <c r="P26" s="571">
        <f>+Demanda!P56+Demanda!P87</f>
        <v>17546.166666666668</v>
      </c>
      <c r="Q26" s="571">
        <f>+Demanda!Q56+Demanda!Q87</f>
        <v>5827.7222222222208</v>
      </c>
    </row>
    <row r="27" spans="2:17" ht="19.899999999999999" customHeight="1" x14ac:dyDescent="0.2">
      <c r="B27" s="569" t="s">
        <v>124</v>
      </c>
      <c r="C27" s="967"/>
      <c r="D27" s="969"/>
      <c r="E27" s="570" t="s">
        <v>174</v>
      </c>
      <c r="F27" s="571">
        <f>+Demanda!F57+Demanda!F88</f>
        <v>326.02222222222218</v>
      </c>
      <c r="G27" s="571">
        <f>+Demanda!G57+Demanda!G88</f>
        <v>30.742857142857183</v>
      </c>
      <c r="H27" s="571">
        <f>+Demanda!H57+Demanda!H88</f>
        <v>97.978494623655919</v>
      </c>
      <c r="I27" s="571">
        <f>+Demanda!I57+Demanda!I88</f>
        <v>413.00185185185182</v>
      </c>
      <c r="J27" s="571">
        <f>+Demanda!J57+Demanda!J88</f>
        <v>631.62258064516129</v>
      </c>
      <c r="K27" s="571">
        <f>+Demanda!K57+Demanda!K88</f>
        <v>636.33333333333326</v>
      </c>
      <c r="L27" s="571">
        <f>+Demanda!L57+Demanda!L88</f>
        <v>698.76523297491042</v>
      </c>
      <c r="M27" s="571">
        <f>+Demanda!M57+Demanda!M88</f>
        <v>801.51089605734774</v>
      </c>
      <c r="N27" s="571">
        <f>+Demanda!N57+Demanda!N88</f>
        <v>647.50925925925912</v>
      </c>
      <c r="O27" s="571">
        <f>+Demanda!O57+Demanda!O88</f>
        <v>264.14336917562724</v>
      </c>
      <c r="P27" s="571">
        <f>+Demanda!P57+Demanda!P88</f>
        <v>584.87222222222226</v>
      </c>
      <c r="Q27" s="571">
        <f>+Demanda!Q57+Demanda!Q88</f>
        <v>187.99103942652326</v>
      </c>
    </row>
    <row r="28" spans="2:17" ht="19.899999999999999" customHeight="1" x14ac:dyDescent="0.2">
      <c r="B28" s="572"/>
      <c r="C28" s="573"/>
      <c r="D28" s="573"/>
      <c r="E28" s="574"/>
      <c r="F28" s="568"/>
      <c r="G28" s="568"/>
      <c r="H28" s="568"/>
      <c r="I28" s="568"/>
      <c r="J28" s="568"/>
      <c r="K28" s="568"/>
      <c r="L28" s="568"/>
      <c r="M28" s="568"/>
      <c r="N28" s="568"/>
      <c r="O28" s="568"/>
      <c r="P28" s="568"/>
      <c r="Q28" s="568"/>
    </row>
    <row r="29" spans="2:17" ht="19.899999999999999" customHeight="1" x14ac:dyDescent="0.2">
      <c r="B29" s="569" t="s">
        <v>126</v>
      </c>
      <c r="C29" s="970" t="s">
        <v>177</v>
      </c>
      <c r="D29" s="569" t="s">
        <v>178</v>
      </c>
      <c r="E29" s="570" t="s">
        <v>173</v>
      </c>
      <c r="F29" s="576">
        <f t="shared" ref="F29:Q30" si="3">+F24-F26</f>
        <v>28773.311111111114</v>
      </c>
      <c r="G29" s="576">
        <f t="shared" si="3"/>
        <v>38019.199999999997</v>
      </c>
      <c r="H29" s="576">
        <f t="shared" si="3"/>
        <v>35842.666666666664</v>
      </c>
      <c r="I29" s="576">
        <f t="shared" si="3"/>
        <v>13529.944444444445</v>
      </c>
      <c r="J29" s="576">
        <f t="shared" si="3"/>
        <v>6339.7000000000007</v>
      </c>
      <c r="K29" s="576">
        <f t="shared" si="3"/>
        <v>6830</v>
      </c>
      <c r="L29" s="576">
        <f t="shared" si="3"/>
        <v>4258.2777777777774</v>
      </c>
      <c r="M29" s="576">
        <f t="shared" si="3"/>
        <v>1073.1622222222213</v>
      </c>
      <c r="N29" s="576">
        <f t="shared" si="3"/>
        <v>6494.7222222222263</v>
      </c>
      <c r="O29" s="576">
        <f t="shared" si="3"/>
        <v>17731.555555555555</v>
      </c>
      <c r="P29" s="576">
        <f t="shared" si="3"/>
        <v>21333.833333333332</v>
      </c>
      <c r="Q29" s="576">
        <f t="shared" si="3"/>
        <v>33052.277777777781</v>
      </c>
    </row>
    <row r="30" spans="2:17" ht="19.899999999999999" customHeight="1" x14ac:dyDescent="0.2">
      <c r="B30" s="569" t="s">
        <v>129</v>
      </c>
      <c r="C30" s="971"/>
      <c r="D30" s="569" t="s">
        <v>179</v>
      </c>
      <c r="E30" s="570" t="s">
        <v>174</v>
      </c>
      <c r="F30" s="577">
        <f t="shared" si="3"/>
        <v>928.1713261648747</v>
      </c>
      <c r="G30" s="577">
        <f t="shared" si="3"/>
        <v>1357.8285714285714</v>
      </c>
      <c r="H30" s="577">
        <f t="shared" si="3"/>
        <v>1156.2150537634409</v>
      </c>
      <c r="I30" s="577">
        <f t="shared" si="3"/>
        <v>450.99814814814818</v>
      </c>
      <c r="J30" s="577">
        <f t="shared" si="3"/>
        <v>204.50645161290322</v>
      </c>
      <c r="K30" s="577">
        <f t="shared" si="3"/>
        <v>227.66666666666674</v>
      </c>
      <c r="L30" s="577">
        <f t="shared" si="3"/>
        <v>137.36379928315409</v>
      </c>
      <c r="M30" s="577">
        <f t="shared" si="3"/>
        <v>34.618136200716776</v>
      </c>
      <c r="N30" s="577">
        <f t="shared" si="3"/>
        <v>216.49074074074088</v>
      </c>
      <c r="O30" s="577">
        <f t="shared" si="3"/>
        <v>571.98566308243721</v>
      </c>
      <c r="P30" s="577">
        <f t="shared" si="3"/>
        <v>711.12777777777774</v>
      </c>
      <c r="Q30" s="577">
        <f t="shared" si="3"/>
        <v>1066.2025089605736</v>
      </c>
    </row>
    <row r="31" spans="2:17" ht="15" customHeight="1" x14ac:dyDescent="0.2">
      <c r="C31" s="962"/>
      <c r="D31" s="962"/>
      <c r="E31" s="962"/>
      <c r="F31" s="962"/>
      <c r="G31" s="962"/>
      <c r="H31" s="962"/>
      <c r="I31" s="962"/>
      <c r="J31" s="962"/>
      <c r="K31" s="962"/>
      <c r="L31" s="962"/>
      <c r="M31" s="962"/>
      <c r="N31" s="962"/>
      <c r="O31" s="962"/>
      <c r="P31" s="962"/>
      <c r="Q31" s="962"/>
    </row>
    <row r="32" spans="2:17" ht="15" customHeight="1" x14ac:dyDescent="0.2">
      <c r="C32" s="585"/>
      <c r="D32" s="586"/>
      <c r="F32" s="581"/>
      <c r="G32" s="581"/>
      <c r="H32" s="581"/>
      <c r="I32" s="581"/>
      <c r="J32" s="581"/>
      <c r="K32" s="581"/>
      <c r="L32" s="581"/>
      <c r="M32" s="581"/>
      <c r="N32" s="581"/>
      <c r="O32" s="581"/>
      <c r="P32" s="581"/>
      <c r="Q32" s="581"/>
    </row>
    <row r="33" spans="5:17" ht="15" customHeight="1" x14ac:dyDescent="0.2">
      <c r="E33" s="587"/>
      <c r="F33" s="587"/>
      <c r="G33" s="587"/>
      <c r="H33" s="587"/>
      <c r="I33" s="587"/>
      <c r="J33" s="587"/>
      <c r="K33" s="587"/>
      <c r="L33" s="587"/>
      <c r="M33" s="587"/>
      <c r="N33" s="587"/>
      <c r="O33" s="587"/>
      <c r="P33" s="587"/>
      <c r="Q33" s="587"/>
    </row>
    <row r="34" spans="5:17" ht="15" customHeight="1" x14ac:dyDescent="0.2">
      <c r="E34" s="587"/>
      <c r="F34" s="587"/>
      <c r="G34" s="587"/>
      <c r="H34" s="587"/>
      <c r="I34" s="587"/>
      <c r="J34" s="587"/>
      <c r="K34" s="587"/>
      <c r="L34" s="587"/>
      <c r="M34" s="587"/>
      <c r="N34" s="587"/>
      <c r="O34" s="587"/>
      <c r="P34" s="587"/>
      <c r="Q34" s="587"/>
    </row>
    <row r="35" spans="5:17" ht="15" customHeight="1" x14ac:dyDescent="0.2">
      <c r="E35" s="587"/>
      <c r="F35" s="587"/>
      <c r="G35" s="587"/>
      <c r="H35" s="587"/>
      <c r="I35" s="587"/>
      <c r="J35" s="587"/>
      <c r="K35" s="587"/>
      <c r="L35" s="587"/>
      <c r="M35" s="587"/>
      <c r="N35" s="587"/>
      <c r="O35" s="587"/>
      <c r="P35" s="587"/>
      <c r="Q35" s="587"/>
    </row>
    <row r="36" spans="5:17" x14ac:dyDescent="0.2">
      <c r="E36" s="587"/>
      <c r="F36" s="587"/>
      <c r="G36" s="587"/>
      <c r="H36" s="587"/>
      <c r="I36" s="587"/>
      <c r="J36" s="587"/>
      <c r="K36" s="587"/>
      <c r="L36" s="587"/>
      <c r="M36" s="587"/>
      <c r="N36" s="587"/>
      <c r="O36" s="587"/>
      <c r="P36" s="587"/>
    </row>
  </sheetData>
  <sheetProtection algorithmName="SHA-512" hashValue="Qnzqvedvbei+Y+HKKKujjoUgEEWLopvQSPMUVAjmY53L/IQlWTvne9snrNXrpPiEckyaXRu6DgSr8ZZBk2qcUw==" saltValue="fLmB3LVHvDVM5Xx1F+E2YQ==" spinCount="100000" sheet="1" objects="1" scenarios="1"/>
  <mergeCells count="24">
    <mergeCell ref="C14:Q14"/>
    <mergeCell ref="C3:Q3"/>
    <mergeCell ref="B5:B6"/>
    <mergeCell ref="C5:C6"/>
    <mergeCell ref="D5:D6"/>
    <mergeCell ref="E5:E6"/>
    <mergeCell ref="F5:Q5"/>
    <mergeCell ref="C7:C8"/>
    <mergeCell ref="D7:D8"/>
    <mergeCell ref="C9:C10"/>
    <mergeCell ref="D9:D10"/>
    <mergeCell ref="C12:C13"/>
    <mergeCell ref="C31:Q31"/>
    <mergeCell ref="C20:Q20"/>
    <mergeCell ref="B22:B23"/>
    <mergeCell ref="C22:C23"/>
    <mergeCell ref="D22:D23"/>
    <mergeCell ref="E22:E23"/>
    <mergeCell ref="F22:Q22"/>
    <mergeCell ref="C24:C25"/>
    <mergeCell ref="D24:D25"/>
    <mergeCell ref="C26:C27"/>
    <mergeCell ref="D26:D27"/>
    <mergeCell ref="C29:C30"/>
  </mergeCells>
  <pageMargins left="0.27559055118110237" right="0.23622047244094491" top="0.39370078740157483" bottom="0.39370078740157483" header="0.31496062992125984" footer="0.31496062992125984"/>
  <pageSetup paperSize="9" scale="85"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1:BF106"/>
  <sheetViews>
    <sheetView topLeftCell="A55" zoomScale="90" zoomScaleNormal="90" workbookViewId="0">
      <selection activeCell="F81" sqref="F81"/>
    </sheetView>
  </sheetViews>
  <sheetFormatPr baseColWidth="10" defaultColWidth="7.140625" defaultRowHeight="15" x14ac:dyDescent="0.2"/>
  <cols>
    <col min="1" max="1" width="1.85546875" style="82" customWidth="1"/>
    <col min="2" max="2" width="4.28515625" style="80" customWidth="1"/>
    <col min="3" max="3" width="29.140625" style="82" customWidth="1"/>
    <col min="4" max="4" width="9.85546875" style="80" customWidth="1"/>
    <col min="5" max="5" width="10.85546875" style="80" customWidth="1"/>
    <col min="6" max="16" width="9.7109375" style="80" customWidth="1"/>
    <col min="17" max="17" width="8.85546875" style="80" customWidth="1"/>
    <col min="18" max="18" width="10.85546875" style="80" customWidth="1"/>
    <col min="19" max="20" width="1.140625" style="334" customWidth="1"/>
    <col min="21" max="58" width="7.140625" style="334"/>
    <col min="59" max="16384" width="7.140625" style="82"/>
  </cols>
  <sheetData>
    <row r="1" spans="2:35" ht="15.75" customHeight="1" x14ac:dyDescent="0.2">
      <c r="C1" s="340"/>
      <c r="D1" s="340"/>
      <c r="E1" s="340"/>
      <c r="F1" s="340"/>
      <c r="G1" s="340"/>
      <c r="H1" s="340"/>
      <c r="I1" s="340"/>
      <c r="J1" s="340"/>
      <c r="K1" s="340"/>
      <c r="L1" s="340"/>
      <c r="M1" s="340"/>
      <c r="N1" s="340"/>
      <c r="O1" s="340"/>
      <c r="P1" s="340"/>
      <c r="Q1" s="340"/>
      <c r="R1" s="81"/>
    </row>
    <row r="2" spans="2:35" ht="15.75" customHeight="1" x14ac:dyDescent="0.2">
      <c r="C2" s="340"/>
      <c r="D2" s="340"/>
      <c r="E2" s="340"/>
      <c r="F2" s="340"/>
      <c r="G2" s="340"/>
      <c r="H2" s="340"/>
      <c r="I2" s="340"/>
      <c r="J2" s="340"/>
      <c r="K2" s="340"/>
      <c r="L2" s="340"/>
      <c r="M2" s="340"/>
      <c r="N2" s="340"/>
      <c r="O2" s="340"/>
      <c r="P2" s="340"/>
      <c r="Q2" s="340"/>
      <c r="R2" s="81"/>
    </row>
    <row r="3" spans="2:35" ht="15.75" customHeight="1" x14ac:dyDescent="0.2">
      <c r="C3" s="340"/>
      <c r="D3" s="340"/>
      <c r="E3" s="340"/>
      <c r="F3" s="340"/>
      <c r="G3" s="340"/>
      <c r="H3" s="340"/>
      <c r="I3" s="340"/>
      <c r="J3" s="340"/>
      <c r="K3" s="340"/>
      <c r="L3" s="340"/>
      <c r="M3" s="340"/>
      <c r="N3" s="340"/>
      <c r="O3" s="340"/>
      <c r="P3" s="340"/>
      <c r="Q3" s="340"/>
      <c r="R3" s="81"/>
    </row>
    <row r="4" spans="2:35" ht="15.75" customHeight="1" x14ac:dyDescent="0.2">
      <c r="B4" s="478"/>
      <c r="C4" s="479"/>
      <c r="D4" s="479"/>
      <c r="E4" s="479"/>
      <c r="F4" s="479"/>
      <c r="G4" s="479"/>
      <c r="H4" s="479"/>
      <c r="I4" s="479"/>
      <c r="J4" s="479"/>
      <c r="K4" s="479"/>
      <c r="L4" s="479"/>
      <c r="M4" s="479"/>
      <c r="N4" s="479"/>
      <c r="O4" s="479"/>
      <c r="P4" s="479"/>
      <c r="Q4" s="479"/>
      <c r="R4" s="480"/>
    </row>
    <row r="5" spans="2:35" ht="14.45" customHeight="1" x14ac:dyDescent="0.2">
      <c r="B5" s="478"/>
      <c r="C5" s="481"/>
      <c r="D5" s="478"/>
      <c r="E5" s="478"/>
      <c r="F5" s="478"/>
      <c r="G5" s="478"/>
      <c r="H5" s="478"/>
      <c r="I5" s="478"/>
      <c r="J5" s="478"/>
      <c r="K5" s="478"/>
      <c r="L5" s="478"/>
      <c r="M5" s="478"/>
      <c r="N5" s="478"/>
      <c r="O5" s="478"/>
      <c r="P5" s="478"/>
      <c r="Q5" s="478"/>
      <c r="R5" s="478"/>
    </row>
    <row r="6" spans="2:35" ht="22.15" customHeight="1" x14ac:dyDescent="0.2">
      <c r="B6" s="973" t="s">
        <v>100</v>
      </c>
      <c r="C6" s="973"/>
      <c r="D6" s="973"/>
      <c r="E6" s="973"/>
      <c r="F6" s="973"/>
      <c r="G6" s="973"/>
      <c r="H6" s="973"/>
      <c r="I6" s="973"/>
      <c r="J6" s="973"/>
      <c r="K6" s="973"/>
      <c r="L6" s="973"/>
      <c r="M6" s="973"/>
      <c r="N6" s="973"/>
      <c r="O6" s="973"/>
      <c r="P6" s="973"/>
      <c r="Q6" s="973"/>
      <c r="R6" s="973"/>
      <c r="X6" s="977" t="s">
        <v>1443</v>
      </c>
      <c r="Y6" s="977"/>
      <c r="Z6" s="977"/>
      <c r="AA6" s="977"/>
      <c r="AB6" s="977"/>
      <c r="AC6" s="977"/>
      <c r="AD6" s="977"/>
      <c r="AE6" s="977"/>
      <c r="AF6" s="977"/>
      <c r="AG6" s="977"/>
      <c r="AH6" s="977"/>
      <c r="AI6" s="977"/>
    </row>
    <row r="7" spans="2:35" ht="22.15" customHeight="1" x14ac:dyDescent="0.2">
      <c r="B7" s="478"/>
      <c r="C7" s="482"/>
      <c r="D7" s="482"/>
      <c r="E7" s="482"/>
      <c r="F7" s="482"/>
      <c r="G7" s="482"/>
      <c r="H7" s="482"/>
      <c r="I7" s="482"/>
      <c r="J7" s="482"/>
      <c r="K7" s="482"/>
      <c r="L7" s="482"/>
      <c r="M7" s="482"/>
      <c r="N7" s="482"/>
      <c r="O7" s="482"/>
      <c r="P7" s="482"/>
      <c r="Q7" s="482"/>
      <c r="R7" s="482"/>
    </row>
    <row r="8" spans="2:35" ht="15.6" customHeight="1" x14ac:dyDescent="0.2">
      <c r="B8" s="964" t="s">
        <v>71</v>
      </c>
      <c r="C8" s="964" t="s">
        <v>24</v>
      </c>
      <c r="D8" s="964" t="s">
        <v>101</v>
      </c>
      <c r="E8" s="964" t="s">
        <v>102</v>
      </c>
      <c r="F8" s="965" t="s">
        <v>103</v>
      </c>
      <c r="G8" s="965"/>
      <c r="H8" s="965"/>
      <c r="I8" s="965"/>
      <c r="J8" s="965"/>
      <c r="K8" s="965"/>
      <c r="L8" s="965"/>
      <c r="M8" s="965"/>
      <c r="N8" s="965"/>
      <c r="O8" s="965"/>
      <c r="P8" s="965"/>
      <c r="Q8" s="965"/>
      <c r="R8" s="964" t="s">
        <v>33</v>
      </c>
    </row>
    <row r="9" spans="2:35" ht="15.6" customHeight="1" x14ac:dyDescent="0.2">
      <c r="B9" s="964"/>
      <c r="C9" s="964"/>
      <c r="D9" s="964"/>
      <c r="E9" s="964"/>
      <c r="F9" s="592" t="s">
        <v>104</v>
      </c>
      <c r="G9" s="592" t="s">
        <v>105</v>
      </c>
      <c r="H9" s="592" t="s">
        <v>106</v>
      </c>
      <c r="I9" s="592" t="s">
        <v>107</v>
      </c>
      <c r="J9" s="592" t="s">
        <v>108</v>
      </c>
      <c r="K9" s="592" t="s">
        <v>109</v>
      </c>
      <c r="L9" s="592" t="s">
        <v>110</v>
      </c>
      <c r="M9" s="592" t="s">
        <v>111</v>
      </c>
      <c r="N9" s="592" t="s">
        <v>112</v>
      </c>
      <c r="O9" s="592" t="s">
        <v>113</v>
      </c>
      <c r="P9" s="592" t="s">
        <v>114</v>
      </c>
      <c r="Q9" s="592" t="s">
        <v>115</v>
      </c>
      <c r="R9" s="964"/>
    </row>
    <row r="10" spans="2:35" ht="18" customHeight="1" x14ac:dyDescent="0.2">
      <c r="B10" s="483" t="s">
        <v>116</v>
      </c>
      <c r="C10" s="488" t="s">
        <v>117</v>
      </c>
      <c r="D10" s="486" t="s">
        <v>118</v>
      </c>
      <c r="E10" s="486" t="s">
        <v>1099</v>
      </c>
      <c r="F10" s="655">
        <v>3.24</v>
      </c>
      <c r="G10" s="655">
        <v>3.02</v>
      </c>
      <c r="H10" s="655">
        <v>2.88</v>
      </c>
      <c r="I10" s="655">
        <v>3.09</v>
      </c>
      <c r="J10" s="655">
        <v>3.06</v>
      </c>
      <c r="K10" s="655">
        <v>2.99</v>
      </c>
      <c r="L10" s="655">
        <v>3.1</v>
      </c>
      <c r="M10" s="655">
        <v>3.58</v>
      </c>
      <c r="N10" s="655">
        <v>3.65</v>
      </c>
      <c r="O10" s="655">
        <v>3.46</v>
      </c>
      <c r="P10" s="655">
        <v>3.63</v>
      </c>
      <c r="Q10" s="655">
        <v>3.03</v>
      </c>
      <c r="R10" s="498"/>
    </row>
    <row r="11" spans="2:35" ht="18" customHeight="1" x14ac:dyDescent="0.2">
      <c r="B11" s="483" t="s">
        <v>120</v>
      </c>
      <c r="C11" s="484" t="s">
        <v>1077</v>
      </c>
      <c r="D11" s="485" t="s">
        <v>118</v>
      </c>
      <c r="E11" s="486"/>
      <c r="F11" s="495">
        <f>+Kc!D23</f>
        <v>1.0249999999999999</v>
      </c>
      <c r="G11" s="495">
        <f>+Kc!E23</f>
        <v>0.95</v>
      </c>
      <c r="H11" s="495">
        <f>+Kc!F23</f>
        <v>1</v>
      </c>
      <c r="I11" s="495">
        <f>+Kc!G23</f>
        <v>0.875</v>
      </c>
      <c r="J11" s="495">
        <f>+Kc!H23</f>
        <v>0.875</v>
      </c>
      <c r="K11" s="495">
        <f>+Kc!I23</f>
        <v>1.0375000000000001</v>
      </c>
      <c r="L11" s="495">
        <f>+Kc!J23</f>
        <v>1.0375000000000001</v>
      </c>
      <c r="M11" s="495">
        <f>+Kc!K23</f>
        <v>0.9375</v>
      </c>
      <c r="N11" s="495">
        <f>+Kc!L23</f>
        <v>1</v>
      </c>
      <c r="O11" s="495">
        <f>+Kc!M23</f>
        <v>0.85</v>
      </c>
      <c r="P11" s="495">
        <f>+Kc!N23</f>
        <v>0.9375</v>
      </c>
      <c r="Q11" s="495">
        <f>+Kc!O23</f>
        <v>1.0375000000000001</v>
      </c>
      <c r="R11" s="496"/>
    </row>
    <row r="12" spans="2:35" ht="18" customHeight="1" x14ac:dyDescent="0.2">
      <c r="B12" s="483" t="s">
        <v>121</v>
      </c>
      <c r="C12" s="487" t="s">
        <v>122</v>
      </c>
      <c r="D12" s="483" t="s">
        <v>123</v>
      </c>
      <c r="E12" s="483" t="s">
        <v>1099</v>
      </c>
      <c r="F12" s="497">
        <f t="shared" ref="F12:Q12" si="0">+F10*F11</f>
        <v>3.3209999999999997</v>
      </c>
      <c r="G12" s="497">
        <f t="shared" si="0"/>
        <v>2.8689999999999998</v>
      </c>
      <c r="H12" s="497">
        <f t="shared" si="0"/>
        <v>2.88</v>
      </c>
      <c r="I12" s="497">
        <f t="shared" si="0"/>
        <v>2.7037499999999999</v>
      </c>
      <c r="J12" s="497">
        <f t="shared" si="0"/>
        <v>2.6775000000000002</v>
      </c>
      <c r="K12" s="497">
        <f t="shared" si="0"/>
        <v>3.1021250000000005</v>
      </c>
      <c r="L12" s="497">
        <f t="shared" si="0"/>
        <v>3.2162500000000005</v>
      </c>
      <c r="M12" s="497">
        <f t="shared" si="0"/>
        <v>3.3562500000000002</v>
      </c>
      <c r="N12" s="497">
        <f t="shared" si="0"/>
        <v>3.65</v>
      </c>
      <c r="O12" s="497">
        <f t="shared" si="0"/>
        <v>2.9409999999999998</v>
      </c>
      <c r="P12" s="497">
        <f t="shared" si="0"/>
        <v>3.4031249999999997</v>
      </c>
      <c r="Q12" s="497">
        <f t="shared" si="0"/>
        <v>3.1436250000000001</v>
      </c>
      <c r="R12" s="498"/>
    </row>
    <row r="13" spans="2:35" ht="18" customHeight="1" x14ac:dyDescent="0.2">
      <c r="B13" s="483" t="s">
        <v>124</v>
      </c>
      <c r="C13" s="488" t="s">
        <v>125</v>
      </c>
      <c r="D13" s="486" t="s">
        <v>118</v>
      </c>
      <c r="E13" s="486" t="s">
        <v>1099</v>
      </c>
      <c r="F13" s="656">
        <v>1.76</v>
      </c>
      <c r="G13" s="655">
        <v>2.5642857142857141</v>
      </c>
      <c r="H13" s="655">
        <v>2.1451612903225805</v>
      </c>
      <c r="I13" s="655">
        <v>0.95666666666666667</v>
      </c>
      <c r="J13" s="655">
        <v>0.11612903225806452</v>
      </c>
      <c r="K13" s="655">
        <v>0.11</v>
      </c>
      <c r="L13" s="655">
        <v>3.5483870967741936E-2</v>
      </c>
      <c r="M13" s="655">
        <v>9.0322580645161285E-2</v>
      </c>
      <c r="N13" s="655">
        <v>0.7433333333333334</v>
      </c>
      <c r="O13" s="655">
        <v>1.8580645161290323</v>
      </c>
      <c r="P13" s="655">
        <v>0.86</v>
      </c>
      <c r="Q13" s="655">
        <v>2.096774193548387</v>
      </c>
      <c r="R13" s="498"/>
    </row>
    <row r="14" spans="2:35" ht="18" customHeight="1" x14ac:dyDescent="0.2">
      <c r="B14" s="483" t="s">
        <v>126</v>
      </c>
      <c r="C14" s="487" t="s">
        <v>127</v>
      </c>
      <c r="D14" s="483" t="s">
        <v>128</v>
      </c>
      <c r="E14" s="483" t="s">
        <v>1099</v>
      </c>
      <c r="F14" s="497">
        <f>+IF((F12-F13)&lt;0,0,(F12-F13))</f>
        <v>1.5609999999999997</v>
      </c>
      <c r="G14" s="497">
        <f t="shared" ref="G14:Q14" si="1">+IF((G12-G13)&lt;0,0,(G12-G13))</f>
        <v>0.30471428571428572</v>
      </c>
      <c r="H14" s="497">
        <f t="shared" si="1"/>
        <v>0.73483870967741938</v>
      </c>
      <c r="I14" s="497">
        <f t="shared" si="1"/>
        <v>1.7470833333333333</v>
      </c>
      <c r="J14" s="497">
        <f t="shared" si="1"/>
        <v>2.5613709677419356</v>
      </c>
      <c r="K14" s="497">
        <f t="shared" si="1"/>
        <v>2.9921250000000006</v>
      </c>
      <c r="L14" s="497">
        <f t="shared" si="1"/>
        <v>3.1807661290322584</v>
      </c>
      <c r="M14" s="497">
        <f t="shared" si="1"/>
        <v>3.2659274193548389</v>
      </c>
      <c r="N14" s="497">
        <f t="shared" si="1"/>
        <v>2.9066666666666663</v>
      </c>
      <c r="O14" s="497">
        <f t="shared" si="1"/>
        <v>1.0829354838709675</v>
      </c>
      <c r="P14" s="497">
        <f t="shared" si="1"/>
        <v>2.5431249999999999</v>
      </c>
      <c r="Q14" s="497">
        <f t="shared" si="1"/>
        <v>1.0468508064516131</v>
      </c>
      <c r="R14" s="498"/>
    </row>
    <row r="15" spans="2:35" ht="18" customHeight="1" x14ac:dyDescent="0.2">
      <c r="B15" s="483" t="s">
        <v>129</v>
      </c>
      <c r="C15" s="487" t="s">
        <v>283</v>
      </c>
      <c r="D15" s="483" t="s">
        <v>118</v>
      </c>
      <c r="E15" s="483" t="s">
        <v>130</v>
      </c>
      <c r="F15" s="658">
        <f>'2. Balance Hídrico'!E59</f>
        <v>0.3</v>
      </c>
      <c r="G15" s="500">
        <f>+F15</f>
        <v>0.3</v>
      </c>
      <c r="H15" s="500">
        <f t="shared" ref="H15:Q15" si="2">+G15</f>
        <v>0.3</v>
      </c>
      <c r="I15" s="500">
        <f t="shared" si="2"/>
        <v>0.3</v>
      </c>
      <c r="J15" s="500">
        <f t="shared" si="2"/>
        <v>0.3</v>
      </c>
      <c r="K15" s="500">
        <f t="shared" si="2"/>
        <v>0.3</v>
      </c>
      <c r="L15" s="500">
        <f t="shared" si="2"/>
        <v>0.3</v>
      </c>
      <c r="M15" s="500">
        <f t="shared" si="2"/>
        <v>0.3</v>
      </c>
      <c r="N15" s="500">
        <f t="shared" si="2"/>
        <v>0.3</v>
      </c>
      <c r="O15" s="500">
        <f t="shared" si="2"/>
        <v>0.3</v>
      </c>
      <c r="P15" s="500">
        <f t="shared" si="2"/>
        <v>0.3</v>
      </c>
      <c r="Q15" s="500">
        <f t="shared" si="2"/>
        <v>0.3</v>
      </c>
      <c r="R15" s="498"/>
    </row>
    <row r="16" spans="2:35" ht="18" customHeight="1" x14ac:dyDescent="0.2">
      <c r="B16" s="483" t="s">
        <v>131</v>
      </c>
      <c r="C16" s="974" t="s">
        <v>132</v>
      </c>
      <c r="D16" s="483" t="s">
        <v>133</v>
      </c>
      <c r="E16" s="483" t="s">
        <v>1099</v>
      </c>
      <c r="F16" s="489">
        <f>+F14/F15</f>
        <v>5.2033333333333323</v>
      </c>
      <c r="G16" s="489">
        <f t="shared" ref="G16:Q16" si="3">+G14/G15</f>
        <v>1.0157142857142858</v>
      </c>
      <c r="H16" s="489">
        <f t="shared" si="3"/>
        <v>2.4494623655913981</v>
      </c>
      <c r="I16" s="489">
        <f t="shared" si="3"/>
        <v>5.8236111111111111</v>
      </c>
      <c r="J16" s="489">
        <f t="shared" si="3"/>
        <v>8.5379032258064527</v>
      </c>
      <c r="K16" s="489">
        <f t="shared" si="3"/>
        <v>9.9737500000000026</v>
      </c>
      <c r="L16" s="489">
        <f>+L14/L15</f>
        <v>10.602553763440861</v>
      </c>
      <c r="M16" s="489">
        <f t="shared" si="3"/>
        <v>10.886424731182796</v>
      </c>
      <c r="N16" s="489">
        <f t="shared" si="3"/>
        <v>9.6888888888888882</v>
      </c>
      <c r="O16" s="489">
        <f t="shared" si="3"/>
        <v>3.6097849462365583</v>
      </c>
      <c r="P16" s="489">
        <f t="shared" si="3"/>
        <v>8.4770833333333329</v>
      </c>
      <c r="Q16" s="489">
        <f t="shared" si="3"/>
        <v>3.4895026881720437</v>
      </c>
      <c r="R16" s="494"/>
    </row>
    <row r="17" spans="2:20" ht="18" customHeight="1" x14ac:dyDescent="0.2">
      <c r="B17" s="483" t="s">
        <v>134</v>
      </c>
      <c r="C17" s="975"/>
      <c r="D17" s="483" t="s">
        <v>135</v>
      </c>
      <c r="E17" s="483" t="s">
        <v>1100</v>
      </c>
      <c r="F17" s="489">
        <f t="shared" ref="F17:Q17" si="4">+F16*10</f>
        <v>52.033333333333324</v>
      </c>
      <c r="G17" s="489">
        <f t="shared" si="4"/>
        <v>10.157142857142858</v>
      </c>
      <c r="H17" s="489">
        <f t="shared" si="4"/>
        <v>24.49462365591398</v>
      </c>
      <c r="I17" s="489">
        <f t="shared" si="4"/>
        <v>58.236111111111114</v>
      </c>
      <c r="J17" s="489">
        <f t="shared" si="4"/>
        <v>85.379032258064527</v>
      </c>
      <c r="K17" s="489">
        <f t="shared" si="4"/>
        <v>99.737500000000026</v>
      </c>
      <c r="L17" s="489">
        <f t="shared" si="4"/>
        <v>106.02553763440861</v>
      </c>
      <c r="M17" s="489">
        <f t="shared" si="4"/>
        <v>108.86424731182797</v>
      </c>
      <c r="N17" s="489">
        <f t="shared" si="4"/>
        <v>96.888888888888886</v>
      </c>
      <c r="O17" s="489">
        <f t="shared" si="4"/>
        <v>36.097849462365581</v>
      </c>
      <c r="P17" s="489">
        <f t="shared" si="4"/>
        <v>84.770833333333329</v>
      </c>
      <c r="Q17" s="489">
        <f t="shared" si="4"/>
        <v>34.89502688172044</v>
      </c>
      <c r="R17" s="494"/>
    </row>
    <row r="18" spans="2:20" ht="18" customHeight="1" x14ac:dyDescent="0.2">
      <c r="B18" s="483" t="s">
        <v>137</v>
      </c>
      <c r="C18" s="487" t="s">
        <v>138</v>
      </c>
      <c r="D18" s="483" t="s">
        <v>118</v>
      </c>
      <c r="E18" s="483"/>
      <c r="F18" s="490">
        <v>31</v>
      </c>
      <c r="G18" s="649">
        <v>28</v>
      </c>
      <c r="H18" s="490">
        <v>31</v>
      </c>
      <c r="I18" s="490">
        <v>30</v>
      </c>
      <c r="J18" s="490">
        <v>31</v>
      </c>
      <c r="K18" s="490">
        <v>30</v>
      </c>
      <c r="L18" s="490">
        <v>31</v>
      </c>
      <c r="M18" s="490">
        <v>31</v>
      </c>
      <c r="N18" s="490">
        <v>30</v>
      </c>
      <c r="O18" s="490">
        <v>31</v>
      </c>
      <c r="P18" s="490">
        <v>30</v>
      </c>
      <c r="Q18" s="490">
        <v>31</v>
      </c>
      <c r="R18" s="494"/>
    </row>
    <row r="19" spans="2:20" ht="18" customHeight="1" x14ac:dyDescent="0.2">
      <c r="B19" s="483" t="s">
        <v>139</v>
      </c>
      <c r="C19" s="487" t="s">
        <v>140</v>
      </c>
      <c r="D19" s="483" t="s">
        <v>141</v>
      </c>
      <c r="E19" s="483" t="s">
        <v>142</v>
      </c>
      <c r="F19" s="491">
        <f t="shared" ref="F19:Q19" si="5">+F17*F18</f>
        <v>1613.0333333333331</v>
      </c>
      <c r="G19" s="491">
        <f t="shared" si="5"/>
        <v>284.40000000000003</v>
      </c>
      <c r="H19" s="491">
        <f t="shared" si="5"/>
        <v>759.33333333333337</v>
      </c>
      <c r="I19" s="491">
        <f t="shared" si="5"/>
        <v>1747.0833333333335</v>
      </c>
      <c r="J19" s="491">
        <f t="shared" si="5"/>
        <v>2646.7500000000005</v>
      </c>
      <c r="K19" s="491">
        <f t="shared" si="5"/>
        <v>2992.1250000000009</v>
      </c>
      <c r="L19" s="491">
        <f t="shared" si="5"/>
        <v>3286.791666666667</v>
      </c>
      <c r="M19" s="491">
        <f t="shared" si="5"/>
        <v>3374.791666666667</v>
      </c>
      <c r="N19" s="491">
        <f t="shared" si="5"/>
        <v>2906.6666666666665</v>
      </c>
      <c r="O19" s="491">
        <f t="shared" si="5"/>
        <v>1119.0333333333331</v>
      </c>
      <c r="P19" s="491">
        <f t="shared" si="5"/>
        <v>2543.125</v>
      </c>
      <c r="Q19" s="491">
        <f t="shared" si="5"/>
        <v>1081.7458333333336</v>
      </c>
      <c r="R19" s="493"/>
    </row>
    <row r="20" spans="2:20" ht="18" customHeight="1" x14ac:dyDescent="0.2">
      <c r="B20" s="483" t="s">
        <v>143</v>
      </c>
      <c r="C20" s="487" t="s">
        <v>144</v>
      </c>
      <c r="D20" s="483" t="s">
        <v>118</v>
      </c>
      <c r="E20" s="483" t="s">
        <v>145</v>
      </c>
      <c r="F20" s="492">
        <f>+Kc!D12</f>
        <v>20</v>
      </c>
      <c r="G20" s="492">
        <f>+Kc!E12</f>
        <v>20</v>
      </c>
      <c r="H20" s="492">
        <f>+Kc!F12</f>
        <v>15</v>
      </c>
      <c r="I20" s="492">
        <f>+Kc!G12</f>
        <v>20</v>
      </c>
      <c r="J20" s="492">
        <f>+Kc!H12</f>
        <v>20</v>
      </c>
      <c r="K20" s="492">
        <f>+Kc!I12</f>
        <v>20</v>
      </c>
      <c r="L20" s="492">
        <f>+Kc!J12</f>
        <v>20</v>
      </c>
      <c r="M20" s="492">
        <f>+Kc!K12</f>
        <v>20</v>
      </c>
      <c r="N20" s="492">
        <f>+Kc!L12</f>
        <v>15</v>
      </c>
      <c r="O20" s="492">
        <f>+Kc!M12</f>
        <v>20</v>
      </c>
      <c r="P20" s="492">
        <f>+Kc!N12</f>
        <v>20</v>
      </c>
      <c r="Q20" s="492">
        <f>+Kc!O12</f>
        <v>20</v>
      </c>
      <c r="R20" s="494"/>
    </row>
    <row r="21" spans="2:20" ht="18" customHeight="1" x14ac:dyDescent="0.2">
      <c r="B21" s="483" t="s">
        <v>146</v>
      </c>
      <c r="C21" s="487" t="s">
        <v>147</v>
      </c>
      <c r="D21" s="483" t="s">
        <v>148</v>
      </c>
      <c r="E21" s="483" t="s">
        <v>149</v>
      </c>
      <c r="F21" s="491">
        <f>+F19*F20</f>
        <v>32260.666666666661</v>
      </c>
      <c r="G21" s="491">
        <f t="shared" ref="G21:Q21" si="6">+G19*G20</f>
        <v>5688.0000000000009</v>
      </c>
      <c r="H21" s="491">
        <f t="shared" si="6"/>
        <v>11390</v>
      </c>
      <c r="I21" s="491">
        <f t="shared" si="6"/>
        <v>34941.666666666672</v>
      </c>
      <c r="J21" s="491">
        <f t="shared" si="6"/>
        <v>52935.000000000007</v>
      </c>
      <c r="K21" s="491">
        <f t="shared" si="6"/>
        <v>59842.500000000015</v>
      </c>
      <c r="L21" s="491">
        <f t="shared" si="6"/>
        <v>65735.833333333343</v>
      </c>
      <c r="M21" s="491">
        <f t="shared" si="6"/>
        <v>67495.833333333343</v>
      </c>
      <c r="N21" s="491">
        <f t="shared" si="6"/>
        <v>43600</v>
      </c>
      <c r="O21" s="491">
        <f t="shared" si="6"/>
        <v>22380.666666666661</v>
      </c>
      <c r="P21" s="491">
        <f t="shared" si="6"/>
        <v>50862.5</v>
      </c>
      <c r="Q21" s="491">
        <f t="shared" si="6"/>
        <v>21634.916666666672</v>
      </c>
      <c r="R21" s="493">
        <f>SUM(F21:Q21)</f>
        <v>468767.58333333349</v>
      </c>
      <c r="S21" s="335"/>
      <c r="T21" s="335"/>
    </row>
    <row r="22" spans="2:20" ht="18.75" customHeight="1" x14ac:dyDescent="0.2">
      <c r="B22" s="483" t="s">
        <v>150</v>
      </c>
      <c r="C22" s="487" t="s">
        <v>1101</v>
      </c>
      <c r="D22" s="483" t="s">
        <v>1102</v>
      </c>
      <c r="E22" s="483" t="s">
        <v>1071</v>
      </c>
      <c r="F22" s="491">
        <f>+F21/F18</f>
        <v>1040.6666666666665</v>
      </c>
      <c r="G22" s="491">
        <f t="shared" ref="G22:Q22" si="7">+G21/G18</f>
        <v>203.14285714285717</v>
      </c>
      <c r="H22" s="491">
        <f t="shared" si="7"/>
        <v>367.41935483870969</v>
      </c>
      <c r="I22" s="491">
        <f t="shared" si="7"/>
        <v>1164.7222222222224</v>
      </c>
      <c r="J22" s="491">
        <f t="shared" si="7"/>
        <v>1707.5806451612905</v>
      </c>
      <c r="K22" s="491">
        <f t="shared" si="7"/>
        <v>1994.7500000000005</v>
      </c>
      <c r="L22" s="491">
        <f t="shared" si="7"/>
        <v>2120.5107526881725</v>
      </c>
      <c r="M22" s="491">
        <f t="shared" si="7"/>
        <v>2177.2849462365593</v>
      </c>
      <c r="N22" s="491">
        <f t="shared" si="7"/>
        <v>1453.3333333333333</v>
      </c>
      <c r="O22" s="491">
        <f t="shared" si="7"/>
        <v>721.95698924731164</v>
      </c>
      <c r="P22" s="491">
        <f t="shared" si="7"/>
        <v>1695.4166666666667</v>
      </c>
      <c r="Q22" s="491">
        <f t="shared" si="7"/>
        <v>697.90053763440881</v>
      </c>
      <c r="R22" s="493">
        <f>SUM(F22:Q22)</f>
        <v>15344.6849718382</v>
      </c>
      <c r="S22" s="336"/>
      <c r="T22" s="335"/>
    </row>
    <row r="23" spans="2:20" ht="14.45" customHeight="1" x14ac:dyDescent="0.2">
      <c r="B23" s="478"/>
      <c r="C23" s="505"/>
      <c r="D23" s="322"/>
      <c r="E23" s="84"/>
      <c r="F23" s="85"/>
      <c r="G23" s="85"/>
      <c r="H23" s="85"/>
      <c r="I23" s="85"/>
      <c r="J23" s="85"/>
      <c r="K23" s="85"/>
      <c r="L23" s="85"/>
      <c r="M23" s="85"/>
      <c r="N23" s="85"/>
      <c r="O23" s="85"/>
      <c r="P23" s="85"/>
      <c r="Q23" s="85"/>
      <c r="R23" s="338"/>
      <c r="S23" s="336"/>
      <c r="T23" s="335"/>
    </row>
    <row r="24" spans="2:20" ht="14.45" customHeight="1" x14ac:dyDescent="0.2">
      <c r="B24" s="478"/>
      <c r="C24" s="505"/>
      <c r="D24" s="322"/>
      <c r="E24" s="508"/>
      <c r="F24" s="509"/>
      <c r="G24" s="509"/>
      <c r="H24" s="509"/>
      <c r="I24" s="509"/>
      <c r="J24" s="509"/>
      <c r="K24" s="509"/>
      <c r="L24" s="509"/>
      <c r="M24" s="509"/>
      <c r="N24" s="509"/>
      <c r="O24" s="509"/>
      <c r="P24" s="509"/>
      <c r="Q24" s="509"/>
      <c r="R24" s="510"/>
      <c r="S24" s="336"/>
      <c r="T24" s="335"/>
    </row>
    <row r="25" spans="2:20" ht="14.45" customHeight="1" x14ac:dyDescent="0.2">
      <c r="B25" s="478"/>
      <c r="C25" s="505"/>
      <c r="D25" s="322"/>
      <c r="E25" s="508"/>
      <c r="F25" s="509"/>
      <c r="G25" s="509"/>
      <c r="H25" s="509"/>
      <c r="I25" s="509"/>
      <c r="J25" s="509"/>
      <c r="K25" s="509"/>
      <c r="L25" s="509"/>
      <c r="M25" s="509"/>
      <c r="N25" s="509"/>
      <c r="O25" s="509"/>
      <c r="P25" s="509"/>
      <c r="Q25" s="509"/>
      <c r="R25" s="510"/>
      <c r="S25" s="336"/>
      <c r="T25" s="335"/>
    </row>
    <row r="26" spans="2:20" ht="14.45" customHeight="1" x14ac:dyDescent="0.2">
      <c r="B26" s="478"/>
      <c r="C26" s="505"/>
      <c r="D26" s="479"/>
      <c r="E26" s="508"/>
      <c r="F26" s="509"/>
      <c r="G26" s="509"/>
      <c r="H26" s="509"/>
      <c r="I26" s="509"/>
      <c r="J26" s="509"/>
      <c r="K26" s="509"/>
      <c r="L26" s="509"/>
      <c r="M26" s="509"/>
      <c r="N26" s="509"/>
      <c r="O26" s="509"/>
      <c r="P26" s="509"/>
      <c r="Q26" s="509"/>
      <c r="R26" s="510"/>
      <c r="S26" s="336"/>
      <c r="T26" s="335"/>
    </row>
    <row r="27" spans="2:20" ht="14.45" customHeight="1" x14ac:dyDescent="0.2">
      <c r="B27" s="478"/>
      <c r="C27" s="505"/>
      <c r="D27" s="479"/>
      <c r="E27" s="508"/>
      <c r="F27" s="509"/>
      <c r="G27" s="509"/>
      <c r="H27" s="509"/>
      <c r="I27" s="509"/>
      <c r="J27" s="509"/>
      <c r="K27" s="509"/>
      <c r="L27" s="509"/>
      <c r="M27" s="509"/>
      <c r="N27" s="509"/>
      <c r="O27" s="509"/>
      <c r="P27" s="509"/>
      <c r="Q27" s="509"/>
      <c r="R27" s="510"/>
      <c r="S27" s="336"/>
      <c r="T27" s="335"/>
    </row>
    <row r="28" spans="2:20" ht="14.45" customHeight="1" x14ac:dyDescent="0.2">
      <c r="B28" s="478"/>
      <c r="C28" s="505"/>
      <c r="D28" s="479"/>
      <c r="E28" s="508"/>
      <c r="F28" s="509"/>
      <c r="G28" s="509"/>
      <c r="H28" s="509"/>
      <c r="I28" s="509"/>
      <c r="J28" s="509"/>
      <c r="K28" s="509"/>
      <c r="L28" s="509"/>
      <c r="M28" s="509"/>
      <c r="N28" s="509"/>
      <c r="O28" s="509"/>
      <c r="P28" s="509"/>
      <c r="Q28" s="509"/>
      <c r="R28" s="510"/>
      <c r="S28" s="336"/>
      <c r="T28" s="335"/>
    </row>
    <row r="29" spans="2:20" ht="14.45" customHeight="1" x14ac:dyDescent="0.2">
      <c r="B29" s="506" t="s">
        <v>1072</v>
      </c>
      <c r="C29" s="505"/>
      <c r="D29" s="479"/>
      <c r="E29" s="508"/>
      <c r="F29" s="509"/>
      <c r="G29" s="509"/>
      <c r="H29" s="509"/>
      <c r="I29" s="509"/>
      <c r="J29" s="509"/>
      <c r="K29" s="509"/>
      <c r="L29" s="509"/>
      <c r="M29" s="509"/>
      <c r="N29" s="509"/>
      <c r="O29" s="509"/>
      <c r="P29" s="509"/>
      <c r="Q29" s="509"/>
      <c r="R29" s="510"/>
      <c r="S29" s="336"/>
      <c r="T29" s="335"/>
    </row>
    <row r="30" spans="2:20" ht="14.45" customHeight="1" x14ac:dyDescent="0.2">
      <c r="B30" s="507"/>
      <c r="C30" s="505"/>
      <c r="D30" s="479"/>
      <c r="E30" s="508"/>
      <c r="F30" s="509"/>
      <c r="G30" s="509"/>
      <c r="H30" s="509"/>
      <c r="I30" s="509"/>
      <c r="J30" s="509"/>
      <c r="K30" s="509"/>
      <c r="L30" s="509"/>
      <c r="M30" s="509"/>
      <c r="N30" s="509"/>
      <c r="O30" s="509"/>
      <c r="P30" s="509"/>
      <c r="Q30" s="509"/>
      <c r="R30" s="510"/>
      <c r="S30" s="336"/>
      <c r="T30" s="335"/>
    </row>
    <row r="31" spans="2:20" ht="14.45" customHeight="1" x14ac:dyDescent="0.2">
      <c r="B31" s="506" t="s">
        <v>1073</v>
      </c>
      <c r="C31" s="505"/>
      <c r="D31" s="612">
        <v>24</v>
      </c>
      <c r="E31" s="508" t="s">
        <v>1074</v>
      </c>
      <c r="F31" s="509"/>
      <c r="G31" s="509"/>
      <c r="H31" s="509"/>
      <c r="I31" s="509"/>
      <c r="J31" s="509"/>
      <c r="K31" s="509"/>
      <c r="L31" s="509"/>
      <c r="M31" s="509"/>
      <c r="N31" s="509"/>
      <c r="O31" s="509"/>
      <c r="P31" s="509"/>
      <c r="Q31" s="509"/>
      <c r="R31" s="510"/>
      <c r="S31" s="336"/>
      <c r="T31" s="335"/>
    </row>
    <row r="32" spans="2:20" ht="22.9" customHeight="1" x14ac:dyDescent="0.2">
      <c r="B32" s="976"/>
      <c r="C32" s="976"/>
      <c r="D32" s="976"/>
      <c r="E32" s="976"/>
      <c r="F32" s="976"/>
      <c r="G32" s="976"/>
      <c r="H32" s="976"/>
      <c r="I32" s="976"/>
      <c r="J32" s="976"/>
      <c r="K32" s="976"/>
      <c r="L32" s="976"/>
      <c r="M32" s="976"/>
      <c r="N32" s="976"/>
      <c r="O32" s="976"/>
      <c r="P32" s="976"/>
      <c r="Q32" s="976"/>
      <c r="R32" s="976"/>
      <c r="S32" s="337"/>
    </row>
    <row r="33" spans="2:20" ht="14.45" customHeight="1" x14ac:dyDescent="0.2">
      <c r="B33" s="964" t="s">
        <v>71</v>
      </c>
      <c r="C33" s="964" t="s">
        <v>24</v>
      </c>
      <c r="D33" s="964" t="s">
        <v>101</v>
      </c>
      <c r="E33" s="964" t="s">
        <v>102</v>
      </c>
      <c r="F33" s="965" t="s">
        <v>103</v>
      </c>
      <c r="G33" s="965"/>
      <c r="H33" s="965"/>
      <c r="I33" s="965"/>
      <c r="J33" s="965"/>
      <c r="K33" s="965"/>
      <c r="L33" s="965"/>
      <c r="M33" s="965"/>
      <c r="N33" s="965"/>
      <c r="O33" s="965"/>
      <c r="P33" s="965"/>
      <c r="Q33" s="965"/>
      <c r="R33" s="964" t="s">
        <v>33</v>
      </c>
      <c r="S33" s="337"/>
    </row>
    <row r="34" spans="2:20" ht="15.6" customHeight="1" x14ac:dyDescent="0.2">
      <c r="B34" s="964"/>
      <c r="C34" s="964"/>
      <c r="D34" s="964"/>
      <c r="E34" s="964"/>
      <c r="F34" s="592" t="s">
        <v>104</v>
      </c>
      <c r="G34" s="592" t="s">
        <v>105</v>
      </c>
      <c r="H34" s="592" t="s">
        <v>106</v>
      </c>
      <c r="I34" s="592" t="s">
        <v>107</v>
      </c>
      <c r="J34" s="592" t="s">
        <v>108</v>
      </c>
      <c r="K34" s="592" t="s">
        <v>109</v>
      </c>
      <c r="L34" s="592" t="s">
        <v>110</v>
      </c>
      <c r="M34" s="592" t="s">
        <v>111</v>
      </c>
      <c r="N34" s="592" t="s">
        <v>112</v>
      </c>
      <c r="O34" s="592" t="s">
        <v>113</v>
      </c>
      <c r="P34" s="592" t="s">
        <v>114</v>
      </c>
      <c r="Q34" s="592" t="s">
        <v>115</v>
      </c>
      <c r="R34" s="964"/>
    </row>
    <row r="35" spans="2:20" ht="19.899999999999999" customHeight="1" x14ac:dyDescent="0.2">
      <c r="B35" s="483" t="s">
        <v>150</v>
      </c>
      <c r="C35" s="487" t="s">
        <v>1075</v>
      </c>
      <c r="D35" s="483"/>
      <c r="E35" s="483" t="s">
        <v>1076</v>
      </c>
      <c r="F35" s="501">
        <f>+F16*(10000/($D$31*60*60))</f>
        <v>0.60223765432098753</v>
      </c>
      <c r="G35" s="501">
        <f t="shared" ref="G35:Q35" si="8">+G16*(10000/($D$31*60*60))</f>
        <v>0.11755952380952382</v>
      </c>
      <c r="H35" s="501">
        <f t="shared" si="8"/>
        <v>0.28350258861011551</v>
      </c>
      <c r="I35" s="501">
        <f t="shared" si="8"/>
        <v>0.67402906378600824</v>
      </c>
      <c r="J35" s="501">
        <f t="shared" si="8"/>
        <v>0.98818324372759869</v>
      </c>
      <c r="K35" s="501">
        <f t="shared" si="8"/>
        <v>1.1543692129629632</v>
      </c>
      <c r="L35" s="501">
        <f t="shared" si="8"/>
        <v>1.2271474263241737</v>
      </c>
      <c r="M35" s="501">
        <f t="shared" si="8"/>
        <v>1.2600028624054163</v>
      </c>
      <c r="N35" s="501">
        <f t="shared" si="8"/>
        <v>1.1213991769547325</v>
      </c>
      <c r="O35" s="501">
        <f t="shared" si="8"/>
        <v>0.41779918359219426</v>
      </c>
      <c r="P35" s="501">
        <f t="shared" si="8"/>
        <v>0.98114390432098764</v>
      </c>
      <c r="Q35" s="501">
        <f t="shared" si="8"/>
        <v>0.40387762594583837</v>
      </c>
      <c r="R35" s="502"/>
    </row>
    <row r="36" spans="2:20" ht="19.899999999999999" customHeight="1" x14ac:dyDescent="0.2">
      <c r="B36" s="503" t="s">
        <v>35</v>
      </c>
      <c r="C36" s="487" t="s">
        <v>1093</v>
      </c>
      <c r="D36" s="483"/>
      <c r="E36" s="483" t="s">
        <v>1071</v>
      </c>
      <c r="F36" s="504">
        <f>+F35*F20*24*60*60/1000</f>
        <v>1040.6666666666665</v>
      </c>
      <c r="G36" s="504">
        <f t="shared" ref="G36:Q36" si="9">+G35*G20*24*60*60/1000</f>
        <v>203.14285714285717</v>
      </c>
      <c r="H36" s="504">
        <f t="shared" si="9"/>
        <v>367.41935483870969</v>
      </c>
      <c r="I36" s="504">
        <f t="shared" si="9"/>
        <v>1164.7222222222222</v>
      </c>
      <c r="J36" s="504">
        <f t="shared" si="9"/>
        <v>1707.5806451612905</v>
      </c>
      <c r="K36" s="504">
        <f t="shared" si="9"/>
        <v>1994.7500000000005</v>
      </c>
      <c r="L36" s="504">
        <f t="shared" si="9"/>
        <v>2120.5107526881725</v>
      </c>
      <c r="M36" s="504">
        <f t="shared" si="9"/>
        <v>2177.2849462365593</v>
      </c>
      <c r="N36" s="504">
        <f t="shared" si="9"/>
        <v>1453.3333333333333</v>
      </c>
      <c r="O36" s="504">
        <f t="shared" si="9"/>
        <v>721.95698924731164</v>
      </c>
      <c r="P36" s="504">
        <f t="shared" si="9"/>
        <v>1695.4166666666667</v>
      </c>
      <c r="Q36" s="504">
        <f t="shared" si="9"/>
        <v>697.90053763440869</v>
      </c>
      <c r="R36" s="502">
        <f>SUM(F36:Q36)</f>
        <v>15344.6849718382</v>
      </c>
    </row>
    <row r="37" spans="2:20" ht="19.899999999999999" customHeight="1" x14ac:dyDescent="0.2">
      <c r="B37" s="483" t="s">
        <v>151</v>
      </c>
      <c r="C37" s="487" t="s">
        <v>1094</v>
      </c>
      <c r="D37" s="483"/>
      <c r="E37" s="483" t="s">
        <v>149</v>
      </c>
      <c r="F37" s="504">
        <f>+F36*F18</f>
        <v>32260.666666666661</v>
      </c>
      <c r="G37" s="504">
        <f t="shared" ref="G37:Q37" si="10">+G36*G18</f>
        <v>5688.0000000000009</v>
      </c>
      <c r="H37" s="504">
        <f t="shared" si="10"/>
        <v>11390</v>
      </c>
      <c r="I37" s="504">
        <f t="shared" si="10"/>
        <v>34941.666666666664</v>
      </c>
      <c r="J37" s="504">
        <f t="shared" si="10"/>
        <v>52935.000000000007</v>
      </c>
      <c r="K37" s="504">
        <f t="shared" si="10"/>
        <v>59842.500000000015</v>
      </c>
      <c r="L37" s="504">
        <f t="shared" si="10"/>
        <v>65735.833333333343</v>
      </c>
      <c r="M37" s="504">
        <f t="shared" si="10"/>
        <v>67495.833333333343</v>
      </c>
      <c r="N37" s="504">
        <f t="shared" si="10"/>
        <v>43600</v>
      </c>
      <c r="O37" s="504">
        <f t="shared" si="10"/>
        <v>22380.666666666661</v>
      </c>
      <c r="P37" s="504">
        <f t="shared" si="10"/>
        <v>50862.5</v>
      </c>
      <c r="Q37" s="504">
        <f t="shared" si="10"/>
        <v>21634.916666666668</v>
      </c>
      <c r="R37" s="502">
        <f>SUM(F37:Q37)</f>
        <v>468767.58333333349</v>
      </c>
      <c r="S37" s="335"/>
      <c r="T37" s="335"/>
    </row>
    <row r="38" spans="2:20" ht="14.45" customHeight="1" x14ac:dyDescent="0.2">
      <c r="B38" s="478"/>
      <c r="C38" s="481"/>
      <c r="D38" s="478"/>
      <c r="E38" s="613"/>
      <c r="F38" s="614"/>
      <c r="G38" s="614"/>
      <c r="H38" s="614"/>
      <c r="I38" s="614"/>
      <c r="J38" s="614"/>
      <c r="K38" s="614"/>
      <c r="L38" s="614"/>
      <c r="M38" s="614"/>
      <c r="N38" s="614"/>
      <c r="O38" s="614"/>
      <c r="P38" s="614"/>
      <c r="Q38" s="614"/>
      <c r="R38" s="614"/>
      <c r="S38" s="335"/>
      <c r="T38" s="335"/>
    </row>
    <row r="39" spans="2:20" ht="14.45" customHeight="1" x14ac:dyDescent="0.2">
      <c r="B39" s="478"/>
      <c r="C39" s="481"/>
      <c r="D39" s="478"/>
      <c r="E39" s="479"/>
      <c r="F39" s="505"/>
      <c r="G39" s="505"/>
      <c r="H39" s="505"/>
      <c r="I39" s="505"/>
      <c r="J39" s="505"/>
      <c r="K39" s="505"/>
      <c r="L39" s="505"/>
      <c r="M39" s="505"/>
      <c r="N39" s="505"/>
      <c r="O39" s="505"/>
      <c r="P39" s="505"/>
      <c r="Q39" s="505"/>
      <c r="R39" s="505"/>
      <c r="S39" s="335"/>
      <c r="T39" s="335"/>
    </row>
    <row r="40" spans="2:20" x14ac:dyDescent="0.2">
      <c r="B40" s="478"/>
      <c r="C40" s="481"/>
      <c r="D40" s="478"/>
      <c r="E40" s="479"/>
      <c r="F40" s="505"/>
      <c r="G40" s="505"/>
      <c r="H40" s="505"/>
      <c r="I40" s="505"/>
      <c r="J40" s="505"/>
      <c r="K40" s="505"/>
      <c r="L40" s="505"/>
      <c r="M40" s="505"/>
      <c r="N40" s="505"/>
      <c r="O40" s="505"/>
      <c r="P40" s="505"/>
      <c r="Q40" s="505"/>
      <c r="R40" s="505"/>
      <c r="S40" s="335"/>
      <c r="T40" s="335"/>
    </row>
    <row r="41" spans="2:20" ht="21" x14ac:dyDescent="0.2">
      <c r="B41" s="973" t="s">
        <v>1103</v>
      </c>
      <c r="C41" s="973"/>
      <c r="D41" s="973"/>
      <c r="E41" s="973"/>
      <c r="F41" s="973"/>
      <c r="G41" s="973"/>
      <c r="H41" s="973"/>
      <c r="I41" s="973"/>
      <c r="J41" s="973"/>
      <c r="K41" s="973"/>
      <c r="L41" s="973"/>
      <c r="M41" s="973"/>
      <c r="N41" s="973"/>
      <c r="O41" s="973"/>
      <c r="P41" s="973"/>
      <c r="Q41" s="973"/>
      <c r="R41" s="973"/>
      <c r="S41" s="335"/>
      <c r="T41" s="335"/>
    </row>
    <row r="42" spans="2:20" ht="22.15" customHeight="1" x14ac:dyDescent="0.2">
      <c r="B42" s="512"/>
      <c r="C42" s="482"/>
      <c r="D42" s="482"/>
      <c r="E42" s="482"/>
      <c r="F42" s="482"/>
      <c r="G42" s="482"/>
      <c r="H42" s="482"/>
      <c r="I42" s="482"/>
      <c r="J42" s="482"/>
      <c r="K42" s="482"/>
      <c r="L42" s="482"/>
      <c r="M42" s="482"/>
      <c r="N42" s="482"/>
      <c r="O42" s="482"/>
      <c r="P42" s="482"/>
      <c r="Q42" s="482"/>
      <c r="R42" s="482"/>
    </row>
    <row r="43" spans="2:20" ht="15.6" customHeight="1" x14ac:dyDescent="0.2">
      <c r="B43" s="964" t="s">
        <v>71</v>
      </c>
      <c r="C43" s="964" t="s">
        <v>24</v>
      </c>
      <c r="D43" s="964" t="s">
        <v>101</v>
      </c>
      <c r="E43" s="964" t="s">
        <v>102</v>
      </c>
      <c r="F43" s="965" t="s">
        <v>103</v>
      </c>
      <c r="G43" s="965"/>
      <c r="H43" s="965"/>
      <c r="I43" s="965"/>
      <c r="J43" s="965"/>
      <c r="K43" s="965"/>
      <c r="L43" s="965"/>
      <c r="M43" s="965"/>
      <c r="N43" s="965"/>
      <c r="O43" s="965"/>
      <c r="P43" s="965"/>
      <c r="Q43" s="965"/>
      <c r="R43" s="964" t="s">
        <v>33</v>
      </c>
    </row>
    <row r="44" spans="2:20" ht="15.6" customHeight="1" x14ac:dyDescent="0.2">
      <c r="B44" s="964"/>
      <c r="C44" s="964"/>
      <c r="D44" s="964"/>
      <c r="E44" s="964"/>
      <c r="F44" s="592" t="s">
        <v>104</v>
      </c>
      <c r="G44" s="592" t="s">
        <v>105</v>
      </c>
      <c r="H44" s="592" t="s">
        <v>106</v>
      </c>
      <c r="I44" s="592" t="s">
        <v>107</v>
      </c>
      <c r="J44" s="592" t="s">
        <v>108</v>
      </c>
      <c r="K44" s="592" t="s">
        <v>109</v>
      </c>
      <c r="L44" s="592" t="s">
        <v>110</v>
      </c>
      <c r="M44" s="592" t="s">
        <v>111</v>
      </c>
      <c r="N44" s="592" t="s">
        <v>112</v>
      </c>
      <c r="O44" s="592" t="s">
        <v>113</v>
      </c>
      <c r="P44" s="592" t="s">
        <v>114</v>
      </c>
      <c r="Q44" s="592" t="s">
        <v>115</v>
      </c>
      <c r="R44" s="964"/>
    </row>
    <row r="45" spans="2:20" ht="18" customHeight="1" x14ac:dyDescent="0.2">
      <c r="B45" s="483" t="s">
        <v>116</v>
      </c>
      <c r="C45" s="488" t="s">
        <v>117</v>
      </c>
      <c r="D45" s="486" t="s">
        <v>118</v>
      </c>
      <c r="E45" s="486" t="s">
        <v>119</v>
      </c>
      <c r="F45" s="495">
        <f>+F10</f>
        <v>3.24</v>
      </c>
      <c r="G45" s="495">
        <f t="shared" ref="G45:Q45" si="11">+G10</f>
        <v>3.02</v>
      </c>
      <c r="H45" s="495">
        <f t="shared" si="11"/>
        <v>2.88</v>
      </c>
      <c r="I45" s="495">
        <f t="shared" si="11"/>
        <v>3.09</v>
      </c>
      <c r="J45" s="495">
        <f t="shared" si="11"/>
        <v>3.06</v>
      </c>
      <c r="K45" s="495">
        <f t="shared" si="11"/>
        <v>2.99</v>
      </c>
      <c r="L45" s="495">
        <f t="shared" si="11"/>
        <v>3.1</v>
      </c>
      <c r="M45" s="495">
        <f t="shared" si="11"/>
        <v>3.58</v>
      </c>
      <c r="N45" s="495">
        <f t="shared" si="11"/>
        <v>3.65</v>
      </c>
      <c r="O45" s="495">
        <f t="shared" si="11"/>
        <v>3.46</v>
      </c>
      <c r="P45" s="495">
        <f t="shared" si="11"/>
        <v>3.63</v>
      </c>
      <c r="Q45" s="495">
        <f t="shared" si="11"/>
        <v>3.03</v>
      </c>
      <c r="R45" s="498"/>
    </row>
    <row r="46" spans="2:20" ht="18" customHeight="1" x14ac:dyDescent="0.2">
      <c r="B46" s="483" t="s">
        <v>120</v>
      </c>
      <c r="C46" s="484" t="s">
        <v>1077</v>
      </c>
      <c r="D46" s="485" t="s">
        <v>118</v>
      </c>
      <c r="E46" s="486"/>
      <c r="F46" s="495">
        <f>+Kc!D53</f>
        <v>1.0166666666666666</v>
      </c>
      <c r="G46" s="495">
        <f>+Kc!E53</f>
        <v>0.9</v>
      </c>
      <c r="H46" s="495">
        <f>+Kc!F53</f>
        <v>1</v>
      </c>
      <c r="I46" s="495">
        <f>+Kc!G53</f>
        <v>0.8833333333333333</v>
      </c>
      <c r="J46" s="495">
        <f>+Kc!H53</f>
        <v>0.9</v>
      </c>
      <c r="K46" s="495">
        <f>+Kc!I53</f>
        <v>0.91666666666666663</v>
      </c>
      <c r="L46" s="495">
        <f>+Kc!J53</f>
        <v>0.93333333333333335</v>
      </c>
      <c r="M46" s="495">
        <f>+Kc!K53</f>
        <v>0.94333333333333325</v>
      </c>
      <c r="N46" s="495">
        <f>+Kc!L53</f>
        <v>0.91666666666666663</v>
      </c>
      <c r="O46" s="495">
        <f>+Kc!M53</f>
        <v>1</v>
      </c>
      <c r="P46" s="495">
        <f>+Kc!N53</f>
        <v>0.9</v>
      </c>
      <c r="Q46" s="495">
        <f>+Kc!O53</f>
        <v>1</v>
      </c>
      <c r="R46" s="496"/>
    </row>
    <row r="47" spans="2:20" ht="18" customHeight="1" x14ac:dyDescent="0.2">
      <c r="B47" s="483" t="s">
        <v>121</v>
      </c>
      <c r="C47" s="487" t="s">
        <v>122</v>
      </c>
      <c r="D47" s="483" t="s">
        <v>123</v>
      </c>
      <c r="E47" s="483" t="s">
        <v>119</v>
      </c>
      <c r="F47" s="497">
        <f t="shared" ref="F47:Q47" si="12">+F45*F46</f>
        <v>3.294</v>
      </c>
      <c r="G47" s="497">
        <f t="shared" si="12"/>
        <v>2.718</v>
      </c>
      <c r="H47" s="497">
        <f t="shared" si="12"/>
        <v>2.88</v>
      </c>
      <c r="I47" s="497">
        <f t="shared" si="12"/>
        <v>2.7294999999999998</v>
      </c>
      <c r="J47" s="497">
        <f t="shared" si="12"/>
        <v>2.754</v>
      </c>
      <c r="K47" s="497">
        <f t="shared" si="12"/>
        <v>2.7408333333333332</v>
      </c>
      <c r="L47" s="497">
        <f t="shared" si="12"/>
        <v>2.8933333333333335</v>
      </c>
      <c r="M47" s="497">
        <f t="shared" si="12"/>
        <v>3.3771333333333331</v>
      </c>
      <c r="N47" s="497">
        <f t="shared" si="12"/>
        <v>3.3458333333333332</v>
      </c>
      <c r="O47" s="497">
        <f t="shared" si="12"/>
        <v>3.46</v>
      </c>
      <c r="P47" s="497">
        <f t="shared" si="12"/>
        <v>3.2669999999999999</v>
      </c>
      <c r="Q47" s="497">
        <f t="shared" si="12"/>
        <v>3.03</v>
      </c>
      <c r="R47" s="498"/>
    </row>
    <row r="48" spans="2:20" ht="18" customHeight="1" x14ac:dyDescent="0.2">
      <c r="B48" s="483" t="s">
        <v>124</v>
      </c>
      <c r="C48" s="487" t="s">
        <v>125</v>
      </c>
      <c r="D48" s="483" t="s">
        <v>118</v>
      </c>
      <c r="E48" s="483" t="s">
        <v>119</v>
      </c>
      <c r="F48" s="499">
        <f>+F13</f>
        <v>1.76</v>
      </c>
      <c r="G48" s="499">
        <f t="shared" ref="G48:Q48" si="13">+G13</f>
        <v>2.5642857142857141</v>
      </c>
      <c r="H48" s="499">
        <f t="shared" si="13"/>
        <v>2.1451612903225805</v>
      </c>
      <c r="I48" s="499">
        <f t="shared" si="13"/>
        <v>0.95666666666666667</v>
      </c>
      <c r="J48" s="499">
        <f t="shared" si="13"/>
        <v>0.11612903225806452</v>
      </c>
      <c r="K48" s="499">
        <f t="shared" si="13"/>
        <v>0.11</v>
      </c>
      <c r="L48" s="499">
        <f t="shared" si="13"/>
        <v>3.5483870967741936E-2</v>
      </c>
      <c r="M48" s="499">
        <f t="shared" si="13"/>
        <v>9.0322580645161285E-2</v>
      </c>
      <c r="N48" s="499">
        <f t="shared" si="13"/>
        <v>0.7433333333333334</v>
      </c>
      <c r="O48" s="499">
        <f t="shared" si="13"/>
        <v>1.8580645161290323</v>
      </c>
      <c r="P48" s="499">
        <f t="shared" si="13"/>
        <v>0.86</v>
      </c>
      <c r="Q48" s="499">
        <f t="shared" si="13"/>
        <v>2.096774193548387</v>
      </c>
      <c r="R48" s="498"/>
    </row>
    <row r="49" spans="2:20" ht="18" customHeight="1" x14ac:dyDescent="0.2">
      <c r="B49" s="483" t="s">
        <v>126</v>
      </c>
      <c r="C49" s="487" t="s">
        <v>127</v>
      </c>
      <c r="D49" s="483" t="s">
        <v>128</v>
      </c>
      <c r="E49" s="483" t="s">
        <v>119</v>
      </c>
      <c r="F49" s="497">
        <f>+IF((F47-F48)&lt;0,0,(F47-F48))</f>
        <v>1.534</v>
      </c>
      <c r="G49" s="497">
        <f>+IF((G47-G48)&lt;0,0,(G47-G48))</f>
        <v>0.15371428571428591</v>
      </c>
      <c r="H49" s="497">
        <f t="shared" ref="H49:Q49" si="14">+IF((H47-H48)&lt;0,0,(H47-H48))</f>
        <v>0.73483870967741938</v>
      </c>
      <c r="I49" s="497">
        <f t="shared" si="14"/>
        <v>1.7728333333333333</v>
      </c>
      <c r="J49" s="497">
        <f t="shared" si="14"/>
        <v>2.6378709677419354</v>
      </c>
      <c r="K49" s="497">
        <f t="shared" si="14"/>
        <v>2.6308333333333334</v>
      </c>
      <c r="L49" s="497">
        <f t="shared" si="14"/>
        <v>2.8578494623655915</v>
      </c>
      <c r="M49" s="497">
        <f t="shared" si="14"/>
        <v>3.2868107526881718</v>
      </c>
      <c r="N49" s="497">
        <f t="shared" si="14"/>
        <v>2.6025</v>
      </c>
      <c r="O49" s="497">
        <f t="shared" si="14"/>
        <v>1.6019354838709676</v>
      </c>
      <c r="P49" s="497">
        <f t="shared" si="14"/>
        <v>2.407</v>
      </c>
      <c r="Q49" s="497">
        <f t="shared" si="14"/>
        <v>0.93322580645161279</v>
      </c>
      <c r="R49" s="498">
        <f>SUM(F49:Q49)</f>
        <v>23.153412135176652</v>
      </c>
    </row>
    <row r="50" spans="2:20" ht="18" customHeight="1" x14ac:dyDescent="0.2">
      <c r="B50" s="483" t="s">
        <v>129</v>
      </c>
      <c r="C50" s="487" t="s">
        <v>283</v>
      </c>
      <c r="D50" s="483" t="s">
        <v>118</v>
      </c>
      <c r="E50" s="483" t="s">
        <v>130</v>
      </c>
      <c r="F50" s="511">
        <v>0.75</v>
      </c>
      <c r="G50" s="500">
        <f>+F50</f>
        <v>0.75</v>
      </c>
      <c r="H50" s="500">
        <f t="shared" ref="H50:Q50" si="15">+G50</f>
        <v>0.75</v>
      </c>
      <c r="I50" s="500">
        <f t="shared" si="15"/>
        <v>0.75</v>
      </c>
      <c r="J50" s="500">
        <f t="shared" si="15"/>
        <v>0.75</v>
      </c>
      <c r="K50" s="500">
        <f t="shared" si="15"/>
        <v>0.75</v>
      </c>
      <c r="L50" s="500">
        <f t="shared" si="15"/>
        <v>0.75</v>
      </c>
      <c r="M50" s="500">
        <f t="shared" si="15"/>
        <v>0.75</v>
      </c>
      <c r="N50" s="500">
        <f t="shared" si="15"/>
        <v>0.75</v>
      </c>
      <c r="O50" s="500">
        <f t="shared" si="15"/>
        <v>0.75</v>
      </c>
      <c r="P50" s="500">
        <f t="shared" si="15"/>
        <v>0.75</v>
      </c>
      <c r="Q50" s="500">
        <f t="shared" si="15"/>
        <v>0.75</v>
      </c>
      <c r="R50" s="498"/>
    </row>
    <row r="51" spans="2:20" ht="18" customHeight="1" x14ac:dyDescent="0.2">
      <c r="B51" s="483" t="s">
        <v>131</v>
      </c>
      <c r="C51" s="974" t="s">
        <v>132</v>
      </c>
      <c r="D51" s="483" t="s">
        <v>133</v>
      </c>
      <c r="E51" s="483" t="s">
        <v>119</v>
      </c>
      <c r="F51" s="489">
        <f>+F49/F50</f>
        <v>2.0453333333333332</v>
      </c>
      <c r="G51" s="489">
        <f>+G49/G50</f>
        <v>0.20495238095238122</v>
      </c>
      <c r="H51" s="489">
        <f t="shared" ref="H51:Q51" si="16">+H49/H50</f>
        <v>0.97978494623655921</v>
      </c>
      <c r="I51" s="489">
        <f t="shared" si="16"/>
        <v>2.3637777777777775</v>
      </c>
      <c r="J51" s="489">
        <f t="shared" si="16"/>
        <v>3.5171612903225804</v>
      </c>
      <c r="K51" s="489">
        <f t="shared" si="16"/>
        <v>3.5077777777777777</v>
      </c>
      <c r="L51" s="489">
        <f t="shared" si="16"/>
        <v>3.8104659498207885</v>
      </c>
      <c r="M51" s="489">
        <f t="shared" si="16"/>
        <v>4.3824143369175621</v>
      </c>
      <c r="N51" s="489">
        <f t="shared" si="16"/>
        <v>3.47</v>
      </c>
      <c r="O51" s="489">
        <f t="shared" si="16"/>
        <v>2.1359139784946235</v>
      </c>
      <c r="P51" s="489">
        <f t="shared" si="16"/>
        <v>3.2093333333333334</v>
      </c>
      <c r="Q51" s="489">
        <f t="shared" si="16"/>
        <v>1.2443010752688171</v>
      </c>
      <c r="R51" s="494">
        <f>SUM(F51:Q51)</f>
        <v>30.871216180235535</v>
      </c>
    </row>
    <row r="52" spans="2:20" ht="18" customHeight="1" x14ac:dyDescent="0.2">
      <c r="B52" s="483" t="s">
        <v>134</v>
      </c>
      <c r="C52" s="975"/>
      <c r="D52" s="483" t="s">
        <v>135</v>
      </c>
      <c r="E52" s="483" t="s">
        <v>136</v>
      </c>
      <c r="F52" s="489">
        <f t="shared" ref="F52:Q52" si="17">+F51*10</f>
        <v>20.453333333333333</v>
      </c>
      <c r="G52" s="489">
        <f t="shared" si="17"/>
        <v>2.0495238095238122</v>
      </c>
      <c r="H52" s="489">
        <f t="shared" si="17"/>
        <v>9.7978494623655923</v>
      </c>
      <c r="I52" s="489">
        <f t="shared" si="17"/>
        <v>23.637777777777774</v>
      </c>
      <c r="J52" s="489">
        <f t="shared" si="17"/>
        <v>35.171612903225807</v>
      </c>
      <c r="K52" s="489">
        <f t="shared" si="17"/>
        <v>35.077777777777776</v>
      </c>
      <c r="L52" s="489">
        <f t="shared" si="17"/>
        <v>38.104659498207887</v>
      </c>
      <c r="M52" s="489">
        <f t="shared" si="17"/>
        <v>43.824143369175623</v>
      </c>
      <c r="N52" s="489">
        <f t="shared" si="17"/>
        <v>34.700000000000003</v>
      </c>
      <c r="O52" s="489">
        <f t="shared" si="17"/>
        <v>21.359139784946237</v>
      </c>
      <c r="P52" s="489">
        <f t="shared" si="17"/>
        <v>32.093333333333334</v>
      </c>
      <c r="Q52" s="489">
        <f t="shared" si="17"/>
        <v>12.443010752688171</v>
      </c>
      <c r="R52" s="494">
        <f>SUM(F52:Q52)</f>
        <v>308.71216180235541</v>
      </c>
    </row>
    <row r="53" spans="2:20" ht="18" customHeight="1" x14ac:dyDescent="0.2">
      <c r="B53" s="483" t="s">
        <v>137</v>
      </c>
      <c r="C53" s="487" t="s">
        <v>138</v>
      </c>
      <c r="D53" s="483" t="s">
        <v>118</v>
      </c>
      <c r="E53" s="483"/>
      <c r="F53" s="490">
        <f t="shared" ref="F53:Q53" si="18">+F18</f>
        <v>31</v>
      </c>
      <c r="G53" s="490">
        <f t="shared" si="18"/>
        <v>28</v>
      </c>
      <c r="H53" s="490">
        <f t="shared" si="18"/>
        <v>31</v>
      </c>
      <c r="I53" s="490">
        <f t="shared" si="18"/>
        <v>30</v>
      </c>
      <c r="J53" s="490">
        <f t="shared" si="18"/>
        <v>31</v>
      </c>
      <c r="K53" s="490">
        <f t="shared" si="18"/>
        <v>30</v>
      </c>
      <c r="L53" s="490">
        <f t="shared" si="18"/>
        <v>31</v>
      </c>
      <c r="M53" s="490">
        <f t="shared" si="18"/>
        <v>31</v>
      </c>
      <c r="N53" s="490">
        <f t="shared" si="18"/>
        <v>30</v>
      </c>
      <c r="O53" s="490">
        <f t="shared" si="18"/>
        <v>31</v>
      </c>
      <c r="P53" s="490">
        <f t="shared" si="18"/>
        <v>30</v>
      </c>
      <c r="Q53" s="490">
        <f t="shared" si="18"/>
        <v>31</v>
      </c>
      <c r="R53" s="494"/>
    </row>
    <row r="54" spans="2:20" ht="18" customHeight="1" x14ac:dyDescent="0.2">
      <c r="B54" s="483" t="s">
        <v>139</v>
      </c>
      <c r="C54" s="487" t="s">
        <v>140</v>
      </c>
      <c r="D54" s="483" t="s">
        <v>141</v>
      </c>
      <c r="E54" s="483" t="s">
        <v>142</v>
      </c>
      <c r="F54" s="491">
        <f t="shared" ref="F54:Q54" si="19">+F52*F53</f>
        <v>634.05333333333328</v>
      </c>
      <c r="G54" s="491">
        <f t="shared" si="19"/>
        <v>57.386666666666741</v>
      </c>
      <c r="H54" s="491">
        <f t="shared" si="19"/>
        <v>303.73333333333335</v>
      </c>
      <c r="I54" s="491">
        <f t="shared" si="19"/>
        <v>709.13333333333321</v>
      </c>
      <c r="J54" s="491">
        <f t="shared" si="19"/>
        <v>1090.32</v>
      </c>
      <c r="K54" s="491">
        <f>+K52*K53</f>
        <v>1052.3333333333333</v>
      </c>
      <c r="L54" s="491">
        <f t="shared" si="19"/>
        <v>1181.2444444444445</v>
      </c>
      <c r="M54" s="491">
        <f t="shared" si="19"/>
        <v>1358.5484444444444</v>
      </c>
      <c r="N54" s="491">
        <f t="shared" si="19"/>
        <v>1041</v>
      </c>
      <c r="O54" s="491">
        <f t="shared" si="19"/>
        <v>662.13333333333333</v>
      </c>
      <c r="P54" s="491">
        <f t="shared" si="19"/>
        <v>962.8</v>
      </c>
      <c r="Q54" s="491">
        <f t="shared" si="19"/>
        <v>385.73333333333329</v>
      </c>
      <c r="R54" s="493">
        <f>SUM(F54:Q54)</f>
        <v>9438.4195555555561</v>
      </c>
    </row>
    <row r="55" spans="2:20" ht="18" customHeight="1" x14ac:dyDescent="0.2">
      <c r="B55" s="483" t="s">
        <v>143</v>
      </c>
      <c r="C55" s="487" t="s">
        <v>144</v>
      </c>
      <c r="D55" s="483" t="s">
        <v>118</v>
      </c>
      <c r="E55" s="483" t="s">
        <v>145</v>
      </c>
      <c r="F55" s="492">
        <f>+Kc!D41</f>
        <v>15</v>
      </c>
      <c r="G55" s="492">
        <f>+Kc!E41</f>
        <v>15</v>
      </c>
      <c r="H55" s="492">
        <f>+Kc!F41</f>
        <v>10</v>
      </c>
      <c r="I55" s="492">
        <f>+Kc!G41</f>
        <v>15</v>
      </c>
      <c r="J55" s="492">
        <f>+Kc!H41</f>
        <v>15</v>
      </c>
      <c r="K55" s="492">
        <f>+Kc!I41</f>
        <v>15</v>
      </c>
      <c r="L55" s="492">
        <f>+Kc!J41</f>
        <v>15</v>
      </c>
      <c r="M55" s="492">
        <f>+Kc!K41</f>
        <v>15</v>
      </c>
      <c r="N55" s="492">
        <f>+Kc!L41</f>
        <v>15</v>
      </c>
      <c r="O55" s="492">
        <f>+Kc!M41</f>
        <v>10</v>
      </c>
      <c r="P55" s="492">
        <f>+Kc!N41</f>
        <v>15</v>
      </c>
      <c r="Q55" s="492">
        <f>+Kc!O41</f>
        <v>15</v>
      </c>
      <c r="R55" s="494"/>
    </row>
    <row r="56" spans="2:20" ht="18" customHeight="1" x14ac:dyDescent="0.2">
      <c r="B56" s="483" t="s">
        <v>146</v>
      </c>
      <c r="C56" s="487" t="s">
        <v>147</v>
      </c>
      <c r="D56" s="483" t="s">
        <v>148</v>
      </c>
      <c r="E56" s="483" t="s">
        <v>149</v>
      </c>
      <c r="F56" s="491">
        <f t="shared" ref="F56:Q56" si="20">+F54*F55</f>
        <v>9510.7999999999993</v>
      </c>
      <c r="G56" s="491">
        <f t="shared" si="20"/>
        <v>860.80000000000109</v>
      </c>
      <c r="H56" s="491">
        <f t="shared" si="20"/>
        <v>3037.3333333333335</v>
      </c>
      <c r="I56" s="491">
        <f t="shared" si="20"/>
        <v>10636.999999999998</v>
      </c>
      <c r="J56" s="491">
        <f t="shared" si="20"/>
        <v>16354.8</v>
      </c>
      <c r="K56" s="491">
        <f t="shared" si="20"/>
        <v>15784.999999999998</v>
      </c>
      <c r="L56" s="491">
        <f t="shared" si="20"/>
        <v>17718.666666666668</v>
      </c>
      <c r="M56" s="491">
        <f t="shared" si="20"/>
        <v>20378.226666666666</v>
      </c>
      <c r="N56" s="491">
        <f t="shared" si="20"/>
        <v>15615</v>
      </c>
      <c r="O56" s="491">
        <f t="shared" si="20"/>
        <v>6621.333333333333</v>
      </c>
      <c r="P56" s="491">
        <f t="shared" si="20"/>
        <v>14442</v>
      </c>
      <c r="Q56" s="491">
        <f t="shared" si="20"/>
        <v>5785.9999999999991</v>
      </c>
      <c r="R56" s="493">
        <f>SUM(F56:Q56)</f>
        <v>136746.96</v>
      </c>
      <c r="S56" s="335"/>
      <c r="T56" s="335"/>
    </row>
    <row r="57" spans="2:20" ht="18" customHeight="1" x14ac:dyDescent="0.2">
      <c r="B57" s="483" t="s">
        <v>150</v>
      </c>
      <c r="C57" s="487" t="s">
        <v>1101</v>
      </c>
      <c r="D57" s="483" t="s">
        <v>1102</v>
      </c>
      <c r="E57" s="483" t="s">
        <v>1071</v>
      </c>
      <c r="F57" s="491">
        <f t="shared" ref="F57:Q57" si="21">+F56/F53</f>
        <v>306.79999999999995</v>
      </c>
      <c r="G57" s="491">
        <f t="shared" si="21"/>
        <v>30.742857142857183</v>
      </c>
      <c r="H57" s="491">
        <f t="shared" si="21"/>
        <v>97.978494623655919</v>
      </c>
      <c r="I57" s="491">
        <f t="shared" si="21"/>
        <v>354.56666666666661</v>
      </c>
      <c r="J57" s="491">
        <f t="shared" si="21"/>
        <v>527.57419354838703</v>
      </c>
      <c r="K57" s="491">
        <f t="shared" si="21"/>
        <v>526.16666666666663</v>
      </c>
      <c r="L57" s="491">
        <f t="shared" si="21"/>
        <v>571.56989247311833</v>
      </c>
      <c r="M57" s="491">
        <f t="shared" si="21"/>
        <v>657.36215053763442</v>
      </c>
      <c r="N57" s="491">
        <f t="shared" si="21"/>
        <v>520.5</v>
      </c>
      <c r="O57" s="491">
        <f t="shared" si="21"/>
        <v>213.59139784946237</v>
      </c>
      <c r="P57" s="491">
        <f t="shared" si="21"/>
        <v>481.4</v>
      </c>
      <c r="Q57" s="491">
        <f t="shared" si="21"/>
        <v>186.64516129032256</v>
      </c>
      <c r="R57" s="493">
        <f>SUM(F57:Q57)</f>
        <v>4474.8974807987715</v>
      </c>
      <c r="S57" s="335"/>
      <c r="T57" s="335"/>
    </row>
    <row r="58" spans="2:20" x14ac:dyDescent="0.2">
      <c r="B58" s="478"/>
      <c r="C58" s="505"/>
      <c r="D58" s="479"/>
      <c r="E58" s="508"/>
      <c r="F58" s="509"/>
      <c r="G58" s="509"/>
      <c r="H58" s="509"/>
      <c r="I58" s="509"/>
      <c r="J58" s="509"/>
      <c r="K58" s="509"/>
      <c r="L58" s="509"/>
      <c r="M58" s="509"/>
      <c r="N58" s="509"/>
      <c r="O58" s="509"/>
      <c r="P58" s="509"/>
      <c r="Q58" s="509"/>
      <c r="R58" s="513"/>
      <c r="S58" s="336"/>
      <c r="T58" s="335"/>
    </row>
    <row r="59" spans="2:20" x14ac:dyDescent="0.2">
      <c r="B59" s="478"/>
      <c r="C59" s="481"/>
      <c r="D59" s="478"/>
      <c r="E59" s="479"/>
      <c r="F59" s="505"/>
      <c r="G59" s="505"/>
      <c r="H59" s="505"/>
      <c r="I59" s="505"/>
      <c r="J59" s="505"/>
      <c r="K59" s="505"/>
      <c r="L59" s="505"/>
      <c r="M59" s="505"/>
      <c r="N59" s="505"/>
      <c r="O59" s="505"/>
      <c r="P59" s="505"/>
      <c r="Q59" s="505"/>
      <c r="R59" s="505"/>
      <c r="S59" s="335"/>
      <c r="T59" s="335"/>
    </row>
    <row r="60" spans="2:20" ht="14.45" customHeight="1" x14ac:dyDescent="0.2">
      <c r="B60" s="506" t="s">
        <v>1072</v>
      </c>
      <c r="C60" s="505"/>
      <c r="D60" s="479"/>
      <c r="E60" s="508"/>
      <c r="F60" s="509"/>
      <c r="G60" s="509"/>
      <c r="H60" s="509"/>
      <c r="I60" s="509"/>
      <c r="J60" s="509"/>
      <c r="K60" s="509"/>
      <c r="L60" s="509"/>
      <c r="M60" s="509"/>
      <c r="N60" s="509"/>
      <c r="O60" s="509"/>
      <c r="P60" s="509"/>
      <c r="Q60" s="509"/>
      <c r="R60" s="510"/>
      <c r="S60" s="336"/>
      <c r="T60" s="335"/>
    </row>
    <row r="61" spans="2:20" ht="14.45" customHeight="1" x14ac:dyDescent="0.2">
      <c r="B61" s="507"/>
      <c r="C61" s="505"/>
      <c r="D61" s="479"/>
      <c r="E61" s="508"/>
      <c r="F61" s="509"/>
      <c r="G61" s="509"/>
      <c r="H61" s="509"/>
      <c r="I61" s="509"/>
      <c r="J61" s="509"/>
      <c r="K61" s="509"/>
      <c r="L61" s="509"/>
      <c r="M61" s="509"/>
      <c r="N61" s="509"/>
      <c r="O61" s="509"/>
      <c r="P61" s="509"/>
      <c r="Q61" s="509"/>
      <c r="R61" s="510"/>
      <c r="S61" s="336"/>
      <c r="T61" s="335"/>
    </row>
    <row r="62" spans="2:20" ht="14.45" customHeight="1" x14ac:dyDescent="0.2">
      <c r="B62" s="506" t="s">
        <v>1073</v>
      </c>
      <c r="C62" s="505"/>
      <c r="D62" s="514">
        <f>+D31</f>
        <v>24</v>
      </c>
      <c r="E62" s="508" t="s">
        <v>1074</v>
      </c>
      <c r="F62" s="509"/>
      <c r="G62" s="509"/>
      <c r="H62" s="509"/>
      <c r="I62" s="509"/>
      <c r="J62" s="509"/>
      <c r="K62" s="509"/>
      <c r="L62" s="509"/>
      <c r="M62" s="509"/>
      <c r="N62" s="509"/>
      <c r="O62" s="509"/>
      <c r="P62" s="509"/>
      <c r="Q62" s="509"/>
      <c r="R62" s="510"/>
      <c r="S62" s="336"/>
      <c r="T62" s="335"/>
    </row>
    <row r="63" spans="2:20" ht="22.9" customHeight="1" x14ac:dyDescent="0.2">
      <c r="B63" s="976"/>
      <c r="C63" s="976"/>
      <c r="D63" s="976"/>
      <c r="E63" s="976"/>
      <c r="F63" s="976"/>
      <c r="G63" s="976"/>
      <c r="H63" s="976"/>
      <c r="I63" s="976"/>
      <c r="J63" s="976"/>
      <c r="K63" s="976"/>
      <c r="L63" s="976"/>
      <c r="M63" s="976"/>
      <c r="N63" s="976"/>
      <c r="O63" s="976"/>
      <c r="P63" s="976"/>
      <c r="Q63" s="976"/>
      <c r="R63" s="976"/>
      <c r="S63" s="337"/>
    </row>
    <row r="64" spans="2:20" ht="14.45" customHeight="1" x14ac:dyDescent="0.2">
      <c r="B64" s="964" t="s">
        <v>71</v>
      </c>
      <c r="C64" s="964" t="s">
        <v>24</v>
      </c>
      <c r="D64" s="964" t="s">
        <v>101</v>
      </c>
      <c r="E64" s="964" t="s">
        <v>102</v>
      </c>
      <c r="F64" s="965" t="s">
        <v>103</v>
      </c>
      <c r="G64" s="965"/>
      <c r="H64" s="965"/>
      <c r="I64" s="965"/>
      <c r="J64" s="965"/>
      <c r="K64" s="965"/>
      <c r="L64" s="965"/>
      <c r="M64" s="965"/>
      <c r="N64" s="965"/>
      <c r="O64" s="965"/>
      <c r="P64" s="965"/>
      <c r="Q64" s="965"/>
      <c r="R64" s="964" t="s">
        <v>33</v>
      </c>
      <c r="S64" s="337"/>
    </row>
    <row r="65" spans="2:20" ht="15.6" customHeight="1" x14ac:dyDescent="0.2">
      <c r="B65" s="964"/>
      <c r="C65" s="964"/>
      <c r="D65" s="964"/>
      <c r="E65" s="964"/>
      <c r="F65" s="477" t="s">
        <v>104</v>
      </c>
      <c r="G65" s="477" t="s">
        <v>105</v>
      </c>
      <c r="H65" s="477" t="s">
        <v>106</v>
      </c>
      <c r="I65" s="477" t="s">
        <v>107</v>
      </c>
      <c r="J65" s="477" t="s">
        <v>108</v>
      </c>
      <c r="K65" s="477" t="s">
        <v>109</v>
      </c>
      <c r="L65" s="477" t="s">
        <v>110</v>
      </c>
      <c r="M65" s="477" t="s">
        <v>111</v>
      </c>
      <c r="N65" s="477" t="s">
        <v>112</v>
      </c>
      <c r="O65" s="477" t="s">
        <v>113</v>
      </c>
      <c r="P65" s="477" t="s">
        <v>114</v>
      </c>
      <c r="Q65" s="477" t="s">
        <v>115</v>
      </c>
      <c r="R65" s="964"/>
    </row>
    <row r="66" spans="2:20" ht="19.899999999999999" customHeight="1" x14ac:dyDescent="0.2">
      <c r="B66" s="483" t="s">
        <v>150</v>
      </c>
      <c r="C66" s="487" t="s">
        <v>1075</v>
      </c>
      <c r="D66" s="483"/>
      <c r="E66" s="483" t="s">
        <v>1076</v>
      </c>
      <c r="F66" s="495">
        <f>+F51*(10000/($D$62*60*60))</f>
        <v>0.23672839506172838</v>
      </c>
      <c r="G66" s="495">
        <f t="shared" ref="G66:Q66" si="22">+G51*(10000/($D$62*60*60))</f>
        <v>2.3721340388007085E-2</v>
      </c>
      <c r="H66" s="495">
        <f t="shared" si="22"/>
        <v>0.1134010354440462</v>
      </c>
      <c r="I66" s="495">
        <f t="shared" si="22"/>
        <v>0.27358539094650203</v>
      </c>
      <c r="J66" s="495">
        <f t="shared" si="22"/>
        <v>0.40707885304659497</v>
      </c>
      <c r="K66" s="495">
        <f t="shared" si="22"/>
        <v>0.40599279835390945</v>
      </c>
      <c r="L66" s="495">
        <f t="shared" si="22"/>
        <v>0.44102615159962827</v>
      </c>
      <c r="M66" s="495">
        <f t="shared" si="22"/>
        <v>0.50722388158768084</v>
      </c>
      <c r="N66" s="495">
        <f t="shared" si="22"/>
        <v>0.40162037037037041</v>
      </c>
      <c r="O66" s="495">
        <f t="shared" si="22"/>
        <v>0.2472122660294703</v>
      </c>
      <c r="P66" s="495">
        <f t="shared" si="22"/>
        <v>0.37145061728395062</v>
      </c>
      <c r="Q66" s="495">
        <f t="shared" si="22"/>
        <v>0.14401632815611309</v>
      </c>
      <c r="R66" s="517"/>
    </row>
    <row r="67" spans="2:20" ht="19.899999999999999" customHeight="1" x14ac:dyDescent="0.2">
      <c r="B67" s="503" t="s">
        <v>35</v>
      </c>
      <c r="C67" s="487" t="s">
        <v>1093</v>
      </c>
      <c r="D67" s="483"/>
      <c r="E67" s="483" t="s">
        <v>1071</v>
      </c>
      <c r="F67" s="518">
        <f>+F66*F55*24*60*60/1000</f>
        <v>306.8</v>
      </c>
      <c r="G67" s="518">
        <f t="shared" ref="G67:Q67" si="23">+G66*G55*24*60*60/1000</f>
        <v>30.742857142857179</v>
      </c>
      <c r="H67" s="518">
        <f t="shared" si="23"/>
        <v>97.978494623655919</v>
      </c>
      <c r="I67" s="518">
        <f t="shared" si="23"/>
        <v>354.56666666666661</v>
      </c>
      <c r="J67" s="518">
        <f t="shared" si="23"/>
        <v>527.57419354838703</v>
      </c>
      <c r="K67" s="518">
        <f t="shared" si="23"/>
        <v>526.16666666666663</v>
      </c>
      <c r="L67" s="518">
        <f t="shared" si="23"/>
        <v>571.56989247311833</v>
      </c>
      <c r="M67" s="518">
        <f t="shared" si="23"/>
        <v>657.36215053763442</v>
      </c>
      <c r="N67" s="518">
        <f t="shared" si="23"/>
        <v>520.5</v>
      </c>
      <c r="O67" s="518">
        <f t="shared" si="23"/>
        <v>213.59139784946234</v>
      </c>
      <c r="P67" s="518">
        <f t="shared" si="23"/>
        <v>481.40000000000003</v>
      </c>
      <c r="Q67" s="518">
        <f t="shared" si="23"/>
        <v>186.64516129032256</v>
      </c>
      <c r="R67" s="517">
        <f>SUM(F67:Q67)</f>
        <v>4474.8974807987715</v>
      </c>
    </row>
    <row r="68" spans="2:20" ht="19.899999999999999" customHeight="1" x14ac:dyDescent="0.2">
      <c r="B68" s="483" t="s">
        <v>151</v>
      </c>
      <c r="C68" s="487" t="s">
        <v>1094</v>
      </c>
      <c r="D68" s="483"/>
      <c r="E68" s="483" t="s">
        <v>149</v>
      </c>
      <c r="F68" s="518">
        <f>+F67*F53</f>
        <v>9510.8000000000011</v>
      </c>
      <c r="G68" s="518">
        <f t="shared" ref="G68:Q68" si="24">+G67*G53</f>
        <v>860.80000000000098</v>
      </c>
      <c r="H68" s="518">
        <f t="shared" si="24"/>
        <v>3037.3333333333335</v>
      </c>
      <c r="I68" s="518">
        <f t="shared" si="24"/>
        <v>10636.999999999998</v>
      </c>
      <c r="J68" s="518">
        <f t="shared" si="24"/>
        <v>16354.799999999997</v>
      </c>
      <c r="K68" s="518">
        <f t="shared" si="24"/>
        <v>15784.999999999998</v>
      </c>
      <c r="L68" s="518">
        <f t="shared" si="24"/>
        <v>17718.666666666668</v>
      </c>
      <c r="M68" s="518">
        <f t="shared" si="24"/>
        <v>20378.226666666666</v>
      </c>
      <c r="N68" s="518">
        <f t="shared" si="24"/>
        <v>15615</v>
      </c>
      <c r="O68" s="518">
        <f t="shared" si="24"/>
        <v>6621.3333333333321</v>
      </c>
      <c r="P68" s="518">
        <f t="shared" si="24"/>
        <v>14442.000000000002</v>
      </c>
      <c r="Q68" s="518">
        <f t="shared" si="24"/>
        <v>5785.9999999999991</v>
      </c>
      <c r="R68" s="517">
        <f>SUM(F68:Q68)</f>
        <v>136746.96</v>
      </c>
      <c r="S68" s="335"/>
      <c r="T68" s="335"/>
    </row>
    <row r="69" spans="2:20" x14ac:dyDescent="0.2">
      <c r="B69" s="478"/>
      <c r="C69" s="481"/>
      <c r="D69" s="478"/>
      <c r="E69" s="479"/>
      <c r="F69" s="505"/>
      <c r="G69" s="505"/>
      <c r="H69" s="505"/>
      <c r="I69" s="505"/>
      <c r="J69" s="505"/>
      <c r="K69" s="505"/>
      <c r="L69" s="505"/>
      <c r="M69" s="505"/>
      <c r="N69" s="505"/>
      <c r="O69" s="505"/>
      <c r="P69" s="505"/>
      <c r="Q69" s="505"/>
      <c r="R69" s="505"/>
      <c r="S69" s="335"/>
      <c r="T69" s="335"/>
    </row>
    <row r="70" spans="2:20" x14ac:dyDescent="0.2">
      <c r="B70" s="478"/>
      <c r="C70" s="481"/>
      <c r="D70" s="478"/>
      <c r="E70" s="479"/>
      <c r="F70" s="505"/>
      <c r="G70" s="505"/>
      <c r="H70" s="505"/>
      <c r="I70" s="505"/>
      <c r="J70" s="505"/>
      <c r="K70" s="505"/>
      <c r="L70" s="505"/>
      <c r="M70" s="505"/>
      <c r="N70" s="505"/>
      <c r="O70" s="505"/>
      <c r="P70" s="505"/>
      <c r="Q70" s="505"/>
      <c r="R70" s="505"/>
      <c r="S70" s="335"/>
      <c r="T70" s="335"/>
    </row>
    <row r="71" spans="2:20" x14ac:dyDescent="0.2">
      <c r="B71" s="478"/>
      <c r="C71" s="481"/>
      <c r="D71" s="478"/>
      <c r="E71" s="479"/>
      <c r="F71" s="505"/>
      <c r="G71" s="505"/>
      <c r="H71" s="505"/>
      <c r="I71" s="505"/>
      <c r="J71" s="505"/>
      <c r="K71" s="505"/>
      <c r="L71" s="505"/>
      <c r="M71" s="505"/>
      <c r="N71" s="505"/>
      <c r="O71" s="505"/>
      <c r="P71" s="505"/>
      <c r="Q71" s="505"/>
      <c r="R71" s="505"/>
      <c r="S71" s="335"/>
      <c r="T71" s="335"/>
    </row>
    <row r="72" spans="2:20" ht="21" x14ac:dyDescent="0.2">
      <c r="B72" s="973" t="s">
        <v>1104</v>
      </c>
      <c r="C72" s="973"/>
      <c r="D72" s="973"/>
      <c r="E72" s="973"/>
      <c r="F72" s="973"/>
      <c r="G72" s="973"/>
      <c r="H72" s="973"/>
      <c r="I72" s="973"/>
      <c r="J72" s="973"/>
      <c r="K72" s="973"/>
      <c r="L72" s="973"/>
      <c r="M72" s="973"/>
      <c r="N72" s="973"/>
      <c r="O72" s="973"/>
      <c r="P72" s="973"/>
      <c r="Q72" s="973"/>
      <c r="R72" s="973"/>
      <c r="S72" s="335"/>
      <c r="T72" s="335"/>
    </row>
    <row r="73" spans="2:20" ht="22.15" customHeight="1" x14ac:dyDescent="0.2">
      <c r="B73" s="512"/>
      <c r="C73" s="482"/>
      <c r="D73" s="482"/>
      <c r="E73" s="482"/>
      <c r="F73" s="482"/>
      <c r="G73" s="482"/>
      <c r="H73" s="482"/>
      <c r="I73" s="482"/>
      <c r="J73" s="482"/>
      <c r="K73" s="482"/>
      <c r="L73" s="482"/>
      <c r="M73" s="482"/>
      <c r="N73" s="482"/>
      <c r="O73" s="482"/>
      <c r="P73" s="482"/>
      <c r="Q73" s="482"/>
      <c r="R73" s="482"/>
    </row>
    <row r="74" spans="2:20" ht="15.6" customHeight="1" x14ac:dyDescent="0.2">
      <c r="B74" s="964" t="s">
        <v>71</v>
      </c>
      <c r="C74" s="964" t="s">
        <v>24</v>
      </c>
      <c r="D74" s="964" t="s">
        <v>101</v>
      </c>
      <c r="E74" s="964" t="s">
        <v>102</v>
      </c>
      <c r="F74" s="965" t="s">
        <v>103</v>
      </c>
      <c r="G74" s="965"/>
      <c r="H74" s="965"/>
      <c r="I74" s="965"/>
      <c r="J74" s="965"/>
      <c r="K74" s="965"/>
      <c r="L74" s="965"/>
      <c r="M74" s="965"/>
      <c r="N74" s="965"/>
      <c r="O74" s="965"/>
      <c r="P74" s="965"/>
      <c r="Q74" s="965"/>
      <c r="R74" s="964" t="s">
        <v>33</v>
      </c>
    </row>
    <row r="75" spans="2:20" ht="15.6" customHeight="1" x14ac:dyDescent="0.2">
      <c r="B75" s="964"/>
      <c r="C75" s="964"/>
      <c r="D75" s="964"/>
      <c r="E75" s="964"/>
      <c r="F75" s="477" t="s">
        <v>104</v>
      </c>
      <c r="G75" s="477" t="s">
        <v>105</v>
      </c>
      <c r="H75" s="477" t="s">
        <v>106</v>
      </c>
      <c r="I75" s="477" t="s">
        <v>107</v>
      </c>
      <c r="J75" s="477" t="s">
        <v>108</v>
      </c>
      <c r="K75" s="477" t="s">
        <v>109</v>
      </c>
      <c r="L75" s="477" t="s">
        <v>110</v>
      </c>
      <c r="M75" s="477" t="s">
        <v>111</v>
      </c>
      <c r="N75" s="477" t="s">
        <v>112</v>
      </c>
      <c r="O75" s="477" t="s">
        <v>113</v>
      </c>
      <c r="P75" s="477" t="s">
        <v>114</v>
      </c>
      <c r="Q75" s="477" t="s">
        <v>115</v>
      </c>
      <c r="R75" s="964"/>
    </row>
    <row r="76" spans="2:20" ht="18" customHeight="1" x14ac:dyDescent="0.2">
      <c r="B76" s="483" t="s">
        <v>116</v>
      </c>
      <c r="C76" s="488" t="s">
        <v>117</v>
      </c>
      <c r="D76" s="486" t="s">
        <v>118</v>
      </c>
      <c r="E76" s="486" t="s">
        <v>119</v>
      </c>
      <c r="F76" s="495">
        <f>+F45</f>
        <v>3.24</v>
      </c>
      <c r="G76" s="495">
        <f t="shared" ref="G76:Q76" si="25">+G45</f>
        <v>3.02</v>
      </c>
      <c r="H76" s="495">
        <f t="shared" si="25"/>
        <v>2.88</v>
      </c>
      <c r="I76" s="495">
        <f t="shared" si="25"/>
        <v>3.09</v>
      </c>
      <c r="J76" s="495">
        <f t="shared" si="25"/>
        <v>3.06</v>
      </c>
      <c r="K76" s="495">
        <f t="shared" si="25"/>
        <v>2.99</v>
      </c>
      <c r="L76" s="495">
        <f t="shared" si="25"/>
        <v>3.1</v>
      </c>
      <c r="M76" s="495">
        <f t="shared" si="25"/>
        <v>3.58</v>
      </c>
      <c r="N76" s="495">
        <f t="shared" si="25"/>
        <v>3.65</v>
      </c>
      <c r="O76" s="495">
        <f t="shared" si="25"/>
        <v>3.46</v>
      </c>
      <c r="P76" s="495">
        <f t="shared" si="25"/>
        <v>3.63</v>
      </c>
      <c r="Q76" s="495">
        <f t="shared" si="25"/>
        <v>3.03</v>
      </c>
      <c r="R76" s="515"/>
    </row>
    <row r="77" spans="2:20" ht="18" customHeight="1" x14ac:dyDescent="0.2">
      <c r="B77" s="483" t="s">
        <v>120</v>
      </c>
      <c r="C77" s="484" t="s">
        <v>1077</v>
      </c>
      <c r="D77" s="485" t="s">
        <v>118</v>
      </c>
      <c r="E77" s="486"/>
      <c r="F77" s="495">
        <f>+Kc!D79</f>
        <v>0.65</v>
      </c>
      <c r="G77" s="495">
        <f>+Kc!E79</f>
        <v>0.6</v>
      </c>
      <c r="H77" s="495">
        <f>+Kc!F79</f>
        <v>0.6</v>
      </c>
      <c r="I77" s="495">
        <f>+Kc!G79</f>
        <v>0.65</v>
      </c>
      <c r="J77" s="495">
        <f>+Kc!H79</f>
        <v>0.65</v>
      </c>
      <c r="K77" s="495">
        <f>+Kc!I79</f>
        <v>0.7</v>
      </c>
      <c r="L77" s="495">
        <f>+Kc!J79</f>
        <v>0.75</v>
      </c>
      <c r="M77" s="495">
        <f>+Kc!K79</f>
        <v>0.75</v>
      </c>
      <c r="N77" s="495">
        <f>+Kc!L79</f>
        <v>0.82999999999999985</v>
      </c>
      <c r="O77" s="495">
        <f>+Kc!M79</f>
        <v>0.8</v>
      </c>
      <c r="P77" s="495">
        <f>+Kc!N79</f>
        <v>0.75</v>
      </c>
      <c r="Q77" s="495">
        <f>+Kc!O79</f>
        <v>0.7</v>
      </c>
      <c r="R77" s="516"/>
    </row>
    <row r="78" spans="2:20" ht="18" customHeight="1" x14ac:dyDescent="0.2">
      <c r="B78" s="483" t="s">
        <v>121</v>
      </c>
      <c r="C78" s="488" t="s">
        <v>122</v>
      </c>
      <c r="D78" s="486" t="s">
        <v>123</v>
      </c>
      <c r="E78" s="486" t="s">
        <v>119</v>
      </c>
      <c r="F78" s="499">
        <f t="shared" ref="F78:Q78" si="26">+F76*F77</f>
        <v>2.1060000000000003</v>
      </c>
      <c r="G78" s="499">
        <f t="shared" si="26"/>
        <v>1.8119999999999998</v>
      </c>
      <c r="H78" s="499">
        <f t="shared" si="26"/>
        <v>1.728</v>
      </c>
      <c r="I78" s="499">
        <f t="shared" si="26"/>
        <v>2.0085000000000002</v>
      </c>
      <c r="J78" s="499">
        <f t="shared" si="26"/>
        <v>1.9890000000000001</v>
      </c>
      <c r="K78" s="499">
        <f t="shared" si="26"/>
        <v>2.093</v>
      </c>
      <c r="L78" s="499">
        <f t="shared" si="26"/>
        <v>2.3250000000000002</v>
      </c>
      <c r="M78" s="499">
        <f t="shared" si="26"/>
        <v>2.6850000000000001</v>
      </c>
      <c r="N78" s="499">
        <f t="shared" si="26"/>
        <v>3.0294999999999992</v>
      </c>
      <c r="O78" s="499">
        <f t="shared" si="26"/>
        <v>2.7680000000000002</v>
      </c>
      <c r="P78" s="499">
        <f t="shared" si="26"/>
        <v>2.7225000000000001</v>
      </c>
      <c r="Q78" s="499">
        <f t="shared" si="26"/>
        <v>2.1209999999999996</v>
      </c>
      <c r="R78" s="515"/>
    </row>
    <row r="79" spans="2:20" ht="18" customHeight="1" x14ac:dyDescent="0.2">
      <c r="B79" s="483" t="s">
        <v>124</v>
      </c>
      <c r="C79" s="487" t="s">
        <v>125</v>
      </c>
      <c r="D79" s="483" t="s">
        <v>118</v>
      </c>
      <c r="E79" s="483" t="s">
        <v>119</v>
      </c>
      <c r="F79" s="499">
        <f>+F13</f>
        <v>1.76</v>
      </c>
      <c r="G79" s="499">
        <f t="shared" ref="G79:Q79" si="27">+G13</f>
        <v>2.5642857142857141</v>
      </c>
      <c r="H79" s="499">
        <f t="shared" si="27"/>
        <v>2.1451612903225805</v>
      </c>
      <c r="I79" s="499">
        <f t="shared" si="27"/>
        <v>0.95666666666666667</v>
      </c>
      <c r="J79" s="499">
        <f t="shared" si="27"/>
        <v>0.11612903225806452</v>
      </c>
      <c r="K79" s="499">
        <f t="shared" si="27"/>
        <v>0.11</v>
      </c>
      <c r="L79" s="499">
        <f t="shared" si="27"/>
        <v>3.5483870967741936E-2</v>
      </c>
      <c r="M79" s="499">
        <f t="shared" si="27"/>
        <v>9.0322580645161285E-2</v>
      </c>
      <c r="N79" s="499">
        <f t="shared" si="27"/>
        <v>0.7433333333333334</v>
      </c>
      <c r="O79" s="499">
        <f t="shared" si="27"/>
        <v>1.8580645161290323</v>
      </c>
      <c r="P79" s="499">
        <f t="shared" si="27"/>
        <v>0.86</v>
      </c>
      <c r="Q79" s="499">
        <f t="shared" si="27"/>
        <v>2.096774193548387</v>
      </c>
      <c r="R79" s="498"/>
    </row>
    <row r="80" spans="2:20" ht="18" customHeight="1" x14ac:dyDescent="0.2">
      <c r="B80" s="483" t="s">
        <v>126</v>
      </c>
      <c r="C80" s="487" t="s">
        <v>127</v>
      </c>
      <c r="D80" s="483" t="s">
        <v>128</v>
      </c>
      <c r="E80" s="483" t="s">
        <v>119</v>
      </c>
      <c r="F80" s="497">
        <f>+IF((F78-F79)&lt;0,0,(F78-F79))</f>
        <v>0.34600000000000031</v>
      </c>
      <c r="G80" s="497">
        <f>+IF((G78-G79)&lt;0,0,(G78-G79))</f>
        <v>0</v>
      </c>
      <c r="H80" s="497">
        <f t="shared" ref="H80:Q80" si="28">+IF((H78-H79)&lt;0,0,(H78-H79))</f>
        <v>0</v>
      </c>
      <c r="I80" s="497">
        <f t="shared" si="28"/>
        <v>1.0518333333333336</v>
      </c>
      <c r="J80" s="497">
        <f t="shared" si="28"/>
        <v>1.8728709677419355</v>
      </c>
      <c r="K80" s="497">
        <f t="shared" si="28"/>
        <v>1.9829999999999999</v>
      </c>
      <c r="L80" s="497">
        <f t="shared" si="28"/>
        <v>2.2895161290322581</v>
      </c>
      <c r="M80" s="497">
        <f t="shared" si="28"/>
        <v>2.5946774193548388</v>
      </c>
      <c r="N80" s="497">
        <f t="shared" si="28"/>
        <v>2.2861666666666656</v>
      </c>
      <c r="O80" s="497">
        <f t="shared" si="28"/>
        <v>0.9099354838709679</v>
      </c>
      <c r="P80" s="497">
        <f t="shared" si="28"/>
        <v>1.8625000000000003</v>
      </c>
      <c r="Q80" s="497">
        <f t="shared" si="28"/>
        <v>2.4225806451612542E-2</v>
      </c>
      <c r="R80" s="498">
        <f>SUM(F80:Q80)</f>
        <v>15.220725806451613</v>
      </c>
    </row>
    <row r="81" spans="2:20" ht="18" customHeight="1" x14ac:dyDescent="0.2">
      <c r="B81" s="483" t="s">
        <v>129</v>
      </c>
      <c r="C81" s="487" t="s">
        <v>283</v>
      </c>
      <c r="D81" s="483" t="s">
        <v>118</v>
      </c>
      <c r="E81" s="483" t="s">
        <v>130</v>
      </c>
      <c r="F81" s="511">
        <v>0.9</v>
      </c>
      <c r="G81" s="500">
        <f t="shared" ref="G81:Q81" si="29">+F81</f>
        <v>0.9</v>
      </c>
      <c r="H81" s="500">
        <f t="shared" si="29"/>
        <v>0.9</v>
      </c>
      <c r="I81" s="500">
        <f t="shared" si="29"/>
        <v>0.9</v>
      </c>
      <c r="J81" s="500">
        <f t="shared" si="29"/>
        <v>0.9</v>
      </c>
      <c r="K81" s="500">
        <f t="shared" si="29"/>
        <v>0.9</v>
      </c>
      <c r="L81" s="500">
        <f t="shared" si="29"/>
        <v>0.9</v>
      </c>
      <c r="M81" s="500">
        <f t="shared" si="29"/>
        <v>0.9</v>
      </c>
      <c r="N81" s="500">
        <f t="shared" si="29"/>
        <v>0.9</v>
      </c>
      <c r="O81" s="500">
        <f t="shared" si="29"/>
        <v>0.9</v>
      </c>
      <c r="P81" s="500">
        <f t="shared" si="29"/>
        <v>0.9</v>
      </c>
      <c r="Q81" s="500">
        <f t="shared" si="29"/>
        <v>0.9</v>
      </c>
      <c r="R81" s="498"/>
    </row>
    <row r="82" spans="2:20" ht="18" customHeight="1" x14ac:dyDescent="0.2">
      <c r="B82" s="483" t="s">
        <v>131</v>
      </c>
      <c r="C82" s="974" t="s">
        <v>132</v>
      </c>
      <c r="D82" s="483" t="s">
        <v>133</v>
      </c>
      <c r="E82" s="483" t="s">
        <v>119</v>
      </c>
      <c r="F82" s="489">
        <f>+F80/F81</f>
        <v>0.38444444444444476</v>
      </c>
      <c r="G82" s="489">
        <f>+G80/G81</f>
        <v>0</v>
      </c>
      <c r="H82" s="489">
        <f t="shared" ref="H82:Q82" si="30">+H80/H81</f>
        <v>0</v>
      </c>
      <c r="I82" s="489">
        <f t="shared" si="30"/>
        <v>1.168703703703704</v>
      </c>
      <c r="J82" s="489">
        <f t="shared" si="30"/>
        <v>2.080967741935484</v>
      </c>
      <c r="K82" s="489">
        <f t="shared" si="30"/>
        <v>2.2033333333333331</v>
      </c>
      <c r="L82" s="489">
        <f t="shared" si="30"/>
        <v>2.5439068100358422</v>
      </c>
      <c r="M82" s="489">
        <f t="shared" si="30"/>
        <v>2.8829749103942652</v>
      </c>
      <c r="N82" s="489">
        <f t="shared" si="30"/>
        <v>2.5401851851851838</v>
      </c>
      <c r="O82" s="489">
        <f t="shared" si="30"/>
        <v>1.0110394265232976</v>
      </c>
      <c r="P82" s="489">
        <f t="shared" si="30"/>
        <v>2.0694444444444446</v>
      </c>
      <c r="Q82" s="489">
        <f t="shared" si="30"/>
        <v>2.6917562724013935E-2</v>
      </c>
      <c r="R82" s="494">
        <f>SUM(F82:Q82)</f>
        <v>16.91191756272401</v>
      </c>
    </row>
    <row r="83" spans="2:20" ht="18" customHeight="1" x14ac:dyDescent="0.2">
      <c r="B83" s="483" t="s">
        <v>134</v>
      </c>
      <c r="C83" s="975"/>
      <c r="D83" s="483" t="s">
        <v>135</v>
      </c>
      <c r="E83" s="483" t="s">
        <v>136</v>
      </c>
      <c r="F83" s="489">
        <f t="shared" ref="F83:Q83" si="31">+F82*10</f>
        <v>3.8444444444444477</v>
      </c>
      <c r="G83" s="489">
        <f t="shared" si="31"/>
        <v>0</v>
      </c>
      <c r="H83" s="489">
        <f t="shared" si="31"/>
        <v>0</v>
      </c>
      <c r="I83" s="489">
        <f t="shared" si="31"/>
        <v>11.68703703703704</v>
      </c>
      <c r="J83" s="489">
        <f t="shared" si="31"/>
        <v>20.809677419354841</v>
      </c>
      <c r="K83" s="489">
        <f t="shared" si="31"/>
        <v>22.033333333333331</v>
      </c>
      <c r="L83" s="489">
        <f t="shared" si="31"/>
        <v>25.439068100358423</v>
      </c>
      <c r="M83" s="489">
        <f t="shared" si="31"/>
        <v>28.829749103942653</v>
      </c>
      <c r="N83" s="489">
        <f t="shared" si="31"/>
        <v>25.401851851851838</v>
      </c>
      <c r="O83" s="489">
        <f t="shared" si="31"/>
        <v>10.110394265232976</v>
      </c>
      <c r="P83" s="489">
        <f t="shared" si="31"/>
        <v>20.694444444444446</v>
      </c>
      <c r="Q83" s="489">
        <f t="shared" si="31"/>
        <v>0.26917562724013933</v>
      </c>
      <c r="R83" s="494">
        <f>SUM(F83:Q83)</f>
        <v>169.11917562724014</v>
      </c>
    </row>
    <row r="84" spans="2:20" ht="18" customHeight="1" x14ac:dyDescent="0.2">
      <c r="B84" s="483" t="s">
        <v>137</v>
      </c>
      <c r="C84" s="487" t="s">
        <v>138</v>
      </c>
      <c r="D84" s="483" t="s">
        <v>118</v>
      </c>
      <c r="E84" s="483"/>
      <c r="F84" s="490">
        <f>+F53</f>
        <v>31</v>
      </c>
      <c r="G84" s="490">
        <f t="shared" ref="G84:Q84" si="32">+G53</f>
        <v>28</v>
      </c>
      <c r="H84" s="490">
        <f t="shared" si="32"/>
        <v>31</v>
      </c>
      <c r="I84" s="490">
        <f t="shared" si="32"/>
        <v>30</v>
      </c>
      <c r="J84" s="490">
        <f t="shared" si="32"/>
        <v>31</v>
      </c>
      <c r="K84" s="490">
        <f t="shared" si="32"/>
        <v>30</v>
      </c>
      <c r="L84" s="490">
        <f t="shared" si="32"/>
        <v>31</v>
      </c>
      <c r="M84" s="490">
        <f t="shared" si="32"/>
        <v>31</v>
      </c>
      <c r="N84" s="490">
        <f t="shared" si="32"/>
        <v>30</v>
      </c>
      <c r="O84" s="490">
        <f t="shared" si="32"/>
        <v>31</v>
      </c>
      <c r="P84" s="490">
        <f t="shared" si="32"/>
        <v>30</v>
      </c>
      <c r="Q84" s="490">
        <f t="shared" si="32"/>
        <v>31</v>
      </c>
      <c r="R84" s="494"/>
    </row>
    <row r="85" spans="2:20" ht="18" customHeight="1" x14ac:dyDescent="0.2">
      <c r="B85" s="483" t="s">
        <v>139</v>
      </c>
      <c r="C85" s="487" t="s">
        <v>140</v>
      </c>
      <c r="D85" s="483" t="s">
        <v>141</v>
      </c>
      <c r="E85" s="483" t="s">
        <v>142</v>
      </c>
      <c r="F85" s="491">
        <f t="shared" ref="F85:K85" si="33">+F83*F84</f>
        <v>119.17777777777788</v>
      </c>
      <c r="G85" s="491">
        <f t="shared" si="33"/>
        <v>0</v>
      </c>
      <c r="H85" s="491">
        <f t="shared" si="33"/>
        <v>0</v>
      </c>
      <c r="I85" s="491">
        <f t="shared" si="33"/>
        <v>350.6111111111112</v>
      </c>
      <c r="J85" s="491">
        <f t="shared" si="33"/>
        <v>645.10000000000014</v>
      </c>
      <c r="K85" s="491">
        <f t="shared" si="33"/>
        <v>661</v>
      </c>
      <c r="L85" s="491">
        <f t="shared" ref="L85:Q85" si="34">+L83*L84</f>
        <v>788.61111111111109</v>
      </c>
      <c r="M85" s="491">
        <f t="shared" si="34"/>
        <v>893.72222222222229</v>
      </c>
      <c r="N85" s="491">
        <f t="shared" si="34"/>
        <v>762.05555555555509</v>
      </c>
      <c r="O85" s="491">
        <f t="shared" si="34"/>
        <v>313.42222222222227</v>
      </c>
      <c r="P85" s="491">
        <f t="shared" si="34"/>
        <v>620.83333333333337</v>
      </c>
      <c r="Q85" s="491">
        <f t="shared" si="34"/>
        <v>8.3444444444443189</v>
      </c>
      <c r="R85" s="493">
        <f>SUM(F85:Q85)</f>
        <v>5162.8777777777768</v>
      </c>
    </row>
    <row r="86" spans="2:20" ht="18" customHeight="1" x14ac:dyDescent="0.2">
      <c r="B86" s="483" t="s">
        <v>143</v>
      </c>
      <c r="C86" s="487" t="s">
        <v>144</v>
      </c>
      <c r="D86" s="483" t="s">
        <v>118</v>
      </c>
      <c r="E86" s="483" t="s">
        <v>145</v>
      </c>
      <c r="F86" s="492">
        <f>+Kc!D67</f>
        <v>5</v>
      </c>
      <c r="G86" s="492">
        <f>+Kc!E67</f>
        <v>5</v>
      </c>
      <c r="H86" s="492">
        <f>+Kc!F67</f>
        <v>5</v>
      </c>
      <c r="I86" s="492">
        <f>+Kc!G67</f>
        <v>5</v>
      </c>
      <c r="J86" s="492">
        <f>+Kc!H67</f>
        <v>5</v>
      </c>
      <c r="K86" s="492">
        <f>+Kc!I67</f>
        <v>5</v>
      </c>
      <c r="L86" s="492">
        <f>+Kc!J67</f>
        <v>5</v>
      </c>
      <c r="M86" s="492">
        <f>+Kc!K67</f>
        <v>5</v>
      </c>
      <c r="N86" s="492">
        <f>+Kc!L67</f>
        <v>5</v>
      </c>
      <c r="O86" s="492">
        <f>+Kc!M67</f>
        <v>5</v>
      </c>
      <c r="P86" s="492">
        <f>+Kc!N67</f>
        <v>5</v>
      </c>
      <c r="Q86" s="492">
        <f>+Kc!O67</f>
        <v>5</v>
      </c>
      <c r="R86" s="494"/>
    </row>
    <row r="87" spans="2:20" ht="18" customHeight="1" x14ac:dyDescent="0.2">
      <c r="B87" s="483" t="s">
        <v>146</v>
      </c>
      <c r="C87" s="487" t="s">
        <v>147</v>
      </c>
      <c r="D87" s="483" t="s">
        <v>148</v>
      </c>
      <c r="E87" s="483" t="s">
        <v>149</v>
      </c>
      <c r="F87" s="491">
        <f t="shared" ref="F87:Q87" si="35">+F85*F86</f>
        <v>595.88888888888937</v>
      </c>
      <c r="G87" s="491">
        <f t="shared" si="35"/>
        <v>0</v>
      </c>
      <c r="H87" s="491">
        <f t="shared" si="35"/>
        <v>0</v>
      </c>
      <c r="I87" s="491">
        <f t="shared" si="35"/>
        <v>1753.0555555555561</v>
      </c>
      <c r="J87" s="491">
        <f t="shared" si="35"/>
        <v>3225.5000000000009</v>
      </c>
      <c r="K87" s="491">
        <f t="shared" si="35"/>
        <v>3305</v>
      </c>
      <c r="L87" s="491">
        <f t="shared" si="35"/>
        <v>3943.0555555555557</v>
      </c>
      <c r="M87" s="491">
        <f t="shared" si="35"/>
        <v>4468.6111111111113</v>
      </c>
      <c r="N87" s="491">
        <f t="shared" si="35"/>
        <v>3810.2777777777756</v>
      </c>
      <c r="O87" s="491">
        <f t="shared" si="35"/>
        <v>1567.1111111111113</v>
      </c>
      <c r="P87" s="491">
        <f t="shared" si="35"/>
        <v>3104.166666666667</v>
      </c>
      <c r="Q87" s="491">
        <f t="shared" si="35"/>
        <v>41.722222222221596</v>
      </c>
      <c r="R87" s="493">
        <f>SUM(F87:Q87)</f>
        <v>25814.388888888883</v>
      </c>
      <c r="S87" s="335"/>
      <c r="T87" s="335"/>
    </row>
    <row r="88" spans="2:20" ht="18" customHeight="1" x14ac:dyDescent="0.2">
      <c r="B88" s="483" t="s">
        <v>150</v>
      </c>
      <c r="C88" s="487" t="s">
        <v>1101</v>
      </c>
      <c r="D88" s="483" t="s">
        <v>1102</v>
      </c>
      <c r="E88" s="483" t="s">
        <v>1071</v>
      </c>
      <c r="F88" s="491">
        <f t="shared" ref="F88:Q88" si="36">+F87/F84</f>
        <v>19.222222222222239</v>
      </c>
      <c r="G88" s="491">
        <f t="shared" si="36"/>
        <v>0</v>
      </c>
      <c r="H88" s="491">
        <f t="shared" si="36"/>
        <v>0</v>
      </c>
      <c r="I88" s="491">
        <f t="shared" si="36"/>
        <v>58.435185185185205</v>
      </c>
      <c r="J88" s="491">
        <f t="shared" si="36"/>
        <v>104.04838709677422</v>
      </c>
      <c r="K88" s="491">
        <f t="shared" si="36"/>
        <v>110.16666666666667</v>
      </c>
      <c r="L88" s="491">
        <f t="shared" si="36"/>
        <v>127.19534050179212</v>
      </c>
      <c r="M88" s="491">
        <f t="shared" si="36"/>
        <v>144.14874551971326</v>
      </c>
      <c r="N88" s="491">
        <f t="shared" si="36"/>
        <v>127.00925925925918</v>
      </c>
      <c r="O88" s="491">
        <f t="shared" si="36"/>
        <v>50.551971326164882</v>
      </c>
      <c r="P88" s="491">
        <f t="shared" si="36"/>
        <v>103.47222222222223</v>
      </c>
      <c r="Q88" s="491">
        <f t="shared" si="36"/>
        <v>1.3458781362006966</v>
      </c>
      <c r="R88" s="493">
        <f>SUM(F88:Q88)</f>
        <v>845.59587813620067</v>
      </c>
      <c r="S88" s="335"/>
      <c r="T88" s="335"/>
    </row>
    <row r="89" spans="2:20" x14ac:dyDescent="0.2">
      <c r="B89" s="478"/>
      <c r="C89" s="505"/>
      <c r="D89" s="479"/>
      <c r="E89" s="508"/>
      <c r="F89" s="509"/>
      <c r="G89" s="509"/>
      <c r="H89" s="509"/>
      <c r="I89" s="509"/>
      <c r="J89" s="509"/>
      <c r="K89" s="509"/>
      <c r="L89" s="509"/>
      <c r="M89" s="509"/>
      <c r="N89" s="509"/>
      <c r="O89" s="509"/>
      <c r="P89" s="509"/>
      <c r="Q89" s="509"/>
      <c r="R89" s="513"/>
      <c r="S89" s="336"/>
      <c r="T89" s="335"/>
    </row>
    <row r="90" spans="2:20" x14ac:dyDescent="0.2">
      <c r="B90" s="478"/>
      <c r="C90" s="481"/>
      <c r="D90" s="478"/>
      <c r="E90" s="479"/>
      <c r="F90" s="505"/>
      <c r="G90" s="505"/>
      <c r="H90" s="505"/>
      <c r="I90" s="505"/>
      <c r="J90" s="505"/>
      <c r="K90" s="505"/>
      <c r="L90" s="505"/>
      <c r="M90" s="505"/>
      <c r="N90" s="505"/>
      <c r="O90" s="505"/>
      <c r="P90" s="505"/>
      <c r="Q90" s="505"/>
      <c r="R90" s="505"/>
      <c r="S90" s="335"/>
      <c r="T90" s="335"/>
    </row>
    <row r="91" spans="2:20" ht="14.45" customHeight="1" x14ac:dyDescent="0.2">
      <c r="B91" s="506" t="s">
        <v>1072</v>
      </c>
      <c r="C91" s="505"/>
      <c r="D91" s="479"/>
      <c r="E91" s="508"/>
      <c r="F91" s="509"/>
      <c r="G91" s="509"/>
      <c r="H91" s="509"/>
      <c r="I91" s="509"/>
      <c r="J91" s="509"/>
      <c r="K91" s="509"/>
      <c r="L91" s="509"/>
      <c r="M91" s="509"/>
      <c r="N91" s="509"/>
      <c r="O91" s="509"/>
      <c r="P91" s="509"/>
      <c r="Q91" s="509"/>
      <c r="R91" s="510"/>
      <c r="S91" s="336"/>
      <c r="T91" s="335"/>
    </row>
    <row r="92" spans="2:20" ht="14.45" customHeight="1" x14ac:dyDescent="0.2">
      <c r="B92" s="507"/>
      <c r="C92" s="505"/>
      <c r="D92" s="479"/>
      <c r="E92" s="508"/>
      <c r="F92" s="509"/>
      <c r="G92" s="509"/>
      <c r="H92" s="509"/>
      <c r="I92" s="509"/>
      <c r="J92" s="509"/>
      <c r="K92" s="509"/>
      <c r="L92" s="509"/>
      <c r="M92" s="509"/>
      <c r="N92" s="509"/>
      <c r="O92" s="509"/>
      <c r="P92" s="509"/>
      <c r="Q92" s="509"/>
      <c r="R92" s="510"/>
      <c r="S92" s="336"/>
      <c r="T92" s="335"/>
    </row>
    <row r="93" spans="2:20" ht="14.45" customHeight="1" x14ac:dyDescent="0.2">
      <c r="B93" s="506" t="s">
        <v>1073</v>
      </c>
      <c r="C93" s="505"/>
      <c r="D93" s="514">
        <f>+D62</f>
        <v>24</v>
      </c>
      <c r="E93" s="508" t="s">
        <v>1074</v>
      </c>
      <c r="F93" s="509"/>
      <c r="G93" s="509"/>
      <c r="H93" s="509"/>
      <c r="I93" s="509"/>
      <c r="J93" s="509"/>
      <c r="K93" s="509"/>
      <c r="L93" s="509"/>
      <c r="M93" s="509"/>
      <c r="N93" s="509"/>
      <c r="O93" s="509"/>
      <c r="P93" s="509"/>
      <c r="Q93" s="509"/>
      <c r="R93" s="510"/>
      <c r="S93" s="336"/>
      <c r="T93" s="335"/>
    </row>
    <row r="94" spans="2:20" ht="22.9" customHeight="1" x14ac:dyDescent="0.2">
      <c r="B94" s="976"/>
      <c r="C94" s="976"/>
      <c r="D94" s="976"/>
      <c r="E94" s="976"/>
      <c r="F94" s="976"/>
      <c r="G94" s="976"/>
      <c r="H94" s="976"/>
      <c r="I94" s="976"/>
      <c r="J94" s="976"/>
      <c r="K94" s="976"/>
      <c r="L94" s="976"/>
      <c r="M94" s="976"/>
      <c r="N94" s="976"/>
      <c r="O94" s="976"/>
      <c r="P94" s="976"/>
      <c r="Q94" s="976"/>
      <c r="R94" s="976"/>
      <c r="S94" s="337"/>
    </row>
    <row r="95" spans="2:20" ht="14.45" customHeight="1" x14ac:dyDescent="0.2">
      <c r="B95" s="964" t="s">
        <v>71</v>
      </c>
      <c r="C95" s="964" t="s">
        <v>24</v>
      </c>
      <c r="D95" s="964" t="s">
        <v>101</v>
      </c>
      <c r="E95" s="964" t="s">
        <v>102</v>
      </c>
      <c r="F95" s="965" t="s">
        <v>103</v>
      </c>
      <c r="G95" s="965"/>
      <c r="H95" s="965"/>
      <c r="I95" s="965"/>
      <c r="J95" s="965"/>
      <c r="K95" s="965"/>
      <c r="L95" s="965"/>
      <c r="M95" s="965"/>
      <c r="N95" s="965"/>
      <c r="O95" s="965"/>
      <c r="P95" s="965"/>
      <c r="Q95" s="965"/>
      <c r="R95" s="964" t="s">
        <v>33</v>
      </c>
      <c r="S95" s="337"/>
    </row>
    <row r="96" spans="2:20" ht="15.6" customHeight="1" x14ac:dyDescent="0.2">
      <c r="B96" s="964"/>
      <c r="C96" s="964"/>
      <c r="D96" s="964"/>
      <c r="E96" s="964"/>
      <c r="F96" s="477" t="s">
        <v>104</v>
      </c>
      <c r="G96" s="477" t="s">
        <v>105</v>
      </c>
      <c r="H96" s="477" t="s">
        <v>106</v>
      </c>
      <c r="I96" s="477" t="s">
        <v>107</v>
      </c>
      <c r="J96" s="477" t="s">
        <v>108</v>
      </c>
      <c r="K96" s="477" t="s">
        <v>109</v>
      </c>
      <c r="L96" s="477" t="s">
        <v>110</v>
      </c>
      <c r="M96" s="477" t="s">
        <v>111</v>
      </c>
      <c r="N96" s="477" t="s">
        <v>112</v>
      </c>
      <c r="O96" s="477" t="s">
        <v>113</v>
      </c>
      <c r="P96" s="477" t="s">
        <v>114</v>
      </c>
      <c r="Q96" s="477" t="s">
        <v>115</v>
      </c>
      <c r="R96" s="964"/>
    </row>
    <row r="97" spans="2:20" ht="19.899999999999999" customHeight="1" x14ac:dyDescent="0.2">
      <c r="B97" s="483" t="s">
        <v>150</v>
      </c>
      <c r="C97" s="487" t="s">
        <v>1075</v>
      </c>
      <c r="D97" s="483"/>
      <c r="E97" s="483" t="s">
        <v>1076</v>
      </c>
      <c r="F97" s="495">
        <f>+F82*(10000/($D$62*60*60))</f>
        <v>4.4495884773662585E-2</v>
      </c>
      <c r="G97" s="495">
        <f t="shared" ref="G97:Q97" si="37">+G82*(10000/($D$62*60*60))</f>
        <v>0</v>
      </c>
      <c r="H97" s="495">
        <f t="shared" si="37"/>
        <v>0</v>
      </c>
      <c r="I97" s="495">
        <f t="shared" si="37"/>
        <v>0.1352666323731139</v>
      </c>
      <c r="J97" s="495">
        <f t="shared" si="37"/>
        <v>0.24085274790919953</v>
      </c>
      <c r="K97" s="495">
        <f t="shared" si="37"/>
        <v>0.25501543209876543</v>
      </c>
      <c r="L97" s="495">
        <f t="shared" si="37"/>
        <v>0.2944336585689632</v>
      </c>
      <c r="M97" s="495">
        <f t="shared" si="37"/>
        <v>0.33367765166600294</v>
      </c>
      <c r="N97" s="495">
        <f t="shared" si="37"/>
        <v>0.29400291495198888</v>
      </c>
      <c r="O97" s="495">
        <f t="shared" si="37"/>
        <v>0.11701845214390018</v>
      </c>
      <c r="P97" s="495">
        <f t="shared" si="37"/>
        <v>0.23951903292181073</v>
      </c>
      <c r="Q97" s="495">
        <f t="shared" si="37"/>
        <v>3.1154586486127241E-3</v>
      </c>
      <c r="R97" s="517"/>
    </row>
    <row r="98" spans="2:20" ht="19.899999999999999" customHeight="1" x14ac:dyDescent="0.2">
      <c r="B98" s="503" t="s">
        <v>35</v>
      </c>
      <c r="C98" s="487" t="s">
        <v>1093</v>
      </c>
      <c r="D98" s="483"/>
      <c r="E98" s="483" t="s">
        <v>1071</v>
      </c>
      <c r="F98" s="518">
        <f t="shared" ref="F98:Q98" si="38">+F97*F86*24*60*60/1000</f>
        <v>19.222222222222236</v>
      </c>
      <c r="G98" s="518">
        <f t="shared" si="38"/>
        <v>0</v>
      </c>
      <c r="H98" s="518">
        <f t="shared" si="38"/>
        <v>0</v>
      </c>
      <c r="I98" s="518">
        <f t="shared" si="38"/>
        <v>58.435185185185205</v>
      </c>
      <c r="J98" s="518">
        <f t="shared" si="38"/>
        <v>104.04838709677418</v>
      </c>
      <c r="K98" s="518">
        <f t="shared" si="38"/>
        <v>110.16666666666667</v>
      </c>
      <c r="L98" s="518">
        <f t="shared" si="38"/>
        <v>127.19534050179207</v>
      </c>
      <c r="M98" s="518">
        <f t="shared" si="38"/>
        <v>144.14874551971326</v>
      </c>
      <c r="N98" s="518">
        <f t="shared" si="38"/>
        <v>127.00925925925921</v>
      </c>
      <c r="O98" s="518">
        <f t="shared" si="38"/>
        <v>50.551971326164875</v>
      </c>
      <c r="P98" s="518">
        <f t="shared" si="38"/>
        <v>103.47222222222224</v>
      </c>
      <c r="Q98" s="518">
        <f t="shared" si="38"/>
        <v>1.3458781362006969</v>
      </c>
      <c r="R98" s="517">
        <f>SUM(F98:Q98)</f>
        <v>845.59587813620067</v>
      </c>
    </row>
    <row r="99" spans="2:20" ht="19.899999999999999" customHeight="1" x14ac:dyDescent="0.2">
      <c r="B99" s="483" t="s">
        <v>151</v>
      </c>
      <c r="C99" s="487" t="s">
        <v>1094</v>
      </c>
      <c r="D99" s="483"/>
      <c r="E99" s="483" t="s">
        <v>149</v>
      </c>
      <c r="F99" s="518">
        <f t="shared" ref="F99:Q99" si="39">+F98*F84</f>
        <v>595.88888888888926</v>
      </c>
      <c r="G99" s="518">
        <f t="shared" si="39"/>
        <v>0</v>
      </c>
      <c r="H99" s="518">
        <f t="shared" si="39"/>
        <v>0</v>
      </c>
      <c r="I99" s="518">
        <f t="shared" si="39"/>
        <v>1753.0555555555561</v>
      </c>
      <c r="J99" s="518">
        <f t="shared" si="39"/>
        <v>3225.4999999999995</v>
      </c>
      <c r="K99" s="518">
        <f t="shared" si="39"/>
        <v>3305</v>
      </c>
      <c r="L99" s="518">
        <f t="shared" si="39"/>
        <v>3943.0555555555543</v>
      </c>
      <c r="M99" s="518">
        <f t="shared" si="39"/>
        <v>4468.6111111111113</v>
      </c>
      <c r="N99" s="518">
        <f t="shared" si="39"/>
        <v>3810.2777777777765</v>
      </c>
      <c r="O99" s="518">
        <f t="shared" si="39"/>
        <v>1567.1111111111111</v>
      </c>
      <c r="P99" s="518">
        <f t="shared" si="39"/>
        <v>3104.1666666666674</v>
      </c>
      <c r="Q99" s="518">
        <f t="shared" si="39"/>
        <v>41.722222222221603</v>
      </c>
      <c r="R99" s="517">
        <f>SUM(F99:Q99)</f>
        <v>25814.388888888887</v>
      </c>
      <c r="S99" s="335"/>
      <c r="T99" s="335"/>
    </row>
    <row r="100" spans="2:20" x14ac:dyDescent="0.2">
      <c r="B100" s="478"/>
      <c r="C100" s="481"/>
      <c r="D100" s="478"/>
      <c r="E100" s="478"/>
      <c r="F100" s="478"/>
      <c r="G100" s="478"/>
      <c r="H100" s="478"/>
      <c r="I100" s="478"/>
      <c r="J100" s="478"/>
      <c r="K100" s="478"/>
      <c r="L100" s="478"/>
      <c r="M100" s="478"/>
      <c r="N100" s="478"/>
      <c r="O100" s="478"/>
      <c r="P100" s="478"/>
      <c r="Q100" s="478"/>
      <c r="R100" s="478"/>
    </row>
    <row r="101" spans="2:20" x14ac:dyDescent="0.2">
      <c r="B101" s="478"/>
      <c r="C101" s="481"/>
      <c r="D101" s="478"/>
      <c r="E101" s="478"/>
      <c r="F101" s="478"/>
      <c r="G101" s="478"/>
      <c r="H101" s="478"/>
      <c r="I101" s="478"/>
      <c r="J101" s="478"/>
      <c r="K101" s="478"/>
      <c r="L101" s="478"/>
      <c r="M101" s="478"/>
      <c r="N101" s="478"/>
      <c r="O101" s="478"/>
      <c r="P101" s="478"/>
      <c r="Q101" s="478"/>
      <c r="R101" s="478"/>
    </row>
    <row r="102" spans="2:20" x14ac:dyDescent="0.2">
      <c r="B102" s="478"/>
      <c r="C102" s="481"/>
      <c r="D102" s="478"/>
      <c r="E102" s="478"/>
      <c r="F102" s="478"/>
      <c r="G102" s="478"/>
      <c r="H102" s="478"/>
      <c r="I102" s="478"/>
      <c r="J102" s="478"/>
      <c r="K102" s="478"/>
      <c r="L102" s="478"/>
      <c r="M102" s="478"/>
      <c r="N102" s="478"/>
      <c r="O102" s="478"/>
      <c r="P102" s="478"/>
      <c r="Q102" s="478"/>
      <c r="R102" s="478"/>
    </row>
    <row r="103" spans="2:20" x14ac:dyDescent="0.2">
      <c r="B103" s="478"/>
      <c r="C103" s="481"/>
      <c r="D103" s="478"/>
      <c r="E103" s="478"/>
      <c r="F103" s="478"/>
      <c r="G103" s="478"/>
      <c r="H103" s="478"/>
      <c r="I103" s="478"/>
      <c r="J103" s="478"/>
      <c r="K103" s="478"/>
      <c r="L103" s="478"/>
      <c r="M103" s="478"/>
      <c r="N103" s="478"/>
      <c r="O103" s="478"/>
      <c r="P103" s="478"/>
      <c r="Q103" s="478"/>
      <c r="R103" s="478"/>
    </row>
    <row r="104" spans="2:20" x14ac:dyDescent="0.2">
      <c r="B104" s="478"/>
      <c r="C104" s="481"/>
      <c r="D104" s="478"/>
      <c r="E104" s="478"/>
      <c r="F104" s="478"/>
      <c r="G104" s="478"/>
      <c r="H104" s="478"/>
      <c r="I104" s="478"/>
      <c r="J104" s="478"/>
      <c r="K104" s="478"/>
      <c r="L104" s="478"/>
      <c r="M104" s="478"/>
      <c r="N104" s="478"/>
      <c r="O104" s="478"/>
      <c r="P104" s="478"/>
      <c r="Q104" s="478"/>
      <c r="R104" s="478"/>
    </row>
    <row r="105" spans="2:20" x14ac:dyDescent="0.2">
      <c r="B105" s="478"/>
      <c r="C105" s="481"/>
      <c r="D105" s="478"/>
      <c r="E105" s="478"/>
      <c r="F105" s="478"/>
      <c r="G105" s="478"/>
      <c r="H105" s="478"/>
      <c r="I105" s="478"/>
      <c r="J105" s="478"/>
      <c r="K105" s="478"/>
      <c r="L105" s="478"/>
      <c r="M105" s="478"/>
      <c r="N105" s="478"/>
      <c r="O105" s="478"/>
      <c r="P105" s="478"/>
      <c r="Q105" s="478"/>
      <c r="R105" s="478"/>
    </row>
    <row r="106" spans="2:20" x14ac:dyDescent="0.2">
      <c r="B106" s="478"/>
      <c r="C106" s="481"/>
      <c r="D106" s="478"/>
      <c r="E106" s="478"/>
      <c r="F106" s="478"/>
      <c r="G106" s="478"/>
      <c r="H106" s="478"/>
      <c r="I106" s="478"/>
      <c r="J106" s="478"/>
      <c r="K106" s="478"/>
      <c r="L106" s="478"/>
      <c r="M106" s="478"/>
      <c r="N106" s="478"/>
      <c r="O106" s="478"/>
      <c r="P106" s="478"/>
      <c r="Q106" s="478"/>
      <c r="R106" s="478"/>
    </row>
  </sheetData>
  <sheetProtection algorithmName="SHA-512" hashValue="9630c3cJe/IK530E7foZAUNqNK48Jckbtvf/N1/3GgSI6ZTn8m1HsUFmRe6dRdfqi/Smy3R9StN46wg0rOPo1A==" saltValue="rcCey8liLS2IPEp7yCSyjA==" spinCount="100000" sheet="1" objects="1" scenarios="1"/>
  <mergeCells count="46">
    <mergeCell ref="X6:AI6"/>
    <mergeCell ref="C82:C83"/>
    <mergeCell ref="B94:R94"/>
    <mergeCell ref="B95:B96"/>
    <mergeCell ref="C95:C96"/>
    <mergeCell ref="D95:D96"/>
    <mergeCell ref="E95:E96"/>
    <mergeCell ref="F95:Q95"/>
    <mergeCell ref="R95:R96"/>
    <mergeCell ref="C51:C52"/>
    <mergeCell ref="B72:R72"/>
    <mergeCell ref="B74:B75"/>
    <mergeCell ref="C74:C75"/>
    <mergeCell ref="D74:D75"/>
    <mergeCell ref="E74:E75"/>
    <mergeCell ref="F74:Q74"/>
    <mergeCell ref="R74:R75"/>
    <mergeCell ref="B63:R63"/>
    <mergeCell ref="B64:B65"/>
    <mergeCell ref="C64:C65"/>
    <mergeCell ref="D64:D65"/>
    <mergeCell ref="E64:E65"/>
    <mergeCell ref="F64:Q64"/>
    <mergeCell ref="R64:R65"/>
    <mergeCell ref="B41:R41"/>
    <mergeCell ref="B43:B44"/>
    <mergeCell ref="C43:C44"/>
    <mergeCell ref="D43:D44"/>
    <mergeCell ref="E43:E44"/>
    <mergeCell ref="F43:Q43"/>
    <mergeCell ref="R43:R44"/>
    <mergeCell ref="C16:C17"/>
    <mergeCell ref="B32:R32"/>
    <mergeCell ref="B33:B34"/>
    <mergeCell ref="C33:C34"/>
    <mergeCell ref="D33:D34"/>
    <mergeCell ref="E33:E34"/>
    <mergeCell ref="F33:Q33"/>
    <mergeCell ref="R33:R34"/>
    <mergeCell ref="B6:R6"/>
    <mergeCell ref="B8:B9"/>
    <mergeCell ref="C8:C9"/>
    <mergeCell ref="D8:D9"/>
    <mergeCell ref="E8:E9"/>
    <mergeCell ref="F8:Q8"/>
    <mergeCell ref="R8:R9"/>
  </mergeCells>
  <dataValidations count="5">
    <dataValidation type="whole" allowBlank="1" showInputMessage="1" showErrorMessage="1" sqref="G18">
      <formula1>28</formula1>
      <formula2>29</formula2>
    </dataValidation>
    <dataValidation type="decimal" allowBlank="1" showInputMessage="1" showErrorMessage="1" sqref="F15 F50 F81">
      <formula1>0</formula1>
      <formula2>1</formula2>
    </dataValidation>
    <dataValidation type="decimal" allowBlank="1" showInputMessage="1" showErrorMessage="1" sqref="D31">
      <formula1>0</formula1>
      <formula2>24</formula2>
    </dataValidation>
    <dataValidation type="decimal" allowBlank="1" showInputMessage="1" showErrorMessage="1" sqref="F79:Q79 F48:Q48">
      <formula1>0</formula1>
      <formula2>10000</formula2>
    </dataValidation>
    <dataValidation type="decimal" allowBlank="1" showInputMessage="1" showErrorMessage="1" sqref="F10:Q10 F13:Q13">
      <formula1>0</formula1>
      <formula2>99999.99</formula2>
    </dataValidation>
  </dataValidations>
  <pageMargins left="0.21" right="0.19685039370078741" top="0.74803149606299213" bottom="0.74803149606299213" header="0.31496062992125984" footer="0.31496062992125984"/>
  <pageSetup paperSize="9" scale="80" orientation="landscape" r:id="rId1"/>
  <rowBreaks count="2" manualBreakCount="2">
    <brk id="39" max="18" man="1"/>
    <brk id="70" max="18" man="1"/>
  </rowBreaks>
  <ignoredErrors>
    <ignoredError sqref="F15" unlockedFormula="1"/>
    <ignoredError sqref="F20:Q20"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3:S18"/>
  <sheetViews>
    <sheetView zoomScaleNormal="100" workbookViewId="0">
      <selection activeCell="F27" sqref="F27"/>
    </sheetView>
  </sheetViews>
  <sheetFormatPr baseColWidth="10" defaultColWidth="11.5703125" defaultRowHeight="15" x14ac:dyDescent="0.2"/>
  <cols>
    <col min="1" max="1" width="2" style="88" customWidth="1"/>
    <col min="2" max="2" width="11.42578125" style="88" hidden="1" customWidth="1"/>
    <col min="3" max="3" width="4.28515625" style="87" customWidth="1"/>
    <col min="4" max="4" width="22.42578125" style="88" customWidth="1"/>
    <col min="5" max="5" width="10.42578125" style="87" customWidth="1"/>
    <col min="6" max="6" width="11.85546875" style="88" customWidth="1"/>
    <col min="7" max="18" width="9.28515625" style="88" customWidth="1"/>
    <col min="19" max="19" width="9.42578125" style="88" customWidth="1"/>
    <col min="20" max="20" width="10.7109375" style="88" customWidth="1"/>
    <col min="21" max="21" width="8.28515625" style="88" customWidth="1"/>
    <col min="22" max="22" width="11.7109375" style="88" bestFit="1" customWidth="1"/>
    <col min="23" max="16384" width="11.5703125" style="88"/>
  </cols>
  <sheetData>
    <row r="3" spans="3:19" ht="21" x14ac:dyDescent="0.2">
      <c r="D3" s="980" t="s">
        <v>1092</v>
      </c>
      <c r="E3" s="980"/>
      <c r="F3" s="980"/>
      <c r="G3" s="980"/>
      <c r="H3" s="980"/>
      <c r="I3" s="980"/>
      <c r="J3" s="980"/>
      <c r="K3" s="980"/>
      <c r="L3" s="980"/>
      <c r="M3" s="980"/>
      <c r="N3" s="980"/>
      <c r="O3" s="980"/>
      <c r="P3" s="980"/>
      <c r="Q3" s="980"/>
      <c r="R3" s="980"/>
      <c r="S3" s="980"/>
    </row>
    <row r="5" spans="3:19" ht="14.45" customHeight="1" x14ac:dyDescent="0.2">
      <c r="C5" s="964" t="s">
        <v>71</v>
      </c>
      <c r="D5" s="964" t="s">
        <v>24</v>
      </c>
      <c r="E5" s="964" t="s">
        <v>101</v>
      </c>
      <c r="F5" s="964" t="s">
        <v>102</v>
      </c>
      <c r="G5" s="981" t="s">
        <v>103</v>
      </c>
      <c r="H5" s="981"/>
      <c r="I5" s="981"/>
      <c r="J5" s="981"/>
      <c r="K5" s="981"/>
      <c r="L5" s="981"/>
      <c r="M5" s="981"/>
      <c r="N5" s="981"/>
      <c r="O5" s="981"/>
      <c r="P5" s="981"/>
      <c r="Q5" s="981"/>
      <c r="R5" s="981"/>
      <c r="S5" s="982" t="s">
        <v>33</v>
      </c>
    </row>
    <row r="6" spans="3:19" ht="14.45" customHeight="1" x14ac:dyDescent="0.2">
      <c r="C6" s="964"/>
      <c r="D6" s="964"/>
      <c r="E6" s="964"/>
      <c r="F6" s="964"/>
      <c r="G6" s="83" t="s">
        <v>104</v>
      </c>
      <c r="H6" s="83" t="s">
        <v>105</v>
      </c>
      <c r="I6" s="83" t="s">
        <v>106</v>
      </c>
      <c r="J6" s="83" t="s">
        <v>107</v>
      </c>
      <c r="K6" s="83" t="s">
        <v>108</v>
      </c>
      <c r="L6" s="83" t="s">
        <v>109</v>
      </c>
      <c r="M6" s="83" t="s">
        <v>110</v>
      </c>
      <c r="N6" s="83" t="s">
        <v>111</v>
      </c>
      <c r="O6" s="83" t="s">
        <v>112</v>
      </c>
      <c r="P6" s="83" t="s">
        <v>113</v>
      </c>
      <c r="Q6" s="83" t="s">
        <v>114</v>
      </c>
      <c r="R6" s="83" t="s">
        <v>115</v>
      </c>
      <c r="S6" s="982"/>
    </row>
    <row r="7" spans="3:19" ht="18" customHeight="1" x14ac:dyDescent="0.2">
      <c r="C7" s="603" t="s">
        <v>116</v>
      </c>
      <c r="D7" s="978" t="s">
        <v>153</v>
      </c>
      <c r="E7" s="598" t="s">
        <v>118</v>
      </c>
      <c r="F7" s="604" t="s">
        <v>154</v>
      </c>
      <c r="G7" s="646">
        <v>15</v>
      </c>
      <c r="H7" s="646">
        <v>15</v>
      </c>
      <c r="I7" s="646">
        <v>15</v>
      </c>
      <c r="J7" s="646">
        <v>15</v>
      </c>
      <c r="K7" s="646">
        <v>15</v>
      </c>
      <c r="L7" s="646">
        <v>15</v>
      </c>
      <c r="M7" s="646">
        <v>15</v>
      </c>
      <c r="N7" s="646">
        <v>15</v>
      </c>
      <c r="O7" s="646">
        <v>15</v>
      </c>
      <c r="P7" s="646">
        <v>15</v>
      </c>
      <c r="Q7" s="646">
        <v>15</v>
      </c>
      <c r="R7" s="646">
        <v>15</v>
      </c>
      <c r="S7" s="599"/>
    </row>
    <row r="8" spans="3:19" ht="18" customHeight="1" x14ac:dyDescent="0.2">
      <c r="C8" s="603" t="s">
        <v>120</v>
      </c>
      <c r="D8" s="978"/>
      <c r="E8" s="598" t="s">
        <v>118</v>
      </c>
      <c r="F8" s="604" t="s">
        <v>155</v>
      </c>
      <c r="G8" s="597">
        <f>+G7*3.6</f>
        <v>54</v>
      </c>
      <c r="H8" s="597">
        <f t="shared" ref="H8:R8" si="0">+H7*3.6</f>
        <v>54</v>
      </c>
      <c r="I8" s="597">
        <f t="shared" si="0"/>
        <v>54</v>
      </c>
      <c r="J8" s="597">
        <f t="shared" si="0"/>
        <v>54</v>
      </c>
      <c r="K8" s="597">
        <f t="shared" si="0"/>
        <v>54</v>
      </c>
      <c r="L8" s="597">
        <f t="shared" si="0"/>
        <v>54</v>
      </c>
      <c r="M8" s="597">
        <f t="shared" si="0"/>
        <v>54</v>
      </c>
      <c r="N8" s="597">
        <f t="shared" si="0"/>
        <v>54</v>
      </c>
      <c r="O8" s="597">
        <f t="shared" si="0"/>
        <v>54</v>
      </c>
      <c r="P8" s="597">
        <f t="shared" si="0"/>
        <v>54</v>
      </c>
      <c r="Q8" s="597">
        <f t="shared" si="0"/>
        <v>54</v>
      </c>
      <c r="R8" s="597">
        <f t="shared" si="0"/>
        <v>54</v>
      </c>
      <c r="S8" s="600"/>
    </row>
    <row r="9" spans="3:19" ht="40.5" customHeight="1" x14ac:dyDescent="0.2">
      <c r="C9" s="603" t="s">
        <v>121</v>
      </c>
      <c r="D9" s="605" t="s">
        <v>156</v>
      </c>
      <c r="E9" s="598" t="s">
        <v>118</v>
      </c>
      <c r="F9" s="606" t="s">
        <v>157</v>
      </c>
      <c r="G9" s="645">
        <v>6</v>
      </c>
      <c r="H9" s="645">
        <v>6</v>
      </c>
      <c r="I9" s="645">
        <v>6</v>
      </c>
      <c r="J9" s="645">
        <v>4</v>
      </c>
      <c r="K9" s="645">
        <v>4</v>
      </c>
      <c r="L9" s="645">
        <v>4</v>
      </c>
      <c r="M9" s="645">
        <v>4</v>
      </c>
      <c r="N9" s="645">
        <v>4</v>
      </c>
      <c r="O9" s="645">
        <v>4</v>
      </c>
      <c r="P9" s="645">
        <v>4</v>
      </c>
      <c r="Q9" s="645">
        <v>6</v>
      </c>
      <c r="R9" s="645">
        <v>6</v>
      </c>
      <c r="S9" s="598"/>
    </row>
    <row r="10" spans="3:19" ht="27.75" customHeight="1" x14ac:dyDescent="0.2">
      <c r="C10" s="603" t="s">
        <v>124</v>
      </c>
      <c r="D10" s="607" t="s">
        <v>144</v>
      </c>
      <c r="E10" s="598" t="s">
        <v>118</v>
      </c>
      <c r="F10" s="598" t="s">
        <v>145</v>
      </c>
      <c r="G10" s="648">
        <v>20</v>
      </c>
      <c r="H10" s="648">
        <v>20</v>
      </c>
      <c r="I10" s="648">
        <v>20</v>
      </c>
      <c r="J10" s="648">
        <v>20</v>
      </c>
      <c r="K10" s="648">
        <v>20</v>
      </c>
      <c r="L10" s="648">
        <v>20</v>
      </c>
      <c r="M10" s="648">
        <v>20</v>
      </c>
      <c r="N10" s="648">
        <v>20</v>
      </c>
      <c r="O10" s="648">
        <v>20</v>
      </c>
      <c r="P10" s="648">
        <v>20</v>
      </c>
      <c r="Q10" s="648">
        <v>20</v>
      </c>
      <c r="R10" s="648">
        <v>20</v>
      </c>
      <c r="S10" s="598"/>
    </row>
    <row r="11" spans="3:19" ht="30.75" customHeight="1" x14ac:dyDescent="0.2">
      <c r="C11" s="603" t="s">
        <v>126</v>
      </c>
      <c r="D11" s="608" t="s">
        <v>158</v>
      </c>
      <c r="E11" s="609" t="s">
        <v>159</v>
      </c>
      <c r="F11" s="598" t="s">
        <v>160</v>
      </c>
      <c r="G11" s="598">
        <f>+G9*G10</f>
        <v>120</v>
      </c>
      <c r="H11" s="598">
        <f t="shared" ref="H11:R11" si="1">+H9*H10</f>
        <v>120</v>
      </c>
      <c r="I11" s="598">
        <f t="shared" si="1"/>
        <v>120</v>
      </c>
      <c r="J11" s="598">
        <f t="shared" si="1"/>
        <v>80</v>
      </c>
      <c r="K11" s="598">
        <f t="shared" si="1"/>
        <v>80</v>
      </c>
      <c r="L11" s="598">
        <f t="shared" si="1"/>
        <v>80</v>
      </c>
      <c r="M11" s="598">
        <f t="shared" si="1"/>
        <v>80</v>
      </c>
      <c r="N11" s="598">
        <f t="shared" si="1"/>
        <v>80</v>
      </c>
      <c r="O11" s="598">
        <f t="shared" si="1"/>
        <v>80</v>
      </c>
      <c r="P11" s="598">
        <f t="shared" si="1"/>
        <v>80</v>
      </c>
      <c r="Q11" s="598">
        <f t="shared" si="1"/>
        <v>120</v>
      </c>
      <c r="R11" s="598">
        <f t="shared" si="1"/>
        <v>120</v>
      </c>
      <c r="S11" s="598"/>
    </row>
    <row r="12" spans="3:19" ht="25.5" customHeight="1" x14ac:dyDescent="0.2">
      <c r="C12" s="603" t="s">
        <v>129</v>
      </c>
      <c r="D12" s="610" t="s">
        <v>138</v>
      </c>
      <c r="E12" s="598" t="s">
        <v>118</v>
      </c>
      <c r="F12" s="598" t="s">
        <v>161</v>
      </c>
      <c r="G12" s="601">
        <v>31</v>
      </c>
      <c r="H12" s="601">
        <v>28</v>
      </c>
      <c r="I12" s="601">
        <v>31</v>
      </c>
      <c r="J12" s="601">
        <v>30</v>
      </c>
      <c r="K12" s="601">
        <v>31</v>
      </c>
      <c r="L12" s="601">
        <v>30</v>
      </c>
      <c r="M12" s="601">
        <v>31</v>
      </c>
      <c r="N12" s="601">
        <v>31</v>
      </c>
      <c r="O12" s="601">
        <v>30</v>
      </c>
      <c r="P12" s="601">
        <v>31</v>
      </c>
      <c r="Q12" s="601">
        <v>30</v>
      </c>
      <c r="R12" s="601">
        <v>31</v>
      </c>
      <c r="S12" s="602"/>
    </row>
    <row r="13" spans="3:19" ht="51.75" customHeight="1" x14ac:dyDescent="0.2">
      <c r="C13" s="603" t="s">
        <v>131</v>
      </c>
      <c r="D13" s="608" t="s">
        <v>162</v>
      </c>
      <c r="E13" s="609" t="s">
        <v>118</v>
      </c>
      <c r="F13" s="598" t="s">
        <v>161</v>
      </c>
      <c r="G13" s="647">
        <v>5</v>
      </c>
      <c r="H13" s="647">
        <v>5</v>
      </c>
      <c r="I13" s="647">
        <v>5</v>
      </c>
      <c r="J13" s="647">
        <v>5</v>
      </c>
      <c r="K13" s="647">
        <v>5</v>
      </c>
      <c r="L13" s="647">
        <v>5</v>
      </c>
      <c r="M13" s="647">
        <v>5</v>
      </c>
      <c r="N13" s="647">
        <v>5</v>
      </c>
      <c r="O13" s="647">
        <v>5</v>
      </c>
      <c r="P13" s="647">
        <v>5</v>
      </c>
      <c r="Q13" s="647">
        <v>5</v>
      </c>
      <c r="R13" s="647">
        <v>5</v>
      </c>
      <c r="S13" s="602"/>
    </row>
    <row r="14" spans="3:19" ht="18" customHeight="1" x14ac:dyDescent="0.2">
      <c r="C14" s="603" t="s">
        <v>134</v>
      </c>
      <c r="D14" s="607" t="s">
        <v>163</v>
      </c>
      <c r="E14" s="611" t="s">
        <v>164</v>
      </c>
      <c r="F14" s="598" t="s">
        <v>71</v>
      </c>
      <c r="G14" s="647">
        <v>6</v>
      </c>
      <c r="H14" s="647">
        <v>6</v>
      </c>
      <c r="I14" s="647">
        <v>6</v>
      </c>
      <c r="J14" s="647">
        <v>6</v>
      </c>
      <c r="K14" s="647">
        <v>6</v>
      </c>
      <c r="L14" s="647">
        <v>6</v>
      </c>
      <c r="M14" s="647">
        <v>6</v>
      </c>
      <c r="N14" s="647">
        <v>6</v>
      </c>
      <c r="O14" s="647">
        <v>6</v>
      </c>
      <c r="P14" s="647">
        <v>6</v>
      </c>
      <c r="Q14" s="647">
        <v>6</v>
      </c>
      <c r="R14" s="647">
        <v>6</v>
      </c>
      <c r="S14" s="602">
        <f>SUM(G14:R14)</f>
        <v>72</v>
      </c>
    </row>
    <row r="15" spans="3:19" ht="18" customHeight="1" x14ac:dyDescent="0.2">
      <c r="C15" s="452" t="s">
        <v>137</v>
      </c>
      <c r="D15" s="979" t="s">
        <v>165</v>
      </c>
      <c r="E15" s="450" t="s">
        <v>166</v>
      </c>
      <c r="F15" s="451" t="s">
        <v>99</v>
      </c>
      <c r="G15" s="446">
        <f>+G8*G11*G14</f>
        <v>38880</v>
      </c>
      <c r="H15" s="446">
        <f t="shared" ref="H15:R15" si="2">+H8*H11*H14</f>
        <v>38880</v>
      </c>
      <c r="I15" s="446">
        <f t="shared" si="2"/>
        <v>38880</v>
      </c>
      <c r="J15" s="446">
        <f t="shared" si="2"/>
        <v>25920</v>
      </c>
      <c r="K15" s="446">
        <f t="shared" si="2"/>
        <v>25920</v>
      </c>
      <c r="L15" s="446">
        <f t="shared" si="2"/>
        <v>25920</v>
      </c>
      <c r="M15" s="446">
        <f t="shared" si="2"/>
        <v>25920</v>
      </c>
      <c r="N15" s="446">
        <f t="shared" si="2"/>
        <v>25920</v>
      </c>
      <c r="O15" s="446">
        <f t="shared" si="2"/>
        <v>25920</v>
      </c>
      <c r="P15" s="446">
        <f t="shared" si="2"/>
        <v>25920</v>
      </c>
      <c r="Q15" s="446">
        <f t="shared" si="2"/>
        <v>38880</v>
      </c>
      <c r="R15" s="446">
        <f t="shared" si="2"/>
        <v>38880</v>
      </c>
      <c r="S15" s="447">
        <f>SUM(G15:R15)</f>
        <v>375840</v>
      </c>
    </row>
    <row r="16" spans="3:19" ht="18" customHeight="1" x14ac:dyDescent="0.2">
      <c r="C16" s="452" t="s">
        <v>139</v>
      </c>
      <c r="D16" s="979"/>
      <c r="E16" s="450" t="s">
        <v>167</v>
      </c>
      <c r="F16" s="451" t="s">
        <v>142</v>
      </c>
      <c r="G16" s="446">
        <f>+G15/G10</f>
        <v>1944</v>
      </c>
      <c r="H16" s="446">
        <f t="shared" ref="H16:R16" si="3">+H15/H10</f>
        <v>1944</v>
      </c>
      <c r="I16" s="446">
        <f t="shared" si="3"/>
        <v>1944</v>
      </c>
      <c r="J16" s="446">
        <f t="shared" si="3"/>
        <v>1296</v>
      </c>
      <c r="K16" s="446">
        <f t="shared" si="3"/>
        <v>1296</v>
      </c>
      <c r="L16" s="446">
        <f t="shared" si="3"/>
        <v>1296</v>
      </c>
      <c r="M16" s="446">
        <f t="shared" si="3"/>
        <v>1296</v>
      </c>
      <c r="N16" s="446">
        <f t="shared" si="3"/>
        <v>1296</v>
      </c>
      <c r="O16" s="446">
        <f t="shared" si="3"/>
        <v>1296</v>
      </c>
      <c r="P16" s="446">
        <f t="shared" si="3"/>
        <v>1296</v>
      </c>
      <c r="Q16" s="446">
        <f t="shared" si="3"/>
        <v>1944</v>
      </c>
      <c r="R16" s="446">
        <f t="shared" si="3"/>
        <v>1944</v>
      </c>
      <c r="S16" s="447">
        <f>SUM(G16:R16)</f>
        <v>18792</v>
      </c>
    </row>
    <row r="17" spans="3:19" ht="18" customHeight="1" x14ac:dyDescent="0.2">
      <c r="C17" s="452" t="s">
        <v>143</v>
      </c>
      <c r="D17" s="979"/>
      <c r="E17" s="450" t="s">
        <v>168</v>
      </c>
      <c r="F17" s="452" t="s">
        <v>152</v>
      </c>
      <c r="G17" s="448">
        <f t="shared" ref="G17:R17" si="4">+G16/G12</f>
        <v>62.70967741935484</v>
      </c>
      <c r="H17" s="448">
        <f t="shared" si="4"/>
        <v>69.428571428571431</v>
      </c>
      <c r="I17" s="448">
        <f t="shared" si="4"/>
        <v>62.70967741935484</v>
      </c>
      <c r="J17" s="448">
        <f t="shared" si="4"/>
        <v>43.2</v>
      </c>
      <c r="K17" s="448">
        <f t="shared" si="4"/>
        <v>41.806451612903224</v>
      </c>
      <c r="L17" s="448">
        <f t="shared" si="4"/>
        <v>43.2</v>
      </c>
      <c r="M17" s="448">
        <f t="shared" si="4"/>
        <v>41.806451612903224</v>
      </c>
      <c r="N17" s="448">
        <f t="shared" si="4"/>
        <v>41.806451612903224</v>
      </c>
      <c r="O17" s="448">
        <f t="shared" si="4"/>
        <v>43.2</v>
      </c>
      <c r="P17" s="448">
        <f t="shared" si="4"/>
        <v>41.806451612903224</v>
      </c>
      <c r="Q17" s="448">
        <f t="shared" si="4"/>
        <v>64.8</v>
      </c>
      <c r="R17" s="448">
        <f t="shared" si="4"/>
        <v>62.70967741935484</v>
      </c>
      <c r="S17" s="449">
        <f>SUM(G17:R17)</f>
        <v>619.18341013824886</v>
      </c>
    </row>
    <row r="18" spans="3:19" x14ac:dyDescent="0.2">
      <c r="J18" s="87"/>
    </row>
  </sheetData>
  <sheetProtection algorithmName="SHA-512" hashValue="0GmfkFd8x4VJywcssyCvXKuRJKWp7atPSiJnt5Oec8jRIQ6KoSCfoXLsgtSSEvMbQM1c/5ozxSyrnf5s+wFC8w==" saltValue="9aR+ztIvTyYiDQLcBtz8kg==" spinCount="100000" sheet="1" objects="1" scenarios="1"/>
  <mergeCells count="9">
    <mergeCell ref="D7:D8"/>
    <mergeCell ref="D15:D17"/>
    <mergeCell ref="D3:S3"/>
    <mergeCell ref="C5:C6"/>
    <mergeCell ref="D5:D6"/>
    <mergeCell ref="E5:E6"/>
    <mergeCell ref="F5:F6"/>
    <mergeCell ref="G5:R5"/>
    <mergeCell ref="S5:S6"/>
  </mergeCells>
  <dataValidations count="3">
    <dataValidation type="whole" allowBlank="1" showInputMessage="1" showErrorMessage="1" sqref="G12:R12">
      <formula1>27</formula1>
      <formula2>31</formula2>
    </dataValidation>
    <dataValidation type="decimal" operator="lessThanOrEqual" allowBlank="1" showInputMessage="1" showErrorMessage="1" sqref="G7:R7 G9:R9 G10:R10">
      <formula1>100000</formula1>
    </dataValidation>
    <dataValidation type="whole" operator="lessThanOrEqual" allowBlank="1" showInputMessage="1" showErrorMessage="1" sqref="G13:R14">
      <formula1>1000</formula1>
    </dataValidation>
  </dataValidations>
  <pageMargins left="0.21" right="0.21" top="0.74803149606299213" bottom="0.74803149606299213" header="0.31496062992125984" footer="0.31496062992125984"/>
  <pageSetup paperSize="9" scale="85"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Y361"/>
  <sheetViews>
    <sheetView tabSelected="1" topLeftCell="A4" zoomScale="87" zoomScaleNormal="87" zoomScaleSheetLayoutView="130" workbookViewId="0">
      <selection activeCell="G14" sqref="G14:J14"/>
    </sheetView>
  </sheetViews>
  <sheetFormatPr baseColWidth="10" defaultRowHeight="12.75" x14ac:dyDescent="0.2"/>
  <cols>
    <col min="1" max="1" width="8" style="375" customWidth="1"/>
    <col min="2" max="4" width="18.7109375" customWidth="1"/>
    <col min="5" max="5" width="18.28515625" customWidth="1"/>
    <col min="6" max="7" width="15.42578125" customWidth="1"/>
    <col min="8" max="8" width="14.85546875" customWidth="1"/>
    <col min="9" max="9" width="11.42578125" customWidth="1"/>
    <col min="11" max="25" width="11.42578125" style="375"/>
  </cols>
  <sheetData>
    <row r="1" spans="1:25" s="375" customFormat="1" x14ac:dyDescent="0.2"/>
    <row r="2" spans="1:25" s="35" customFormat="1" ht="23.25" customHeight="1" x14ac:dyDescent="0.2">
      <c r="B2" s="1131" t="s">
        <v>1330</v>
      </c>
      <c r="C2" s="1132"/>
      <c r="D2" s="1132"/>
      <c r="E2" s="1132"/>
      <c r="F2" s="1132"/>
      <c r="G2" s="1132"/>
      <c r="H2" s="1132"/>
      <c r="I2" s="1132"/>
      <c r="J2" s="1133"/>
      <c r="L2" s="114"/>
      <c r="M2" s="114"/>
      <c r="N2" s="114"/>
    </row>
    <row r="3" spans="1:25" s="35" customFormat="1" ht="23.25" customHeight="1" x14ac:dyDescent="0.2">
      <c r="B3" s="1134" t="s">
        <v>1484</v>
      </c>
      <c r="C3" s="1135"/>
      <c r="D3" s="1135"/>
      <c r="E3" s="1135"/>
      <c r="F3" s="1135"/>
      <c r="G3" s="1135"/>
      <c r="H3" s="1135"/>
      <c r="I3" s="1135"/>
      <c r="J3" s="1136"/>
      <c r="L3" s="114"/>
      <c r="M3" s="114"/>
      <c r="N3" s="114"/>
    </row>
    <row r="4" spans="1:25" s="35" customFormat="1" ht="19.5" customHeight="1" x14ac:dyDescent="0.2">
      <c r="B4" s="999" t="s">
        <v>1328</v>
      </c>
      <c r="C4" s="1000"/>
      <c r="D4" s="1000"/>
      <c r="E4" s="1000"/>
      <c r="F4" s="1000"/>
      <c r="G4" s="1000"/>
      <c r="H4" s="1000"/>
      <c r="I4" s="1000"/>
      <c r="J4" s="1001"/>
      <c r="L4" s="114"/>
      <c r="M4" s="114"/>
      <c r="N4" s="114"/>
    </row>
    <row r="5" spans="1:25" s="35" customFormat="1" ht="19.5" customHeight="1" x14ac:dyDescent="0.2">
      <c r="B5" s="999" t="s">
        <v>1485</v>
      </c>
      <c r="C5" s="1000"/>
      <c r="D5" s="1000"/>
      <c r="E5" s="1000"/>
      <c r="F5" s="1000"/>
      <c r="G5" s="1000"/>
      <c r="H5" s="1000"/>
      <c r="I5" s="1000"/>
      <c r="J5" s="1001"/>
      <c r="L5" s="114"/>
      <c r="M5" s="114"/>
      <c r="N5" s="114"/>
    </row>
    <row r="6" spans="1:25" s="35" customFormat="1" ht="19.5" customHeight="1" x14ac:dyDescent="0.2">
      <c r="B6" s="990" t="s">
        <v>215</v>
      </c>
      <c r="C6" s="991"/>
      <c r="D6" s="991"/>
      <c r="E6" s="991"/>
      <c r="F6" s="991"/>
      <c r="G6" s="991"/>
      <c r="H6" s="991"/>
      <c r="I6" s="991"/>
      <c r="J6" s="992"/>
      <c r="L6" s="114"/>
      <c r="M6" s="114"/>
      <c r="N6" s="114"/>
    </row>
    <row r="7" spans="1:25" s="35" customFormat="1" ht="20.25" customHeight="1" x14ac:dyDescent="0.2">
      <c r="B7" s="429"/>
      <c r="C7" s="36"/>
      <c r="D7" s="36"/>
      <c r="E7" s="36"/>
      <c r="F7" s="36"/>
      <c r="G7" s="36"/>
      <c r="H7" s="36"/>
      <c r="I7" s="36"/>
      <c r="J7" s="36"/>
      <c r="L7" s="114"/>
      <c r="M7" s="114"/>
      <c r="N7" s="114"/>
    </row>
    <row r="8" spans="1:25" s="4" customFormat="1" ht="18.75" customHeight="1" x14ac:dyDescent="0.2">
      <c r="A8" s="35"/>
      <c r="B8" s="26" t="s">
        <v>1262</v>
      </c>
      <c r="C8" s="27"/>
      <c r="D8" s="27"/>
      <c r="E8" s="27"/>
      <c r="F8" s="27"/>
      <c r="G8" s="27"/>
      <c r="H8" s="27"/>
      <c r="I8" s="27"/>
      <c r="J8" s="27"/>
      <c r="K8" s="35"/>
      <c r="L8" s="114"/>
      <c r="M8" s="114"/>
      <c r="N8" s="114"/>
      <c r="O8" s="35"/>
      <c r="P8" s="35"/>
      <c r="Q8" s="35"/>
      <c r="R8" s="35"/>
      <c r="S8" s="35"/>
      <c r="T8" s="35"/>
      <c r="U8" s="35"/>
      <c r="V8" s="35"/>
      <c r="W8" s="35"/>
      <c r="X8" s="35"/>
      <c r="Y8" s="35"/>
    </row>
    <row r="9" spans="1:25" s="375" customFormat="1" x14ac:dyDescent="0.2"/>
    <row r="10" spans="1:25" s="35" customFormat="1" ht="17.25" customHeight="1" x14ac:dyDescent="0.2">
      <c r="B10" s="45" t="s">
        <v>1427</v>
      </c>
      <c r="C10" s="374"/>
      <c r="D10" s="374"/>
      <c r="G10" s="664">
        <v>28021979</v>
      </c>
      <c r="H10" s="374"/>
      <c r="I10" s="374"/>
      <c r="J10" s="374"/>
      <c r="L10" s="114"/>
      <c r="M10" s="114"/>
      <c r="N10" s="114"/>
    </row>
    <row r="11" spans="1:25" s="35" customFormat="1" ht="17.25" customHeight="1" x14ac:dyDescent="0.2">
      <c r="B11" s="45"/>
      <c r="C11" s="374"/>
      <c r="D11" s="374"/>
      <c r="G11" s="435"/>
      <c r="H11" s="374"/>
      <c r="I11" s="374"/>
      <c r="J11" s="374"/>
      <c r="L11" s="114"/>
      <c r="M11" s="114"/>
      <c r="N11" s="114"/>
    </row>
    <row r="12" spans="1:25" s="35" customFormat="1" ht="17.25" customHeight="1" x14ac:dyDescent="0.2">
      <c r="B12" s="45" t="s">
        <v>1426</v>
      </c>
      <c r="C12" s="374"/>
      <c r="D12" s="374"/>
      <c r="G12" s="439"/>
      <c r="H12" s="374"/>
      <c r="I12" s="374"/>
      <c r="J12" s="374"/>
      <c r="L12" s="114"/>
      <c r="M12" s="114"/>
      <c r="N12" s="114"/>
    </row>
    <row r="13" spans="1:25" s="35" customFormat="1" ht="12" customHeight="1" x14ac:dyDescent="0.2">
      <c r="B13" s="45"/>
      <c r="C13" s="374"/>
      <c r="D13" s="374"/>
      <c r="G13" s="439"/>
      <c r="H13" s="374"/>
      <c r="I13" s="374"/>
      <c r="J13" s="374"/>
      <c r="L13" s="114"/>
      <c r="M13" s="114"/>
      <c r="N13" s="114"/>
    </row>
    <row r="14" spans="1:25" s="35" customFormat="1" ht="16.5" customHeight="1" x14ac:dyDescent="0.2">
      <c r="B14" s="45" t="s">
        <v>1367</v>
      </c>
      <c r="C14" s="374"/>
      <c r="D14" s="374"/>
      <c r="G14" s="1003" t="s">
        <v>1361</v>
      </c>
      <c r="H14" s="1004"/>
      <c r="I14" s="1004"/>
      <c r="J14" s="1005"/>
      <c r="L14" s="114"/>
      <c r="M14" s="114"/>
      <c r="N14" s="114"/>
    </row>
    <row r="15" spans="1:25" s="35" customFormat="1" ht="16.5" customHeight="1" x14ac:dyDescent="0.2">
      <c r="B15" s="45"/>
      <c r="C15" s="374"/>
      <c r="D15" s="374"/>
      <c r="G15" s="465"/>
      <c r="H15" s="596"/>
      <c r="I15" s="596"/>
      <c r="J15" s="596"/>
      <c r="L15" s="114"/>
      <c r="M15" s="114"/>
      <c r="N15" s="114"/>
    </row>
    <row r="16" spans="1:25" s="35" customFormat="1" ht="16.5" customHeight="1" x14ac:dyDescent="0.2">
      <c r="B16" s="45" t="s">
        <v>1368</v>
      </c>
      <c r="C16" s="374"/>
      <c r="D16" s="374"/>
      <c r="E16" s="442"/>
      <c r="F16" s="442"/>
      <c r="G16" s="1003" t="s">
        <v>1362</v>
      </c>
      <c r="H16" s="1004"/>
      <c r="I16" s="1004"/>
      <c r="J16" s="1005"/>
      <c r="L16" s="114"/>
      <c r="M16" s="114"/>
      <c r="N16" s="114"/>
    </row>
    <row r="17" spans="2:14" s="35" customFormat="1" ht="16.5" customHeight="1" x14ac:dyDescent="0.2">
      <c r="B17" s="45"/>
      <c r="C17" s="374"/>
      <c r="D17" s="374"/>
      <c r="E17" s="442"/>
      <c r="F17" s="442"/>
      <c r="G17" s="442"/>
      <c r="H17" s="374"/>
      <c r="I17" s="374"/>
      <c r="J17" s="374"/>
      <c r="L17" s="114"/>
      <c r="M17" s="114"/>
      <c r="N17" s="114"/>
    </row>
    <row r="18" spans="2:14" s="35" customFormat="1" ht="16.5" customHeight="1" x14ac:dyDescent="0.2">
      <c r="B18" s="45" t="s">
        <v>1369</v>
      </c>
      <c r="G18" s="665">
        <v>20</v>
      </c>
      <c r="H18" s="35" t="s">
        <v>1428</v>
      </c>
      <c r="L18" s="114"/>
      <c r="M18" s="114"/>
      <c r="N18" s="114"/>
    </row>
    <row r="19" spans="2:14" s="35" customFormat="1" ht="13.5" customHeight="1" x14ac:dyDescent="0.2">
      <c r="C19" s="374"/>
      <c r="D19" s="374"/>
      <c r="E19" s="423"/>
      <c r="F19" s="423"/>
      <c r="G19" s="374"/>
      <c r="H19" s="374"/>
      <c r="I19" s="374"/>
      <c r="J19" s="374"/>
      <c r="L19" s="114"/>
      <c r="M19" s="114"/>
      <c r="N19" s="114"/>
    </row>
    <row r="20" spans="2:14" s="35" customFormat="1" ht="18.600000000000001" customHeight="1" x14ac:dyDescent="0.2">
      <c r="B20" s="45" t="s">
        <v>192</v>
      </c>
      <c r="C20" s="374"/>
      <c r="L20" s="114"/>
      <c r="M20" s="114"/>
      <c r="N20" s="114"/>
    </row>
    <row r="21" spans="2:14" s="35" customFormat="1" ht="18.600000000000001" customHeight="1" x14ac:dyDescent="0.2">
      <c r="B21" s="45"/>
      <c r="C21" s="374"/>
      <c r="L21" s="114"/>
      <c r="M21" s="114"/>
      <c r="N21" s="114"/>
    </row>
    <row r="22" spans="2:14" s="375" customFormat="1" ht="17.25" customHeight="1" x14ac:dyDescent="0.2">
      <c r="B22" s="856" t="s">
        <v>1331</v>
      </c>
      <c r="C22" s="858"/>
      <c r="D22" s="858"/>
      <c r="E22" s="856" t="s">
        <v>1332</v>
      </c>
      <c r="F22" s="857"/>
      <c r="G22" s="858" t="s">
        <v>1333</v>
      </c>
      <c r="H22" s="858"/>
      <c r="I22" s="858"/>
      <c r="J22" s="857"/>
    </row>
    <row r="23" spans="2:14" s="375" customFormat="1" ht="42.75" customHeight="1" x14ac:dyDescent="0.2">
      <c r="B23" s="1002" t="s">
        <v>1336</v>
      </c>
      <c r="C23" s="1002"/>
      <c r="D23" s="984"/>
      <c r="E23" s="984" t="s">
        <v>1335</v>
      </c>
      <c r="F23" s="986"/>
      <c r="G23" s="985" t="s">
        <v>1334</v>
      </c>
      <c r="H23" s="985"/>
      <c r="I23" s="985"/>
      <c r="J23" s="986"/>
    </row>
    <row r="24" spans="2:14" s="375" customFormat="1" x14ac:dyDescent="0.2"/>
    <row r="25" spans="2:14" s="35" customFormat="1" x14ac:dyDescent="0.2">
      <c r="B25" s="457" t="s">
        <v>193</v>
      </c>
      <c r="C25" s="456"/>
      <c r="D25" s="456"/>
      <c r="G25" s="36"/>
      <c r="H25" s="36"/>
      <c r="I25" s="36"/>
      <c r="J25" s="36"/>
      <c r="K25" s="36"/>
      <c r="L25" s="114"/>
      <c r="M25" s="114"/>
      <c r="N25" s="114"/>
    </row>
    <row r="26" spans="2:14" s="35" customFormat="1" x14ac:dyDescent="0.2">
      <c r="B26" s="456"/>
      <c r="C26" s="456"/>
      <c r="D26" s="456"/>
      <c r="G26" s="36"/>
      <c r="H26" s="36"/>
      <c r="I26" s="36"/>
      <c r="J26" s="36"/>
      <c r="K26" s="36"/>
      <c r="L26" s="114"/>
      <c r="M26" s="114"/>
      <c r="N26" s="114"/>
    </row>
    <row r="27" spans="2:14" s="35" customFormat="1" ht="16.899999999999999" customHeight="1" x14ac:dyDescent="0.2">
      <c r="B27" s="993" t="s">
        <v>14</v>
      </c>
      <c r="C27" s="994"/>
      <c r="D27" s="995"/>
      <c r="E27" s="996" t="s">
        <v>83</v>
      </c>
      <c r="F27" s="997"/>
      <c r="G27" s="997"/>
      <c r="H27" s="997"/>
      <c r="I27" s="997"/>
      <c r="J27" s="998"/>
      <c r="K27" s="36"/>
      <c r="L27" s="114"/>
      <c r="M27" s="114"/>
      <c r="N27" s="114"/>
    </row>
    <row r="28" spans="2:14" s="35" customFormat="1" ht="16.899999999999999" customHeight="1" x14ac:dyDescent="0.2">
      <c r="B28" s="993" t="s">
        <v>81</v>
      </c>
      <c r="C28" s="994"/>
      <c r="D28" s="995"/>
      <c r="E28" s="996" t="s">
        <v>84</v>
      </c>
      <c r="F28" s="997"/>
      <c r="G28" s="997"/>
      <c r="H28" s="997"/>
      <c r="I28" s="997"/>
      <c r="J28" s="998"/>
      <c r="K28" s="36"/>
      <c r="L28" s="114"/>
      <c r="M28" s="114"/>
      <c r="N28" s="114"/>
    </row>
    <row r="29" spans="2:14" s="35" customFormat="1" ht="16.899999999999999" customHeight="1" x14ac:dyDescent="0.2">
      <c r="B29" s="993" t="s">
        <v>82</v>
      </c>
      <c r="C29" s="994"/>
      <c r="D29" s="995"/>
      <c r="E29" s="996" t="s">
        <v>316</v>
      </c>
      <c r="F29" s="997"/>
      <c r="G29" s="997"/>
      <c r="H29" s="997"/>
      <c r="I29" s="997"/>
      <c r="J29" s="998"/>
      <c r="K29" s="36"/>
      <c r="L29" s="114"/>
      <c r="M29" s="114"/>
      <c r="N29" s="114"/>
    </row>
    <row r="30" spans="2:14" s="35" customFormat="1" ht="16.899999999999999" customHeight="1" x14ac:dyDescent="0.2">
      <c r="B30" s="993" t="s">
        <v>23</v>
      </c>
      <c r="C30" s="994"/>
      <c r="D30" s="995"/>
      <c r="E30" s="996" t="s">
        <v>1326</v>
      </c>
      <c r="F30" s="997"/>
      <c r="G30" s="997"/>
      <c r="H30" s="997"/>
      <c r="I30" s="997"/>
      <c r="J30" s="998"/>
      <c r="K30" s="36"/>
      <c r="L30" s="114"/>
      <c r="M30" s="114"/>
      <c r="N30" s="114"/>
    </row>
    <row r="31" spans="2:14" s="375" customFormat="1" x14ac:dyDescent="0.2">
      <c r="B31" s="466"/>
      <c r="C31" s="466"/>
      <c r="D31" s="466"/>
    </row>
    <row r="32" spans="2:14" s="375" customFormat="1" x14ac:dyDescent="0.2">
      <c r="B32" s="466"/>
      <c r="C32" s="466"/>
      <c r="D32" s="466"/>
    </row>
    <row r="33" spans="2:14" s="35" customFormat="1" x14ac:dyDescent="0.2">
      <c r="B33" s="471" t="s">
        <v>17</v>
      </c>
      <c r="C33" s="456"/>
      <c r="D33" s="456"/>
      <c r="L33" s="114"/>
      <c r="M33" s="114"/>
      <c r="N33" s="114"/>
    </row>
    <row r="34" spans="2:14" s="35" customFormat="1" x14ac:dyDescent="0.2">
      <c r="B34" s="456"/>
      <c r="C34" s="456"/>
      <c r="D34" s="456"/>
      <c r="L34" s="114"/>
      <c r="M34" s="114"/>
      <c r="N34" s="114"/>
    </row>
    <row r="35" spans="2:14" s="35" customFormat="1" ht="15" customHeight="1" x14ac:dyDescent="0.2">
      <c r="B35" s="456" t="s">
        <v>89</v>
      </c>
      <c r="C35" s="456"/>
      <c r="D35" s="456"/>
      <c r="E35" s="1006" t="s">
        <v>91</v>
      </c>
      <c r="F35" s="1007"/>
      <c r="G35" s="1007"/>
      <c r="H35" s="1007"/>
      <c r="I35" s="1007"/>
      <c r="J35" s="1008"/>
      <c r="L35" s="114"/>
      <c r="M35" s="114"/>
      <c r="N35" s="114"/>
    </row>
    <row r="36" spans="2:14" s="35" customFormat="1" ht="10.15" customHeight="1" x14ac:dyDescent="0.2">
      <c r="B36" s="456"/>
      <c r="C36" s="456"/>
      <c r="D36" s="472"/>
      <c r="E36" s="77"/>
      <c r="F36" s="77"/>
      <c r="G36" s="78"/>
      <c r="H36" s="78"/>
      <c r="I36" s="78"/>
      <c r="J36" s="78"/>
      <c r="L36" s="114"/>
      <c r="M36" s="114"/>
      <c r="N36" s="114"/>
    </row>
    <row r="37" spans="2:14" s="35" customFormat="1" ht="15" customHeight="1" x14ac:dyDescent="0.2">
      <c r="B37" s="456" t="s">
        <v>90</v>
      </c>
      <c r="C37" s="456"/>
      <c r="D37" s="456"/>
      <c r="E37" s="1006" t="s">
        <v>88</v>
      </c>
      <c r="F37" s="1007"/>
      <c r="G37" s="1007"/>
      <c r="H37" s="1007"/>
      <c r="I37" s="1007"/>
      <c r="J37" s="1008"/>
      <c r="L37" s="114"/>
      <c r="M37" s="114"/>
      <c r="N37" s="114"/>
    </row>
    <row r="38" spans="2:14" s="35" customFormat="1" ht="10.15" customHeight="1" x14ac:dyDescent="0.2">
      <c r="B38" s="456"/>
      <c r="C38" s="456"/>
      <c r="D38" s="472"/>
      <c r="E38" s="77"/>
      <c r="F38" s="77"/>
      <c r="G38" s="78"/>
      <c r="H38" s="78"/>
      <c r="I38" s="78"/>
      <c r="J38" s="78"/>
      <c r="L38" s="114"/>
      <c r="M38" s="114"/>
      <c r="N38" s="114"/>
    </row>
    <row r="39" spans="2:14" s="35" customFormat="1" ht="15" customHeight="1" x14ac:dyDescent="0.2">
      <c r="B39" s="456" t="s">
        <v>2</v>
      </c>
      <c r="C39" s="456"/>
      <c r="D39" s="456"/>
      <c r="E39" s="1006" t="s">
        <v>92</v>
      </c>
      <c r="F39" s="1007"/>
      <c r="G39" s="1007"/>
      <c r="H39" s="1007"/>
      <c r="I39" s="1007"/>
      <c r="J39" s="1008"/>
      <c r="L39" s="114"/>
      <c r="M39" s="114"/>
      <c r="N39" s="114"/>
    </row>
    <row r="40" spans="2:14" s="35" customFormat="1" ht="10.15" customHeight="1" x14ac:dyDescent="0.2">
      <c r="B40" s="456"/>
      <c r="C40" s="456"/>
      <c r="D40" s="472"/>
      <c r="E40" s="77"/>
      <c r="F40" s="77"/>
      <c r="G40" s="78"/>
      <c r="H40" s="78"/>
      <c r="I40" s="78"/>
      <c r="J40" s="78"/>
      <c r="L40" s="114"/>
      <c r="M40" s="114"/>
      <c r="N40" s="114"/>
    </row>
    <row r="41" spans="2:14" s="35" customFormat="1" ht="15" customHeight="1" x14ac:dyDescent="0.2">
      <c r="B41" s="596" t="s">
        <v>200</v>
      </c>
      <c r="C41" s="596"/>
      <c r="D41" s="536"/>
      <c r="E41" s="663" t="s">
        <v>357</v>
      </c>
      <c r="F41" s="660"/>
      <c r="G41" s="152"/>
      <c r="H41" s="38" t="s">
        <v>284</v>
      </c>
      <c r="I41" s="661" t="s">
        <v>359</v>
      </c>
      <c r="J41" s="662"/>
      <c r="L41" s="114"/>
      <c r="M41" s="114"/>
      <c r="N41" s="114"/>
    </row>
    <row r="42" spans="2:14" s="35" customFormat="1" ht="10.15" customHeight="1" x14ac:dyDescent="0.2">
      <c r="B42" s="456"/>
      <c r="C42" s="456"/>
      <c r="D42" s="472"/>
      <c r="E42" s="78"/>
      <c r="F42" s="78"/>
      <c r="G42" s="78"/>
      <c r="H42" s="183"/>
      <c r="I42" s="78"/>
      <c r="J42" s="78"/>
      <c r="L42" s="114"/>
      <c r="M42" s="114"/>
      <c r="N42" s="114"/>
    </row>
    <row r="43" spans="2:14" s="35" customFormat="1" ht="15" customHeight="1" x14ac:dyDescent="0.2">
      <c r="B43" s="596" t="s">
        <v>21</v>
      </c>
      <c r="C43" s="596"/>
      <c r="D43" s="536"/>
      <c r="E43" s="663" t="s">
        <v>358</v>
      </c>
      <c r="F43" s="660"/>
      <c r="G43" s="152"/>
      <c r="H43" s="38" t="s">
        <v>284</v>
      </c>
      <c r="I43" s="661" t="s">
        <v>404</v>
      </c>
      <c r="J43" s="662"/>
      <c r="L43" s="114"/>
      <c r="M43" s="114"/>
      <c r="N43" s="114"/>
    </row>
    <row r="44" spans="2:14" s="375" customFormat="1" x14ac:dyDescent="0.2">
      <c r="B44" s="466"/>
      <c r="C44" s="466"/>
      <c r="D44" s="466"/>
    </row>
    <row r="45" spans="2:14" s="375" customFormat="1" x14ac:dyDescent="0.2">
      <c r="B45" s="466"/>
      <c r="C45" s="466"/>
      <c r="D45" s="466"/>
    </row>
    <row r="46" spans="2:14" s="35" customFormat="1" x14ac:dyDescent="0.2">
      <c r="B46" s="471" t="s">
        <v>1115</v>
      </c>
      <c r="C46" s="456"/>
      <c r="D46" s="456"/>
      <c r="L46" s="114"/>
      <c r="M46" s="114"/>
      <c r="N46" s="114"/>
    </row>
    <row r="47" spans="2:14" s="35" customFormat="1" x14ac:dyDescent="0.2">
      <c r="B47" s="456"/>
      <c r="C47" s="456"/>
      <c r="D47" s="456"/>
      <c r="L47" s="114"/>
      <c r="M47" s="114"/>
      <c r="N47" s="114"/>
    </row>
    <row r="48" spans="2:14" s="35" customFormat="1" ht="15" customHeight="1" x14ac:dyDescent="0.2">
      <c r="B48" s="456" t="s">
        <v>89</v>
      </c>
      <c r="C48" s="456"/>
      <c r="D48" s="456"/>
      <c r="E48" s="1006" t="s">
        <v>91</v>
      </c>
      <c r="F48" s="1007"/>
      <c r="G48" s="1007"/>
      <c r="H48" s="1007"/>
      <c r="I48" s="1007"/>
      <c r="J48" s="1008"/>
      <c r="L48" s="114"/>
      <c r="M48" s="114"/>
      <c r="N48" s="114"/>
    </row>
    <row r="49" spans="2:14" s="35" customFormat="1" ht="10.15" customHeight="1" x14ac:dyDescent="0.2">
      <c r="B49" s="456"/>
      <c r="C49" s="456"/>
      <c r="D49" s="472"/>
      <c r="E49" s="77"/>
      <c r="F49" s="77"/>
      <c r="G49" s="78"/>
      <c r="H49" s="78"/>
      <c r="I49" s="78"/>
      <c r="J49" s="78"/>
      <c r="L49" s="114"/>
      <c r="M49" s="114"/>
      <c r="N49" s="114"/>
    </row>
    <row r="50" spans="2:14" s="35" customFormat="1" ht="15" customHeight="1" x14ac:dyDescent="0.2">
      <c r="B50" s="456" t="s">
        <v>90</v>
      </c>
      <c r="C50" s="456"/>
      <c r="D50" s="456"/>
      <c r="E50" s="1006" t="s">
        <v>88</v>
      </c>
      <c r="F50" s="1007"/>
      <c r="G50" s="1007"/>
      <c r="H50" s="1007"/>
      <c r="I50" s="1007"/>
      <c r="J50" s="1008"/>
      <c r="L50" s="114"/>
      <c r="M50" s="114"/>
      <c r="N50" s="114"/>
    </row>
    <row r="51" spans="2:14" s="35" customFormat="1" ht="10.15" customHeight="1" x14ac:dyDescent="0.2">
      <c r="B51" s="456"/>
      <c r="C51" s="456"/>
      <c r="D51" s="472"/>
      <c r="E51" s="77"/>
      <c r="F51" s="77"/>
      <c r="G51" s="78"/>
      <c r="H51" s="78"/>
      <c r="I51" s="78"/>
      <c r="J51" s="78"/>
      <c r="L51" s="114"/>
      <c r="M51" s="114"/>
      <c r="N51" s="114"/>
    </row>
    <row r="52" spans="2:14" s="35" customFormat="1" ht="15" customHeight="1" x14ac:dyDescent="0.2">
      <c r="B52" s="456" t="s">
        <v>2</v>
      </c>
      <c r="C52" s="456"/>
      <c r="D52" s="456"/>
      <c r="E52" s="1006" t="s">
        <v>1235</v>
      </c>
      <c r="F52" s="1007"/>
      <c r="G52" s="1007"/>
      <c r="H52" s="1007"/>
      <c r="I52" s="1007"/>
      <c r="J52" s="1008"/>
      <c r="L52" s="114"/>
      <c r="M52" s="114"/>
      <c r="N52" s="114"/>
    </row>
    <row r="53" spans="2:14" s="35" customFormat="1" ht="10.15" customHeight="1" x14ac:dyDescent="0.2">
      <c r="B53" s="456"/>
      <c r="C53" s="456"/>
      <c r="D53" s="472"/>
      <c r="E53" s="77"/>
      <c r="F53" s="77"/>
      <c r="G53" s="78"/>
      <c r="H53" s="78"/>
      <c r="I53" s="78"/>
      <c r="J53" s="78"/>
      <c r="L53" s="114"/>
      <c r="M53" s="114"/>
      <c r="N53" s="114"/>
    </row>
    <row r="54" spans="2:14" s="35" customFormat="1" ht="14.45" customHeight="1" x14ac:dyDescent="0.2">
      <c r="B54" s="456" t="s">
        <v>1125</v>
      </c>
      <c r="C54" s="456"/>
      <c r="D54" s="456"/>
      <c r="E54" s="663" t="s">
        <v>1045</v>
      </c>
      <c r="F54" s="660"/>
      <c r="G54" s="152"/>
      <c r="H54" s="38" t="s">
        <v>284</v>
      </c>
      <c r="I54" s="661" t="s">
        <v>359</v>
      </c>
      <c r="J54" s="662"/>
      <c r="L54" s="114"/>
      <c r="M54" s="114"/>
      <c r="N54" s="114"/>
    </row>
    <row r="55" spans="2:14" s="35" customFormat="1" ht="10.15" customHeight="1" x14ac:dyDescent="0.2">
      <c r="B55" s="456"/>
      <c r="C55" s="456"/>
      <c r="D55" s="456"/>
      <c r="E55" s="78"/>
      <c r="F55" s="78"/>
      <c r="G55" s="78"/>
      <c r="H55" s="183"/>
      <c r="I55" s="78"/>
      <c r="J55" s="78"/>
      <c r="L55" s="114"/>
      <c r="M55" s="114"/>
      <c r="N55" s="114"/>
    </row>
    <row r="56" spans="2:14" s="35" customFormat="1" ht="16.899999999999999" customHeight="1" x14ac:dyDescent="0.2">
      <c r="B56" s="456" t="s">
        <v>54</v>
      </c>
      <c r="C56" s="456"/>
      <c r="D56" s="456"/>
      <c r="E56" s="1006" t="s">
        <v>93</v>
      </c>
      <c r="F56" s="1007"/>
      <c r="G56" s="1007"/>
      <c r="H56" s="1007"/>
      <c r="I56" s="1007"/>
      <c r="J56" s="1008"/>
      <c r="K56" s="40"/>
      <c r="L56" s="114"/>
      <c r="M56" s="114"/>
      <c r="N56" s="114"/>
    </row>
    <row r="57" spans="2:14" s="375" customFormat="1" x14ac:dyDescent="0.2">
      <c r="B57" s="466"/>
      <c r="C57" s="466"/>
      <c r="D57" s="466"/>
    </row>
    <row r="58" spans="2:14" s="375" customFormat="1" x14ac:dyDescent="0.2">
      <c r="B58" s="466"/>
      <c r="C58" s="466"/>
      <c r="D58" s="466"/>
    </row>
    <row r="59" spans="2:14" s="35" customFormat="1" x14ac:dyDescent="0.2">
      <c r="B59" s="457" t="s">
        <v>1431</v>
      </c>
      <c r="C59" s="456"/>
      <c r="D59" s="456"/>
      <c r="L59" s="114"/>
      <c r="M59" s="114"/>
      <c r="N59" s="114"/>
    </row>
    <row r="60" spans="2:14" s="35" customFormat="1" x14ac:dyDescent="0.2">
      <c r="B60" s="456"/>
      <c r="C60" s="456"/>
      <c r="D60" s="456"/>
      <c r="L60" s="114"/>
      <c r="M60" s="114"/>
      <c r="N60" s="114"/>
    </row>
    <row r="61" spans="2:14" s="35" customFormat="1" x14ac:dyDescent="0.2">
      <c r="B61" s="457" t="s">
        <v>360</v>
      </c>
      <c r="C61" s="456"/>
      <c r="D61" s="456"/>
      <c r="L61" s="114"/>
      <c r="M61" s="114"/>
      <c r="N61" s="114"/>
    </row>
    <row r="62" spans="2:14" s="35" customFormat="1" x14ac:dyDescent="0.2">
      <c r="B62" s="456"/>
      <c r="C62" s="456"/>
      <c r="D62" s="456"/>
      <c r="L62" s="114"/>
      <c r="M62" s="114"/>
      <c r="N62" s="114"/>
    </row>
    <row r="63" spans="2:14" s="35" customFormat="1" ht="16.899999999999999" customHeight="1" x14ac:dyDescent="0.2">
      <c r="B63" s="456" t="s">
        <v>361</v>
      </c>
      <c r="C63" s="456"/>
      <c r="D63" s="456"/>
      <c r="E63" s="1009" t="s">
        <v>85</v>
      </c>
      <c r="F63" s="1009"/>
      <c r="G63" s="1009"/>
      <c r="H63" s="1009"/>
      <c r="I63" s="1009"/>
      <c r="J63" s="1009"/>
      <c r="L63" s="114"/>
      <c r="M63" s="114"/>
      <c r="N63" s="114"/>
    </row>
    <row r="64" spans="2:14" s="35" customFormat="1" ht="16.899999999999999" customHeight="1" x14ac:dyDescent="0.2">
      <c r="B64" s="456" t="s">
        <v>0</v>
      </c>
      <c r="C64" s="456"/>
      <c r="D64" s="456"/>
      <c r="E64" s="1009" t="s">
        <v>86</v>
      </c>
      <c r="F64" s="1009"/>
      <c r="G64" s="1009"/>
      <c r="H64" s="1009"/>
      <c r="I64" s="1009"/>
      <c r="J64" s="1009"/>
      <c r="L64" s="114"/>
      <c r="M64" s="114"/>
      <c r="N64" s="114"/>
    </row>
    <row r="65" spans="2:14" s="35" customFormat="1" ht="16.899999999999999" customHeight="1" x14ac:dyDescent="0.2">
      <c r="B65" s="456" t="s">
        <v>1</v>
      </c>
      <c r="C65" s="456"/>
      <c r="D65" s="456"/>
      <c r="E65" s="1009" t="s">
        <v>87</v>
      </c>
      <c r="F65" s="1009"/>
      <c r="G65" s="1009"/>
      <c r="H65" s="1009"/>
      <c r="I65" s="1009"/>
      <c r="J65" s="1009"/>
      <c r="L65" s="114"/>
      <c r="M65" s="114"/>
      <c r="N65" s="114"/>
    </row>
    <row r="66" spans="2:14" s="35" customFormat="1" ht="16.899999999999999" customHeight="1" x14ac:dyDescent="0.2">
      <c r="B66" s="456" t="s">
        <v>362</v>
      </c>
      <c r="C66" s="456"/>
      <c r="D66" s="456"/>
      <c r="E66" s="1009" t="s">
        <v>363</v>
      </c>
      <c r="F66" s="1009"/>
      <c r="G66" s="1009"/>
      <c r="H66" s="1009"/>
      <c r="I66" s="1009"/>
      <c r="J66" s="1009"/>
      <c r="L66" s="114"/>
      <c r="M66" s="114"/>
      <c r="N66" s="114"/>
    </row>
    <row r="67" spans="2:14" s="36" customFormat="1" ht="16.899999999999999" customHeight="1" x14ac:dyDescent="0.2">
      <c r="B67" s="472"/>
      <c r="C67" s="472"/>
      <c r="D67" s="472"/>
      <c r="E67" s="77"/>
      <c r="F67" s="77"/>
      <c r="G67" s="77"/>
      <c r="H67" s="77"/>
      <c r="I67" s="77"/>
      <c r="J67" s="77"/>
      <c r="L67" s="114"/>
      <c r="M67" s="114"/>
      <c r="N67" s="114"/>
    </row>
    <row r="68" spans="2:14" s="36" customFormat="1" ht="16.899999999999999" customHeight="1" x14ac:dyDescent="0.2">
      <c r="B68" s="457" t="s">
        <v>252</v>
      </c>
      <c r="C68" s="472"/>
      <c r="D68" s="472"/>
      <c r="E68" s="77"/>
      <c r="F68" s="77"/>
      <c r="G68" s="77"/>
      <c r="H68" s="77"/>
      <c r="I68" s="77"/>
      <c r="J68" s="77"/>
      <c r="L68" s="114"/>
      <c r="M68" s="114"/>
      <c r="N68" s="114"/>
    </row>
    <row r="69" spans="2:14" s="36" customFormat="1" ht="16.899999999999999" customHeight="1" x14ac:dyDescent="0.2">
      <c r="B69" s="472"/>
      <c r="C69" s="472"/>
      <c r="D69" s="472"/>
      <c r="E69" s="77"/>
      <c r="F69" s="77"/>
      <c r="G69" s="77"/>
      <c r="H69" s="77"/>
      <c r="I69" s="77"/>
      <c r="J69" s="77"/>
      <c r="L69" s="114"/>
      <c r="M69" s="114"/>
      <c r="N69" s="114"/>
    </row>
    <row r="70" spans="2:14" s="35" customFormat="1" ht="16.899999999999999" customHeight="1" x14ac:dyDescent="0.2">
      <c r="B70" s="456" t="s">
        <v>1068</v>
      </c>
      <c r="C70" s="593"/>
      <c r="D70" s="456"/>
      <c r="E70" s="444" t="s">
        <v>226</v>
      </c>
      <c r="F70" s="666">
        <v>657259</v>
      </c>
      <c r="G70" s="444" t="s">
        <v>227</v>
      </c>
      <c r="H70" s="666">
        <v>9406136</v>
      </c>
      <c r="I70" s="444" t="s">
        <v>253</v>
      </c>
      <c r="J70" s="670" t="s">
        <v>364</v>
      </c>
      <c r="L70" s="114"/>
      <c r="M70" s="114"/>
      <c r="N70" s="114"/>
    </row>
    <row r="71" spans="2:14" s="35" customFormat="1" ht="16.899999999999999" customHeight="1" x14ac:dyDescent="0.2">
      <c r="B71" s="456" t="s">
        <v>228</v>
      </c>
      <c r="C71" s="456"/>
      <c r="D71" s="456"/>
      <c r="E71" s="667">
        <v>2542</v>
      </c>
      <c r="F71" s="407"/>
      <c r="G71" s="392"/>
      <c r="H71" s="392"/>
      <c r="I71" s="392"/>
      <c r="J71" s="392"/>
      <c r="L71" s="114"/>
      <c r="M71" s="114"/>
      <c r="N71" s="114"/>
    </row>
    <row r="72" spans="2:14" s="35" customFormat="1" ht="16.899999999999999" customHeight="1" x14ac:dyDescent="0.2">
      <c r="B72" s="456" t="s">
        <v>250</v>
      </c>
      <c r="C72" s="456"/>
      <c r="D72" s="456"/>
      <c r="E72" s="668" t="s">
        <v>249</v>
      </c>
      <c r="F72" s="407"/>
      <c r="G72" s="392"/>
      <c r="H72" s="392"/>
      <c r="I72" s="392"/>
      <c r="J72" s="392"/>
      <c r="L72" s="114"/>
      <c r="M72" s="114"/>
      <c r="N72" s="114"/>
    </row>
    <row r="73" spans="2:14" s="35" customFormat="1" ht="16.899999999999999" customHeight="1" x14ac:dyDescent="0.2">
      <c r="B73" s="456" t="s">
        <v>1337</v>
      </c>
      <c r="C73" s="456"/>
      <c r="D73" s="456"/>
      <c r="E73" s="669" t="s">
        <v>1376</v>
      </c>
      <c r="F73" s="377"/>
      <c r="G73" s="441"/>
      <c r="H73" s="441"/>
      <c r="I73" s="441"/>
      <c r="J73" s="441"/>
      <c r="L73" s="114"/>
      <c r="M73" s="114"/>
      <c r="N73" s="114"/>
    </row>
    <row r="74" spans="2:14" s="35" customFormat="1" ht="16.899999999999999" customHeight="1" x14ac:dyDescent="0.2">
      <c r="B74" s="456"/>
      <c r="C74" s="456"/>
      <c r="D74" s="456"/>
      <c r="E74" s="377"/>
      <c r="F74" s="377"/>
      <c r="G74" s="77"/>
      <c r="H74" s="77"/>
      <c r="I74" s="77"/>
      <c r="J74" s="77"/>
      <c r="L74" s="114"/>
      <c r="M74" s="114"/>
      <c r="N74" s="114"/>
    </row>
    <row r="75" spans="2:14" s="35" customFormat="1" ht="16.899999999999999" customHeight="1" x14ac:dyDescent="0.2">
      <c r="B75" s="457" t="s">
        <v>254</v>
      </c>
      <c r="C75" s="456"/>
      <c r="D75" s="456"/>
      <c r="E75" s="377"/>
      <c r="F75" s="377"/>
      <c r="G75" s="77"/>
      <c r="H75" s="77"/>
      <c r="I75" s="77"/>
      <c r="J75" s="77"/>
      <c r="L75" s="114"/>
      <c r="M75" s="114"/>
      <c r="N75" s="114"/>
    </row>
    <row r="76" spans="2:14" s="35" customFormat="1" ht="16.899999999999999" customHeight="1" x14ac:dyDescent="0.2">
      <c r="B76" s="45"/>
      <c r="E76" s="377"/>
      <c r="F76" s="377"/>
      <c r="G76" s="77"/>
      <c r="H76" s="77"/>
      <c r="I76" s="77"/>
      <c r="J76" s="77"/>
      <c r="L76" s="114"/>
      <c r="M76" s="114"/>
      <c r="N76" s="114"/>
    </row>
    <row r="77" spans="2:14" s="35" customFormat="1" ht="16.899999999999999" customHeight="1" x14ac:dyDescent="0.2">
      <c r="B77" s="37" t="s">
        <v>257</v>
      </c>
      <c r="C77" s="670" t="s">
        <v>544</v>
      </c>
      <c r="D77" s="434" t="s">
        <v>255</v>
      </c>
      <c r="E77" s="671" t="s">
        <v>318</v>
      </c>
      <c r="F77" s="437" t="s">
        <v>1338</v>
      </c>
      <c r="G77" s="671" t="s">
        <v>319</v>
      </c>
      <c r="H77" s="434" t="s">
        <v>256</v>
      </c>
      <c r="I77" s="1009" t="s">
        <v>319</v>
      </c>
      <c r="J77" s="1009"/>
      <c r="L77" s="114"/>
      <c r="M77" s="114"/>
      <c r="N77" s="114"/>
    </row>
    <row r="78" spans="2:14" s="35" customFormat="1" ht="16.899999999999999" customHeight="1" x14ac:dyDescent="0.2">
      <c r="E78" s="590"/>
      <c r="G78" s="77"/>
      <c r="I78" s="77"/>
      <c r="J78" s="77"/>
      <c r="L78" s="114"/>
      <c r="M78" s="114"/>
      <c r="N78" s="114"/>
    </row>
    <row r="79" spans="2:14" s="35" customFormat="1" ht="16.899999999999999" customHeight="1" x14ac:dyDescent="0.2">
      <c r="B79" s="45" t="s">
        <v>1358</v>
      </c>
      <c r="E79" s="377"/>
      <c r="F79" s="377"/>
      <c r="G79" s="77"/>
      <c r="H79" s="77"/>
      <c r="I79" s="77"/>
      <c r="J79" s="77"/>
      <c r="L79" s="114"/>
      <c r="M79" s="114"/>
      <c r="N79" s="114"/>
    </row>
    <row r="80" spans="2:14" s="35" customFormat="1" ht="16.899999999999999" customHeight="1" x14ac:dyDescent="0.2">
      <c r="B80" s="45"/>
      <c r="E80" s="377"/>
      <c r="F80" s="377"/>
      <c r="G80" s="77"/>
      <c r="H80" s="77"/>
      <c r="I80" s="77"/>
      <c r="J80" s="77"/>
      <c r="L80" s="114"/>
      <c r="M80" s="114"/>
      <c r="N80" s="114"/>
    </row>
    <row r="81" spans="1:25" s="64" customFormat="1" ht="30.75" customHeight="1" x14ac:dyDescent="0.2">
      <c r="A81" s="35"/>
      <c r="B81" s="453" t="s">
        <v>406</v>
      </c>
      <c r="C81" s="453" t="s">
        <v>407</v>
      </c>
      <c r="D81" s="453" t="s">
        <v>259</v>
      </c>
      <c r="E81" s="453" t="s">
        <v>260</v>
      </c>
      <c r="F81" s="453" t="s">
        <v>261</v>
      </c>
      <c r="G81" s="453" t="s">
        <v>1429</v>
      </c>
      <c r="H81" s="35"/>
      <c r="I81" s="381"/>
      <c r="J81" s="77"/>
      <c r="K81" s="35"/>
      <c r="L81" s="114"/>
      <c r="M81" s="114"/>
      <c r="N81" s="114"/>
      <c r="O81" s="35"/>
      <c r="P81" s="35"/>
      <c r="Q81" s="35"/>
      <c r="R81" s="35"/>
      <c r="S81" s="35"/>
      <c r="T81" s="35"/>
      <c r="U81" s="35"/>
      <c r="V81" s="35"/>
      <c r="W81" s="35"/>
      <c r="X81" s="35"/>
      <c r="Y81" s="35"/>
    </row>
    <row r="82" spans="1:25" s="64" customFormat="1" ht="33.75" customHeight="1" x14ac:dyDescent="0.2">
      <c r="A82" s="35"/>
      <c r="B82" s="672" t="s">
        <v>365</v>
      </c>
      <c r="C82" s="673" t="s">
        <v>366</v>
      </c>
      <c r="D82" s="674">
        <v>300</v>
      </c>
      <c r="E82" s="675">
        <v>7</v>
      </c>
      <c r="F82" s="674" t="s">
        <v>370</v>
      </c>
      <c r="G82" s="674" t="s">
        <v>375</v>
      </c>
      <c r="H82" s="35"/>
      <c r="I82" s="381"/>
      <c r="J82" s="77"/>
      <c r="K82" s="35"/>
      <c r="L82" s="114"/>
      <c r="M82" s="114"/>
      <c r="N82" s="114"/>
      <c r="O82" s="35"/>
      <c r="P82" s="35"/>
      <c r="Q82" s="35"/>
      <c r="R82" s="35"/>
      <c r="S82" s="35"/>
      <c r="T82" s="35"/>
      <c r="U82" s="35"/>
      <c r="V82" s="35"/>
      <c r="W82" s="35"/>
      <c r="X82" s="35"/>
      <c r="Y82" s="35"/>
    </row>
    <row r="83" spans="1:25" s="64" customFormat="1" ht="33.75" customHeight="1" x14ac:dyDescent="0.2">
      <c r="A83" s="35"/>
      <c r="B83" s="672" t="s">
        <v>367</v>
      </c>
      <c r="C83" s="673" t="s">
        <v>319</v>
      </c>
      <c r="D83" s="674">
        <v>120</v>
      </c>
      <c r="E83" s="675">
        <v>5</v>
      </c>
      <c r="F83" s="674" t="s">
        <v>371</v>
      </c>
      <c r="G83" s="674" t="s">
        <v>376</v>
      </c>
      <c r="H83" s="35"/>
      <c r="I83" s="381"/>
      <c r="J83" s="77"/>
      <c r="K83" s="35"/>
      <c r="L83" s="114"/>
      <c r="M83" s="114"/>
      <c r="N83" s="114"/>
      <c r="O83" s="35"/>
      <c r="P83" s="35"/>
      <c r="Q83" s="35"/>
      <c r="R83" s="35"/>
      <c r="S83" s="35"/>
      <c r="T83" s="35"/>
      <c r="U83" s="35"/>
      <c r="V83" s="35"/>
      <c r="W83" s="35"/>
      <c r="X83" s="35"/>
      <c r="Y83" s="35"/>
    </row>
    <row r="84" spans="1:25" s="64" customFormat="1" ht="33.75" customHeight="1" x14ac:dyDescent="0.2">
      <c r="A84" s="35"/>
      <c r="B84" s="672" t="s">
        <v>368</v>
      </c>
      <c r="C84" s="673" t="s">
        <v>369</v>
      </c>
      <c r="D84" s="674">
        <v>50</v>
      </c>
      <c r="E84" s="675">
        <v>1</v>
      </c>
      <c r="F84" s="674" t="s">
        <v>372</v>
      </c>
      <c r="G84" s="674" t="s">
        <v>376</v>
      </c>
      <c r="H84" s="35"/>
      <c r="I84" s="381"/>
      <c r="J84" s="77"/>
      <c r="K84" s="35"/>
      <c r="L84" s="114"/>
      <c r="M84" s="114"/>
      <c r="N84" s="114"/>
      <c r="O84" s="35"/>
      <c r="P84" s="35"/>
      <c r="Q84" s="35"/>
      <c r="R84" s="35"/>
      <c r="S84" s="35"/>
      <c r="T84" s="35"/>
      <c r="U84" s="35"/>
      <c r="V84" s="35"/>
      <c r="W84" s="35"/>
      <c r="X84" s="35"/>
      <c r="Y84" s="35"/>
    </row>
    <row r="85" spans="1:25" s="35" customFormat="1" ht="33.75" customHeight="1" x14ac:dyDescent="0.2">
      <c r="B85" s="672" t="s">
        <v>369</v>
      </c>
      <c r="C85" s="673" t="s">
        <v>373</v>
      </c>
      <c r="D85" s="674">
        <v>15</v>
      </c>
      <c r="E85" s="675">
        <v>0.5</v>
      </c>
      <c r="F85" s="674" t="s">
        <v>374</v>
      </c>
      <c r="G85" s="674" t="s">
        <v>377</v>
      </c>
      <c r="I85" s="380"/>
      <c r="J85" s="77"/>
      <c r="L85" s="114"/>
      <c r="M85" s="114"/>
      <c r="N85" s="114"/>
    </row>
    <row r="86" spans="1:25" s="35" customFormat="1" ht="16.899999999999999" customHeight="1" x14ac:dyDescent="0.2">
      <c r="B86" s="456" t="s">
        <v>1430</v>
      </c>
      <c r="C86" s="456"/>
      <c r="D86" s="456"/>
      <c r="E86" s="377"/>
      <c r="F86" s="377"/>
      <c r="G86" s="77"/>
      <c r="H86" s="77"/>
      <c r="I86" s="77"/>
      <c r="J86" s="77"/>
      <c r="L86" s="114"/>
      <c r="M86" s="114"/>
      <c r="N86" s="114"/>
    </row>
    <row r="87" spans="1:25" s="35" customFormat="1" ht="16.899999999999999" customHeight="1" x14ac:dyDescent="0.2">
      <c r="B87" s="456"/>
      <c r="C87" s="456"/>
      <c r="D87" s="456"/>
      <c r="E87" s="377"/>
      <c r="F87" s="377"/>
      <c r="G87" s="436"/>
      <c r="H87" s="436"/>
      <c r="I87" s="436"/>
      <c r="J87" s="436"/>
      <c r="L87" s="114"/>
      <c r="M87" s="114"/>
      <c r="N87" s="114"/>
    </row>
    <row r="88" spans="1:25" s="35" customFormat="1" ht="16.899999999999999" customHeight="1" x14ac:dyDescent="0.2">
      <c r="B88" s="457" t="s">
        <v>1359</v>
      </c>
      <c r="C88" s="456"/>
      <c r="D88" s="456"/>
      <c r="L88" s="114"/>
      <c r="M88" s="114"/>
      <c r="N88" s="114"/>
    </row>
    <row r="89" spans="1:25" s="35" customFormat="1" ht="16.899999999999999" customHeight="1" x14ac:dyDescent="0.2">
      <c r="B89" s="457"/>
      <c r="C89" s="456"/>
      <c r="D89" s="456"/>
      <c r="L89" s="114"/>
      <c r="M89" s="114"/>
      <c r="N89" s="114"/>
    </row>
    <row r="90" spans="1:25" s="35" customFormat="1" ht="16.899999999999999" customHeight="1" x14ac:dyDescent="0.2">
      <c r="B90" s="456" t="s">
        <v>307</v>
      </c>
      <c r="C90" s="456"/>
      <c r="D90" s="456"/>
      <c r="E90" s="1009" t="s">
        <v>85</v>
      </c>
      <c r="F90" s="1009"/>
      <c r="G90" s="1009"/>
      <c r="H90" s="1009"/>
      <c r="I90" s="1009"/>
      <c r="J90" s="1009"/>
      <c r="L90" s="114"/>
      <c r="M90" s="114"/>
      <c r="N90" s="114"/>
    </row>
    <row r="91" spans="1:25" s="35" customFormat="1" ht="16.899999999999999" customHeight="1" x14ac:dyDescent="0.2">
      <c r="B91" s="456" t="s">
        <v>1329</v>
      </c>
      <c r="C91" s="456"/>
      <c r="D91" s="456"/>
      <c r="E91" s="1009" t="s">
        <v>85</v>
      </c>
      <c r="F91" s="1009"/>
      <c r="G91" s="1009"/>
      <c r="H91" s="1009"/>
      <c r="I91" s="1009"/>
      <c r="J91" s="1009"/>
      <c r="L91" s="114"/>
      <c r="M91" s="114"/>
      <c r="N91" s="114"/>
    </row>
    <row r="92" spans="1:25" s="35" customFormat="1" ht="16.899999999999999" customHeight="1" x14ac:dyDescent="0.2">
      <c r="B92" s="456" t="s">
        <v>229</v>
      </c>
      <c r="C92" s="456"/>
      <c r="D92" s="456"/>
      <c r="E92" s="1009" t="s">
        <v>85</v>
      </c>
      <c r="F92" s="1009"/>
      <c r="G92" s="1009"/>
      <c r="H92" s="1009"/>
      <c r="I92" s="1009"/>
      <c r="J92" s="1009"/>
      <c r="L92" s="114"/>
      <c r="M92" s="114"/>
      <c r="N92" s="114"/>
    </row>
    <row r="93" spans="1:25" s="35" customFormat="1" ht="16.899999999999999" customHeight="1" x14ac:dyDescent="0.2">
      <c r="B93" s="456" t="s">
        <v>306</v>
      </c>
      <c r="C93" s="456"/>
      <c r="D93" s="456"/>
      <c r="E93" s="1009" t="s">
        <v>232</v>
      </c>
      <c r="F93" s="1009"/>
      <c r="G93" s="1009"/>
      <c r="H93" s="1009"/>
      <c r="I93" s="1009"/>
      <c r="J93" s="1009"/>
      <c r="L93" s="114"/>
      <c r="M93" s="114"/>
      <c r="N93" s="114"/>
    </row>
    <row r="94" spans="1:25" s="35" customFormat="1" ht="16.899999999999999" customHeight="1" x14ac:dyDescent="0.2">
      <c r="B94" s="456" t="s">
        <v>230</v>
      </c>
      <c r="C94" s="456"/>
      <c r="D94" s="456"/>
      <c r="E94" s="1009" t="s">
        <v>95</v>
      </c>
      <c r="F94" s="1009"/>
      <c r="G94" s="1009"/>
      <c r="H94" s="1009"/>
      <c r="I94" s="1009"/>
      <c r="J94" s="1009"/>
      <c r="L94" s="114"/>
      <c r="M94" s="114"/>
      <c r="N94" s="114"/>
    </row>
    <row r="95" spans="1:25" s="35" customFormat="1" ht="16.899999999999999" customHeight="1" x14ac:dyDescent="0.2">
      <c r="B95" s="456" t="s">
        <v>266</v>
      </c>
      <c r="C95" s="456"/>
      <c r="D95" s="456"/>
      <c r="E95" s="1009"/>
      <c r="F95" s="1009"/>
      <c r="G95" s="1009"/>
      <c r="H95" s="1009"/>
      <c r="I95" s="1009"/>
      <c r="J95" s="1009"/>
      <c r="L95" s="114"/>
      <c r="M95" s="114"/>
      <c r="N95" s="114"/>
    </row>
    <row r="96" spans="1:25" s="35" customFormat="1" ht="16.899999999999999" customHeight="1" x14ac:dyDescent="0.2">
      <c r="B96" s="458" t="s">
        <v>265</v>
      </c>
      <c r="C96" s="456"/>
      <c r="D96" s="456"/>
      <c r="E96" s="460" t="s">
        <v>1046</v>
      </c>
      <c r="F96" s="676" t="s">
        <v>97</v>
      </c>
      <c r="G96" s="459" t="s">
        <v>1047</v>
      </c>
      <c r="H96" s="659" t="str">
        <f>IF(F96="X", "", "X")</f>
        <v/>
      </c>
      <c r="L96" s="114"/>
      <c r="M96" s="114"/>
      <c r="N96" s="114"/>
    </row>
    <row r="97" spans="1:25" s="35" customFormat="1" ht="16.899999999999999" customHeight="1" x14ac:dyDescent="0.2">
      <c r="B97" s="457"/>
      <c r="C97" s="456"/>
      <c r="D97" s="456"/>
      <c r="L97" s="114"/>
      <c r="M97" s="114"/>
      <c r="N97" s="114"/>
    </row>
    <row r="98" spans="1:25" s="35" customFormat="1" ht="16.899999999999999" customHeight="1" x14ac:dyDescent="0.2">
      <c r="B98" s="457" t="s">
        <v>1360</v>
      </c>
      <c r="C98" s="456"/>
      <c r="D98" s="456"/>
      <c r="E98" s="1031"/>
      <c r="F98" s="1031"/>
      <c r="G98" s="1031"/>
      <c r="H98" s="1031"/>
      <c r="I98" s="1031"/>
      <c r="J98" s="1031"/>
      <c r="L98" s="114"/>
      <c r="M98" s="114"/>
      <c r="N98" s="114"/>
    </row>
    <row r="99" spans="1:25" s="35" customFormat="1" ht="16.899999999999999" customHeight="1" x14ac:dyDescent="0.2">
      <c r="B99" s="457"/>
      <c r="C99" s="456"/>
      <c r="D99" s="456"/>
      <c r="E99" s="77"/>
      <c r="F99" s="77"/>
      <c r="G99" s="77"/>
      <c r="H99" s="77"/>
      <c r="I99" s="77"/>
      <c r="J99" s="77"/>
      <c r="L99" s="114"/>
      <c r="M99" s="114"/>
      <c r="N99" s="114"/>
    </row>
    <row r="100" spans="1:25" s="35" customFormat="1" ht="16.899999999999999" customHeight="1" x14ac:dyDescent="0.2">
      <c r="B100" s="1030" t="s">
        <v>309</v>
      </c>
      <c r="C100" s="1030" t="s">
        <v>310</v>
      </c>
      <c r="D100" s="1030" t="s">
        <v>267</v>
      </c>
      <c r="E100" s="1030"/>
      <c r="F100" s="1030"/>
      <c r="G100" s="1030"/>
      <c r="H100" s="77"/>
      <c r="I100" s="77"/>
      <c r="J100" s="77"/>
      <c r="L100" s="114"/>
      <c r="M100" s="114"/>
      <c r="N100" s="114"/>
    </row>
    <row r="101" spans="1:25" s="35" customFormat="1" ht="28.5" customHeight="1" x14ac:dyDescent="0.2">
      <c r="B101" s="1030"/>
      <c r="C101" s="1030"/>
      <c r="D101" s="591" t="s">
        <v>268</v>
      </c>
      <c r="E101" s="591" t="s">
        <v>269</v>
      </c>
      <c r="F101" s="591" t="s">
        <v>270</v>
      </c>
      <c r="G101" s="591" t="s">
        <v>502</v>
      </c>
      <c r="H101" s="77"/>
      <c r="I101" s="77"/>
      <c r="J101" s="77"/>
      <c r="L101" s="114"/>
      <c r="M101" s="114"/>
      <c r="N101" s="114"/>
    </row>
    <row r="102" spans="1:25" s="35" customFormat="1" ht="16.899999999999999" customHeight="1" x14ac:dyDescent="0.2">
      <c r="B102" s="462" t="s">
        <v>272</v>
      </c>
      <c r="C102" s="677"/>
      <c r="D102" s="678"/>
      <c r="E102" s="678"/>
      <c r="F102" s="677"/>
      <c r="G102" s="678"/>
      <c r="H102" s="77"/>
      <c r="I102" s="77"/>
      <c r="J102" s="77"/>
      <c r="L102" s="114"/>
      <c r="M102" s="114"/>
      <c r="N102" s="114"/>
    </row>
    <row r="103" spans="1:25" s="35" customFormat="1" ht="16.899999999999999" customHeight="1" x14ac:dyDescent="0.2">
      <c r="B103" s="462" t="s">
        <v>378</v>
      </c>
      <c r="C103" s="674"/>
      <c r="D103" s="679"/>
      <c r="E103" s="679"/>
      <c r="F103" s="674"/>
      <c r="G103" s="679"/>
      <c r="H103" s="77"/>
      <c r="I103" s="77"/>
      <c r="J103" s="77"/>
      <c r="L103" s="114"/>
      <c r="M103" s="114"/>
      <c r="N103" s="114"/>
    </row>
    <row r="104" spans="1:25" s="35" customFormat="1" ht="16.899999999999999" customHeight="1" x14ac:dyDescent="0.2">
      <c r="B104" s="462" t="s">
        <v>273</v>
      </c>
      <c r="C104" s="677"/>
      <c r="D104" s="678"/>
      <c r="E104" s="678"/>
      <c r="F104" s="677"/>
      <c r="G104" s="678"/>
      <c r="H104" s="77"/>
      <c r="I104" s="77"/>
      <c r="J104" s="77"/>
      <c r="L104" s="114"/>
      <c r="M104" s="114"/>
      <c r="N104" s="114"/>
    </row>
    <row r="105" spans="1:25" s="35" customFormat="1" ht="16.899999999999999" customHeight="1" x14ac:dyDescent="0.2">
      <c r="B105" s="462" t="s">
        <v>274</v>
      </c>
      <c r="C105" s="674" t="s">
        <v>369</v>
      </c>
      <c r="D105" s="679">
        <v>657278</v>
      </c>
      <c r="E105" s="679">
        <v>9406140</v>
      </c>
      <c r="F105" s="674" t="s">
        <v>364</v>
      </c>
      <c r="G105" s="679">
        <v>2595</v>
      </c>
      <c r="H105" s="77"/>
      <c r="I105" s="77"/>
      <c r="J105" s="77"/>
      <c r="L105" s="114"/>
      <c r="M105" s="114"/>
      <c r="N105" s="114"/>
    </row>
    <row r="106" spans="1:25" s="35" customFormat="1" ht="16.899999999999999" customHeight="1" x14ac:dyDescent="0.2">
      <c r="B106" s="462" t="s">
        <v>379</v>
      </c>
      <c r="C106" s="677"/>
      <c r="D106" s="678"/>
      <c r="E106" s="678"/>
      <c r="F106" s="677"/>
      <c r="G106" s="678"/>
      <c r="H106" s="77"/>
      <c r="I106" s="77"/>
      <c r="J106" s="77"/>
      <c r="L106" s="114"/>
      <c r="M106" s="114"/>
      <c r="N106" s="114"/>
    </row>
    <row r="107" spans="1:25" s="35" customFormat="1" ht="16.899999999999999" customHeight="1" x14ac:dyDescent="0.2">
      <c r="B107" s="462" t="s">
        <v>380</v>
      </c>
      <c r="C107" s="677"/>
      <c r="D107" s="678"/>
      <c r="E107" s="678"/>
      <c r="F107" s="677"/>
      <c r="G107" s="678"/>
      <c r="H107" s="77"/>
      <c r="I107" s="77"/>
      <c r="J107" s="77"/>
      <c r="L107" s="114"/>
      <c r="M107" s="114"/>
      <c r="N107" s="114"/>
    </row>
    <row r="108" spans="1:25" s="35" customFormat="1" ht="16.899999999999999" customHeight="1" x14ac:dyDescent="0.2">
      <c r="B108" s="463"/>
      <c r="C108" s="464"/>
      <c r="D108" s="464"/>
      <c r="E108" s="464"/>
      <c r="F108" s="464"/>
      <c r="G108" s="464"/>
      <c r="H108" s="465"/>
      <c r="I108" s="465"/>
      <c r="J108" s="465"/>
      <c r="L108" s="114"/>
      <c r="M108" s="114"/>
      <c r="N108" s="114"/>
    </row>
    <row r="109" spans="1:25" s="375" customFormat="1" x14ac:dyDescent="0.2">
      <c r="B109" s="466"/>
      <c r="C109" s="466"/>
      <c r="D109" s="466"/>
      <c r="E109" s="466"/>
      <c r="F109" s="466"/>
      <c r="G109" s="466"/>
      <c r="H109" s="466"/>
      <c r="I109" s="466"/>
      <c r="J109" s="466"/>
    </row>
    <row r="110" spans="1:25" s="4" customFormat="1" x14ac:dyDescent="0.2">
      <c r="A110" s="35"/>
      <c r="B110" s="467" t="s">
        <v>1263</v>
      </c>
      <c r="C110" s="468"/>
      <c r="D110" s="468"/>
      <c r="E110" s="469"/>
      <c r="F110" s="469"/>
      <c r="G110" s="468"/>
      <c r="H110" s="468"/>
      <c r="I110" s="468"/>
      <c r="J110" s="468"/>
      <c r="K110" s="35"/>
      <c r="L110" s="114"/>
      <c r="M110" s="114"/>
      <c r="N110" s="114"/>
      <c r="O110" s="35"/>
      <c r="P110" s="35"/>
      <c r="Q110" s="35"/>
      <c r="R110" s="35"/>
      <c r="S110" s="35"/>
      <c r="T110" s="35"/>
      <c r="U110" s="35"/>
      <c r="V110" s="35"/>
      <c r="W110" s="35"/>
      <c r="X110" s="35"/>
      <c r="Y110" s="35"/>
    </row>
    <row r="111" spans="1:25" s="375" customFormat="1" x14ac:dyDescent="0.2">
      <c r="B111" s="466"/>
      <c r="C111" s="466"/>
      <c r="D111" s="466"/>
      <c r="E111" s="466"/>
      <c r="F111" s="466"/>
      <c r="G111" s="466"/>
      <c r="H111" s="466"/>
      <c r="I111" s="466"/>
      <c r="J111" s="466"/>
    </row>
    <row r="112" spans="1:25" s="382" customFormat="1" x14ac:dyDescent="0.2">
      <c r="B112" s="470" t="s">
        <v>1339</v>
      </c>
      <c r="C112" s="458"/>
      <c r="D112" s="458"/>
      <c r="E112" s="458"/>
      <c r="F112" s="458"/>
      <c r="G112" s="458"/>
      <c r="H112" s="458"/>
      <c r="I112" s="458"/>
      <c r="J112" s="458"/>
    </row>
    <row r="113" spans="1:25" s="382" customFormat="1" x14ac:dyDescent="0.2">
      <c r="B113" s="470"/>
      <c r="C113" s="458"/>
      <c r="D113" s="458"/>
      <c r="E113" s="458"/>
      <c r="F113" s="458"/>
      <c r="G113" s="458"/>
      <c r="H113" s="458"/>
      <c r="I113" s="458"/>
      <c r="J113" s="458"/>
    </row>
    <row r="114" spans="1:25" s="382" customFormat="1" x14ac:dyDescent="0.2">
      <c r="B114" s="470" t="s">
        <v>1341</v>
      </c>
      <c r="C114" s="458"/>
      <c r="D114" s="458"/>
      <c r="E114" s="458"/>
      <c r="F114" s="458"/>
      <c r="G114" s="458"/>
      <c r="H114" s="458"/>
      <c r="I114" s="458"/>
      <c r="J114" s="458"/>
    </row>
    <row r="115" spans="1:25" s="382" customFormat="1" x14ac:dyDescent="0.2">
      <c r="B115" s="470"/>
      <c r="C115" s="458"/>
      <c r="D115" s="458"/>
      <c r="E115" s="458"/>
      <c r="F115" s="458"/>
      <c r="G115" s="458"/>
      <c r="H115" s="458"/>
      <c r="I115" s="458"/>
      <c r="J115" s="458"/>
    </row>
    <row r="116" spans="1:25" s="368" customFormat="1" x14ac:dyDescent="0.2">
      <c r="A116" s="382"/>
      <c r="B116" s="1025" t="s">
        <v>1268</v>
      </c>
      <c r="C116" s="1026"/>
      <c r="D116" s="1026"/>
      <c r="E116" s="1026"/>
      <c r="F116" s="1026"/>
      <c r="G116" s="1026"/>
      <c r="H116" s="1026"/>
      <c r="I116" s="1026"/>
      <c r="J116" s="1027"/>
      <c r="K116" s="382"/>
      <c r="L116" s="382"/>
      <c r="M116" s="382"/>
      <c r="N116" s="382"/>
      <c r="O116" s="382"/>
      <c r="P116" s="382"/>
      <c r="Q116" s="382"/>
      <c r="R116" s="382"/>
      <c r="S116" s="382"/>
      <c r="T116" s="382"/>
      <c r="U116" s="382"/>
      <c r="V116" s="382"/>
      <c r="W116" s="382"/>
      <c r="X116" s="382"/>
      <c r="Y116" s="382"/>
    </row>
    <row r="117" spans="1:25" s="368" customFormat="1" ht="102.75" customHeight="1" x14ac:dyDescent="0.2">
      <c r="A117" s="382"/>
      <c r="B117" s="1022" t="s">
        <v>1269</v>
      </c>
      <c r="C117" s="1007"/>
      <c r="D117" s="1007"/>
      <c r="E117" s="1007"/>
      <c r="F117" s="1007"/>
      <c r="G117" s="1007"/>
      <c r="H117" s="1007"/>
      <c r="I117" s="1007"/>
      <c r="J117" s="1008"/>
      <c r="K117" s="382"/>
      <c r="L117" s="382"/>
      <c r="M117" s="382"/>
      <c r="N117" s="382"/>
      <c r="O117" s="382"/>
      <c r="P117" s="382"/>
      <c r="Q117" s="382"/>
      <c r="R117" s="382"/>
      <c r="S117" s="382"/>
      <c r="T117" s="382"/>
      <c r="U117" s="382"/>
      <c r="V117" s="382"/>
      <c r="W117" s="382"/>
      <c r="X117" s="382"/>
      <c r="Y117" s="382"/>
    </row>
    <row r="118" spans="1:25" s="382" customFormat="1" x14ac:dyDescent="0.2"/>
    <row r="119" spans="1:25" s="375" customFormat="1" x14ac:dyDescent="0.2">
      <c r="B119" s="45" t="s">
        <v>1340</v>
      </c>
      <c r="C119" s="35"/>
      <c r="D119" s="35"/>
      <c r="E119" s="35"/>
      <c r="F119" s="35"/>
      <c r="G119" s="35"/>
      <c r="H119" s="35"/>
      <c r="I119" s="36"/>
      <c r="J119" s="36"/>
    </row>
    <row r="120" spans="1:25" s="375" customFormat="1" x14ac:dyDescent="0.2">
      <c r="B120" s="35"/>
      <c r="C120" s="35"/>
      <c r="D120" s="35"/>
      <c r="E120" s="35"/>
      <c r="F120" s="35"/>
      <c r="G120" s="35"/>
      <c r="H120" s="35"/>
      <c r="I120" s="36"/>
      <c r="J120" s="36"/>
    </row>
    <row r="121" spans="1:25" s="375" customFormat="1" x14ac:dyDescent="0.2">
      <c r="B121" s="856" t="s">
        <v>195</v>
      </c>
      <c r="C121" s="858"/>
      <c r="D121" s="858"/>
      <c r="E121" s="858"/>
      <c r="F121" s="858"/>
      <c r="G121" s="858"/>
      <c r="H121" s="858"/>
      <c r="I121" s="858"/>
      <c r="J121" s="857"/>
    </row>
    <row r="122" spans="1:25" s="375" customFormat="1" ht="20.25" customHeight="1" x14ac:dyDescent="0.2">
      <c r="B122" s="1006" t="s">
        <v>1116</v>
      </c>
      <c r="C122" s="1007"/>
      <c r="D122" s="1007"/>
      <c r="E122" s="1007"/>
      <c r="F122" s="1007"/>
      <c r="G122" s="1007"/>
      <c r="H122" s="1007"/>
      <c r="I122" s="1007"/>
      <c r="J122" s="1008"/>
    </row>
    <row r="123" spans="1:25" s="375" customFormat="1" x14ac:dyDescent="0.2">
      <c r="B123" s="35"/>
      <c r="C123" s="35"/>
      <c r="D123" s="35"/>
      <c r="E123" s="35"/>
      <c r="F123" s="35"/>
      <c r="G123" s="35"/>
      <c r="H123" s="35"/>
      <c r="I123" s="36"/>
      <c r="J123" s="36"/>
    </row>
    <row r="124" spans="1:25" s="375" customFormat="1" x14ac:dyDescent="0.2">
      <c r="A124" s="466"/>
      <c r="B124" s="457" t="s">
        <v>1342</v>
      </c>
      <c r="C124" s="456"/>
      <c r="D124" s="456"/>
      <c r="E124" s="456"/>
      <c r="F124" s="456"/>
      <c r="G124" s="456"/>
      <c r="H124" s="456"/>
      <c r="I124" s="472"/>
      <c r="J124" s="472"/>
    </row>
    <row r="125" spans="1:25" s="375" customFormat="1" x14ac:dyDescent="0.2">
      <c r="A125" s="466"/>
      <c r="B125" s="456"/>
      <c r="C125" s="456"/>
      <c r="D125" s="456"/>
      <c r="E125" s="456"/>
      <c r="F125" s="456"/>
      <c r="G125" s="456"/>
      <c r="H125" s="456"/>
      <c r="I125" s="472"/>
      <c r="J125" s="472"/>
    </row>
    <row r="126" spans="1:25" s="375" customFormat="1" ht="15" customHeight="1" x14ac:dyDescent="0.2">
      <c r="A126" s="466"/>
      <c r="B126" s="634" t="s">
        <v>57</v>
      </c>
      <c r="C126" s="1028" t="s">
        <v>194</v>
      </c>
      <c r="D126" s="1028"/>
      <c r="E126" s="1029"/>
      <c r="F126" s="1019" t="s">
        <v>56</v>
      </c>
      <c r="G126" s="1019"/>
      <c r="H126" s="1019"/>
      <c r="I126" s="1019"/>
      <c r="J126" s="1019"/>
    </row>
    <row r="127" spans="1:25" s="375" customFormat="1" ht="42.75" customHeight="1" x14ac:dyDescent="0.2">
      <c r="A127" s="466"/>
      <c r="B127" s="637" t="s">
        <v>75</v>
      </c>
      <c r="C127" s="1011" t="s">
        <v>321</v>
      </c>
      <c r="D127" s="1012"/>
      <c r="E127" s="1013"/>
      <c r="F127" s="1014" t="s">
        <v>322</v>
      </c>
      <c r="G127" s="1015"/>
      <c r="H127" s="1015"/>
      <c r="I127" s="1015"/>
      <c r="J127" s="1016"/>
    </row>
    <row r="128" spans="1:25" s="375" customFormat="1" ht="42.75" customHeight="1" x14ac:dyDescent="0.2">
      <c r="A128" s="466"/>
      <c r="B128" s="637" t="s">
        <v>74</v>
      </c>
      <c r="C128" s="1011" t="s">
        <v>323</v>
      </c>
      <c r="D128" s="1012"/>
      <c r="E128" s="1013"/>
      <c r="F128" s="1014" t="s">
        <v>324</v>
      </c>
      <c r="G128" s="1015"/>
      <c r="H128" s="1015"/>
      <c r="I128" s="1015"/>
      <c r="J128" s="1016"/>
    </row>
    <row r="129" spans="1:10" s="375" customFormat="1" x14ac:dyDescent="0.2">
      <c r="A129" s="466"/>
      <c r="B129" s="472"/>
      <c r="C129" s="472"/>
      <c r="D129" s="456"/>
      <c r="E129" s="456"/>
      <c r="F129" s="456"/>
      <c r="G129" s="456"/>
      <c r="H129" s="456"/>
      <c r="I129" s="456"/>
      <c r="J129" s="472"/>
    </row>
    <row r="130" spans="1:10" s="375" customFormat="1" x14ac:dyDescent="0.2">
      <c r="A130" s="466"/>
      <c r="B130" s="457" t="s">
        <v>1348</v>
      </c>
      <c r="C130" s="456"/>
      <c r="D130" s="456"/>
      <c r="E130" s="456"/>
      <c r="F130" s="456"/>
      <c r="G130" s="456"/>
      <c r="H130" s="456"/>
      <c r="I130" s="472"/>
      <c r="J130" s="472"/>
    </row>
    <row r="131" spans="1:10" s="375" customFormat="1" x14ac:dyDescent="0.2">
      <c r="A131" s="466"/>
      <c r="B131" s="456"/>
      <c r="C131" s="456"/>
      <c r="D131" s="456"/>
      <c r="E131" s="456"/>
      <c r="F131" s="456"/>
      <c r="G131" s="456"/>
      <c r="H131" s="456"/>
      <c r="I131" s="472"/>
      <c r="J131" s="472"/>
    </row>
    <row r="132" spans="1:10" s="375" customFormat="1" ht="15.75" customHeight="1" x14ac:dyDescent="0.2">
      <c r="A132" s="466"/>
      <c r="B132" s="634" t="s">
        <v>57</v>
      </c>
      <c r="C132" s="1028" t="s">
        <v>1349</v>
      </c>
      <c r="D132" s="1028"/>
      <c r="E132" s="1029"/>
      <c r="F132" s="1019" t="s">
        <v>1350</v>
      </c>
      <c r="G132" s="1019"/>
      <c r="H132" s="1019"/>
      <c r="I132" s="1019"/>
      <c r="J132" s="1019"/>
    </row>
    <row r="133" spans="1:10" s="375" customFormat="1" ht="43.5" customHeight="1" x14ac:dyDescent="0.2">
      <c r="A133" s="466"/>
      <c r="B133" s="637" t="s">
        <v>1351</v>
      </c>
      <c r="C133" s="1011" t="s">
        <v>1378</v>
      </c>
      <c r="D133" s="1012"/>
      <c r="E133" s="1013"/>
      <c r="F133" s="1014" t="s">
        <v>1380</v>
      </c>
      <c r="G133" s="1015"/>
      <c r="H133" s="1015"/>
      <c r="I133" s="1015"/>
      <c r="J133" s="1016"/>
    </row>
    <row r="134" spans="1:10" s="375" customFormat="1" ht="21" customHeight="1" x14ac:dyDescent="0.2">
      <c r="A134" s="466"/>
      <c r="B134" s="637" t="s">
        <v>1352</v>
      </c>
      <c r="C134" s="1011" t="s">
        <v>1379</v>
      </c>
      <c r="D134" s="1012"/>
      <c r="E134" s="1013"/>
      <c r="F134" s="1014"/>
      <c r="G134" s="1015"/>
      <c r="H134" s="1015"/>
      <c r="I134" s="1015"/>
      <c r="J134" s="1016"/>
    </row>
    <row r="135" spans="1:10" s="375" customFormat="1" x14ac:dyDescent="0.2">
      <c r="A135" s="466"/>
      <c r="B135" s="472"/>
      <c r="C135" s="472"/>
      <c r="D135" s="456"/>
      <c r="E135" s="456"/>
      <c r="F135" s="456"/>
      <c r="G135" s="456"/>
      <c r="H135" s="456"/>
      <c r="I135" s="456"/>
      <c r="J135" s="472"/>
    </row>
    <row r="136" spans="1:10" s="375" customFormat="1" x14ac:dyDescent="0.2">
      <c r="A136" s="466"/>
      <c r="B136" s="471" t="s">
        <v>1343</v>
      </c>
      <c r="C136" s="472"/>
      <c r="D136" s="456"/>
      <c r="E136" s="456"/>
      <c r="F136" s="456"/>
      <c r="G136" s="456"/>
      <c r="H136" s="456"/>
      <c r="I136" s="456"/>
      <c r="J136" s="472"/>
    </row>
    <row r="137" spans="1:10" s="375" customFormat="1" x14ac:dyDescent="0.2">
      <c r="B137" s="471"/>
      <c r="C137" s="472"/>
      <c r="D137" s="35"/>
      <c r="E137" s="35"/>
      <c r="F137" s="35"/>
      <c r="G137" s="35"/>
      <c r="H137" s="35"/>
      <c r="I137" s="456"/>
      <c r="J137" s="36"/>
    </row>
    <row r="138" spans="1:10" s="375" customFormat="1" x14ac:dyDescent="0.2">
      <c r="B138" s="471" t="s">
        <v>1346</v>
      </c>
      <c r="C138" s="472"/>
      <c r="D138" s="35"/>
      <c r="E138" s="456"/>
      <c r="F138" s="35"/>
      <c r="G138" s="456"/>
      <c r="H138" s="35"/>
      <c r="I138" s="456"/>
      <c r="J138" s="36"/>
    </row>
    <row r="139" spans="1:10" s="375" customFormat="1" x14ac:dyDescent="0.2">
      <c r="B139" s="472"/>
      <c r="C139" s="472"/>
      <c r="D139" s="35"/>
      <c r="E139" s="456"/>
      <c r="F139" s="35"/>
      <c r="G139" s="456"/>
      <c r="H139" s="35"/>
      <c r="I139" s="456"/>
      <c r="J139" s="36"/>
    </row>
    <row r="140" spans="1:10" s="375" customFormat="1" ht="28.5" customHeight="1" x14ac:dyDescent="0.2">
      <c r="B140" s="472" t="s">
        <v>1344</v>
      </c>
      <c r="C140" s="472"/>
      <c r="D140" s="664" t="s">
        <v>1363</v>
      </c>
      <c r="E140" s="473" t="s">
        <v>1432</v>
      </c>
      <c r="F140" s="650"/>
      <c r="G140" s="473" t="s">
        <v>1433</v>
      </c>
      <c r="H140" s="664" t="s">
        <v>232</v>
      </c>
      <c r="I140" s="475" t="s">
        <v>1434</v>
      </c>
      <c r="J140" s="650"/>
    </row>
    <row r="141" spans="1:10" s="375" customFormat="1" ht="15.75" customHeight="1" x14ac:dyDescent="0.2">
      <c r="B141" s="472" t="s">
        <v>1377</v>
      </c>
      <c r="C141" s="472"/>
      <c r="D141" s="668">
        <v>3560</v>
      </c>
      <c r="E141" s="456"/>
      <c r="F141" s="35"/>
      <c r="G141" s="456"/>
      <c r="H141" s="35"/>
      <c r="I141" s="456"/>
      <c r="J141" s="36"/>
    </row>
    <row r="142" spans="1:10" s="375" customFormat="1" ht="15.75" customHeight="1" x14ac:dyDescent="0.2">
      <c r="B142" s="472" t="s">
        <v>1365</v>
      </c>
      <c r="C142" s="472"/>
      <c r="D142" s="668">
        <f>+D141*5</f>
        <v>17800</v>
      </c>
      <c r="E142" s="456"/>
      <c r="F142" s="35"/>
      <c r="G142" s="456"/>
      <c r="H142" s="35"/>
      <c r="I142" s="456"/>
      <c r="J142" s="36"/>
    </row>
    <row r="143" spans="1:10" s="375" customFormat="1" ht="15.75" customHeight="1" x14ac:dyDescent="0.2">
      <c r="B143" s="472" t="s">
        <v>1345</v>
      </c>
      <c r="C143" s="472"/>
      <c r="D143" s="664" t="s">
        <v>1364</v>
      </c>
      <c r="E143" s="456"/>
      <c r="F143" s="35"/>
      <c r="G143" s="456"/>
      <c r="H143" s="35"/>
      <c r="I143" s="456"/>
      <c r="J143" s="36"/>
    </row>
    <row r="144" spans="1:10" s="375" customFormat="1" ht="15.75" customHeight="1" x14ac:dyDescent="0.2">
      <c r="B144" s="472"/>
      <c r="C144" s="472"/>
      <c r="D144" s="35"/>
      <c r="E144" s="456"/>
      <c r="F144" s="35"/>
      <c r="G144" s="456"/>
      <c r="H144" s="35"/>
      <c r="I144" s="456"/>
      <c r="J144" s="36"/>
    </row>
    <row r="145" spans="2:10" s="375" customFormat="1" ht="15.75" customHeight="1" x14ac:dyDescent="0.2">
      <c r="B145" s="471" t="s">
        <v>1366</v>
      </c>
      <c r="C145" s="472"/>
      <c r="D145" s="35"/>
      <c r="E145" s="456"/>
      <c r="F145" s="35"/>
      <c r="G145" s="456"/>
      <c r="H145" s="35"/>
      <c r="I145" s="456"/>
      <c r="J145" s="36"/>
    </row>
    <row r="146" spans="2:10" s="375" customFormat="1" ht="15.75" customHeight="1" x14ac:dyDescent="0.2">
      <c r="B146" s="472"/>
      <c r="C146" s="472"/>
      <c r="D146" s="35"/>
      <c r="E146" s="456"/>
      <c r="F146" s="35"/>
      <c r="G146" s="456"/>
      <c r="H146" s="35"/>
      <c r="I146" s="456"/>
      <c r="J146" s="36"/>
    </row>
    <row r="147" spans="2:10" s="375" customFormat="1" ht="29.25" customHeight="1" x14ac:dyDescent="0.2">
      <c r="B147" s="472" t="s">
        <v>1344</v>
      </c>
      <c r="C147" s="472"/>
      <c r="D147" s="664" t="s">
        <v>1363</v>
      </c>
      <c r="E147" s="473" t="s">
        <v>1435</v>
      </c>
      <c r="F147" s="650"/>
      <c r="G147" s="473" t="s">
        <v>1436</v>
      </c>
      <c r="H147" s="664"/>
      <c r="I147" s="475" t="s">
        <v>1437</v>
      </c>
      <c r="J147" s="664" t="s">
        <v>95</v>
      </c>
    </row>
    <row r="148" spans="2:10" s="375" customFormat="1" ht="15.75" customHeight="1" x14ac:dyDescent="0.2">
      <c r="B148" s="472" t="s">
        <v>1377</v>
      </c>
      <c r="C148" s="472"/>
      <c r="D148" s="668">
        <v>12</v>
      </c>
      <c r="E148" s="35"/>
      <c r="F148" s="35"/>
      <c r="G148" s="456"/>
      <c r="H148" s="35"/>
      <c r="I148" s="456"/>
      <c r="J148" s="36"/>
    </row>
    <row r="149" spans="2:10" s="375" customFormat="1" ht="15.75" customHeight="1" x14ac:dyDescent="0.2">
      <c r="B149" s="472" t="s">
        <v>1365</v>
      </c>
      <c r="C149" s="472"/>
      <c r="D149" s="668">
        <f>+D148*5</f>
        <v>60</v>
      </c>
      <c r="E149" s="35"/>
      <c r="F149" s="35"/>
      <c r="G149" s="456"/>
      <c r="H149" s="35"/>
      <c r="I149" s="456"/>
      <c r="J149" s="36"/>
    </row>
    <row r="150" spans="2:10" s="375" customFormat="1" ht="15.75" customHeight="1" x14ac:dyDescent="0.2">
      <c r="B150" s="472" t="s">
        <v>1345</v>
      </c>
      <c r="C150" s="472"/>
      <c r="D150" s="664" t="s">
        <v>1364</v>
      </c>
      <c r="E150" s="35"/>
      <c r="F150" s="35"/>
      <c r="G150" s="456"/>
      <c r="H150" s="35"/>
      <c r="I150" s="456"/>
      <c r="J150" s="445" t="s">
        <v>1438</v>
      </c>
    </row>
    <row r="151" spans="2:10" s="375" customFormat="1" x14ac:dyDescent="0.2">
      <c r="B151" s="36"/>
      <c r="C151" s="36"/>
      <c r="D151" s="35"/>
      <c r="E151" s="35"/>
      <c r="F151" s="35"/>
      <c r="G151" s="456"/>
      <c r="H151" s="35"/>
      <c r="I151" s="35"/>
      <c r="J151" s="36"/>
    </row>
    <row r="152" spans="2:10" s="375" customFormat="1" x14ac:dyDescent="0.2">
      <c r="B152" s="45" t="s">
        <v>1347</v>
      </c>
      <c r="C152" s="35"/>
      <c r="D152" s="35"/>
      <c r="E152" s="35"/>
      <c r="F152" s="35"/>
      <c r="G152" s="474"/>
      <c r="H152" s="35"/>
      <c r="I152" s="35"/>
      <c r="J152" s="36"/>
    </row>
    <row r="153" spans="2:10" s="375" customFormat="1" x14ac:dyDescent="0.2">
      <c r="B153" s="45"/>
      <c r="C153" s="35"/>
      <c r="D153" s="35"/>
      <c r="E153" s="35"/>
      <c r="F153" s="35"/>
      <c r="G153" s="40"/>
      <c r="H153" s="35"/>
      <c r="I153" s="35"/>
      <c r="J153" s="36"/>
    </row>
    <row r="154" spans="2:10" s="375" customFormat="1" x14ac:dyDescent="0.2">
      <c r="B154" s="45" t="s">
        <v>69</v>
      </c>
      <c r="C154" s="35"/>
      <c r="D154" s="35"/>
      <c r="E154" s="35"/>
      <c r="F154" s="35"/>
      <c r="G154" s="35"/>
      <c r="H154" s="35"/>
      <c r="I154" s="35"/>
      <c r="J154" s="36"/>
    </row>
    <row r="155" spans="2:10" s="375" customFormat="1" x14ac:dyDescent="0.2">
      <c r="B155" s="45"/>
      <c r="C155" s="35"/>
      <c r="D155" s="35"/>
      <c r="E155" s="35"/>
      <c r="F155" s="35"/>
      <c r="G155" s="35"/>
      <c r="H155" s="35"/>
      <c r="I155" s="35"/>
      <c r="J155" s="36"/>
    </row>
    <row r="156" spans="2:10" s="375" customFormat="1" x14ac:dyDescent="0.2">
      <c r="B156" s="856" t="s">
        <v>186</v>
      </c>
      <c r="C156" s="858"/>
      <c r="D156" s="858"/>
      <c r="E156" s="858"/>
      <c r="F156" s="858"/>
      <c r="G156" s="858"/>
      <c r="H156" s="858"/>
      <c r="I156" s="858"/>
      <c r="J156" s="857"/>
    </row>
    <row r="157" spans="2:10" s="375" customFormat="1" ht="31.5" customHeight="1" x14ac:dyDescent="0.2">
      <c r="B157" s="1022" t="s">
        <v>1117</v>
      </c>
      <c r="C157" s="1023"/>
      <c r="D157" s="1023"/>
      <c r="E157" s="1023"/>
      <c r="F157" s="1023"/>
      <c r="G157" s="1023"/>
      <c r="H157" s="1023"/>
      <c r="I157" s="1023"/>
      <c r="J157" s="1024"/>
    </row>
    <row r="158" spans="2:10" s="375" customFormat="1" ht="15.75" customHeight="1" x14ac:dyDescent="0.2">
      <c r="B158" s="432"/>
      <c r="C158" s="432"/>
      <c r="D158" s="432"/>
      <c r="E158" s="432"/>
      <c r="F158" s="432"/>
      <c r="G158" s="432"/>
      <c r="H158" s="432"/>
      <c r="I158" s="432"/>
      <c r="J158" s="432"/>
    </row>
    <row r="159" spans="2:10" s="375" customFormat="1" x14ac:dyDescent="0.2">
      <c r="B159" s="45" t="s">
        <v>1353</v>
      </c>
    </row>
    <row r="160" spans="2:10" s="375" customFormat="1" x14ac:dyDescent="0.2"/>
    <row r="161" spans="1:25" s="375" customFormat="1" ht="29.25" customHeight="1" x14ac:dyDescent="0.2">
      <c r="B161" s="440" t="s">
        <v>1265</v>
      </c>
      <c r="C161" s="66"/>
      <c r="D161" s="66"/>
      <c r="E161" s="66"/>
      <c r="F161" s="433" t="s">
        <v>25</v>
      </c>
      <c r="G161" s="433" t="s">
        <v>1264</v>
      </c>
      <c r="H161" s="433" t="s">
        <v>1354</v>
      </c>
      <c r="I161" s="757" t="s">
        <v>1355</v>
      </c>
      <c r="J161" s="758"/>
    </row>
    <row r="162" spans="1:25" s="375" customFormat="1" ht="31.5" customHeight="1" x14ac:dyDescent="0.2">
      <c r="B162" s="663" t="s">
        <v>1266</v>
      </c>
      <c r="C162" s="680"/>
      <c r="D162" s="680"/>
      <c r="E162" s="680"/>
      <c r="F162" s="638" t="s">
        <v>499</v>
      </c>
      <c r="G162" s="665">
        <v>10000</v>
      </c>
      <c r="H162" s="665">
        <v>12500</v>
      </c>
      <c r="I162" s="1020" t="s">
        <v>1356</v>
      </c>
      <c r="J162" s="1021"/>
    </row>
    <row r="163" spans="1:25" s="375" customFormat="1" ht="31.5" customHeight="1" x14ac:dyDescent="0.2">
      <c r="B163" s="663" t="s">
        <v>1267</v>
      </c>
      <c r="C163" s="680"/>
      <c r="D163" s="680"/>
      <c r="E163" s="680"/>
      <c r="F163" s="638" t="s">
        <v>130</v>
      </c>
      <c r="G163" s="665">
        <v>30</v>
      </c>
      <c r="H163" s="665">
        <v>75</v>
      </c>
      <c r="I163" s="1020" t="s">
        <v>1356</v>
      </c>
      <c r="J163" s="1021"/>
    </row>
    <row r="164" spans="1:25" s="375" customFormat="1" x14ac:dyDescent="0.2">
      <c r="B164" s="109"/>
      <c r="C164" s="109"/>
      <c r="D164" s="109"/>
      <c r="E164" s="109"/>
      <c r="F164" s="109"/>
      <c r="G164" s="36"/>
      <c r="H164" s="36"/>
      <c r="I164" s="387"/>
      <c r="J164" s="387"/>
    </row>
    <row r="165" spans="1:25" s="375" customFormat="1" x14ac:dyDescent="0.2">
      <c r="B165" s="457" t="s">
        <v>1357</v>
      </c>
      <c r="C165" s="109"/>
      <c r="D165" s="109"/>
      <c r="E165" s="109"/>
      <c r="F165" s="36"/>
      <c r="G165" s="35"/>
      <c r="H165" s="35"/>
      <c r="I165" s="35"/>
      <c r="J165" s="40"/>
    </row>
    <row r="166" spans="1:25" s="375" customFormat="1" x14ac:dyDescent="0.2">
      <c r="B166" s="635"/>
      <c r="C166" s="109"/>
      <c r="D166" s="109"/>
      <c r="E166" s="109"/>
      <c r="F166" s="36"/>
      <c r="G166" s="35"/>
      <c r="H166" s="35"/>
      <c r="I166" s="35"/>
      <c r="J166" s="35"/>
    </row>
    <row r="167" spans="1:25" s="375" customFormat="1" ht="18.75" customHeight="1" x14ac:dyDescent="0.2">
      <c r="B167" s="634" t="s">
        <v>71</v>
      </c>
      <c r="C167" s="808" t="s">
        <v>187</v>
      </c>
      <c r="D167" s="808"/>
      <c r="E167" s="808"/>
      <c r="F167" s="808"/>
      <c r="G167" s="808"/>
      <c r="H167" s="808"/>
      <c r="I167" s="808"/>
      <c r="J167" s="808"/>
    </row>
    <row r="168" spans="1:25" s="375" customFormat="1" ht="26.25" customHeight="1" x14ac:dyDescent="0.2">
      <c r="B168" s="636">
        <v>1</v>
      </c>
      <c r="C168" s="1018" t="s">
        <v>1118</v>
      </c>
      <c r="D168" s="1018"/>
      <c r="E168" s="1018"/>
      <c r="F168" s="1018"/>
      <c r="G168" s="1018"/>
      <c r="H168" s="1018"/>
      <c r="I168" s="1018"/>
      <c r="J168" s="1018"/>
    </row>
    <row r="169" spans="1:25" s="35" customFormat="1" ht="26.25" customHeight="1" x14ac:dyDescent="0.2">
      <c r="B169" s="636">
        <v>2</v>
      </c>
      <c r="C169" s="1018" t="s">
        <v>327</v>
      </c>
      <c r="D169" s="1018"/>
      <c r="E169" s="1018"/>
      <c r="F169" s="1018"/>
      <c r="G169" s="1018"/>
      <c r="H169" s="1018"/>
      <c r="I169" s="1018"/>
      <c r="J169" s="1018"/>
      <c r="L169" s="114"/>
      <c r="M169" s="114"/>
      <c r="N169" s="114"/>
    </row>
    <row r="170" spans="1:25" s="35" customFormat="1" ht="18" customHeight="1" x14ac:dyDescent="0.2">
      <c r="B170" s="456"/>
      <c r="C170" s="456"/>
      <c r="D170" s="456"/>
      <c r="E170" s="465"/>
      <c r="F170" s="465"/>
      <c r="G170" s="465"/>
      <c r="H170" s="465"/>
      <c r="I170" s="465"/>
      <c r="J170" s="465"/>
      <c r="L170" s="114"/>
      <c r="M170" s="114"/>
      <c r="N170" s="114"/>
    </row>
    <row r="171" spans="1:25" s="35" customFormat="1" x14ac:dyDescent="0.2">
      <c r="B171" s="470" t="s">
        <v>1440</v>
      </c>
      <c r="C171" s="472"/>
      <c r="D171" s="472"/>
      <c r="E171" s="472"/>
      <c r="F171" s="472"/>
      <c r="G171" s="472"/>
      <c r="H171" s="472"/>
      <c r="I171" s="472"/>
      <c r="J171" s="472"/>
      <c r="K171" s="36"/>
      <c r="L171" s="36"/>
      <c r="M171" s="36"/>
    </row>
    <row r="172" spans="1:25" s="35" customFormat="1" x14ac:dyDescent="0.2">
      <c r="B172" s="456"/>
      <c r="C172" s="466"/>
      <c r="D172" s="466"/>
      <c r="E172" s="466"/>
      <c r="F172" s="466"/>
      <c r="G172" s="466"/>
      <c r="H172" s="472"/>
      <c r="I172" s="472"/>
      <c r="J172" s="472"/>
      <c r="K172" s="36"/>
      <c r="L172" s="36"/>
      <c r="M172" s="36"/>
    </row>
    <row r="173" spans="1:25" s="4" customFormat="1" ht="80.25" customHeight="1" x14ac:dyDescent="0.2">
      <c r="A173" s="35"/>
      <c r="B173" s="1017" t="s">
        <v>1239</v>
      </c>
      <c r="C173" s="1017"/>
      <c r="D173" s="476" t="s">
        <v>1240</v>
      </c>
      <c r="E173" s="476" t="s">
        <v>1241</v>
      </c>
      <c r="F173" s="476" t="s">
        <v>1242</v>
      </c>
      <c r="G173" s="1017" t="s">
        <v>1243</v>
      </c>
      <c r="H173" s="1017"/>
      <c r="I173" s="1017" t="s">
        <v>1244</v>
      </c>
      <c r="J173" s="1017"/>
      <c r="K173" s="36"/>
      <c r="L173" s="36"/>
      <c r="M173" s="36"/>
      <c r="N173" s="35"/>
      <c r="O173" s="35"/>
      <c r="P173" s="35"/>
      <c r="Q173" s="35"/>
      <c r="R173" s="35"/>
      <c r="S173" s="35"/>
      <c r="T173" s="35"/>
      <c r="U173" s="35"/>
      <c r="V173" s="35"/>
      <c r="W173" s="35"/>
      <c r="X173" s="35"/>
      <c r="Y173" s="35"/>
    </row>
    <row r="174" spans="1:25" s="35" customFormat="1" ht="72.75" customHeight="1" x14ac:dyDescent="0.2">
      <c r="B174" s="1010" t="s">
        <v>1295</v>
      </c>
      <c r="C174" s="1010"/>
      <c r="D174" s="681" t="s">
        <v>1245</v>
      </c>
      <c r="E174" s="682" t="s">
        <v>1296</v>
      </c>
      <c r="F174" s="681" t="s">
        <v>1246</v>
      </c>
      <c r="G174" s="1010" t="s">
        <v>1247</v>
      </c>
      <c r="H174" s="1010"/>
      <c r="I174" s="1010" t="s">
        <v>1248</v>
      </c>
      <c r="J174" s="1010"/>
      <c r="K174" s="36"/>
      <c r="L174" s="36"/>
      <c r="M174" s="36"/>
    </row>
    <row r="175" spans="1:25" s="35" customFormat="1" ht="55.5" customHeight="1" x14ac:dyDescent="0.2">
      <c r="B175" s="1010" t="s">
        <v>1249</v>
      </c>
      <c r="C175" s="1010"/>
      <c r="D175" s="682" t="s">
        <v>1245</v>
      </c>
      <c r="E175" s="682" t="s">
        <v>1300</v>
      </c>
      <c r="F175" s="682" t="s">
        <v>1250</v>
      </c>
      <c r="G175" s="1010" t="s">
        <v>1251</v>
      </c>
      <c r="H175" s="1010"/>
      <c r="I175" s="1010" t="s">
        <v>1252</v>
      </c>
      <c r="J175" s="1010"/>
      <c r="K175" s="36"/>
      <c r="L175" s="36"/>
      <c r="M175" s="36"/>
    </row>
    <row r="176" spans="1:25" s="35" customFormat="1" ht="60" customHeight="1" x14ac:dyDescent="0.2">
      <c r="B176" s="1010" t="s">
        <v>1298</v>
      </c>
      <c r="C176" s="1010"/>
      <c r="D176" s="682" t="s">
        <v>1245</v>
      </c>
      <c r="E176" s="682" t="s">
        <v>1294</v>
      </c>
      <c r="F176" s="682" t="s">
        <v>1246</v>
      </c>
      <c r="G176" s="1010" t="s">
        <v>1253</v>
      </c>
      <c r="H176" s="1010"/>
      <c r="I176" s="1010" t="s">
        <v>1254</v>
      </c>
      <c r="J176" s="1010"/>
      <c r="K176" s="36"/>
      <c r="L176" s="36"/>
      <c r="M176" s="36"/>
    </row>
    <row r="177" spans="2:14" s="35" customFormat="1" ht="48.75" customHeight="1" x14ac:dyDescent="0.2">
      <c r="B177" s="1010" t="s">
        <v>1301</v>
      </c>
      <c r="C177" s="1010"/>
      <c r="D177" s="682" t="s">
        <v>1255</v>
      </c>
      <c r="E177" s="682" t="s">
        <v>1297</v>
      </c>
      <c r="F177" s="682" t="s">
        <v>1246</v>
      </c>
      <c r="G177" s="1010" t="s">
        <v>1256</v>
      </c>
      <c r="H177" s="1010"/>
      <c r="I177" s="1010" t="s">
        <v>1257</v>
      </c>
      <c r="J177" s="1010"/>
      <c r="K177" s="36"/>
      <c r="L177" s="36"/>
      <c r="M177" s="36"/>
    </row>
    <row r="178" spans="2:14" s="35" customFormat="1" ht="18" customHeight="1" x14ac:dyDescent="0.2">
      <c r="E178" s="77"/>
      <c r="F178" s="77"/>
      <c r="G178" s="77"/>
      <c r="H178" s="77"/>
      <c r="I178" s="77"/>
      <c r="J178" s="77"/>
      <c r="L178" s="114"/>
      <c r="M178" s="114"/>
      <c r="N178" s="114"/>
    </row>
    <row r="179" spans="2:14" s="375" customFormat="1" x14ac:dyDescent="0.2">
      <c r="B179" s="45" t="s">
        <v>1439</v>
      </c>
      <c r="C179" s="35"/>
      <c r="D179" s="35"/>
      <c r="E179" s="35"/>
      <c r="F179" s="36"/>
      <c r="G179" s="40"/>
      <c r="H179" s="36"/>
      <c r="I179" s="438"/>
      <c r="J179" s="36"/>
    </row>
    <row r="180" spans="2:14" s="375" customFormat="1" x14ac:dyDescent="0.2">
      <c r="B180" s="35"/>
      <c r="C180" s="35"/>
      <c r="D180" s="35"/>
      <c r="E180" s="35"/>
      <c r="F180" s="36"/>
      <c r="G180" s="36"/>
      <c r="H180" s="36"/>
      <c r="I180" s="438"/>
      <c r="J180" s="36"/>
    </row>
    <row r="181" spans="2:14" s="375" customFormat="1" ht="25.5" customHeight="1" x14ac:dyDescent="0.2">
      <c r="B181" s="757" t="s">
        <v>1370</v>
      </c>
      <c r="C181" s="775"/>
      <c r="D181" s="757" t="s">
        <v>24</v>
      </c>
      <c r="E181" s="775"/>
      <c r="F181" s="775"/>
      <c r="G181" s="775"/>
      <c r="H181" s="775"/>
      <c r="I181" s="775"/>
      <c r="J181" s="758"/>
    </row>
    <row r="182" spans="2:14" s="375" customFormat="1" ht="33.75" customHeight="1" x14ac:dyDescent="0.2">
      <c r="B182" s="983" t="s">
        <v>1371</v>
      </c>
      <c r="C182" s="983"/>
      <c r="D182" s="984" t="s">
        <v>1325</v>
      </c>
      <c r="E182" s="985"/>
      <c r="F182" s="985"/>
      <c r="G182" s="985"/>
      <c r="H182" s="985"/>
      <c r="I182" s="985"/>
      <c r="J182" s="986"/>
    </row>
    <row r="183" spans="2:14" s="375" customFormat="1" ht="33.75" customHeight="1" x14ac:dyDescent="0.2">
      <c r="B183" s="983" t="s">
        <v>1372</v>
      </c>
      <c r="C183" s="983"/>
      <c r="D183" s="984" t="s">
        <v>1373</v>
      </c>
      <c r="E183" s="985"/>
      <c r="F183" s="985"/>
      <c r="G183" s="985"/>
      <c r="H183" s="985"/>
      <c r="I183" s="985"/>
      <c r="J183" s="986"/>
    </row>
    <row r="184" spans="2:14" s="375" customFormat="1" x14ac:dyDescent="0.2"/>
    <row r="185" spans="2:14" s="375" customFormat="1" x14ac:dyDescent="0.2"/>
    <row r="186" spans="2:14" s="375" customFormat="1" x14ac:dyDescent="0.2"/>
    <row r="187" spans="2:14" s="375" customFormat="1" x14ac:dyDescent="0.2"/>
    <row r="188" spans="2:14" s="375" customFormat="1" x14ac:dyDescent="0.2"/>
    <row r="189" spans="2:14" s="375" customFormat="1" x14ac:dyDescent="0.2"/>
    <row r="190" spans="2:14" s="375" customFormat="1" x14ac:dyDescent="0.2"/>
    <row r="191" spans="2:14" s="375" customFormat="1" x14ac:dyDescent="0.2"/>
    <row r="192" spans="2:14" s="375" customFormat="1" x14ac:dyDescent="0.2"/>
    <row r="193" s="375" customFormat="1" x14ac:dyDescent="0.2"/>
    <row r="194" s="375" customFormat="1" x14ac:dyDescent="0.2"/>
    <row r="195" s="375" customFormat="1" x14ac:dyDescent="0.2"/>
    <row r="196" s="375" customFormat="1" x14ac:dyDescent="0.2"/>
    <row r="197" s="375" customFormat="1" x14ac:dyDescent="0.2"/>
    <row r="198" s="375" customFormat="1" x14ac:dyDescent="0.2"/>
    <row r="199" s="375" customFormat="1" x14ac:dyDescent="0.2"/>
    <row r="200" s="375" customFormat="1" x14ac:dyDescent="0.2"/>
    <row r="201" s="375" customFormat="1" x14ac:dyDescent="0.2"/>
    <row r="202" s="375" customFormat="1" x14ac:dyDescent="0.2"/>
    <row r="203" s="375" customFormat="1" x14ac:dyDescent="0.2"/>
    <row r="204" s="375" customFormat="1" x14ac:dyDescent="0.2"/>
    <row r="205" s="375" customFormat="1" x14ac:dyDescent="0.2"/>
    <row r="206" s="375" customFormat="1" x14ac:dyDescent="0.2"/>
    <row r="207" s="375" customFormat="1" x14ac:dyDescent="0.2"/>
    <row r="208" s="375" customFormat="1" x14ac:dyDescent="0.2"/>
    <row r="209" s="375" customFormat="1" x14ac:dyDescent="0.2"/>
    <row r="210" s="375" customFormat="1" x14ac:dyDescent="0.2"/>
    <row r="211" s="375" customFormat="1" x14ac:dyDescent="0.2"/>
    <row r="212" s="375" customFormat="1" x14ac:dyDescent="0.2"/>
    <row r="213" s="375" customFormat="1" x14ac:dyDescent="0.2"/>
    <row r="214" s="375" customFormat="1" x14ac:dyDescent="0.2"/>
    <row r="215" s="375" customFormat="1" x14ac:dyDescent="0.2"/>
    <row r="216" s="375" customFormat="1" x14ac:dyDescent="0.2"/>
    <row r="217" s="375" customFormat="1" x14ac:dyDescent="0.2"/>
    <row r="218" s="375" customFormat="1" x14ac:dyDescent="0.2"/>
    <row r="219" s="375" customFormat="1" x14ac:dyDescent="0.2"/>
    <row r="220" s="375" customFormat="1" x14ac:dyDescent="0.2"/>
    <row r="221" s="375" customFormat="1" x14ac:dyDescent="0.2"/>
    <row r="222" s="375" customFormat="1" x14ac:dyDescent="0.2"/>
    <row r="223" s="375" customFormat="1" x14ac:dyDescent="0.2"/>
    <row r="224" s="375" customFormat="1" x14ac:dyDescent="0.2"/>
    <row r="225" s="375" customFormat="1" x14ac:dyDescent="0.2"/>
    <row r="226" s="375" customFormat="1" x14ac:dyDescent="0.2"/>
    <row r="227" s="375" customFormat="1" x14ac:dyDescent="0.2"/>
    <row r="228" s="375" customFormat="1" x14ac:dyDescent="0.2"/>
    <row r="229" s="375" customFormat="1" x14ac:dyDescent="0.2"/>
    <row r="230" s="375" customFormat="1" x14ac:dyDescent="0.2"/>
    <row r="231" s="375" customFormat="1" x14ac:dyDescent="0.2"/>
    <row r="232" s="375" customFormat="1" x14ac:dyDescent="0.2"/>
    <row r="233" s="375" customFormat="1" x14ac:dyDescent="0.2"/>
    <row r="234" s="375" customFormat="1" x14ac:dyDescent="0.2"/>
    <row r="235" s="375" customFormat="1" x14ac:dyDescent="0.2"/>
    <row r="236" s="375" customFormat="1" x14ac:dyDescent="0.2"/>
    <row r="237" s="375" customFormat="1" x14ac:dyDescent="0.2"/>
    <row r="238" s="375" customFormat="1" x14ac:dyDescent="0.2"/>
    <row r="239" s="375" customFormat="1" x14ac:dyDescent="0.2"/>
    <row r="240" s="375" customFormat="1" x14ac:dyDescent="0.2"/>
    <row r="241" s="375" customFormat="1" x14ac:dyDescent="0.2"/>
    <row r="242" s="375" customFormat="1" x14ac:dyDescent="0.2"/>
    <row r="243" s="375" customFormat="1" x14ac:dyDescent="0.2"/>
    <row r="244" s="375" customFormat="1" x14ac:dyDescent="0.2"/>
    <row r="245" s="375" customFormat="1" x14ac:dyDescent="0.2"/>
    <row r="246" s="375" customFormat="1" x14ac:dyDescent="0.2"/>
    <row r="247" s="375" customFormat="1" x14ac:dyDescent="0.2"/>
    <row r="248" s="375" customFormat="1" x14ac:dyDescent="0.2"/>
    <row r="249" s="375" customFormat="1" x14ac:dyDescent="0.2"/>
    <row r="250" s="375" customFormat="1" x14ac:dyDescent="0.2"/>
    <row r="251" s="375" customFormat="1" x14ac:dyDescent="0.2"/>
    <row r="252" s="375" customFormat="1" x14ac:dyDescent="0.2"/>
    <row r="253" s="375" customFormat="1" x14ac:dyDescent="0.2"/>
    <row r="254" s="375" customFormat="1" x14ac:dyDescent="0.2"/>
    <row r="255" s="375" customFormat="1" x14ac:dyDescent="0.2"/>
    <row r="256" s="375" customFormat="1" x14ac:dyDescent="0.2"/>
    <row r="257" s="375" customFormat="1" x14ac:dyDescent="0.2"/>
    <row r="258" s="375" customFormat="1" x14ac:dyDescent="0.2"/>
    <row r="259" s="375" customFormat="1" x14ac:dyDescent="0.2"/>
    <row r="260" s="375" customFormat="1" x14ac:dyDescent="0.2"/>
    <row r="261" s="375" customFormat="1" x14ac:dyDescent="0.2"/>
    <row r="262" s="375" customFormat="1" x14ac:dyDescent="0.2"/>
    <row r="263" s="375" customFormat="1" x14ac:dyDescent="0.2"/>
    <row r="264" s="375" customFormat="1" x14ac:dyDescent="0.2"/>
    <row r="265" s="375" customFormat="1" x14ac:dyDescent="0.2"/>
    <row r="266" s="375" customFormat="1" x14ac:dyDescent="0.2"/>
    <row r="267" s="375" customFormat="1" x14ac:dyDescent="0.2"/>
    <row r="268" s="375" customFormat="1" x14ac:dyDescent="0.2"/>
    <row r="269" s="375" customFormat="1" x14ac:dyDescent="0.2"/>
    <row r="270" s="375" customFormat="1" x14ac:dyDescent="0.2"/>
    <row r="271" s="375" customFormat="1" x14ac:dyDescent="0.2"/>
    <row r="272" s="375" customFormat="1" x14ac:dyDescent="0.2"/>
    <row r="273" s="375" customFormat="1" x14ac:dyDescent="0.2"/>
    <row r="274" s="375" customFormat="1" x14ac:dyDescent="0.2"/>
    <row r="275" s="375" customFormat="1" x14ac:dyDescent="0.2"/>
    <row r="276" s="375" customFormat="1" x14ac:dyDescent="0.2"/>
    <row r="277" s="375" customFormat="1" x14ac:dyDescent="0.2"/>
    <row r="278" s="375" customFormat="1" x14ac:dyDescent="0.2"/>
    <row r="279" s="375" customFormat="1" x14ac:dyDescent="0.2"/>
    <row r="280" s="375" customFormat="1" x14ac:dyDescent="0.2"/>
    <row r="281" s="375" customFormat="1" x14ac:dyDescent="0.2"/>
    <row r="282" s="375" customFormat="1" x14ac:dyDescent="0.2"/>
    <row r="283" s="375" customFormat="1" x14ac:dyDescent="0.2"/>
    <row r="284" s="375" customFormat="1" x14ac:dyDescent="0.2"/>
    <row r="285" s="375" customFormat="1" x14ac:dyDescent="0.2"/>
    <row r="286" s="375" customFormat="1" x14ac:dyDescent="0.2"/>
    <row r="287" s="375" customFormat="1" x14ac:dyDescent="0.2"/>
    <row r="288" s="375" customFormat="1" x14ac:dyDescent="0.2"/>
    <row r="289" s="375" customFormat="1" x14ac:dyDescent="0.2"/>
    <row r="290" s="375" customFormat="1" x14ac:dyDescent="0.2"/>
    <row r="291" s="375" customFormat="1" x14ac:dyDescent="0.2"/>
    <row r="292" s="375" customFormat="1" x14ac:dyDescent="0.2"/>
    <row r="293" s="375" customFormat="1" x14ac:dyDescent="0.2"/>
    <row r="294" s="375" customFormat="1" x14ac:dyDescent="0.2"/>
    <row r="295" s="375" customFormat="1" x14ac:dyDescent="0.2"/>
    <row r="296" s="375" customFormat="1" x14ac:dyDescent="0.2"/>
    <row r="297" s="375" customFormat="1" x14ac:dyDescent="0.2"/>
    <row r="298" s="375" customFormat="1" x14ac:dyDescent="0.2"/>
    <row r="299" s="375" customFormat="1" x14ac:dyDescent="0.2"/>
    <row r="300" s="375" customFormat="1" x14ac:dyDescent="0.2"/>
    <row r="301" s="375" customFormat="1" x14ac:dyDescent="0.2"/>
    <row r="302" s="375" customFormat="1" x14ac:dyDescent="0.2"/>
    <row r="303" s="375" customFormat="1" x14ac:dyDescent="0.2"/>
    <row r="304" s="375" customFormat="1" x14ac:dyDescent="0.2"/>
    <row r="305" s="375" customFormat="1" x14ac:dyDescent="0.2"/>
    <row r="306" s="375" customFormat="1" x14ac:dyDescent="0.2"/>
    <row r="307" s="375" customFormat="1" x14ac:dyDescent="0.2"/>
    <row r="308" s="375" customFormat="1" x14ac:dyDescent="0.2"/>
    <row r="309" s="375" customFormat="1" x14ac:dyDescent="0.2"/>
    <row r="310" s="375" customFormat="1" x14ac:dyDescent="0.2"/>
    <row r="311" s="375" customFormat="1" x14ac:dyDescent="0.2"/>
    <row r="312" s="375" customFormat="1" x14ac:dyDescent="0.2"/>
    <row r="313" s="375" customFormat="1" x14ac:dyDescent="0.2"/>
    <row r="314" s="375" customFormat="1" x14ac:dyDescent="0.2"/>
    <row r="315" s="375" customFormat="1" x14ac:dyDescent="0.2"/>
    <row r="316" s="375" customFormat="1" x14ac:dyDescent="0.2"/>
    <row r="317" s="375" customFormat="1" x14ac:dyDescent="0.2"/>
    <row r="318" s="375" customFormat="1" x14ac:dyDescent="0.2"/>
    <row r="319" s="375" customFormat="1" x14ac:dyDescent="0.2"/>
    <row r="320" s="375" customFormat="1" x14ac:dyDescent="0.2"/>
    <row r="321" s="375" customFormat="1" x14ac:dyDescent="0.2"/>
    <row r="322" s="375" customFormat="1" x14ac:dyDescent="0.2"/>
    <row r="323" s="375" customFormat="1" x14ac:dyDescent="0.2"/>
    <row r="324" s="375" customFormat="1" x14ac:dyDescent="0.2"/>
    <row r="325" s="375" customFormat="1" x14ac:dyDescent="0.2"/>
    <row r="326" s="375" customFormat="1" x14ac:dyDescent="0.2"/>
    <row r="327" s="375" customFormat="1" x14ac:dyDescent="0.2"/>
    <row r="328" s="375" customFormat="1" x14ac:dyDescent="0.2"/>
    <row r="329" s="375" customFormat="1" x14ac:dyDescent="0.2"/>
    <row r="330" s="375" customFormat="1" x14ac:dyDescent="0.2"/>
    <row r="331" s="375" customFormat="1" x14ac:dyDescent="0.2"/>
    <row r="332" s="375" customFormat="1" x14ac:dyDescent="0.2"/>
    <row r="333" s="375" customFormat="1" x14ac:dyDescent="0.2"/>
    <row r="334" s="375" customFormat="1" x14ac:dyDescent="0.2"/>
    <row r="335" s="375" customFormat="1" x14ac:dyDescent="0.2"/>
    <row r="336" s="375" customFormat="1" x14ac:dyDescent="0.2"/>
    <row r="337" s="375" customFormat="1" x14ac:dyDescent="0.2"/>
    <row r="338" s="375" customFormat="1" x14ac:dyDescent="0.2"/>
    <row r="339" s="375" customFormat="1" x14ac:dyDescent="0.2"/>
    <row r="340" s="375" customFormat="1" x14ac:dyDescent="0.2"/>
    <row r="341" s="375" customFormat="1" x14ac:dyDescent="0.2"/>
    <row r="342" s="375" customFormat="1" x14ac:dyDescent="0.2"/>
    <row r="343" s="375" customFormat="1" x14ac:dyDescent="0.2"/>
    <row r="344" s="375" customFormat="1" x14ac:dyDescent="0.2"/>
    <row r="345" s="375" customFormat="1" x14ac:dyDescent="0.2"/>
    <row r="346" s="375" customFormat="1" x14ac:dyDescent="0.2"/>
    <row r="347" s="375" customFormat="1" x14ac:dyDescent="0.2"/>
    <row r="348" s="375" customFormat="1" x14ac:dyDescent="0.2"/>
    <row r="349" s="375" customFormat="1" x14ac:dyDescent="0.2"/>
    <row r="350" s="375" customFormat="1" x14ac:dyDescent="0.2"/>
    <row r="351" s="375" customFormat="1" x14ac:dyDescent="0.2"/>
    <row r="352" s="375" customFormat="1" x14ac:dyDescent="0.2"/>
    <row r="353" s="375" customFormat="1" x14ac:dyDescent="0.2"/>
    <row r="354" s="375" customFormat="1" x14ac:dyDescent="0.2"/>
    <row r="355" s="375" customFormat="1" x14ac:dyDescent="0.2"/>
    <row r="356" s="375" customFormat="1" x14ac:dyDescent="0.2"/>
    <row r="357" s="375" customFormat="1" x14ac:dyDescent="0.2"/>
    <row r="358" s="375" customFormat="1" x14ac:dyDescent="0.2"/>
    <row r="359" s="375" customFormat="1" x14ac:dyDescent="0.2"/>
    <row r="360" s="375" customFormat="1" x14ac:dyDescent="0.2"/>
    <row r="361" s="375" customFormat="1" x14ac:dyDescent="0.2"/>
  </sheetData>
  <sheetProtection algorithmName="SHA-512" hashValue="yJu8Vp5V5I6ret+hGQWYuUNiPWyeSuvXtdP+iSsQyXq05JfyQiy0h6e9lq1A/8djMvhzlBzF7/dBMSFG0X3a+Q==" saltValue="uLXJmcY/oXWcnNrruDJqXw==" spinCount="100000" sheet="1" objects="1" scenarios="1" insertRows="0"/>
  <mergeCells count="88">
    <mergeCell ref="B3:J3"/>
    <mergeCell ref="E95:J95"/>
    <mergeCell ref="B117:J117"/>
    <mergeCell ref="C133:E133"/>
    <mergeCell ref="F133:J133"/>
    <mergeCell ref="B116:J116"/>
    <mergeCell ref="F127:J127"/>
    <mergeCell ref="F128:J128"/>
    <mergeCell ref="B121:J121"/>
    <mergeCell ref="B122:J122"/>
    <mergeCell ref="C126:E126"/>
    <mergeCell ref="F126:J126"/>
    <mergeCell ref="C100:C101"/>
    <mergeCell ref="D100:G100"/>
    <mergeCell ref="E98:J98"/>
    <mergeCell ref="B100:B101"/>
    <mergeCell ref="C132:E132"/>
    <mergeCell ref="F132:J132"/>
    <mergeCell ref="I163:J163"/>
    <mergeCell ref="B157:J157"/>
    <mergeCell ref="C167:J167"/>
    <mergeCell ref="B174:C174"/>
    <mergeCell ref="I162:J162"/>
    <mergeCell ref="B175:C175"/>
    <mergeCell ref="I174:J174"/>
    <mergeCell ref="G175:H175"/>
    <mergeCell ref="I175:J175"/>
    <mergeCell ref="C169:J169"/>
    <mergeCell ref="B173:C173"/>
    <mergeCell ref="B176:C176"/>
    <mergeCell ref="B177:C177"/>
    <mergeCell ref="C127:E127"/>
    <mergeCell ref="C128:E128"/>
    <mergeCell ref="B156:J156"/>
    <mergeCell ref="C134:E134"/>
    <mergeCell ref="F134:J134"/>
    <mergeCell ref="G176:H176"/>
    <mergeCell ref="I176:J176"/>
    <mergeCell ref="G177:H177"/>
    <mergeCell ref="I177:J177"/>
    <mergeCell ref="G173:H173"/>
    <mergeCell ref="I161:J161"/>
    <mergeCell ref="C168:J168"/>
    <mergeCell ref="I173:J173"/>
    <mergeCell ref="G174:H174"/>
    <mergeCell ref="E90:J90"/>
    <mergeCell ref="E91:J91"/>
    <mergeCell ref="E92:J92"/>
    <mergeCell ref="E93:J93"/>
    <mergeCell ref="E94:J94"/>
    <mergeCell ref="I77:J77"/>
    <mergeCell ref="E56:J56"/>
    <mergeCell ref="E63:J63"/>
    <mergeCell ref="E64:J64"/>
    <mergeCell ref="E65:J65"/>
    <mergeCell ref="E66:J66"/>
    <mergeCell ref="E37:J37"/>
    <mergeCell ref="E39:J39"/>
    <mergeCell ref="E48:J48"/>
    <mergeCell ref="E50:J50"/>
    <mergeCell ref="E52:J52"/>
    <mergeCell ref="B29:D29"/>
    <mergeCell ref="E29:J29"/>
    <mergeCell ref="B30:D30"/>
    <mergeCell ref="E30:J30"/>
    <mergeCell ref="E35:J35"/>
    <mergeCell ref="B2:J2"/>
    <mergeCell ref="B6:J6"/>
    <mergeCell ref="B27:D27"/>
    <mergeCell ref="E27:J27"/>
    <mergeCell ref="B28:D28"/>
    <mergeCell ref="E28:J28"/>
    <mergeCell ref="B4:J4"/>
    <mergeCell ref="B23:D23"/>
    <mergeCell ref="B22:D22"/>
    <mergeCell ref="E22:F22"/>
    <mergeCell ref="E23:F23"/>
    <mergeCell ref="G14:J14"/>
    <mergeCell ref="G16:J16"/>
    <mergeCell ref="G22:J22"/>
    <mergeCell ref="G23:J23"/>
    <mergeCell ref="B5:J5"/>
    <mergeCell ref="B183:C183"/>
    <mergeCell ref="D183:J183"/>
    <mergeCell ref="B181:C181"/>
    <mergeCell ref="B182:C182"/>
    <mergeCell ref="D182:J182"/>
    <mergeCell ref="D181:J181"/>
  </mergeCells>
  <dataValidations count="12">
    <dataValidation type="decimal" operator="lessThanOrEqual" allowBlank="1" showInputMessage="1" showErrorMessage="1" sqref="G163:H163">
      <formula1>100</formula1>
    </dataValidation>
    <dataValidation type="decimal" operator="lessThanOrEqual" allowBlank="1" showInputMessage="1" showErrorMessage="1" sqref="G162:H162">
      <formula1>100000</formula1>
    </dataValidation>
    <dataValidation type="list" allowBlank="1" showInputMessage="1" showErrorMessage="1" sqref="F96">
      <formula1>"_,X"</formula1>
    </dataValidation>
    <dataValidation type="whole" operator="lessThanOrEqual" allowBlank="1" showInputMessage="1" showErrorMessage="1" sqref="D141:D142">
      <formula1>1000000</formula1>
    </dataValidation>
    <dataValidation type="whole" operator="lessThanOrEqual" allowBlank="1" showInputMessage="1" showErrorMessage="1" sqref="D148:D149">
      <formula1>100000</formula1>
    </dataValidation>
    <dataValidation type="whole" allowBlank="1" showInputMessage="1" showErrorMessage="1" sqref="G10">
      <formula1>0</formula1>
      <formula2>9999999</formula2>
    </dataValidation>
    <dataValidation type="decimal" allowBlank="1" showInputMessage="1" showErrorMessage="1" sqref="G18">
      <formula1>0</formula1>
      <formula2>999999.99</formula2>
    </dataValidation>
    <dataValidation type="decimal" allowBlank="1" showInputMessage="1" showErrorMessage="1" sqref="D82:E85">
      <formula1>0</formula1>
      <formula2>99999.99</formula2>
    </dataValidation>
    <dataValidation type="list" allowBlank="1" showInputMessage="1" showErrorMessage="1" sqref="G82:G85">
      <formula1>"B, R, M"</formula1>
    </dataValidation>
    <dataValidation type="whole" allowBlank="1" showInputMessage="1" showErrorMessage="1" sqref="E71 F70 H70">
      <formula1>0</formula1>
      <formula2>99999999</formula2>
    </dataValidation>
    <dataValidation type="whole" allowBlank="1" showInputMessage="1" showErrorMessage="1" sqref="D102:E107">
      <formula1>0</formula1>
      <formula2>10000000</formula2>
    </dataValidation>
    <dataValidation type="whole" allowBlank="1" showInputMessage="1" showErrorMessage="1" sqref="G102:G107">
      <formula1>0</formula1>
      <formula2>100000000</formula2>
    </dataValidation>
  </dataValidations>
  <pageMargins left="0.70866141732283472" right="0.70866141732283472" top="0.74803149606299213" bottom="0.74803149606299213" header="0.31496062992125984" footer="0.31496062992125984"/>
  <pageSetup scale="61" orientation="portrait" r:id="rId1"/>
  <rowBreaks count="1" manualBreakCount="1">
    <brk id="78" max="9" man="1"/>
  </rowBreaks>
  <ignoredErrors>
    <ignoredError sqref="E73" numberStoredAsText="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R275"/>
  <sheetViews>
    <sheetView topLeftCell="A50" zoomScale="110" zoomScaleNormal="110" zoomScaleSheetLayoutView="130" workbookViewId="0">
      <selection activeCell="C67" sqref="C67"/>
    </sheetView>
  </sheetViews>
  <sheetFormatPr baseColWidth="10" defaultRowHeight="12.75" x14ac:dyDescent="0.2"/>
  <cols>
    <col min="1" max="1" width="8" style="375" customWidth="1"/>
    <col min="2" max="3" width="18.7109375" customWidth="1"/>
    <col min="4" max="4" width="19.5703125" customWidth="1"/>
    <col min="5" max="5" width="18.28515625" customWidth="1"/>
    <col min="6" max="7" width="15.42578125" customWidth="1"/>
    <col min="8" max="8" width="16.28515625" customWidth="1"/>
    <col min="11" max="17" width="11.42578125" style="375"/>
  </cols>
  <sheetData>
    <row r="1" spans="1:18" s="375" customFormat="1" x14ac:dyDescent="0.2"/>
    <row r="2" spans="1:18" s="35" customFormat="1" ht="22.5" customHeight="1" x14ac:dyDescent="0.2">
      <c r="B2" s="987" t="s">
        <v>1330</v>
      </c>
      <c r="C2" s="988"/>
      <c r="D2" s="988"/>
      <c r="E2" s="988"/>
      <c r="F2" s="988"/>
      <c r="G2" s="988"/>
      <c r="H2" s="988"/>
      <c r="I2" s="988"/>
      <c r="J2" s="989"/>
      <c r="L2" s="114"/>
      <c r="M2" s="114"/>
      <c r="N2" s="114"/>
    </row>
    <row r="3" spans="1:18" s="35" customFormat="1" ht="19.5" customHeight="1" x14ac:dyDescent="0.2">
      <c r="B3" s="999" t="s">
        <v>1328</v>
      </c>
      <c r="C3" s="1000"/>
      <c r="D3" s="1000"/>
      <c r="E3" s="1000"/>
      <c r="F3" s="1000"/>
      <c r="G3" s="1000"/>
      <c r="H3" s="1000"/>
      <c r="I3" s="1000"/>
      <c r="J3" s="1001"/>
      <c r="L3" s="114"/>
      <c r="M3" s="114"/>
      <c r="N3" s="114"/>
    </row>
    <row r="4" spans="1:18" s="35" customFormat="1" ht="19.5" customHeight="1" x14ac:dyDescent="0.2">
      <c r="B4" s="990" t="s">
        <v>215</v>
      </c>
      <c r="C4" s="991"/>
      <c r="D4" s="991"/>
      <c r="E4" s="991"/>
      <c r="F4" s="991"/>
      <c r="G4" s="991"/>
      <c r="H4" s="991"/>
      <c r="I4" s="991"/>
      <c r="J4" s="992"/>
      <c r="L4" s="114"/>
      <c r="M4" s="114"/>
      <c r="N4" s="114"/>
    </row>
    <row r="5" spans="1:18" s="35" customFormat="1" ht="20.25" customHeight="1" x14ac:dyDescent="0.2">
      <c r="B5" s="429"/>
      <c r="C5" s="36"/>
      <c r="D5" s="36"/>
      <c r="E5" s="36"/>
      <c r="F5" s="36"/>
      <c r="G5" s="36"/>
      <c r="H5" s="36"/>
      <c r="I5" s="36"/>
      <c r="J5" s="36"/>
      <c r="L5" s="114"/>
      <c r="M5" s="114"/>
      <c r="N5" s="114"/>
    </row>
    <row r="6" spans="1:18" s="6" customFormat="1" ht="16.5" customHeight="1" x14ac:dyDescent="0.2">
      <c r="A6" s="36"/>
      <c r="B6" s="46" t="s">
        <v>1374</v>
      </c>
      <c r="C6" s="47"/>
      <c r="D6" s="47"/>
      <c r="E6" s="47"/>
      <c r="F6" s="47"/>
      <c r="G6" s="47"/>
      <c r="H6" s="48"/>
      <c r="I6" s="42"/>
      <c r="J6" s="42"/>
      <c r="K6" s="36"/>
      <c r="L6" s="116"/>
      <c r="M6" s="116"/>
      <c r="N6" s="116"/>
      <c r="O6" s="54"/>
      <c r="P6" s="855"/>
      <c r="Q6" s="855"/>
      <c r="R6" s="855"/>
    </row>
    <row r="7" spans="1:18" s="35" customFormat="1" ht="19.5" customHeight="1" x14ac:dyDescent="0.2">
      <c r="E7" s="77"/>
      <c r="F7" s="77"/>
      <c r="G7" s="77"/>
      <c r="H7" s="77"/>
      <c r="I7" s="77"/>
      <c r="J7" s="77"/>
      <c r="L7" s="114"/>
      <c r="M7" s="114"/>
      <c r="N7" s="114"/>
    </row>
    <row r="8" spans="1:18" s="35" customFormat="1" ht="19.5" customHeight="1" x14ac:dyDescent="0.2">
      <c r="B8" s="100" t="s">
        <v>1401</v>
      </c>
      <c r="C8" s="419"/>
      <c r="D8" s="419"/>
      <c r="E8" s="414"/>
      <c r="F8" s="51"/>
      <c r="G8" s="52"/>
      <c r="H8" s="52"/>
      <c r="I8" s="402"/>
      <c r="J8" s="53"/>
      <c r="L8" s="114"/>
      <c r="M8" s="114"/>
      <c r="N8" s="114"/>
    </row>
    <row r="9" spans="1:18" s="35" customFormat="1" ht="15.75" customHeight="1" x14ac:dyDescent="0.2">
      <c r="B9" s="100"/>
      <c r="C9" s="51"/>
      <c r="D9" s="51"/>
      <c r="E9" s="40"/>
      <c r="F9" s="51"/>
      <c r="G9" s="52"/>
      <c r="H9" s="52"/>
      <c r="I9" s="402"/>
      <c r="J9" s="53"/>
      <c r="L9" s="114"/>
      <c r="M9" s="114"/>
      <c r="N9" s="114"/>
    </row>
    <row r="10" spans="1:18" s="35" customFormat="1" ht="19.5" customHeight="1" x14ac:dyDescent="0.2">
      <c r="B10" s="73" t="s">
        <v>1114</v>
      </c>
      <c r="C10" s="403"/>
      <c r="D10" s="36"/>
      <c r="E10" s="36"/>
      <c r="F10" s="36"/>
      <c r="G10" s="664">
        <v>10</v>
      </c>
      <c r="H10" s="381"/>
      <c r="I10" s="387"/>
      <c r="J10" s="381"/>
      <c r="L10" s="114"/>
      <c r="M10" s="114"/>
      <c r="N10" s="114"/>
    </row>
    <row r="11" spans="1:18" s="35" customFormat="1" ht="14.25" customHeight="1" x14ac:dyDescent="0.2">
      <c r="B11" s="36"/>
      <c r="C11" s="403"/>
      <c r="D11" s="36"/>
      <c r="E11" s="36"/>
      <c r="F11" s="36"/>
      <c r="G11" s="381"/>
      <c r="H11" s="381"/>
      <c r="I11" s="387"/>
      <c r="J11" s="381"/>
      <c r="L11" s="114"/>
      <c r="M11" s="114"/>
      <c r="N11" s="114"/>
    </row>
    <row r="12" spans="1:18" s="35" customFormat="1" ht="19.5" customHeight="1" x14ac:dyDescent="0.2">
      <c r="B12" s="73" t="s">
        <v>1375</v>
      </c>
      <c r="C12" s="403"/>
      <c r="D12" s="36"/>
      <c r="E12" s="36"/>
      <c r="F12" s="36"/>
      <c r="G12" s="381"/>
      <c r="H12" s="381"/>
      <c r="I12" s="387"/>
      <c r="J12" s="381"/>
      <c r="L12" s="114"/>
      <c r="M12" s="114"/>
      <c r="N12" s="114"/>
    </row>
    <row r="13" spans="1:18" s="35" customFormat="1" ht="39" customHeight="1" x14ac:dyDescent="0.2">
      <c r="B13" s="1043" t="s">
        <v>1381</v>
      </c>
      <c r="C13" s="1043"/>
      <c r="D13" s="1043"/>
      <c r="E13" s="1043"/>
      <c r="F13" s="1043"/>
      <c r="G13" s="1043"/>
      <c r="H13" s="1043"/>
      <c r="I13" s="1043"/>
      <c r="J13" s="1043"/>
      <c r="L13" s="114"/>
      <c r="M13" s="114"/>
      <c r="N13" s="114"/>
    </row>
    <row r="14" spans="1:18" s="35" customFormat="1" ht="19.5" customHeight="1" x14ac:dyDescent="0.2">
      <c r="B14" s="36"/>
      <c r="C14" s="403"/>
      <c r="D14" s="36"/>
      <c r="E14" s="36"/>
      <c r="F14" s="36"/>
      <c r="G14" s="381"/>
      <c r="H14" s="381"/>
      <c r="I14" s="387"/>
      <c r="J14" s="381"/>
      <c r="L14" s="114"/>
      <c r="M14" s="114"/>
      <c r="N14" s="114"/>
    </row>
    <row r="15" spans="1:18" s="35" customFormat="1" ht="19.5" customHeight="1" x14ac:dyDescent="0.2">
      <c r="B15" s="73" t="s">
        <v>1105</v>
      </c>
      <c r="C15" s="403"/>
      <c r="D15" s="36"/>
      <c r="E15" s="36"/>
      <c r="F15" s="36"/>
      <c r="G15" s="381"/>
      <c r="H15" s="381"/>
      <c r="I15" s="387"/>
      <c r="J15" s="381"/>
      <c r="L15" s="114"/>
      <c r="M15" s="114"/>
      <c r="N15" s="114"/>
    </row>
    <row r="16" spans="1:18" s="35" customFormat="1" ht="18.75" customHeight="1" x14ac:dyDescent="0.2">
      <c r="B16" s="36"/>
      <c r="C16" s="403"/>
      <c r="D16" s="36"/>
      <c r="E16" s="36"/>
      <c r="F16" s="36"/>
      <c r="G16" s="381"/>
      <c r="H16" s="381"/>
      <c r="I16" s="387"/>
      <c r="J16" s="381"/>
      <c r="L16" s="114"/>
      <c r="M16" s="114"/>
      <c r="N16" s="114"/>
    </row>
    <row r="17" spans="1:17" s="35" customFormat="1" ht="19.5" customHeight="1" x14ac:dyDescent="0.2">
      <c r="B17" s="36" t="s">
        <v>1107</v>
      </c>
      <c r="C17" s="403"/>
      <c r="D17" s="36"/>
      <c r="E17" s="36"/>
      <c r="F17" s="36"/>
      <c r="G17" s="683"/>
      <c r="H17" s="564"/>
      <c r="I17" s="565"/>
      <c r="J17" s="566"/>
      <c r="L17" s="114"/>
      <c r="M17" s="114"/>
      <c r="N17" s="114"/>
    </row>
    <row r="18" spans="1:17" s="35" customFormat="1" ht="19.5" customHeight="1" x14ac:dyDescent="0.2">
      <c r="B18" s="35" t="s">
        <v>1106</v>
      </c>
      <c r="C18" s="401"/>
      <c r="E18" s="383"/>
      <c r="G18" s="1020"/>
      <c r="H18" s="1041"/>
      <c r="I18" s="1041"/>
      <c r="J18" s="1021"/>
      <c r="L18" s="114"/>
      <c r="M18" s="114"/>
      <c r="N18" s="114"/>
    </row>
    <row r="19" spans="1:17" s="35" customFormat="1" ht="19.5" customHeight="1" x14ac:dyDescent="0.2">
      <c r="E19" s="441"/>
      <c r="F19" s="441"/>
      <c r="G19" s="441"/>
      <c r="H19" s="441"/>
      <c r="I19" s="441"/>
      <c r="J19" s="441"/>
      <c r="L19" s="114"/>
      <c r="M19" s="114"/>
      <c r="N19" s="114"/>
    </row>
    <row r="20" spans="1:17" s="382" customFormat="1" ht="16.5" customHeight="1" x14ac:dyDescent="0.2">
      <c r="B20" s="388" t="s">
        <v>1278</v>
      </c>
      <c r="C20" s="389"/>
      <c r="D20" s="389"/>
      <c r="E20" s="389"/>
      <c r="F20" s="389"/>
      <c r="G20" s="389"/>
      <c r="H20" s="389"/>
      <c r="I20" s="390"/>
      <c r="J20" s="390"/>
      <c r="L20" s="391"/>
      <c r="M20" s="391"/>
      <c r="N20" s="391"/>
      <c r="O20" s="391"/>
      <c r="P20" s="391"/>
      <c r="Q20" s="390"/>
    </row>
    <row r="21" spans="1:17" s="382" customFormat="1" ht="11.25" customHeight="1" x14ac:dyDescent="0.2">
      <c r="B21" s="388"/>
      <c r="C21" s="389"/>
      <c r="D21" s="389"/>
      <c r="E21" s="389"/>
      <c r="F21" s="389"/>
      <c r="G21" s="389"/>
      <c r="H21" s="389"/>
      <c r="I21" s="390"/>
      <c r="J21" s="390"/>
      <c r="L21" s="391"/>
      <c r="M21" s="391"/>
      <c r="N21" s="391"/>
      <c r="O21" s="391"/>
      <c r="P21" s="391"/>
      <c r="Q21" s="390"/>
    </row>
    <row r="22" spans="1:17" s="382" customFormat="1" ht="16.5" customHeight="1" x14ac:dyDescent="0.2">
      <c r="B22" s="388" t="s">
        <v>1292</v>
      </c>
      <c r="C22" s="389"/>
      <c r="D22" s="389"/>
      <c r="E22" s="389"/>
      <c r="F22" s="389"/>
      <c r="G22" s="389"/>
      <c r="H22" s="389"/>
      <c r="I22" s="390"/>
      <c r="J22" s="390"/>
      <c r="L22" s="391"/>
      <c r="M22" s="391"/>
      <c r="N22" s="391"/>
      <c r="O22" s="391"/>
      <c r="P22" s="391"/>
      <c r="Q22" s="390"/>
    </row>
    <row r="23" spans="1:17" s="368" customFormat="1" ht="37.5" customHeight="1" x14ac:dyDescent="0.2">
      <c r="A23" s="382"/>
      <c r="B23" s="1036" t="s">
        <v>1293</v>
      </c>
      <c r="C23" s="1037"/>
      <c r="D23" s="1037"/>
      <c r="E23" s="1037"/>
      <c r="F23" s="1037"/>
      <c r="G23" s="1037"/>
      <c r="H23" s="1037"/>
      <c r="I23" s="1037"/>
      <c r="J23" s="1038"/>
      <c r="K23" s="382"/>
      <c r="L23" s="391"/>
      <c r="M23" s="391"/>
      <c r="N23" s="391"/>
      <c r="O23" s="391"/>
      <c r="P23" s="391"/>
      <c r="Q23" s="390"/>
    </row>
    <row r="24" spans="1:17" s="35" customFormat="1" ht="16.5" customHeight="1" x14ac:dyDescent="0.2">
      <c r="E24" s="77"/>
      <c r="F24" s="77"/>
      <c r="G24" s="77"/>
      <c r="H24" s="77"/>
      <c r="I24" s="77"/>
      <c r="J24" s="77"/>
      <c r="L24" s="114"/>
      <c r="M24" s="114"/>
      <c r="N24" s="114"/>
    </row>
    <row r="25" spans="1:17" s="35" customFormat="1" ht="19.5" customHeight="1" x14ac:dyDescent="0.2">
      <c r="B25" s="457" t="s">
        <v>1279</v>
      </c>
      <c r="C25" s="456"/>
      <c r="D25" s="456"/>
      <c r="E25" s="77"/>
      <c r="F25" s="77"/>
      <c r="G25" s="77"/>
      <c r="H25" s="77"/>
      <c r="I25" s="77"/>
      <c r="J25" s="77"/>
      <c r="L25" s="114"/>
      <c r="M25" s="114"/>
      <c r="N25" s="114"/>
    </row>
    <row r="26" spans="1:17" s="35" customFormat="1" ht="18" customHeight="1" x14ac:dyDescent="0.2">
      <c r="B26" s="456"/>
      <c r="C26" s="456"/>
      <c r="D26" s="456"/>
      <c r="E26" s="77"/>
      <c r="F26" s="77"/>
      <c r="G26" s="77"/>
      <c r="H26" s="77"/>
      <c r="I26" s="77"/>
      <c r="J26" s="77"/>
      <c r="L26" s="114"/>
      <c r="M26" s="114"/>
      <c r="N26" s="114"/>
    </row>
    <row r="27" spans="1:17" s="35" customFormat="1" ht="19.5" customHeight="1" x14ac:dyDescent="0.2">
      <c r="B27" s="457" t="s">
        <v>1280</v>
      </c>
      <c r="C27" s="456"/>
      <c r="D27" s="456"/>
      <c r="E27" s="77"/>
      <c r="F27" s="77"/>
      <c r="G27" s="77"/>
      <c r="H27" s="77"/>
      <c r="I27" s="77"/>
      <c r="J27" s="77"/>
      <c r="L27" s="114"/>
      <c r="M27" s="114"/>
      <c r="N27" s="114"/>
    </row>
    <row r="28" spans="1:17" s="35" customFormat="1" ht="19.5" customHeight="1" x14ac:dyDescent="0.2">
      <c r="B28" s="457"/>
      <c r="C28" s="456"/>
      <c r="D28" s="456"/>
      <c r="E28" s="77"/>
      <c r="F28" s="77"/>
      <c r="G28" s="77"/>
      <c r="H28" s="77"/>
      <c r="I28" s="77"/>
      <c r="J28" s="77"/>
      <c r="L28" s="114"/>
      <c r="M28" s="114"/>
      <c r="N28" s="114"/>
    </row>
    <row r="29" spans="1:17" s="35" customFormat="1" ht="17.25" customHeight="1" x14ac:dyDescent="0.2">
      <c r="B29" s="456" t="s">
        <v>400</v>
      </c>
      <c r="C29" s="562"/>
      <c r="D29" s="456"/>
      <c r="E29" s="563" t="s">
        <v>401</v>
      </c>
      <c r="F29" s="983" t="s">
        <v>1047</v>
      </c>
      <c r="G29" s="983"/>
      <c r="H29" s="563" t="s">
        <v>402</v>
      </c>
      <c r="I29" s="1042"/>
      <c r="J29" s="1042"/>
      <c r="L29" s="114"/>
      <c r="M29" s="114"/>
      <c r="N29" s="114"/>
    </row>
    <row r="30" spans="1:17" s="35" customFormat="1" ht="17.25" customHeight="1" x14ac:dyDescent="0.2">
      <c r="B30" s="456" t="s">
        <v>403</v>
      </c>
      <c r="C30" s="456"/>
      <c r="D30" s="456"/>
      <c r="E30" s="1009" t="s">
        <v>398</v>
      </c>
      <c r="F30" s="1009"/>
      <c r="G30" s="1009"/>
      <c r="H30" s="1009"/>
      <c r="I30" s="1009"/>
      <c r="J30" s="1009"/>
      <c r="L30" s="114"/>
      <c r="M30" s="114"/>
      <c r="N30" s="114"/>
    </row>
    <row r="31" spans="1:17" s="35" customFormat="1" ht="17.25" customHeight="1" x14ac:dyDescent="0.2">
      <c r="B31" s="456"/>
      <c r="C31" s="456"/>
      <c r="D31" s="456"/>
      <c r="E31" s="77"/>
      <c r="F31" s="77"/>
      <c r="G31" s="77"/>
      <c r="H31" s="77"/>
      <c r="I31" s="77"/>
      <c r="J31" s="77"/>
      <c r="L31" s="114"/>
      <c r="M31" s="114"/>
      <c r="N31" s="114"/>
    </row>
    <row r="32" spans="1:17" s="35" customFormat="1" ht="17.25" customHeight="1" x14ac:dyDescent="0.2">
      <c r="B32" s="457" t="s">
        <v>1281</v>
      </c>
      <c r="C32" s="456"/>
      <c r="D32" s="456"/>
      <c r="E32" s="77"/>
      <c r="F32" s="77"/>
      <c r="G32" s="77"/>
      <c r="H32" s="77"/>
      <c r="I32" s="77"/>
      <c r="J32" s="77"/>
      <c r="L32" s="114"/>
      <c r="M32" s="114"/>
      <c r="N32" s="114"/>
    </row>
    <row r="33" spans="1:17" s="35" customFormat="1" ht="17.25" customHeight="1" x14ac:dyDescent="0.2">
      <c r="B33" s="456"/>
      <c r="C33" s="456"/>
      <c r="D33" s="456"/>
      <c r="E33" s="77"/>
      <c r="F33" s="77"/>
      <c r="G33" s="77"/>
      <c r="H33" s="77"/>
      <c r="I33" s="77"/>
      <c r="J33" s="77"/>
      <c r="L33" s="114"/>
      <c r="M33" s="114"/>
      <c r="N33" s="114"/>
    </row>
    <row r="34" spans="1:17" s="35" customFormat="1" ht="17.25" customHeight="1" x14ac:dyDescent="0.2">
      <c r="B34" s="1039" t="s">
        <v>1069</v>
      </c>
      <c r="C34" s="1039"/>
      <c r="D34" s="1039"/>
      <c r="E34" s="664">
        <v>15</v>
      </c>
      <c r="F34" s="559" t="s">
        <v>154</v>
      </c>
      <c r="G34" s="385"/>
      <c r="H34" s="392"/>
      <c r="I34" s="1031"/>
      <c r="J34" s="1031"/>
      <c r="L34" s="114"/>
      <c r="M34" s="114"/>
      <c r="N34" s="114"/>
    </row>
    <row r="35" spans="1:17" s="35" customFormat="1" ht="17.25" customHeight="1" x14ac:dyDescent="0.2">
      <c r="B35" s="1040"/>
      <c r="C35" s="1040"/>
      <c r="D35" s="1040"/>
      <c r="E35" s="131"/>
      <c r="F35" s="109"/>
      <c r="G35" s="385"/>
      <c r="H35" s="392"/>
      <c r="I35" s="77"/>
      <c r="J35" s="77"/>
      <c r="L35" s="114"/>
      <c r="M35" s="114"/>
      <c r="N35" s="114"/>
    </row>
    <row r="36" spans="1:17" s="254" customFormat="1" ht="52.5" customHeight="1" x14ac:dyDescent="0.2">
      <c r="A36" s="397"/>
      <c r="B36" s="591" t="s">
        <v>519</v>
      </c>
      <c r="C36" s="591" t="s">
        <v>515</v>
      </c>
      <c r="D36" s="591" t="s">
        <v>1070</v>
      </c>
      <c r="E36" s="591" t="s">
        <v>1126</v>
      </c>
      <c r="F36" s="591" t="s">
        <v>518</v>
      </c>
      <c r="G36" s="394"/>
      <c r="H36" s="395"/>
      <c r="I36" s="395"/>
      <c r="J36" s="395"/>
      <c r="K36" s="397"/>
      <c r="L36" s="418"/>
      <c r="M36" s="418"/>
      <c r="N36" s="418"/>
      <c r="O36" s="397"/>
      <c r="P36" s="397"/>
      <c r="Q36" s="397"/>
    </row>
    <row r="37" spans="1:17" s="64" customFormat="1" ht="17.25" customHeight="1" x14ac:dyDescent="0.2">
      <c r="A37" s="35"/>
      <c r="B37" s="454" t="str">
        <f>+B63</f>
        <v>ENE</v>
      </c>
      <c r="C37" s="686">
        <f>+Oferta!G7</f>
        <v>15</v>
      </c>
      <c r="D37" s="687">
        <f>+Oferta!G13</f>
        <v>5</v>
      </c>
      <c r="E37" s="687">
        <f>+Oferta!G11</f>
        <v>120</v>
      </c>
      <c r="F37" s="520">
        <f>+C37*3.6*ROUND(I37/D37,0)*E37</f>
        <v>38880</v>
      </c>
      <c r="G37" s="385"/>
      <c r="H37" s="392"/>
      <c r="I37" s="396">
        <v>31</v>
      </c>
      <c r="J37" s="77"/>
      <c r="K37" s="35"/>
      <c r="L37" s="114"/>
      <c r="M37" s="114"/>
      <c r="N37" s="114"/>
      <c r="O37" s="35"/>
      <c r="P37" s="35"/>
      <c r="Q37" s="35"/>
    </row>
    <row r="38" spans="1:17" s="64" customFormat="1" ht="17.25" customHeight="1" x14ac:dyDescent="0.2">
      <c r="A38" s="35"/>
      <c r="B38" s="454" t="str">
        <f t="shared" ref="B38:B48" si="0">+B64</f>
        <v>FEB</v>
      </c>
      <c r="C38" s="686">
        <f>+Oferta!H7</f>
        <v>15</v>
      </c>
      <c r="D38" s="687">
        <f>+Oferta!H13</f>
        <v>5</v>
      </c>
      <c r="E38" s="687">
        <f>+Oferta!H11</f>
        <v>120</v>
      </c>
      <c r="F38" s="520">
        <f t="shared" ref="F38:F48" si="1">+C38*3.6*ROUND(I38/D38,0)*E38</f>
        <v>38880</v>
      </c>
      <c r="G38" s="385"/>
      <c r="H38" s="392"/>
      <c r="I38" s="396">
        <v>28</v>
      </c>
      <c r="J38" s="77"/>
      <c r="K38" s="35"/>
      <c r="L38" s="114"/>
      <c r="M38" s="114"/>
      <c r="N38" s="114"/>
      <c r="O38" s="35"/>
      <c r="P38" s="35"/>
      <c r="Q38" s="35"/>
    </row>
    <row r="39" spans="1:17" s="64" customFormat="1" ht="17.25" customHeight="1" x14ac:dyDescent="0.2">
      <c r="A39" s="35"/>
      <c r="B39" s="454" t="str">
        <f t="shared" si="0"/>
        <v>MAR</v>
      </c>
      <c r="C39" s="686">
        <f>+Oferta!I7</f>
        <v>15</v>
      </c>
      <c r="D39" s="687">
        <f>+Oferta!I13</f>
        <v>5</v>
      </c>
      <c r="E39" s="687">
        <f>+Oferta!I11</f>
        <v>120</v>
      </c>
      <c r="F39" s="520">
        <f t="shared" si="1"/>
        <v>38880</v>
      </c>
      <c r="G39" s="385"/>
      <c r="H39" s="392"/>
      <c r="I39" s="396">
        <v>31</v>
      </c>
      <c r="J39" s="77"/>
      <c r="K39" s="35"/>
      <c r="L39" s="114"/>
      <c r="M39" s="114"/>
      <c r="N39" s="114"/>
      <c r="O39" s="35"/>
      <c r="P39" s="35"/>
      <c r="Q39" s="35"/>
    </row>
    <row r="40" spans="1:17" s="64" customFormat="1" ht="17.25" customHeight="1" x14ac:dyDescent="0.2">
      <c r="A40" s="35"/>
      <c r="B40" s="454" t="str">
        <f t="shared" si="0"/>
        <v>ABR</v>
      </c>
      <c r="C40" s="686">
        <f>+Oferta!J7</f>
        <v>15</v>
      </c>
      <c r="D40" s="687">
        <f>+Oferta!J13</f>
        <v>5</v>
      </c>
      <c r="E40" s="687">
        <f>+Oferta!J11</f>
        <v>80</v>
      </c>
      <c r="F40" s="520">
        <f t="shared" si="1"/>
        <v>25920</v>
      </c>
      <c r="G40" s="385"/>
      <c r="H40" s="392"/>
      <c r="I40" s="396">
        <v>30</v>
      </c>
      <c r="J40" s="77"/>
      <c r="K40" s="35"/>
      <c r="L40" s="114"/>
      <c r="M40" s="114"/>
      <c r="N40" s="114"/>
      <c r="O40" s="35"/>
      <c r="P40" s="35"/>
      <c r="Q40" s="35"/>
    </row>
    <row r="41" spans="1:17" s="64" customFormat="1" ht="17.25" customHeight="1" x14ac:dyDescent="0.2">
      <c r="A41" s="35"/>
      <c r="B41" s="454" t="str">
        <f t="shared" si="0"/>
        <v>MAY</v>
      </c>
      <c r="C41" s="686">
        <f>+Oferta!K7</f>
        <v>15</v>
      </c>
      <c r="D41" s="687">
        <f>+Oferta!K13</f>
        <v>5</v>
      </c>
      <c r="E41" s="687">
        <f>+Oferta!K11</f>
        <v>80</v>
      </c>
      <c r="F41" s="520">
        <f t="shared" si="1"/>
        <v>25920</v>
      </c>
      <c r="G41" s="385"/>
      <c r="H41" s="392"/>
      <c r="I41" s="396">
        <v>31</v>
      </c>
      <c r="J41" s="77"/>
      <c r="K41" s="35"/>
      <c r="L41" s="114"/>
      <c r="M41" s="114"/>
      <c r="N41" s="114"/>
      <c r="O41" s="35"/>
      <c r="P41" s="35"/>
      <c r="Q41" s="35"/>
    </row>
    <row r="42" spans="1:17" s="64" customFormat="1" ht="17.25" customHeight="1" x14ac:dyDescent="0.2">
      <c r="A42" s="35"/>
      <c r="B42" s="454" t="str">
        <f t="shared" si="0"/>
        <v>JUN</v>
      </c>
      <c r="C42" s="686">
        <f>+Oferta!L7</f>
        <v>15</v>
      </c>
      <c r="D42" s="687">
        <f>+Oferta!L13</f>
        <v>5</v>
      </c>
      <c r="E42" s="687">
        <f>+Oferta!L11</f>
        <v>80</v>
      </c>
      <c r="F42" s="520">
        <f t="shared" si="1"/>
        <v>25920</v>
      </c>
      <c r="G42" s="385"/>
      <c r="H42" s="392"/>
      <c r="I42" s="396">
        <v>30</v>
      </c>
      <c r="J42" s="77"/>
      <c r="K42" s="35"/>
      <c r="L42" s="114"/>
      <c r="M42" s="114"/>
      <c r="N42" s="114"/>
      <c r="O42" s="35"/>
      <c r="P42" s="35"/>
      <c r="Q42" s="35"/>
    </row>
    <row r="43" spans="1:17" s="64" customFormat="1" ht="17.25" customHeight="1" x14ac:dyDescent="0.2">
      <c r="A43" s="35"/>
      <c r="B43" s="454" t="str">
        <f t="shared" si="0"/>
        <v>JUL</v>
      </c>
      <c r="C43" s="686">
        <f>+Oferta!M7</f>
        <v>15</v>
      </c>
      <c r="D43" s="687">
        <f>+Oferta!M13</f>
        <v>5</v>
      </c>
      <c r="E43" s="687">
        <f>+Oferta!M11</f>
        <v>80</v>
      </c>
      <c r="F43" s="520">
        <f t="shared" si="1"/>
        <v>25920</v>
      </c>
      <c r="G43" s="385"/>
      <c r="H43" s="392"/>
      <c r="I43" s="396">
        <v>31</v>
      </c>
      <c r="J43" s="77"/>
      <c r="K43" s="35"/>
      <c r="L43" s="114"/>
      <c r="M43" s="114"/>
      <c r="N43" s="114"/>
      <c r="O43" s="35"/>
      <c r="P43" s="35"/>
      <c r="Q43" s="35"/>
    </row>
    <row r="44" spans="1:17" s="64" customFormat="1" ht="17.25" customHeight="1" x14ac:dyDescent="0.2">
      <c r="A44" s="35"/>
      <c r="B44" s="454" t="str">
        <f t="shared" si="0"/>
        <v>AGO</v>
      </c>
      <c r="C44" s="686">
        <f>+Oferta!N7</f>
        <v>15</v>
      </c>
      <c r="D44" s="687">
        <f>+Oferta!N13</f>
        <v>5</v>
      </c>
      <c r="E44" s="687">
        <f>+Oferta!N11</f>
        <v>80</v>
      </c>
      <c r="F44" s="520">
        <f t="shared" si="1"/>
        <v>25920</v>
      </c>
      <c r="G44" s="385"/>
      <c r="H44" s="392"/>
      <c r="I44" s="396">
        <v>31</v>
      </c>
      <c r="J44" s="77"/>
      <c r="K44" s="35"/>
      <c r="L44" s="114"/>
      <c r="M44" s="114"/>
      <c r="N44" s="114"/>
      <c r="O44" s="35"/>
      <c r="P44" s="35"/>
      <c r="Q44" s="35"/>
    </row>
    <row r="45" spans="1:17" s="64" customFormat="1" ht="17.25" customHeight="1" x14ac:dyDescent="0.2">
      <c r="A45" s="35"/>
      <c r="B45" s="454" t="str">
        <f t="shared" si="0"/>
        <v>SEP</v>
      </c>
      <c r="C45" s="686">
        <f>+Oferta!O7</f>
        <v>15</v>
      </c>
      <c r="D45" s="687">
        <f>+Oferta!O13</f>
        <v>5</v>
      </c>
      <c r="E45" s="687">
        <f>+Oferta!O11</f>
        <v>80</v>
      </c>
      <c r="F45" s="520">
        <f t="shared" si="1"/>
        <v>25920</v>
      </c>
      <c r="G45" s="385"/>
      <c r="H45" s="392"/>
      <c r="I45" s="396">
        <v>30</v>
      </c>
      <c r="J45" s="77"/>
      <c r="K45" s="35"/>
      <c r="L45" s="114"/>
      <c r="M45" s="114"/>
      <c r="N45" s="114"/>
      <c r="O45" s="35"/>
      <c r="P45" s="35"/>
      <c r="Q45" s="35"/>
    </row>
    <row r="46" spans="1:17" s="64" customFormat="1" ht="17.25" customHeight="1" x14ac:dyDescent="0.2">
      <c r="A46" s="35"/>
      <c r="B46" s="454" t="str">
        <f t="shared" si="0"/>
        <v>OCT</v>
      </c>
      <c r="C46" s="686">
        <f>+Oferta!P7</f>
        <v>15</v>
      </c>
      <c r="D46" s="687">
        <f>+Oferta!P13</f>
        <v>5</v>
      </c>
      <c r="E46" s="687">
        <f>+Oferta!P11</f>
        <v>80</v>
      </c>
      <c r="F46" s="520">
        <f t="shared" si="1"/>
        <v>25920</v>
      </c>
      <c r="G46" s="385"/>
      <c r="H46" s="392"/>
      <c r="I46" s="396">
        <v>31</v>
      </c>
      <c r="J46" s="77"/>
      <c r="K46" s="35"/>
      <c r="L46" s="114"/>
      <c r="M46" s="114"/>
      <c r="N46" s="114"/>
      <c r="O46" s="35"/>
      <c r="P46" s="35"/>
      <c r="Q46" s="35"/>
    </row>
    <row r="47" spans="1:17" s="64" customFormat="1" ht="17.25" customHeight="1" x14ac:dyDescent="0.2">
      <c r="A47" s="35"/>
      <c r="B47" s="454" t="str">
        <f t="shared" si="0"/>
        <v>NOV</v>
      </c>
      <c r="C47" s="686">
        <f>+Oferta!Q7</f>
        <v>15</v>
      </c>
      <c r="D47" s="687">
        <f>+Oferta!Q13</f>
        <v>5</v>
      </c>
      <c r="E47" s="687">
        <f>+Oferta!Q11</f>
        <v>120</v>
      </c>
      <c r="F47" s="520">
        <f t="shared" si="1"/>
        <v>38880</v>
      </c>
      <c r="G47" s="385"/>
      <c r="H47" s="392"/>
      <c r="I47" s="396">
        <v>30</v>
      </c>
      <c r="J47" s="77"/>
      <c r="K47" s="35"/>
      <c r="L47" s="114"/>
      <c r="M47" s="114"/>
      <c r="N47" s="114"/>
      <c r="O47" s="35"/>
      <c r="P47" s="35"/>
      <c r="Q47" s="35"/>
    </row>
    <row r="48" spans="1:17" s="64" customFormat="1" ht="17.25" customHeight="1" x14ac:dyDescent="0.2">
      <c r="A48" s="35"/>
      <c r="B48" s="454" t="str">
        <f t="shared" si="0"/>
        <v>DIC</v>
      </c>
      <c r="C48" s="686">
        <f>+Oferta!R7</f>
        <v>15</v>
      </c>
      <c r="D48" s="687">
        <f>+Oferta!R13</f>
        <v>5</v>
      </c>
      <c r="E48" s="687">
        <f>+Oferta!R11</f>
        <v>120</v>
      </c>
      <c r="F48" s="520">
        <f t="shared" si="1"/>
        <v>38880</v>
      </c>
      <c r="G48" s="385"/>
      <c r="H48" s="392"/>
      <c r="I48" s="396">
        <v>31</v>
      </c>
      <c r="J48" s="77"/>
      <c r="K48" s="35"/>
      <c r="L48" s="114"/>
      <c r="M48" s="114"/>
      <c r="N48" s="114"/>
      <c r="O48" s="35"/>
      <c r="P48" s="35"/>
      <c r="Q48" s="35"/>
    </row>
    <row r="49" spans="1:17" s="64" customFormat="1" ht="17.25" customHeight="1" x14ac:dyDescent="0.2">
      <c r="A49" s="35"/>
      <c r="B49" s="1019" t="s">
        <v>520</v>
      </c>
      <c r="C49" s="1019"/>
      <c r="D49" s="1019"/>
      <c r="E49" s="1019"/>
      <c r="F49" s="521">
        <f>SUM(F37:F48)</f>
        <v>375840</v>
      </c>
      <c r="G49" s="385"/>
      <c r="H49" s="392"/>
      <c r="I49" s="77"/>
      <c r="J49" s="77"/>
      <c r="K49" s="35"/>
      <c r="L49" s="114"/>
      <c r="M49" s="114"/>
      <c r="N49" s="114"/>
      <c r="O49" s="35"/>
      <c r="P49" s="35"/>
      <c r="Q49" s="35"/>
    </row>
    <row r="50" spans="1:17" s="35" customFormat="1" ht="17.25" customHeight="1" x14ac:dyDescent="0.2">
      <c r="B50" s="536" t="s">
        <v>1127</v>
      </c>
      <c r="C50" s="109"/>
      <c r="D50" s="109"/>
      <c r="E50" s="109"/>
      <c r="F50" s="341"/>
      <c r="G50" s="385"/>
      <c r="H50" s="392"/>
      <c r="I50" s="77"/>
      <c r="J50" s="77"/>
      <c r="L50" s="114"/>
      <c r="M50" s="114"/>
      <c r="N50" s="114"/>
    </row>
    <row r="51" spans="1:17" s="35" customFormat="1" ht="17.25" customHeight="1" x14ac:dyDescent="0.2">
      <c r="B51" s="536" t="s">
        <v>1236</v>
      </c>
      <c r="C51" s="109"/>
      <c r="D51" s="1020" t="s">
        <v>1237</v>
      </c>
      <c r="E51" s="1041"/>
      <c r="F51" s="1021"/>
      <c r="G51" s="385"/>
      <c r="H51" s="392"/>
      <c r="I51" s="77"/>
      <c r="J51" s="77"/>
      <c r="L51" s="114"/>
      <c r="M51" s="114"/>
      <c r="N51" s="114"/>
    </row>
    <row r="52" spans="1:17" s="35" customFormat="1" ht="17.25" customHeight="1" x14ac:dyDescent="0.2">
      <c r="B52" s="536"/>
      <c r="C52" s="536"/>
      <c r="D52" s="536"/>
      <c r="E52" s="131"/>
      <c r="F52" s="109"/>
      <c r="G52" s="385"/>
      <c r="H52" s="392"/>
      <c r="I52" s="77"/>
      <c r="J52" s="77"/>
      <c r="L52" s="114"/>
      <c r="M52" s="114"/>
      <c r="N52" s="114"/>
    </row>
    <row r="53" spans="1:17" s="35" customFormat="1" ht="17.25" customHeight="1" x14ac:dyDescent="0.2">
      <c r="B53" s="457" t="s">
        <v>1282</v>
      </c>
      <c r="C53" s="536"/>
      <c r="D53" s="536"/>
      <c r="E53" s="131"/>
      <c r="F53" s="109"/>
      <c r="G53" s="385"/>
      <c r="H53" s="392"/>
      <c r="I53" s="77"/>
      <c r="J53" s="77"/>
      <c r="L53" s="114"/>
      <c r="M53" s="114"/>
      <c r="N53" s="114"/>
    </row>
    <row r="54" spans="1:17" s="35" customFormat="1" ht="17.25" customHeight="1" x14ac:dyDescent="0.2">
      <c r="B54" s="536"/>
      <c r="C54" s="536"/>
      <c r="D54" s="536"/>
      <c r="E54" s="131"/>
      <c r="F54" s="109"/>
      <c r="G54" s="385"/>
      <c r="H54" s="392"/>
      <c r="I54" s="77"/>
      <c r="J54" s="77"/>
      <c r="L54" s="114"/>
      <c r="M54" s="114"/>
      <c r="N54" s="114"/>
    </row>
    <row r="55" spans="1:17" s="35" customFormat="1" ht="17.25" customHeight="1" x14ac:dyDescent="0.2">
      <c r="B55" s="457" t="s">
        <v>1283</v>
      </c>
      <c r="C55" s="456"/>
      <c r="D55" s="456"/>
      <c r="E55" s="77"/>
      <c r="F55" s="77"/>
      <c r="G55" s="77"/>
      <c r="H55" s="77"/>
      <c r="I55" s="77"/>
      <c r="J55" s="77"/>
      <c r="L55" s="114"/>
      <c r="M55" s="114"/>
      <c r="N55" s="114"/>
    </row>
    <row r="56" spans="1:17" s="35" customFormat="1" ht="17.25" customHeight="1" x14ac:dyDescent="0.2">
      <c r="B56" s="456"/>
      <c r="C56" s="456"/>
      <c r="D56" s="456"/>
      <c r="E56" s="77"/>
      <c r="F56" s="77"/>
      <c r="G56" s="77"/>
      <c r="H56" s="77"/>
      <c r="I56" s="77"/>
      <c r="J56" s="77"/>
      <c r="L56" s="114"/>
      <c r="M56" s="114"/>
      <c r="N56" s="114"/>
    </row>
    <row r="57" spans="1:17" s="64" customFormat="1" ht="17.25" customHeight="1" x14ac:dyDescent="0.2">
      <c r="A57" s="35"/>
      <c r="B57" s="1018" t="s">
        <v>524</v>
      </c>
      <c r="C57" s="1018"/>
      <c r="D57" s="1018"/>
      <c r="E57" s="561">
        <f>+'1. Identificación'!G18</f>
        <v>20</v>
      </c>
      <c r="F57" s="561" t="s">
        <v>145</v>
      </c>
      <c r="G57" s="385"/>
      <c r="H57" s="392"/>
      <c r="I57" s="1031"/>
      <c r="J57" s="1031"/>
      <c r="K57" s="35"/>
      <c r="L57" s="114"/>
      <c r="M57" s="114"/>
      <c r="N57" s="114"/>
      <c r="O57" s="35"/>
      <c r="P57" s="35"/>
      <c r="Q57" s="35"/>
    </row>
    <row r="58" spans="1:17" s="64" customFormat="1" ht="17.25" customHeight="1" x14ac:dyDescent="0.2">
      <c r="A58" s="35"/>
      <c r="B58" s="1018" t="s">
        <v>383</v>
      </c>
      <c r="C58" s="1018"/>
      <c r="D58" s="1018"/>
      <c r="E58" s="983" t="s">
        <v>285</v>
      </c>
      <c r="F58" s="983"/>
      <c r="G58" s="35"/>
      <c r="H58" s="385"/>
      <c r="I58" s="392"/>
      <c r="J58" s="77"/>
      <c r="K58" s="35"/>
      <c r="L58" s="114"/>
      <c r="M58" s="114"/>
      <c r="N58" s="114"/>
      <c r="O58" s="35"/>
      <c r="P58" s="35"/>
      <c r="Q58" s="35"/>
    </row>
    <row r="59" spans="1:17" s="64" customFormat="1" ht="17.25" customHeight="1" x14ac:dyDescent="0.2">
      <c r="A59" s="35"/>
      <c r="B59" s="1018" t="s">
        <v>525</v>
      </c>
      <c r="C59" s="1018"/>
      <c r="D59" s="1018"/>
      <c r="E59" s="684">
        <v>0.3</v>
      </c>
      <c r="F59" s="657"/>
      <c r="G59" s="385"/>
      <c r="H59" s="392"/>
      <c r="I59" s="77"/>
      <c r="J59" s="77"/>
      <c r="K59" s="35"/>
      <c r="L59" s="114"/>
      <c r="M59" s="114"/>
      <c r="N59" s="114"/>
      <c r="O59" s="35"/>
      <c r="P59" s="35"/>
      <c r="Q59" s="35"/>
    </row>
    <row r="60" spans="1:17" s="35" customFormat="1" ht="17.25" customHeight="1" x14ac:dyDescent="0.2">
      <c r="B60" s="1040"/>
      <c r="C60" s="1040"/>
      <c r="D60" s="1040"/>
      <c r="E60" s="131"/>
      <c r="F60" s="109"/>
      <c r="G60" s="385"/>
      <c r="H60" s="392"/>
      <c r="I60" s="77"/>
      <c r="J60" s="77"/>
      <c r="L60" s="114"/>
      <c r="M60" s="114"/>
      <c r="N60" s="114"/>
    </row>
    <row r="61" spans="1:17" s="254" customFormat="1" ht="30" customHeight="1" x14ac:dyDescent="0.2">
      <c r="A61" s="397"/>
      <c r="B61" s="453" t="s">
        <v>538</v>
      </c>
      <c r="C61" s="674" t="s">
        <v>285</v>
      </c>
      <c r="D61" s="674" t="s">
        <v>285</v>
      </c>
      <c r="E61" s="674" t="s">
        <v>285</v>
      </c>
      <c r="F61" s="685"/>
      <c r="G61" s="461" t="s">
        <v>539</v>
      </c>
      <c r="H61" s="461" t="s">
        <v>540</v>
      </c>
      <c r="I61" s="395"/>
      <c r="J61" s="395"/>
      <c r="K61" s="397"/>
      <c r="L61" s="418"/>
      <c r="M61" s="418"/>
      <c r="N61" s="418"/>
      <c r="O61" s="397"/>
      <c r="P61" s="397"/>
      <c r="Q61" s="397"/>
    </row>
    <row r="62" spans="1:17" s="254" customFormat="1" ht="24.75" customHeight="1" x14ac:dyDescent="0.2">
      <c r="A62" s="397"/>
      <c r="B62" s="453" t="s">
        <v>537</v>
      </c>
      <c r="C62" s="674" t="s">
        <v>288</v>
      </c>
      <c r="D62" s="674" t="s">
        <v>526</v>
      </c>
      <c r="E62" s="674" t="s">
        <v>527</v>
      </c>
      <c r="F62" s="685"/>
      <c r="G62" s="461" t="s">
        <v>145</v>
      </c>
      <c r="H62" s="461" t="s">
        <v>99</v>
      </c>
      <c r="I62" s="395"/>
      <c r="J62" s="395"/>
      <c r="K62" s="397"/>
      <c r="L62" s="418"/>
      <c r="M62" s="418"/>
      <c r="N62" s="418"/>
      <c r="O62" s="397"/>
      <c r="P62" s="397"/>
      <c r="Q62" s="397"/>
    </row>
    <row r="63" spans="1:17" s="64" customFormat="1" ht="17.25" customHeight="1" x14ac:dyDescent="0.2">
      <c r="A63" s="35"/>
      <c r="B63" s="454" t="s">
        <v>234</v>
      </c>
      <c r="C63" s="664">
        <v>15</v>
      </c>
      <c r="D63" s="664"/>
      <c r="E63" s="664">
        <v>5</v>
      </c>
      <c r="F63" s="664"/>
      <c r="G63" s="519">
        <f>+C63+D63+E63+F63</f>
        <v>20</v>
      </c>
      <c r="H63" s="520">
        <f>+Demanda!F21</f>
        <v>32260.666666666661</v>
      </c>
      <c r="I63" s="77"/>
      <c r="J63" s="77"/>
      <c r="K63" s="35"/>
      <c r="L63" s="114"/>
      <c r="M63" s="114"/>
      <c r="N63" s="114"/>
      <c r="O63" s="35"/>
      <c r="P63" s="35"/>
      <c r="Q63" s="35"/>
    </row>
    <row r="64" spans="1:17" s="64" customFormat="1" ht="17.25" customHeight="1" x14ac:dyDescent="0.2">
      <c r="A64" s="35"/>
      <c r="B64" s="454" t="s">
        <v>235</v>
      </c>
      <c r="C64" s="664">
        <v>15</v>
      </c>
      <c r="D64" s="664"/>
      <c r="E64" s="664">
        <v>5</v>
      </c>
      <c r="F64" s="664"/>
      <c r="G64" s="519">
        <f t="shared" ref="G64:G74" si="2">+C64+D64+E64+F64</f>
        <v>20</v>
      </c>
      <c r="H64" s="520">
        <f>+Demanda!G21</f>
        <v>5688.0000000000009</v>
      </c>
      <c r="I64" s="77"/>
      <c r="J64" s="77"/>
      <c r="K64" s="35"/>
      <c r="L64" s="114"/>
      <c r="M64" s="114"/>
      <c r="N64" s="114"/>
      <c r="O64" s="35"/>
      <c r="P64" s="35"/>
      <c r="Q64" s="35"/>
    </row>
    <row r="65" spans="1:17" s="64" customFormat="1" ht="17.25" customHeight="1" x14ac:dyDescent="0.2">
      <c r="A65" s="35"/>
      <c r="B65" s="454" t="s">
        <v>236</v>
      </c>
      <c r="C65" s="664">
        <v>15</v>
      </c>
      <c r="D65" s="664"/>
      <c r="E65" s="664"/>
      <c r="F65" s="664"/>
      <c r="G65" s="519">
        <f t="shared" si="2"/>
        <v>15</v>
      </c>
      <c r="H65" s="520">
        <f>+Demanda!H21</f>
        <v>11390</v>
      </c>
      <c r="I65" s="77"/>
      <c r="J65" s="77"/>
      <c r="K65" s="35"/>
      <c r="L65" s="114"/>
      <c r="M65" s="114"/>
      <c r="N65" s="114"/>
      <c r="O65" s="35"/>
      <c r="P65" s="35"/>
      <c r="Q65" s="35"/>
    </row>
    <row r="66" spans="1:17" s="64" customFormat="1" ht="17.25" customHeight="1" x14ac:dyDescent="0.2">
      <c r="A66" s="35"/>
      <c r="B66" s="454" t="s">
        <v>237</v>
      </c>
      <c r="C66" s="664">
        <v>15</v>
      </c>
      <c r="D66" s="664">
        <v>5</v>
      </c>
      <c r="E66" s="664"/>
      <c r="F66" s="664"/>
      <c r="G66" s="519">
        <f t="shared" si="2"/>
        <v>20</v>
      </c>
      <c r="H66" s="520">
        <f>+Demanda!I21</f>
        <v>34941.666666666672</v>
      </c>
      <c r="I66" s="77"/>
      <c r="J66" s="77"/>
      <c r="K66" s="35"/>
      <c r="L66" s="114"/>
      <c r="M66" s="114"/>
      <c r="N66" s="114"/>
      <c r="O66" s="35"/>
      <c r="P66" s="35"/>
      <c r="Q66" s="35"/>
    </row>
    <row r="67" spans="1:17" s="64" customFormat="1" ht="17.25" customHeight="1" x14ac:dyDescent="0.2">
      <c r="A67" s="35"/>
      <c r="B67" s="454" t="s">
        <v>238</v>
      </c>
      <c r="C67" s="664">
        <v>15</v>
      </c>
      <c r="D67" s="664">
        <v>5</v>
      </c>
      <c r="E67" s="664"/>
      <c r="F67" s="664"/>
      <c r="G67" s="519">
        <f t="shared" si="2"/>
        <v>20</v>
      </c>
      <c r="H67" s="520">
        <f>+Demanda!J21</f>
        <v>52935.000000000007</v>
      </c>
      <c r="I67" s="77"/>
      <c r="J67" s="77"/>
      <c r="K67" s="35"/>
      <c r="L67" s="114"/>
      <c r="M67" s="114"/>
      <c r="N67" s="114"/>
      <c r="O67" s="35"/>
      <c r="P67" s="35"/>
      <c r="Q67" s="35"/>
    </row>
    <row r="68" spans="1:17" s="64" customFormat="1" ht="17.25" customHeight="1" x14ac:dyDescent="0.2">
      <c r="A68" s="35"/>
      <c r="B68" s="454" t="s">
        <v>239</v>
      </c>
      <c r="C68" s="664">
        <v>15</v>
      </c>
      <c r="D68" s="664">
        <v>5</v>
      </c>
      <c r="E68" s="664"/>
      <c r="F68" s="664"/>
      <c r="G68" s="519">
        <f>+C68+D68+E68+F68</f>
        <v>20</v>
      </c>
      <c r="H68" s="520">
        <f>+Demanda!K21</f>
        <v>59842.500000000015</v>
      </c>
      <c r="I68" s="77"/>
      <c r="J68" s="77"/>
      <c r="K68" s="35"/>
      <c r="L68" s="114"/>
      <c r="M68" s="114"/>
      <c r="N68" s="114"/>
      <c r="O68" s="35"/>
      <c r="P68" s="35"/>
      <c r="Q68" s="35"/>
    </row>
    <row r="69" spans="1:17" s="64" customFormat="1" ht="17.25" customHeight="1" x14ac:dyDescent="0.2">
      <c r="A69" s="35"/>
      <c r="B69" s="454" t="s">
        <v>240</v>
      </c>
      <c r="C69" s="664">
        <v>15</v>
      </c>
      <c r="D69" s="664">
        <v>5</v>
      </c>
      <c r="E69" s="664"/>
      <c r="F69" s="664"/>
      <c r="G69" s="519">
        <f t="shared" si="2"/>
        <v>20</v>
      </c>
      <c r="H69" s="520">
        <f>+Demanda!L21</f>
        <v>65735.833333333343</v>
      </c>
      <c r="I69" s="77"/>
      <c r="J69" s="77"/>
      <c r="K69" s="35"/>
      <c r="L69" s="114"/>
      <c r="M69" s="114"/>
      <c r="N69" s="114"/>
      <c r="O69" s="35"/>
      <c r="P69" s="35"/>
      <c r="Q69" s="35"/>
    </row>
    <row r="70" spans="1:17" s="64" customFormat="1" ht="17.25" customHeight="1" x14ac:dyDescent="0.2">
      <c r="A70" s="35"/>
      <c r="B70" s="454" t="s">
        <v>241</v>
      </c>
      <c r="C70" s="664">
        <v>15</v>
      </c>
      <c r="D70" s="664">
        <v>5</v>
      </c>
      <c r="E70" s="664"/>
      <c r="F70" s="664"/>
      <c r="G70" s="519">
        <f t="shared" si="2"/>
        <v>20</v>
      </c>
      <c r="H70" s="520">
        <f>+Demanda!M21</f>
        <v>67495.833333333343</v>
      </c>
      <c r="I70" s="77"/>
      <c r="J70" s="77"/>
      <c r="K70" s="35"/>
      <c r="L70" s="114"/>
      <c r="M70" s="114"/>
      <c r="N70" s="114"/>
      <c r="O70" s="35"/>
      <c r="P70" s="35"/>
      <c r="Q70" s="35"/>
    </row>
    <row r="71" spans="1:17" s="64" customFormat="1" ht="17.25" customHeight="1" x14ac:dyDescent="0.2">
      <c r="A71" s="35"/>
      <c r="B71" s="454" t="s">
        <v>242</v>
      </c>
      <c r="C71" s="664">
        <v>15</v>
      </c>
      <c r="D71" s="664"/>
      <c r="E71" s="664"/>
      <c r="F71" s="664"/>
      <c r="G71" s="519">
        <f t="shared" si="2"/>
        <v>15</v>
      </c>
      <c r="H71" s="520">
        <f>+Demanda!N21</f>
        <v>43600</v>
      </c>
      <c r="I71" s="77"/>
      <c r="J71" s="77"/>
      <c r="K71" s="35"/>
      <c r="L71" s="114"/>
      <c r="M71" s="114"/>
      <c r="N71" s="114"/>
      <c r="O71" s="35"/>
      <c r="P71" s="35"/>
      <c r="Q71" s="35"/>
    </row>
    <row r="72" spans="1:17" s="64" customFormat="1" ht="17.25" customHeight="1" x14ac:dyDescent="0.2">
      <c r="A72" s="35"/>
      <c r="B72" s="454" t="s">
        <v>243</v>
      </c>
      <c r="C72" s="664">
        <v>15</v>
      </c>
      <c r="D72" s="664"/>
      <c r="E72" s="664">
        <v>5</v>
      </c>
      <c r="F72" s="664"/>
      <c r="G72" s="519">
        <f t="shared" si="2"/>
        <v>20</v>
      </c>
      <c r="H72" s="520">
        <f>+Demanda!O21</f>
        <v>22380.666666666661</v>
      </c>
      <c r="I72" s="77"/>
      <c r="J72" s="77"/>
      <c r="K72" s="35"/>
      <c r="L72" s="114"/>
      <c r="M72" s="114"/>
      <c r="N72" s="114"/>
      <c r="O72" s="35"/>
      <c r="P72" s="35"/>
      <c r="Q72" s="35"/>
    </row>
    <row r="73" spans="1:17" s="64" customFormat="1" ht="17.25" customHeight="1" x14ac:dyDescent="0.2">
      <c r="A73" s="35"/>
      <c r="B73" s="454" t="s">
        <v>244</v>
      </c>
      <c r="C73" s="664">
        <v>15</v>
      </c>
      <c r="D73" s="664"/>
      <c r="E73" s="664">
        <v>5</v>
      </c>
      <c r="F73" s="664"/>
      <c r="G73" s="519">
        <f t="shared" si="2"/>
        <v>20</v>
      </c>
      <c r="H73" s="520">
        <f>+Demanda!P21</f>
        <v>50862.5</v>
      </c>
      <c r="I73" s="77"/>
      <c r="J73" s="77"/>
      <c r="K73" s="35"/>
      <c r="L73" s="114"/>
      <c r="M73" s="114"/>
      <c r="N73" s="114"/>
      <c r="O73" s="35"/>
      <c r="P73" s="35"/>
      <c r="Q73" s="35"/>
    </row>
    <row r="74" spans="1:17" s="64" customFormat="1" ht="17.25" customHeight="1" x14ac:dyDescent="0.2">
      <c r="A74" s="35"/>
      <c r="B74" s="454" t="s">
        <v>245</v>
      </c>
      <c r="C74" s="664">
        <v>15</v>
      </c>
      <c r="D74" s="664"/>
      <c r="E74" s="664">
        <v>5</v>
      </c>
      <c r="F74" s="664"/>
      <c r="G74" s="519">
        <f t="shared" si="2"/>
        <v>20</v>
      </c>
      <c r="H74" s="520">
        <f>+Demanda!Q21</f>
        <v>21634.916666666672</v>
      </c>
      <c r="I74" s="77"/>
      <c r="J74" s="77"/>
      <c r="K74" s="35"/>
      <c r="L74" s="114"/>
      <c r="M74" s="114"/>
      <c r="N74" s="114"/>
      <c r="O74" s="35"/>
      <c r="P74" s="35"/>
      <c r="Q74" s="35"/>
    </row>
    <row r="75" spans="1:17" s="64" customFormat="1" ht="17.25" customHeight="1" x14ac:dyDescent="0.2">
      <c r="A75" s="35"/>
      <c r="B75" s="1019" t="s">
        <v>520</v>
      </c>
      <c r="C75" s="1019"/>
      <c r="D75" s="1019"/>
      <c r="E75" s="1019"/>
      <c r="F75" s="1019"/>
      <c r="G75" s="1019"/>
      <c r="H75" s="521">
        <f>SUM(H63:H74)</f>
        <v>468767.58333333349</v>
      </c>
      <c r="I75" s="77"/>
      <c r="J75" s="77"/>
      <c r="K75" s="35"/>
      <c r="L75" s="114"/>
      <c r="M75" s="114"/>
      <c r="N75" s="114"/>
      <c r="O75" s="35"/>
      <c r="P75" s="35"/>
      <c r="Q75" s="35"/>
    </row>
    <row r="76" spans="1:17" s="35" customFormat="1" ht="17.25" customHeight="1" x14ac:dyDescent="0.2">
      <c r="B76" s="376"/>
      <c r="C76" s="376"/>
      <c r="D76" s="376"/>
      <c r="E76" s="131"/>
      <c r="F76" s="109"/>
      <c r="G76" s="385"/>
      <c r="H76" s="392"/>
      <c r="I76" s="77"/>
      <c r="J76" s="77"/>
      <c r="L76" s="114"/>
      <c r="M76" s="114"/>
      <c r="N76" s="114"/>
    </row>
    <row r="77" spans="1:17" s="35" customFormat="1" ht="17.25" customHeight="1" x14ac:dyDescent="0.2">
      <c r="B77" s="376" t="s">
        <v>1236</v>
      </c>
      <c r="C77" s="109"/>
      <c r="D77" s="1020" t="s">
        <v>1238</v>
      </c>
      <c r="E77" s="1041"/>
      <c r="F77" s="1021"/>
      <c r="G77" s="385"/>
      <c r="H77" s="392"/>
      <c r="I77" s="77"/>
      <c r="J77" s="77"/>
      <c r="L77" s="114"/>
      <c r="M77" s="114"/>
      <c r="N77" s="114"/>
    </row>
    <row r="78" spans="1:17" s="35" customFormat="1" ht="17.25" customHeight="1" x14ac:dyDescent="0.2">
      <c r="B78" s="376"/>
      <c r="C78" s="376"/>
      <c r="D78" s="376"/>
      <c r="E78" s="131"/>
      <c r="F78" s="109"/>
      <c r="G78" s="385"/>
      <c r="H78" s="392"/>
      <c r="I78" s="77"/>
      <c r="J78" s="77"/>
      <c r="L78" s="114"/>
      <c r="M78" s="114"/>
      <c r="N78" s="114"/>
    </row>
    <row r="79" spans="1:17" s="35" customFormat="1" ht="17.25" customHeight="1" x14ac:dyDescent="0.2">
      <c r="B79" s="457" t="s">
        <v>1284</v>
      </c>
      <c r="C79" s="456"/>
      <c r="E79" s="77"/>
      <c r="F79" s="77"/>
      <c r="G79" s="77"/>
      <c r="H79" s="77"/>
      <c r="I79" s="77"/>
      <c r="J79" s="77"/>
      <c r="L79" s="114"/>
      <c r="M79" s="114"/>
      <c r="N79" s="114"/>
    </row>
    <row r="80" spans="1:17" s="35" customFormat="1" ht="17.25" customHeight="1" x14ac:dyDescent="0.2">
      <c r="E80" s="77"/>
      <c r="F80" s="77"/>
      <c r="G80" s="77"/>
      <c r="H80" s="77"/>
      <c r="I80" s="77"/>
      <c r="J80" s="77"/>
      <c r="L80" s="114"/>
      <c r="M80" s="114"/>
      <c r="N80" s="114"/>
    </row>
    <row r="81" spans="1:17" s="35" customFormat="1" ht="17.25" customHeight="1" x14ac:dyDescent="0.2">
      <c r="B81" s="1039" t="s">
        <v>524</v>
      </c>
      <c r="C81" s="1039"/>
      <c r="D81" s="1039"/>
      <c r="E81" s="688">
        <v>15</v>
      </c>
      <c r="F81" s="560" t="s">
        <v>145</v>
      </c>
      <c r="G81" s="385"/>
      <c r="H81" s="392"/>
      <c r="I81" s="1031"/>
      <c r="J81" s="1031"/>
      <c r="L81" s="114"/>
      <c r="M81" s="114"/>
      <c r="N81" s="114"/>
    </row>
    <row r="82" spans="1:17" s="35" customFormat="1" ht="17.25" customHeight="1" x14ac:dyDescent="0.2">
      <c r="B82" s="1039" t="s">
        <v>383</v>
      </c>
      <c r="C82" s="1039"/>
      <c r="D82" s="1039"/>
      <c r="E82" s="1020" t="s">
        <v>532</v>
      </c>
      <c r="F82" s="1021"/>
      <c r="H82" s="385"/>
      <c r="I82" s="392"/>
      <c r="J82" s="77"/>
      <c r="L82" s="114"/>
      <c r="M82" s="114"/>
      <c r="N82" s="114"/>
    </row>
    <row r="83" spans="1:17" s="35" customFormat="1" ht="17.25" customHeight="1" x14ac:dyDescent="0.2">
      <c r="B83" s="1039" t="s">
        <v>525</v>
      </c>
      <c r="C83" s="1039"/>
      <c r="D83" s="1039"/>
      <c r="E83" s="664">
        <v>75</v>
      </c>
      <c r="F83" s="559" t="s">
        <v>130</v>
      </c>
      <c r="G83" s="385"/>
      <c r="H83" s="392"/>
      <c r="I83" s="77"/>
      <c r="J83" s="77"/>
      <c r="L83" s="114"/>
      <c r="M83" s="114"/>
      <c r="N83" s="114"/>
    </row>
    <row r="84" spans="1:17" s="35" customFormat="1" ht="17.25" customHeight="1" x14ac:dyDescent="0.2">
      <c r="B84" s="1040"/>
      <c r="C84" s="1040"/>
      <c r="D84" s="1040"/>
      <c r="E84" s="131"/>
      <c r="F84" s="109"/>
      <c r="G84" s="385"/>
      <c r="H84" s="392"/>
      <c r="I84" s="77"/>
      <c r="J84" s="77"/>
      <c r="L84" s="114"/>
      <c r="M84" s="114"/>
      <c r="N84" s="114"/>
    </row>
    <row r="85" spans="1:17" s="35" customFormat="1" ht="17.25" customHeight="1" x14ac:dyDescent="0.2">
      <c r="B85" s="1039" t="s">
        <v>524</v>
      </c>
      <c r="C85" s="1039"/>
      <c r="D85" s="1039"/>
      <c r="E85" s="688">
        <v>5</v>
      </c>
      <c r="F85" s="560" t="s">
        <v>145</v>
      </c>
      <c r="G85" s="385"/>
      <c r="H85" s="392"/>
      <c r="I85" s="77"/>
      <c r="J85" s="77"/>
      <c r="L85" s="114"/>
      <c r="M85" s="114"/>
      <c r="N85" s="114"/>
    </row>
    <row r="86" spans="1:17" s="35" customFormat="1" ht="17.25" customHeight="1" x14ac:dyDescent="0.2">
      <c r="B86" s="1039" t="s">
        <v>383</v>
      </c>
      <c r="C86" s="1039"/>
      <c r="D86" s="1039"/>
      <c r="E86" s="1020" t="s">
        <v>536</v>
      </c>
      <c r="F86" s="1021"/>
      <c r="G86" s="385"/>
      <c r="H86" s="392"/>
      <c r="I86" s="77"/>
      <c r="J86" s="77"/>
      <c r="L86" s="114"/>
      <c r="M86" s="114"/>
      <c r="N86" s="114"/>
    </row>
    <row r="87" spans="1:17" s="35" customFormat="1" ht="17.25" customHeight="1" x14ac:dyDescent="0.2">
      <c r="B87" s="1039" t="s">
        <v>525</v>
      </c>
      <c r="C87" s="1039"/>
      <c r="D87" s="1039"/>
      <c r="E87" s="664">
        <v>90</v>
      </c>
      <c r="F87" s="559" t="s">
        <v>130</v>
      </c>
      <c r="G87" s="385"/>
      <c r="H87" s="392"/>
      <c r="I87" s="77"/>
      <c r="J87" s="77"/>
      <c r="L87" s="114"/>
      <c r="M87" s="114"/>
      <c r="N87" s="114"/>
    </row>
    <row r="88" spans="1:17" s="35" customFormat="1" ht="17.25" customHeight="1" x14ac:dyDescent="0.2">
      <c r="B88" s="376"/>
      <c r="C88" s="376"/>
      <c r="D88" s="376"/>
      <c r="E88" s="131"/>
      <c r="F88" s="109"/>
      <c r="G88" s="385"/>
      <c r="H88" s="392"/>
      <c r="I88" s="77"/>
      <c r="J88" s="77"/>
      <c r="L88" s="114"/>
      <c r="M88" s="114"/>
      <c r="N88" s="114"/>
    </row>
    <row r="89" spans="1:17" s="35" customFormat="1" ht="17.25" customHeight="1" x14ac:dyDescent="0.2">
      <c r="B89" s="376"/>
      <c r="C89" s="376"/>
      <c r="D89" s="376"/>
      <c r="E89" s="131"/>
      <c r="F89" s="109"/>
      <c r="G89" s="385"/>
      <c r="H89" s="392"/>
      <c r="I89" s="77"/>
      <c r="J89" s="77"/>
      <c r="L89" s="114"/>
      <c r="M89" s="114"/>
      <c r="N89" s="114"/>
    </row>
    <row r="90" spans="1:17" s="254" customFormat="1" ht="32.25" customHeight="1" x14ac:dyDescent="0.2">
      <c r="A90" s="397"/>
      <c r="B90" s="461" t="s">
        <v>538</v>
      </c>
      <c r="C90" s="674" t="s">
        <v>532</v>
      </c>
      <c r="D90" s="674" t="s">
        <v>532</v>
      </c>
      <c r="E90" s="674" t="s">
        <v>532</v>
      </c>
      <c r="F90" s="674" t="s">
        <v>536</v>
      </c>
      <c r="G90" s="461" t="s">
        <v>539</v>
      </c>
      <c r="H90" s="461" t="s">
        <v>540</v>
      </c>
      <c r="I90" s="395"/>
      <c r="J90" s="395"/>
      <c r="K90" s="397"/>
      <c r="L90" s="418"/>
      <c r="M90" s="418"/>
      <c r="N90" s="418"/>
      <c r="O90" s="397"/>
      <c r="P90" s="397"/>
      <c r="Q90" s="397"/>
    </row>
    <row r="91" spans="1:17" s="254" customFormat="1" ht="24.75" customHeight="1" x14ac:dyDescent="0.2">
      <c r="A91" s="397"/>
      <c r="B91" s="461" t="s">
        <v>537</v>
      </c>
      <c r="C91" s="674" t="s">
        <v>288</v>
      </c>
      <c r="D91" s="674" t="s">
        <v>534</v>
      </c>
      <c r="E91" s="674" t="s">
        <v>533</v>
      </c>
      <c r="F91" s="674" t="s">
        <v>535</v>
      </c>
      <c r="G91" s="461" t="s">
        <v>145</v>
      </c>
      <c r="H91" s="461" t="s">
        <v>99</v>
      </c>
      <c r="I91" s="395"/>
      <c r="J91" s="395"/>
      <c r="K91" s="397"/>
      <c r="L91" s="418"/>
      <c r="M91" s="418"/>
      <c r="N91" s="418"/>
      <c r="O91" s="397"/>
      <c r="P91" s="397"/>
      <c r="Q91" s="397"/>
    </row>
    <row r="92" spans="1:17" s="64" customFormat="1" ht="17.25" customHeight="1" x14ac:dyDescent="0.2">
      <c r="A92" s="35"/>
      <c r="B92" s="454" t="str">
        <f t="shared" ref="B92:B103" si="3">+B63</f>
        <v>ENE</v>
      </c>
      <c r="C92" s="664">
        <v>10</v>
      </c>
      <c r="D92" s="664"/>
      <c r="E92" s="664">
        <v>5</v>
      </c>
      <c r="F92" s="664">
        <v>5</v>
      </c>
      <c r="G92" s="519">
        <f>+C92+D92+E92+F92</f>
        <v>20</v>
      </c>
      <c r="H92" s="520">
        <f>+Balance!F26</f>
        <v>10106.688888888888</v>
      </c>
      <c r="I92" s="77"/>
      <c r="J92" s="77"/>
      <c r="K92" s="35"/>
      <c r="L92" s="114"/>
      <c r="M92" s="114"/>
      <c r="N92" s="114"/>
      <c r="O92" s="35"/>
      <c r="P92" s="35"/>
      <c r="Q92" s="35"/>
    </row>
    <row r="93" spans="1:17" s="64" customFormat="1" ht="17.25" customHeight="1" x14ac:dyDescent="0.2">
      <c r="A93" s="35"/>
      <c r="B93" s="454" t="str">
        <f t="shared" si="3"/>
        <v>FEB</v>
      </c>
      <c r="C93" s="664">
        <v>10</v>
      </c>
      <c r="D93" s="664"/>
      <c r="E93" s="664">
        <v>5</v>
      </c>
      <c r="F93" s="664">
        <v>5</v>
      </c>
      <c r="G93" s="519">
        <f t="shared" ref="G93:G103" si="4">+C93+D93+E93+F93</f>
        <v>20</v>
      </c>
      <c r="H93" s="520">
        <f>+Balance!G26</f>
        <v>860.80000000000109</v>
      </c>
      <c r="I93" s="77"/>
      <c r="J93" s="77"/>
      <c r="K93" s="35"/>
      <c r="L93" s="114"/>
      <c r="M93" s="114"/>
      <c r="N93" s="114"/>
      <c r="O93" s="35"/>
      <c r="P93" s="35"/>
      <c r="Q93" s="35"/>
    </row>
    <row r="94" spans="1:17" s="64" customFormat="1" ht="17.25" customHeight="1" x14ac:dyDescent="0.2">
      <c r="A94" s="35"/>
      <c r="B94" s="454" t="str">
        <f t="shared" si="3"/>
        <v>MAR</v>
      </c>
      <c r="C94" s="664">
        <v>10</v>
      </c>
      <c r="D94" s="664"/>
      <c r="E94" s="664"/>
      <c r="F94" s="664">
        <v>5</v>
      </c>
      <c r="G94" s="519">
        <f t="shared" si="4"/>
        <v>15</v>
      </c>
      <c r="H94" s="520">
        <f>+Balance!H26</f>
        <v>3037.3333333333335</v>
      </c>
      <c r="I94" s="77"/>
      <c r="J94" s="77"/>
      <c r="K94" s="35"/>
      <c r="L94" s="114"/>
      <c r="M94" s="114"/>
      <c r="N94" s="114"/>
      <c r="O94" s="35"/>
      <c r="P94" s="35"/>
      <c r="Q94" s="35"/>
    </row>
    <row r="95" spans="1:17" s="64" customFormat="1" ht="17.25" customHeight="1" x14ac:dyDescent="0.2">
      <c r="A95" s="35"/>
      <c r="B95" s="454" t="str">
        <f t="shared" si="3"/>
        <v>ABR</v>
      </c>
      <c r="C95" s="664">
        <v>10</v>
      </c>
      <c r="D95" s="664">
        <v>5</v>
      </c>
      <c r="E95" s="664"/>
      <c r="F95" s="664">
        <v>5</v>
      </c>
      <c r="G95" s="519">
        <f t="shared" si="4"/>
        <v>20</v>
      </c>
      <c r="H95" s="520">
        <f>+Balance!I26</f>
        <v>12390.055555555555</v>
      </c>
      <c r="I95" s="77"/>
      <c r="J95" s="77"/>
      <c r="K95" s="35"/>
      <c r="L95" s="114"/>
      <c r="M95" s="114"/>
      <c r="N95" s="114"/>
      <c r="O95" s="35"/>
      <c r="P95" s="35"/>
      <c r="Q95" s="35"/>
    </row>
    <row r="96" spans="1:17" s="64" customFormat="1" ht="17.25" customHeight="1" x14ac:dyDescent="0.2">
      <c r="A96" s="35"/>
      <c r="B96" s="454" t="str">
        <f t="shared" si="3"/>
        <v>MAY</v>
      </c>
      <c r="C96" s="664">
        <v>10</v>
      </c>
      <c r="D96" s="664">
        <v>5</v>
      </c>
      <c r="E96" s="664"/>
      <c r="F96" s="664">
        <v>5</v>
      </c>
      <c r="G96" s="519">
        <f t="shared" si="4"/>
        <v>20</v>
      </c>
      <c r="H96" s="520">
        <f>+Balance!J26</f>
        <v>19580.3</v>
      </c>
      <c r="I96" s="77"/>
      <c r="J96" s="77"/>
      <c r="K96" s="35"/>
      <c r="L96" s="114"/>
      <c r="M96" s="114"/>
      <c r="N96" s="114"/>
      <c r="O96" s="35"/>
      <c r="P96" s="35"/>
      <c r="Q96" s="35"/>
    </row>
    <row r="97" spans="1:17" s="64" customFormat="1" ht="17.25" customHeight="1" x14ac:dyDescent="0.2">
      <c r="A97" s="35"/>
      <c r="B97" s="454" t="str">
        <f t="shared" si="3"/>
        <v>JUN</v>
      </c>
      <c r="C97" s="664">
        <v>10</v>
      </c>
      <c r="D97" s="664">
        <v>5</v>
      </c>
      <c r="E97" s="664"/>
      <c r="F97" s="664">
        <v>5</v>
      </c>
      <c r="G97" s="519">
        <f t="shared" si="4"/>
        <v>20</v>
      </c>
      <c r="H97" s="520">
        <f>+Balance!K26</f>
        <v>19090</v>
      </c>
      <c r="I97" s="77"/>
      <c r="J97" s="77"/>
      <c r="K97" s="35"/>
      <c r="L97" s="114"/>
      <c r="M97" s="114"/>
      <c r="N97" s="114"/>
      <c r="O97" s="35"/>
      <c r="P97" s="35"/>
      <c r="Q97" s="35"/>
    </row>
    <row r="98" spans="1:17" s="64" customFormat="1" ht="17.25" customHeight="1" x14ac:dyDescent="0.2">
      <c r="A98" s="35"/>
      <c r="B98" s="454" t="str">
        <f t="shared" si="3"/>
        <v>JUL</v>
      </c>
      <c r="C98" s="664">
        <v>10</v>
      </c>
      <c r="D98" s="664">
        <v>5</v>
      </c>
      <c r="E98" s="664"/>
      <c r="F98" s="664">
        <v>5</v>
      </c>
      <c r="G98" s="519">
        <f t="shared" si="4"/>
        <v>20</v>
      </c>
      <c r="H98" s="520">
        <f>+Balance!L26</f>
        <v>21661.722222222223</v>
      </c>
      <c r="I98" s="77"/>
      <c r="J98" s="77"/>
      <c r="K98" s="35"/>
      <c r="L98" s="114"/>
      <c r="M98" s="114"/>
      <c r="N98" s="114"/>
      <c r="O98" s="35"/>
      <c r="P98" s="35"/>
      <c r="Q98" s="35"/>
    </row>
    <row r="99" spans="1:17" s="64" customFormat="1" ht="17.25" customHeight="1" x14ac:dyDescent="0.2">
      <c r="A99" s="35"/>
      <c r="B99" s="454" t="str">
        <f t="shared" si="3"/>
        <v>AGO</v>
      </c>
      <c r="C99" s="664">
        <v>10</v>
      </c>
      <c r="D99" s="664">
        <v>5</v>
      </c>
      <c r="E99" s="664"/>
      <c r="F99" s="664">
        <v>5</v>
      </c>
      <c r="G99" s="519">
        <f t="shared" si="4"/>
        <v>20</v>
      </c>
      <c r="H99" s="520">
        <f>+Balance!M26</f>
        <v>24846.837777777779</v>
      </c>
      <c r="I99" s="77"/>
      <c r="J99" s="77"/>
      <c r="K99" s="35"/>
      <c r="L99" s="114"/>
      <c r="M99" s="114"/>
      <c r="N99" s="114"/>
      <c r="O99" s="35"/>
      <c r="P99" s="35"/>
      <c r="Q99" s="35"/>
    </row>
    <row r="100" spans="1:17" s="64" customFormat="1" ht="17.25" customHeight="1" x14ac:dyDescent="0.2">
      <c r="A100" s="35"/>
      <c r="B100" s="454" t="str">
        <f t="shared" si="3"/>
        <v>SEP</v>
      </c>
      <c r="C100" s="664">
        <v>10</v>
      </c>
      <c r="D100" s="664"/>
      <c r="E100" s="664"/>
      <c r="F100" s="664">
        <v>5</v>
      </c>
      <c r="G100" s="519">
        <f t="shared" si="4"/>
        <v>15</v>
      </c>
      <c r="H100" s="520">
        <f>+Balance!N26</f>
        <v>19425.277777777774</v>
      </c>
      <c r="I100" s="77"/>
      <c r="J100" s="77"/>
      <c r="K100" s="35"/>
      <c r="L100" s="114"/>
      <c r="M100" s="114"/>
      <c r="N100" s="114"/>
      <c r="O100" s="35"/>
      <c r="P100" s="35"/>
      <c r="Q100" s="35"/>
    </row>
    <row r="101" spans="1:17" s="64" customFormat="1" ht="17.25" customHeight="1" x14ac:dyDescent="0.2">
      <c r="A101" s="35"/>
      <c r="B101" s="454" t="str">
        <f t="shared" si="3"/>
        <v>OCT</v>
      </c>
      <c r="C101" s="664">
        <v>10</v>
      </c>
      <c r="D101" s="664"/>
      <c r="E101" s="664">
        <v>5</v>
      </c>
      <c r="F101" s="664">
        <v>5</v>
      </c>
      <c r="G101" s="519">
        <f t="shared" si="4"/>
        <v>20</v>
      </c>
      <c r="H101" s="520">
        <f>+Balance!O26</f>
        <v>8188.4444444444443</v>
      </c>
      <c r="I101" s="77"/>
      <c r="J101" s="77"/>
      <c r="K101" s="35"/>
      <c r="L101" s="114"/>
      <c r="M101" s="114"/>
      <c r="N101" s="114"/>
      <c r="O101" s="35"/>
      <c r="P101" s="35"/>
      <c r="Q101" s="35"/>
    </row>
    <row r="102" spans="1:17" s="64" customFormat="1" ht="17.25" customHeight="1" x14ac:dyDescent="0.2">
      <c r="A102" s="35"/>
      <c r="B102" s="454" t="str">
        <f t="shared" si="3"/>
        <v>NOV</v>
      </c>
      <c r="C102" s="664">
        <v>10</v>
      </c>
      <c r="D102" s="664"/>
      <c r="E102" s="664">
        <v>5</v>
      </c>
      <c r="F102" s="664">
        <v>5</v>
      </c>
      <c r="G102" s="519">
        <f t="shared" si="4"/>
        <v>20</v>
      </c>
      <c r="H102" s="520">
        <f>+Balance!P26</f>
        <v>17546.166666666668</v>
      </c>
      <c r="I102" s="77"/>
      <c r="J102" s="77"/>
      <c r="K102" s="35"/>
      <c r="L102" s="114"/>
      <c r="M102" s="114"/>
      <c r="N102" s="114"/>
      <c r="O102" s="35"/>
      <c r="P102" s="35"/>
      <c r="Q102" s="35"/>
    </row>
    <row r="103" spans="1:17" s="64" customFormat="1" ht="17.25" customHeight="1" x14ac:dyDescent="0.2">
      <c r="A103" s="35"/>
      <c r="B103" s="454" t="str">
        <f t="shared" si="3"/>
        <v>DIC</v>
      </c>
      <c r="C103" s="664">
        <v>10</v>
      </c>
      <c r="D103" s="664"/>
      <c r="E103" s="664">
        <v>5</v>
      </c>
      <c r="F103" s="664">
        <v>5</v>
      </c>
      <c r="G103" s="519">
        <f t="shared" si="4"/>
        <v>20</v>
      </c>
      <c r="H103" s="520">
        <f>+Balance!Q26</f>
        <v>5827.7222222222208</v>
      </c>
      <c r="I103" s="77"/>
      <c r="J103" s="77"/>
      <c r="K103" s="35"/>
      <c r="L103" s="114"/>
      <c r="M103" s="114"/>
      <c r="N103" s="114"/>
      <c r="O103" s="35"/>
      <c r="P103" s="35"/>
      <c r="Q103" s="35"/>
    </row>
    <row r="104" spans="1:17" s="64" customFormat="1" ht="17.25" customHeight="1" x14ac:dyDescent="0.2">
      <c r="A104" s="35"/>
      <c r="B104" s="1019" t="s">
        <v>520</v>
      </c>
      <c r="C104" s="1019"/>
      <c r="D104" s="1019"/>
      <c r="E104" s="1019"/>
      <c r="F104" s="1019"/>
      <c r="G104" s="1019"/>
      <c r="H104" s="521">
        <f>SUM(H92:H103)</f>
        <v>162561.34888888887</v>
      </c>
      <c r="I104" s="77"/>
      <c r="J104" s="77"/>
      <c r="K104" s="35"/>
      <c r="L104" s="114"/>
      <c r="M104" s="114"/>
      <c r="N104" s="114"/>
      <c r="O104" s="35"/>
      <c r="P104" s="35"/>
      <c r="Q104" s="35"/>
    </row>
    <row r="105" spans="1:17" s="35" customFormat="1" ht="17.25" customHeight="1" x14ac:dyDescent="0.2">
      <c r="B105" s="376"/>
      <c r="C105" s="376"/>
      <c r="D105" s="376"/>
      <c r="E105" s="131"/>
      <c r="F105" s="109"/>
      <c r="G105" s="385"/>
      <c r="H105" s="392"/>
      <c r="I105" s="77"/>
      <c r="J105" s="77"/>
      <c r="L105" s="114"/>
      <c r="M105" s="114"/>
      <c r="N105" s="114"/>
    </row>
    <row r="106" spans="1:17" s="35" customFormat="1" ht="17.25" customHeight="1" x14ac:dyDescent="0.2">
      <c r="B106" s="536" t="s">
        <v>1236</v>
      </c>
      <c r="C106" s="531"/>
      <c r="D106" s="1020" t="s">
        <v>1238</v>
      </c>
      <c r="E106" s="1041"/>
      <c r="F106" s="1021"/>
      <c r="G106" s="385"/>
      <c r="H106" s="392"/>
      <c r="I106" s="77"/>
      <c r="J106" s="77"/>
      <c r="L106" s="114"/>
      <c r="M106" s="114"/>
      <c r="N106" s="114"/>
    </row>
    <row r="107" spans="1:17" s="35" customFormat="1" ht="17.25" customHeight="1" x14ac:dyDescent="0.2">
      <c r="B107" s="536"/>
      <c r="C107" s="536"/>
      <c r="D107" s="376"/>
      <c r="E107" s="131"/>
      <c r="F107" s="109"/>
      <c r="G107" s="385"/>
      <c r="H107" s="392"/>
      <c r="I107" s="77"/>
      <c r="J107" s="77"/>
      <c r="L107" s="114"/>
      <c r="M107" s="114"/>
      <c r="N107" s="114"/>
    </row>
    <row r="108" spans="1:17" s="35" customFormat="1" ht="17.25" customHeight="1" x14ac:dyDescent="0.2">
      <c r="B108" s="457" t="s">
        <v>1285</v>
      </c>
      <c r="C108" s="536"/>
      <c r="D108" s="376"/>
      <c r="E108" s="131"/>
      <c r="F108" s="109"/>
      <c r="G108" s="385"/>
      <c r="H108" s="392"/>
      <c r="I108" s="77"/>
      <c r="J108" s="77"/>
      <c r="L108" s="114"/>
      <c r="M108" s="114"/>
      <c r="N108" s="114"/>
    </row>
    <row r="109" spans="1:17" s="35" customFormat="1" ht="17.25" customHeight="1" x14ac:dyDescent="0.2">
      <c r="B109" s="536"/>
      <c r="C109" s="536"/>
      <c r="D109" s="376"/>
      <c r="E109" s="131"/>
      <c r="F109" s="109"/>
      <c r="G109" s="385"/>
      <c r="H109" s="392"/>
      <c r="I109" s="77"/>
      <c r="J109" s="77"/>
      <c r="L109" s="114"/>
      <c r="M109" s="114"/>
      <c r="N109" s="114"/>
    </row>
    <row r="110" spans="1:17" s="35" customFormat="1" ht="17.25" customHeight="1" x14ac:dyDescent="0.2">
      <c r="B110" s="457" t="s">
        <v>1286</v>
      </c>
      <c r="C110" s="456"/>
      <c r="E110" s="77"/>
      <c r="F110" s="77"/>
      <c r="G110" s="77"/>
      <c r="H110" s="77"/>
      <c r="I110" s="77"/>
      <c r="J110" s="77"/>
      <c r="L110" s="114"/>
      <c r="M110" s="114"/>
      <c r="N110" s="114"/>
    </row>
    <row r="111" spans="1:17" s="35" customFormat="1" ht="17.25" customHeight="1" x14ac:dyDescent="0.2">
      <c r="B111" s="456"/>
      <c r="C111" s="456"/>
      <c r="E111" s="77"/>
      <c r="F111" s="77"/>
      <c r="G111" s="77"/>
      <c r="H111" s="77"/>
      <c r="I111" s="77"/>
      <c r="J111" s="77"/>
      <c r="L111" s="114"/>
      <c r="M111" s="114"/>
      <c r="N111" s="114"/>
    </row>
    <row r="112" spans="1:17" s="254" customFormat="1" ht="42.75" customHeight="1" x14ac:dyDescent="0.2">
      <c r="A112" s="397"/>
      <c r="B112" s="591" t="s">
        <v>1192</v>
      </c>
      <c r="C112" s="591" t="s">
        <v>543</v>
      </c>
      <c r="D112" s="397"/>
      <c r="E112" s="387"/>
      <c r="F112" s="397"/>
      <c r="G112" s="387"/>
      <c r="H112" s="387"/>
      <c r="I112" s="387"/>
      <c r="J112" s="395"/>
      <c r="K112" s="397"/>
      <c r="L112" s="418"/>
      <c r="M112" s="418"/>
      <c r="N112" s="418"/>
      <c r="O112" s="397"/>
      <c r="P112" s="397"/>
      <c r="Q112" s="397"/>
    </row>
    <row r="113" spans="1:17" s="64" customFormat="1" ht="17.25" customHeight="1" x14ac:dyDescent="0.2">
      <c r="A113" s="35"/>
      <c r="B113" s="454" t="str">
        <f t="shared" ref="B113:B124" si="5">+B92</f>
        <v>ENE</v>
      </c>
      <c r="C113" s="520">
        <f t="shared" ref="C113:C124" si="6">+F37-H63</f>
        <v>6619.3333333333394</v>
      </c>
      <c r="D113" s="35"/>
      <c r="E113" s="131"/>
      <c r="F113" s="35"/>
      <c r="G113" s="131"/>
      <c r="H113" s="109"/>
      <c r="I113" s="109"/>
      <c r="J113" s="77"/>
      <c r="K113" s="35"/>
      <c r="L113" s="114"/>
      <c r="M113" s="114"/>
      <c r="N113" s="114"/>
      <c r="O113" s="35"/>
      <c r="P113" s="35"/>
      <c r="Q113" s="35"/>
    </row>
    <row r="114" spans="1:17" s="64" customFormat="1" ht="17.25" customHeight="1" x14ac:dyDescent="0.2">
      <c r="A114" s="35"/>
      <c r="B114" s="454" t="str">
        <f t="shared" si="5"/>
        <v>FEB</v>
      </c>
      <c r="C114" s="520">
        <f t="shared" si="6"/>
        <v>33192</v>
      </c>
      <c r="D114" s="35"/>
      <c r="E114" s="131"/>
      <c r="F114" s="35"/>
      <c r="G114" s="131"/>
      <c r="H114" s="109"/>
      <c r="I114" s="109"/>
      <c r="J114" s="77"/>
      <c r="K114" s="35"/>
      <c r="L114" s="114"/>
      <c r="M114" s="114"/>
      <c r="N114" s="114"/>
      <c r="O114" s="35"/>
      <c r="P114" s="35"/>
      <c r="Q114" s="35"/>
    </row>
    <row r="115" spans="1:17" s="64" customFormat="1" ht="17.25" customHeight="1" x14ac:dyDescent="0.2">
      <c r="A115" s="35"/>
      <c r="B115" s="454" t="str">
        <f t="shared" si="5"/>
        <v>MAR</v>
      </c>
      <c r="C115" s="520">
        <f t="shared" si="6"/>
        <v>27490</v>
      </c>
      <c r="D115" s="35"/>
      <c r="E115" s="131"/>
      <c r="F115" s="35"/>
      <c r="G115" s="131"/>
      <c r="H115" s="109"/>
      <c r="I115" s="109"/>
      <c r="J115" s="77"/>
      <c r="K115" s="35"/>
      <c r="L115" s="114"/>
      <c r="M115" s="114"/>
      <c r="N115" s="114"/>
      <c r="O115" s="35"/>
      <c r="P115" s="35"/>
      <c r="Q115" s="35"/>
    </row>
    <row r="116" spans="1:17" s="64" customFormat="1" ht="17.25" customHeight="1" x14ac:dyDescent="0.2">
      <c r="A116" s="35"/>
      <c r="B116" s="454" t="str">
        <f t="shared" si="5"/>
        <v>ABR</v>
      </c>
      <c r="C116" s="520">
        <f t="shared" si="6"/>
        <v>-9021.6666666666715</v>
      </c>
      <c r="D116" s="35"/>
      <c r="E116" s="131"/>
      <c r="F116" s="35"/>
      <c r="G116" s="131"/>
      <c r="H116" s="109"/>
      <c r="I116" s="109"/>
      <c r="J116" s="77"/>
      <c r="K116" s="35"/>
      <c r="L116" s="114"/>
      <c r="M116" s="114"/>
      <c r="N116" s="114"/>
      <c r="O116" s="35"/>
      <c r="P116" s="35"/>
      <c r="Q116" s="35"/>
    </row>
    <row r="117" spans="1:17" s="64" customFormat="1" ht="17.25" customHeight="1" x14ac:dyDescent="0.2">
      <c r="A117" s="35"/>
      <c r="B117" s="454" t="str">
        <f t="shared" si="5"/>
        <v>MAY</v>
      </c>
      <c r="C117" s="520">
        <f t="shared" si="6"/>
        <v>-27015.000000000007</v>
      </c>
      <c r="D117" s="35"/>
      <c r="E117" s="131"/>
      <c r="F117" s="35"/>
      <c r="G117" s="131"/>
      <c r="H117" s="109"/>
      <c r="I117" s="109"/>
      <c r="J117" s="77"/>
      <c r="K117" s="35"/>
      <c r="L117" s="114"/>
      <c r="M117" s="114"/>
      <c r="N117" s="114"/>
      <c r="O117" s="35"/>
      <c r="P117" s="35"/>
      <c r="Q117" s="35"/>
    </row>
    <row r="118" spans="1:17" s="64" customFormat="1" ht="17.25" customHeight="1" x14ac:dyDescent="0.2">
      <c r="A118" s="35"/>
      <c r="B118" s="454" t="str">
        <f t="shared" si="5"/>
        <v>JUN</v>
      </c>
      <c r="C118" s="520">
        <f t="shared" si="6"/>
        <v>-33922.500000000015</v>
      </c>
      <c r="D118" s="35"/>
      <c r="E118" s="131"/>
      <c r="F118" s="35"/>
      <c r="G118" s="131"/>
      <c r="H118" s="109"/>
      <c r="I118" s="109"/>
      <c r="J118" s="77"/>
      <c r="K118" s="35"/>
      <c r="L118" s="114"/>
      <c r="M118" s="114"/>
      <c r="N118" s="114"/>
      <c r="O118" s="35"/>
      <c r="P118" s="35"/>
      <c r="Q118" s="35"/>
    </row>
    <row r="119" spans="1:17" s="64" customFormat="1" ht="17.25" customHeight="1" x14ac:dyDescent="0.2">
      <c r="A119" s="35"/>
      <c r="B119" s="454" t="str">
        <f t="shared" si="5"/>
        <v>JUL</v>
      </c>
      <c r="C119" s="520">
        <f t="shared" si="6"/>
        <v>-39815.833333333343</v>
      </c>
      <c r="D119" s="35"/>
      <c r="E119" s="131"/>
      <c r="F119" s="35"/>
      <c r="G119" s="131"/>
      <c r="H119" s="109"/>
      <c r="I119" s="109"/>
      <c r="J119" s="77"/>
      <c r="K119" s="35"/>
      <c r="L119" s="114"/>
      <c r="M119" s="114"/>
      <c r="N119" s="114"/>
      <c r="O119" s="35"/>
      <c r="P119" s="35"/>
      <c r="Q119" s="35"/>
    </row>
    <row r="120" spans="1:17" s="64" customFormat="1" ht="17.25" customHeight="1" x14ac:dyDescent="0.2">
      <c r="A120" s="35"/>
      <c r="B120" s="454" t="str">
        <f t="shared" si="5"/>
        <v>AGO</v>
      </c>
      <c r="C120" s="520">
        <f t="shared" si="6"/>
        <v>-41575.833333333343</v>
      </c>
      <c r="D120" s="35"/>
      <c r="E120" s="131"/>
      <c r="F120" s="35"/>
      <c r="G120" s="131"/>
      <c r="H120" s="109"/>
      <c r="I120" s="109"/>
      <c r="J120" s="77"/>
      <c r="K120" s="35"/>
      <c r="L120" s="114"/>
      <c r="M120" s="114"/>
      <c r="N120" s="114"/>
      <c r="O120" s="35"/>
      <c r="P120" s="35"/>
      <c r="Q120" s="35"/>
    </row>
    <row r="121" spans="1:17" s="64" customFormat="1" ht="17.25" customHeight="1" x14ac:dyDescent="0.2">
      <c r="A121" s="35"/>
      <c r="B121" s="454" t="str">
        <f t="shared" si="5"/>
        <v>SEP</v>
      </c>
      <c r="C121" s="520">
        <f t="shared" si="6"/>
        <v>-17680</v>
      </c>
      <c r="D121" s="35"/>
      <c r="E121" s="131"/>
      <c r="F121" s="35"/>
      <c r="G121" s="131"/>
      <c r="H121" s="109"/>
      <c r="I121" s="109"/>
      <c r="J121" s="77"/>
      <c r="K121" s="35"/>
      <c r="L121" s="114"/>
      <c r="M121" s="114"/>
      <c r="N121" s="114"/>
      <c r="O121" s="35"/>
      <c r="P121" s="35"/>
      <c r="Q121" s="35"/>
    </row>
    <row r="122" spans="1:17" s="64" customFormat="1" ht="17.25" customHeight="1" x14ac:dyDescent="0.2">
      <c r="A122" s="35"/>
      <c r="B122" s="454" t="str">
        <f t="shared" si="5"/>
        <v>OCT</v>
      </c>
      <c r="C122" s="520">
        <f t="shared" si="6"/>
        <v>3539.3333333333394</v>
      </c>
      <c r="D122" s="35"/>
      <c r="E122" s="131"/>
      <c r="F122" s="35"/>
      <c r="G122" s="131"/>
      <c r="H122" s="109"/>
      <c r="I122" s="109"/>
      <c r="J122" s="77"/>
      <c r="K122" s="35"/>
      <c r="L122" s="114"/>
      <c r="M122" s="114"/>
      <c r="N122" s="114"/>
      <c r="O122" s="35"/>
      <c r="P122" s="35"/>
      <c r="Q122" s="35"/>
    </row>
    <row r="123" spans="1:17" s="64" customFormat="1" ht="17.25" customHeight="1" x14ac:dyDescent="0.2">
      <c r="A123" s="35"/>
      <c r="B123" s="454" t="str">
        <f t="shared" si="5"/>
        <v>NOV</v>
      </c>
      <c r="C123" s="520">
        <f t="shared" si="6"/>
        <v>-11982.5</v>
      </c>
      <c r="D123" s="35"/>
      <c r="E123" s="131"/>
      <c r="F123" s="35"/>
      <c r="G123" s="131"/>
      <c r="H123" s="109"/>
      <c r="I123" s="109"/>
      <c r="J123" s="77"/>
      <c r="K123" s="35"/>
      <c r="L123" s="114"/>
      <c r="M123" s="114"/>
      <c r="N123" s="114"/>
      <c r="O123" s="35"/>
      <c r="P123" s="35"/>
      <c r="Q123" s="35"/>
    </row>
    <row r="124" spans="1:17" s="64" customFormat="1" ht="17.25" customHeight="1" x14ac:dyDescent="0.2">
      <c r="A124" s="35"/>
      <c r="B124" s="454" t="str">
        <f t="shared" si="5"/>
        <v>DIC</v>
      </c>
      <c r="C124" s="520">
        <f t="shared" si="6"/>
        <v>17245.083333333328</v>
      </c>
      <c r="D124" s="35"/>
      <c r="E124" s="131"/>
      <c r="F124" s="35"/>
      <c r="G124" s="131"/>
      <c r="H124" s="109"/>
      <c r="I124" s="109"/>
      <c r="J124" s="77"/>
      <c r="K124" s="35"/>
      <c r="L124" s="114"/>
      <c r="M124" s="114"/>
      <c r="N124" s="114"/>
      <c r="O124" s="35"/>
      <c r="P124" s="35"/>
      <c r="Q124" s="35"/>
    </row>
    <row r="125" spans="1:17" s="64" customFormat="1" ht="17.25" customHeight="1" x14ac:dyDescent="0.2">
      <c r="A125" s="35"/>
      <c r="B125" s="558" t="s">
        <v>520</v>
      </c>
      <c r="C125" s="521">
        <f>SUM(C113:C124)</f>
        <v>-92927.583333333358</v>
      </c>
      <c r="D125" s="35"/>
      <c r="E125" s="36"/>
      <c r="F125" s="35"/>
      <c r="G125" s="36"/>
      <c r="H125" s="36"/>
      <c r="I125" s="109"/>
      <c r="J125" s="77"/>
      <c r="K125" s="35"/>
      <c r="L125" s="114"/>
      <c r="M125" s="114"/>
      <c r="N125" s="114"/>
      <c r="O125" s="35"/>
      <c r="P125" s="35"/>
      <c r="Q125" s="35"/>
    </row>
    <row r="126" spans="1:17" s="35" customFormat="1" ht="17.25" customHeight="1" x14ac:dyDescent="0.2">
      <c r="B126" s="536"/>
      <c r="C126" s="536"/>
      <c r="D126" s="376"/>
      <c r="E126" s="131"/>
      <c r="F126" s="109"/>
      <c r="G126" s="385"/>
      <c r="H126" s="392"/>
      <c r="I126" s="77"/>
      <c r="J126" s="77"/>
      <c r="L126" s="114"/>
      <c r="M126" s="114"/>
      <c r="N126" s="114"/>
    </row>
    <row r="127" spans="1:17" s="35" customFormat="1" ht="17.25" customHeight="1" x14ac:dyDescent="0.2">
      <c r="B127" s="536"/>
      <c r="C127" s="536"/>
      <c r="D127" s="376"/>
      <c r="E127" s="131"/>
      <c r="F127" s="109"/>
      <c r="G127" s="385"/>
      <c r="H127" s="392"/>
      <c r="I127" s="77"/>
      <c r="J127" s="77"/>
      <c r="L127" s="114"/>
      <c r="M127" s="114"/>
      <c r="N127" s="114"/>
    </row>
    <row r="128" spans="1:17" s="35" customFormat="1" ht="17.25" customHeight="1" x14ac:dyDescent="0.2">
      <c r="B128" s="457" t="s">
        <v>1287</v>
      </c>
      <c r="C128" s="456"/>
      <c r="E128" s="77"/>
      <c r="F128" s="77"/>
      <c r="G128" s="77"/>
      <c r="H128" s="77"/>
      <c r="I128" s="77"/>
      <c r="J128" s="77"/>
      <c r="L128" s="114"/>
      <c r="M128" s="114"/>
      <c r="N128" s="114"/>
    </row>
    <row r="129" spans="1:17" s="35" customFormat="1" ht="17.25" customHeight="1" x14ac:dyDescent="0.2">
      <c r="B129" s="456"/>
      <c r="C129" s="456"/>
      <c r="E129" s="77"/>
      <c r="F129" s="77"/>
      <c r="G129" s="77"/>
      <c r="H129" s="77"/>
      <c r="I129" s="77"/>
      <c r="J129" s="77"/>
      <c r="L129" s="114"/>
      <c r="M129" s="114"/>
      <c r="N129" s="114"/>
    </row>
    <row r="130" spans="1:17" s="254" customFormat="1" ht="42.75" customHeight="1" x14ac:dyDescent="0.2">
      <c r="A130" s="397"/>
      <c r="B130" s="591" t="s">
        <v>1192</v>
      </c>
      <c r="C130" s="591" t="s">
        <v>549</v>
      </c>
      <c r="D130" s="387"/>
      <c r="E130" s="387"/>
      <c r="F130" s="397"/>
      <c r="G130" s="387"/>
      <c r="H130" s="387"/>
      <c r="I130" s="387"/>
      <c r="J130" s="395"/>
      <c r="K130" s="397"/>
      <c r="L130" s="418"/>
      <c r="M130" s="418"/>
      <c r="N130" s="418"/>
      <c r="O130" s="397"/>
      <c r="P130" s="397"/>
      <c r="Q130" s="397"/>
    </row>
    <row r="131" spans="1:17" s="64" customFormat="1" ht="17.25" customHeight="1" x14ac:dyDescent="0.2">
      <c r="A131" s="35"/>
      <c r="B131" s="454" t="str">
        <f>+B113</f>
        <v>ENE</v>
      </c>
      <c r="C131" s="520">
        <f t="shared" ref="C131:C142" si="7">+F37-H92</f>
        <v>28773.311111111114</v>
      </c>
      <c r="D131" s="131"/>
      <c r="E131" s="131"/>
      <c r="F131" s="35"/>
      <c r="G131" s="131"/>
      <c r="H131" s="109"/>
      <c r="I131" s="109"/>
      <c r="J131" s="77"/>
      <c r="K131" s="35"/>
      <c r="L131" s="114"/>
      <c r="M131" s="114"/>
      <c r="N131" s="114"/>
      <c r="O131" s="35"/>
      <c r="P131" s="35"/>
      <c r="Q131" s="35"/>
    </row>
    <row r="132" spans="1:17" s="64" customFormat="1" ht="17.25" customHeight="1" x14ac:dyDescent="0.2">
      <c r="A132" s="35"/>
      <c r="B132" s="454" t="str">
        <f t="shared" ref="B132:B142" si="8">+B114</f>
        <v>FEB</v>
      </c>
      <c r="C132" s="520">
        <f t="shared" si="7"/>
        <v>38019.199999999997</v>
      </c>
      <c r="D132" s="131"/>
      <c r="E132" s="131"/>
      <c r="F132" s="35"/>
      <c r="G132" s="131"/>
      <c r="H132" s="109"/>
      <c r="I132" s="109"/>
      <c r="J132" s="77"/>
      <c r="K132" s="35"/>
      <c r="L132" s="114"/>
      <c r="M132" s="114"/>
      <c r="N132" s="114"/>
      <c r="O132" s="35"/>
      <c r="P132" s="35"/>
      <c r="Q132" s="35"/>
    </row>
    <row r="133" spans="1:17" s="64" customFormat="1" ht="17.25" customHeight="1" x14ac:dyDescent="0.2">
      <c r="A133" s="35"/>
      <c r="B133" s="454" t="str">
        <f t="shared" si="8"/>
        <v>MAR</v>
      </c>
      <c r="C133" s="520">
        <f t="shared" si="7"/>
        <v>35842.666666666664</v>
      </c>
      <c r="D133" s="131"/>
      <c r="E133" s="131"/>
      <c r="F133" s="35"/>
      <c r="G133" s="131"/>
      <c r="H133" s="109"/>
      <c r="I133" s="109"/>
      <c r="J133" s="77"/>
      <c r="K133" s="35"/>
      <c r="L133" s="114"/>
      <c r="M133" s="114"/>
      <c r="N133" s="114"/>
      <c r="O133" s="35"/>
      <c r="P133" s="35"/>
      <c r="Q133" s="35"/>
    </row>
    <row r="134" spans="1:17" s="64" customFormat="1" ht="17.25" customHeight="1" x14ac:dyDescent="0.2">
      <c r="A134" s="35"/>
      <c r="B134" s="454" t="str">
        <f t="shared" si="8"/>
        <v>ABR</v>
      </c>
      <c r="C134" s="520">
        <f t="shared" si="7"/>
        <v>13529.944444444445</v>
      </c>
      <c r="D134" s="131"/>
      <c r="E134" s="131"/>
      <c r="F134" s="35"/>
      <c r="G134" s="131"/>
      <c r="H134" s="109"/>
      <c r="I134" s="109"/>
      <c r="J134" s="77"/>
      <c r="K134" s="35"/>
      <c r="L134" s="114"/>
      <c r="M134" s="114"/>
      <c r="N134" s="114"/>
      <c r="O134" s="35"/>
      <c r="P134" s="35"/>
      <c r="Q134" s="35"/>
    </row>
    <row r="135" spans="1:17" s="64" customFormat="1" ht="17.25" customHeight="1" x14ac:dyDescent="0.2">
      <c r="A135" s="35"/>
      <c r="B135" s="454" t="str">
        <f t="shared" si="8"/>
        <v>MAY</v>
      </c>
      <c r="C135" s="520">
        <f t="shared" si="7"/>
        <v>6339.7000000000007</v>
      </c>
      <c r="D135" s="131"/>
      <c r="E135" s="131"/>
      <c r="F135" s="35"/>
      <c r="G135" s="131"/>
      <c r="H135" s="109"/>
      <c r="I135" s="109"/>
      <c r="J135" s="77"/>
      <c r="K135" s="35"/>
      <c r="L135" s="114"/>
      <c r="M135" s="114"/>
      <c r="N135" s="114"/>
      <c r="O135" s="35"/>
      <c r="P135" s="35"/>
      <c r="Q135" s="35"/>
    </row>
    <row r="136" spans="1:17" s="64" customFormat="1" ht="17.25" customHeight="1" x14ac:dyDescent="0.2">
      <c r="A136" s="35"/>
      <c r="B136" s="454" t="str">
        <f t="shared" si="8"/>
        <v>JUN</v>
      </c>
      <c r="C136" s="520">
        <f t="shared" si="7"/>
        <v>6830</v>
      </c>
      <c r="D136" s="131"/>
      <c r="E136" s="131"/>
      <c r="F136" s="35"/>
      <c r="G136" s="131"/>
      <c r="H136" s="109"/>
      <c r="I136" s="109"/>
      <c r="J136" s="77"/>
      <c r="K136" s="35"/>
      <c r="L136" s="114"/>
      <c r="M136" s="114"/>
      <c r="N136" s="114"/>
      <c r="O136" s="35"/>
      <c r="P136" s="35"/>
      <c r="Q136" s="35"/>
    </row>
    <row r="137" spans="1:17" s="64" customFormat="1" ht="17.25" customHeight="1" x14ac:dyDescent="0.2">
      <c r="A137" s="35"/>
      <c r="B137" s="454" t="str">
        <f t="shared" si="8"/>
        <v>JUL</v>
      </c>
      <c r="C137" s="520">
        <f t="shared" si="7"/>
        <v>4258.2777777777774</v>
      </c>
      <c r="D137" s="131"/>
      <c r="E137" s="131"/>
      <c r="F137" s="35"/>
      <c r="G137" s="131"/>
      <c r="H137" s="109"/>
      <c r="I137" s="109"/>
      <c r="J137" s="77"/>
      <c r="K137" s="35"/>
      <c r="L137" s="114"/>
      <c r="M137" s="114"/>
      <c r="N137" s="114"/>
      <c r="O137" s="35"/>
      <c r="P137" s="35"/>
      <c r="Q137" s="35"/>
    </row>
    <row r="138" spans="1:17" s="64" customFormat="1" ht="17.25" customHeight="1" x14ac:dyDescent="0.2">
      <c r="A138" s="35"/>
      <c r="B138" s="454" t="str">
        <f t="shared" si="8"/>
        <v>AGO</v>
      </c>
      <c r="C138" s="520">
        <f t="shared" si="7"/>
        <v>1073.1622222222213</v>
      </c>
      <c r="D138" s="131"/>
      <c r="E138" s="131"/>
      <c r="F138" s="35"/>
      <c r="G138" s="131"/>
      <c r="H138" s="109"/>
      <c r="I138" s="109"/>
      <c r="J138" s="77"/>
      <c r="K138" s="35"/>
      <c r="L138" s="114"/>
      <c r="M138" s="114"/>
      <c r="N138" s="114"/>
      <c r="O138" s="35"/>
      <c r="P138" s="35"/>
      <c r="Q138" s="35"/>
    </row>
    <row r="139" spans="1:17" s="64" customFormat="1" ht="17.25" customHeight="1" x14ac:dyDescent="0.2">
      <c r="A139" s="35"/>
      <c r="B139" s="454" t="str">
        <f t="shared" si="8"/>
        <v>SEP</v>
      </c>
      <c r="C139" s="520">
        <f t="shared" si="7"/>
        <v>6494.7222222222263</v>
      </c>
      <c r="D139" s="131"/>
      <c r="E139" s="131"/>
      <c r="F139" s="35"/>
      <c r="G139" s="131"/>
      <c r="H139" s="109"/>
      <c r="I139" s="109"/>
      <c r="J139" s="77"/>
      <c r="K139" s="35"/>
      <c r="L139" s="114"/>
      <c r="M139" s="114"/>
      <c r="N139" s="114"/>
      <c r="O139" s="35"/>
      <c r="P139" s="35"/>
      <c r="Q139" s="35"/>
    </row>
    <row r="140" spans="1:17" s="64" customFormat="1" ht="17.25" customHeight="1" x14ac:dyDescent="0.2">
      <c r="A140" s="35"/>
      <c r="B140" s="454" t="str">
        <f t="shared" si="8"/>
        <v>OCT</v>
      </c>
      <c r="C140" s="520">
        <f t="shared" si="7"/>
        <v>17731.555555555555</v>
      </c>
      <c r="D140" s="131"/>
      <c r="E140" s="131"/>
      <c r="F140" s="35"/>
      <c r="G140" s="131"/>
      <c r="H140" s="109"/>
      <c r="I140" s="109"/>
      <c r="J140" s="77"/>
      <c r="K140" s="35"/>
      <c r="L140" s="114"/>
      <c r="M140" s="114"/>
      <c r="N140" s="114"/>
      <c r="O140" s="35"/>
      <c r="P140" s="35"/>
      <c r="Q140" s="35"/>
    </row>
    <row r="141" spans="1:17" s="64" customFormat="1" ht="17.25" customHeight="1" x14ac:dyDescent="0.2">
      <c r="A141" s="35"/>
      <c r="B141" s="454" t="str">
        <f t="shared" si="8"/>
        <v>NOV</v>
      </c>
      <c r="C141" s="520">
        <f t="shared" si="7"/>
        <v>21333.833333333332</v>
      </c>
      <c r="D141" s="131"/>
      <c r="E141" s="131"/>
      <c r="F141" s="35"/>
      <c r="G141" s="131"/>
      <c r="H141" s="109"/>
      <c r="I141" s="109"/>
      <c r="J141" s="77"/>
      <c r="K141" s="35"/>
      <c r="L141" s="114"/>
      <c r="M141" s="114"/>
      <c r="N141" s="114"/>
      <c r="O141" s="35"/>
      <c r="P141" s="35"/>
      <c r="Q141" s="35"/>
    </row>
    <row r="142" spans="1:17" s="64" customFormat="1" ht="17.25" customHeight="1" x14ac:dyDescent="0.2">
      <c r="A142" s="35"/>
      <c r="B142" s="454" t="str">
        <f t="shared" si="8"/>
        <v>DIC</v>
      </c>
      <c r="C142" s="520">
        <f t="shared" si="7"/>
        <v>33052.277777777781</v>
      </c>
      <c r="D142" s="131"/>
      <c r="E142" s="131"/>
      <c r="F142" s="35"/>
      <c r="G142" s="131"/>
      <c r="H142" s="109"/>
      <c r="I142" s="109"/>
      <c r="J142" s="77"/>
      <c r="K142" s="35"/>
      <c r="L142" s="114"/>
      <c r="M142" s="114"/>
      <c r="N142" s="114"/>
      <c r="O142" s="35"/>
      <c r="P142" s="35"/>
      <c r="Q142" s="35"/>
    </row>
    <row r="143" spans="1:17" s="64" customFormat="1" ht="17.25" customHeight="1" x14ac:dyDescent="0.2">
      <c r="A143" s="35"/>
      <c r="B143" s="558" t="s">
        <v>520</v>
      </c>
      <c r="C143" s="521">
        <f>SUM(C131:C142)</f>
        <v>213278.6511111111</v>
      </c>
      <c r="D143" s="36"/>
      <c r="E143" s="36"/>
      <c r="F143" s="35"/>
      <c r="G143" s="36"/>
      <c r="H143" s="36"/>
      <c r="I143" s="109"/>
      <c r="J143" s="77"/>
      <c r="K143" s="35"/>
      <c r="L143" s="114"/>
      <c r="M143" s="114"/>
      <c r="N143" s="114"/>
      <c r="O143" s="35"/>
      <c r="P143" s="35"/>
      <c r="Q143" s="35"/>
    </row>
    <row r="144" spans="1:17" s="35" customFormat="1" ht="17.25" customHeight="1" x14ac:dyDescent="0.2">
      <c r="B144" s="536"/>
      <c r="C144" s="536"/>
      <c r="D144" s="376"/>
      <c r="E144" s="131"/>
      <c r="F144" s="109"/>
      <c r="G144" s="385"/>
      <c r="H144" s="392"/>
      <c r="I144" s="77"/>
      <c r="J144" s="77"/>
      <c r="L144" s="114"/>
      <c r="M144" s="114"/>
      <c r="N144" s="114"/>
    </row>
    <row r="145" spans="2:17" s="35" customFormat="1" ht="17.25" customHeight="1" x14ac:dyDescent="0.2">
      <c r="B145" s="536"/>
      <c r="C145" s="536"/>
      <c r="D145" s="376"/>
      <c r="E145" s="131"/>
      <c r="F145" s="109"/>
      <c r="G145" s="385"/>
      <c r="H145" s="392"/>
      <c r="I145" s="77"/>
      <c r="J145" s="77"/>
      <c r="L145" s="114"/>
      <c r="M145" s="114"/>
      <c r="N145" s="114"/>
    </row>
    <row r="146" spans="2:17" s="382" customFormat="1" ht="16.5" customHeight="1" x14ac:dyDescent="0.2">
      <c r="B146" s="616" t="s">
        <v>1288</v>
      </c>
      <c r="C146" s="398"/>
      <c r="D146" s="398"/>
      <c r="E146" s="389"/>
      <c r="F146" s="389"/>
      <c r="G146" s="389"/>
      <c r="H146" s="389"/>
      <c r="I146" s="390"/>
      <c r="J146" s="390"/>
      <c r="L146" s="391"/>
      <c r="M146" s="391"/>
      <c r="N146" s="391"/>
      <c r="O146" s="391"/>
      <c r="P146" s="391"/>
      <c r="Q146" s="390"/>
    </row>
    <row r="147" spans="2:17" s="382" customFormat="1" ht="16.5" customHeight="1" x14ac:dyDescent="0.2">
      <c r="B147" s="615"/>
      <c r="C147" s="398"/>
      <c r="D147" s="398"/>
      <c r="E147" s="389"/>
      <c r="F147" s="389"/>
      <c r="G147" s="389"/>
      <c r="H147" s="389"/>
      <c r="I147" s="390"/>
      <c r="J147" s="390"/>
      <c r="L147" s="391"/>
      <c r="M147" s="391"/>
      <c r="N147" s="391"/>
      <c r="O147" s="391"/>
      <c r="P147" s="391"/>
      <c r="Q147" s="390"/>
    </row>
    <row r="148" spans="2:17" s="382" customFormat="1" ht="16.5" customHeight="1" x14ac:dyDescent="0.2">
      <c r="B148" s="616" t="s">
        <v>1289</v>
      </c>
      <c r="C148" s="398"/>
      <c r="D148" s="398"/>
      <c r="E148" s="389"/>
      <c r="F148" s="389"/>
      <c r="G148" s="389"/>
      <c r="H148" s="389"/>
      <c r="I148" s="390"/>
      <c r="J148" s="390"/>
      <c r="L148" s="391"/>
      <c r="M148" s="391"/>
      <c r="N148" s="391"/>
      <c r="O148" s="391"/>
      <c r="P148" s="391"/>
      <c r="Q148" s="390"/>
    </row>
    <row r="149" spans="2:17" s="382" customFormat="1" ht="33" customHeight="1" x14ac:dyDescent="0.2">
      <c r="B149" s="1033" t="s">
        <v>1259</v>
      </c>
      <c r="C149" s="1034"/>
      <c r="D149" s="1034"/>
      <c r="E149" s="1034"/>
      <c r="F149" s="1034"/>
      <c r="G149" s="1034"/>
      <c r="H149" s="1034"/>
      <c r="I149" s="1034"/>
      <c r="J149" s="1035"/>
      <c r="L149" s="391"/>
      <c r="M149" s="391"/>
      <c r="N149" s="391"/>
      <c r="O149" s="391"/>
      <c r="P149" s="391"/>
      <c r="Q149" s="390"/>
    </row>
    <row r="150" spans="2:17" s="382" customFormat="1" ht="16.5" customHeight="1" x14ac:dyDescent="0.2">
      <c r="B150" s="399"/>
      <c r="C150" s="399"/>
      <c r="D150" s="399"/>
      <c r="E150" s="399"/>
      <c r="F150" s="399"/>
      <c r="G150" s="399"/>
      <c r="H150" s="399"/>
      <c r="I150" s="400"/>
      <c r="J150" s="400"/>
      <c r="L150" s="391"/>
      <c r="M150" s="391"/>
      <c r="N150" s="391"/>
      <c r="O150" s="391"/>
      <c r="P150" s="391"/>
      <c r="Q150" s="390"/>
    </row>
    <row r="151" spans="2:17" s="382" customFormat="1" ht="16.5" customHeight="1" x14ac:dyDescent="0.2">
      <c r="B151" s="1032" t="s">
        <v>1290</v>
      </c>
      <c r="C151" s="1032"/>
      <c r="D151" s="399"/>
      <c r="E151" s="399"/>
      <c r="F151" s="399"/>
      <c r="G151" s="399"/>
      <c r="H151" s="399"/>
      <c r="I151" s="400"/>
      <c r="J151" s="400"/>
      <c r="L151" s="391"/>
      <c r="M151" s="391"/>
      <c r="N151" s="391"/>
      <c r="O151" s="391"/>
      <c r="P151" s="391"/>
      <c r="Q151" s="390"/>
    </row>
    <row r="152" spans="2:17" s="382" customFormat="1" ht="33" customHeight="1" x14ac:dyDescent="0.2">
      <c r="B152" s="1033" t="s">
        <v>1299</v>
      </c>
      <c r="C152" s="1034"/>
      <c r="D152" s="1034"/>
      <c r="E152" s="1034"/>
      <c r="F152" s="1034"/>
      <c r="G152" s="1034"/>
      <c r="H152" s="1034"/>
      <c r="I152" s="1034"/>
      <c r="J152" s="1035"/>
      <c r="L152" s="391"/>
      <c r="M152" s="391"/>
      <c r="N152" s="391"/>
      <c r="O152" s="391"/>
      <c r="P152" s="391"/>
      <c r="Q152" s="390"/>
    </row>
    <row r="153" spans="2:17" s="382" customFormat="1" ht="16.5" customHeight="1" x14ac:dyDescent="0.2">
      <c r="B153" s="399"/>
      <c r="C153" s="399"/>
      <c r="D153" s="399"/>
      <c r="E153" s="399"/>
      <c r="F153" s="399"/>
      <c r="G153" s="399"/>
      <c r="H153" s="399"/>
      <c r="I153" s="400"/>
      <c r="J153" s="400"/>
      <c r="L153" s="391"/>
      <c r="M153" s="391"/>
      <c r="N153" s="391"/>
      <c r="O153" s="391"/>
      <c r="P153" s="391"/>
      <c r="Q153" s="390"/>
    </row>
    <row r="154" spans="2:17" s="382" customFormat="1" ht="16.5" customHeight="1" x14ac:dyDescent="0.2">
      <c r="B154" s="1032" t="s">
        <v>1291</v>
      </c>
      <c r="C154" s="1032"/>
      <c r="D154" s="399"/>
      <c r="E154" s="399"/>
      <c r="F154" s="399"/>
      <c r="G154" s="399"/>
      <c r="H154" s="399"/>
      <c r="I154" s="400"/>
      <c r="J154" s="400"/>
      <c r="L154" s="391"/>
      <c r="M154" s="391"/>
      <c r="N154" s="391"/>
      <c r="O154" s="391"/>
      <c r="P154" s="391"/>
      <c r="Q154" s="390"/>
    </row>
    <row r="155" spans="2:17" s="382" customFormat="1" ht="27.75" customHeight="1" x14ac:dyDescent="0.2">
      <c r="B155" s="1033" t="s">
        <v>1260</v>
      </c>
      <c r="C155" s="1034"/>
      <c r="D155" s="1034"/>
      <c r="E155" s="1034"/>
      <c r="F155" s="1034"/>
      <c r="G155" s="1034"/>
      <c r="H155" s="1034"/>
      <c r="I155" s="1034"/>
      <c r="J155" s="1035"/>
      <c r="L155" s="391"/>
      <c r="M155" s="391"/>
      <c r="N155" s="391"/>
      <c r="O155" s="391"/>
      <c r="P155" s="391"/>
      <c r="Q155" s="390"/>
    </row>
    <row r="156" spans="2:17" s="375" customFormat="1" x14ac:dyDescent="0.2"/>
    <row r="157" spans="2:17" s="375" customFormat="1" x14ac:dyDescent="0.2"/>
    <row r="158" spans="2:17" s="375" customFormat="1" x14ac:dyDescent="0.2"/>
    <row r="159" spans="2:17" s="375" customFormat="1" x14ac:dyDescent="0.2"/>
    <row r="160" spans="2:17" s="375" customFormat="1" x14ac:dyDescent="0.2"/>
    <row r="161" s="375" customFormat="1" x14ac:dyDescent="0.2"/>
    <row r="162" s="375" customFormat="1" x14ac:dyDescent="0.2"/>
    <row r="163" s="375" customFormat="1" x14ac:dyDescent="0.2"/>
    <row r="164" s="375" customFormat="1" x14ac:dyDescent="0.2"/>
    <row r="165" s="375" customFormat="1" x14ac:dyDescent="0.2"/>
    <row r="166" s="375" customFormat="1" x14ac:dyDescent="0.2"/>
    <row r="167" s="375" customFormat="1" x14ac:dyDescent="0.2"/>
    <row r="168" s="375" customFormat="1" x14ac:dyDescent="0.2"/>
    <row r="169" s="375" customFormat="1" x14ac:dyDescent="0.2"/>
    <row r="170" s="375" customFormat="1" x14ac:dyDescent="0.2"/>
    <row r="171" s="375" customFormat="1" x14ac:dyDescent="0.2"/>
    <row r="172" s="375" customFormat="1" x14ac:dyDescent="0.2"/>
    <row r="173" s="375" customFormat="1" x14ac:dyDescent="0.2"/>
    <row r="174" s="375" customFormat="1" x14ac:dyDescent="0.2"/>
    <row r="175" s="375" customFormat="1" x14ac:dyDescent="0.2"/>
    <row r="176" s="375" customFormat="1" x14ac:dyDescent="0.2"/>
    <row r="177" s="375" customFormat="1" x14ac:dyDescent="0.2"/>
    <row r="178" s="375" customFormat="1" x14ac:dyDescent="0.2"/>
    <row r="179" s="375" customFormat="1" x14ac:dyDescent="0.2"/>
    <row r="180" s="375" customFormat="1" x14ac:dyDescent="0.2"/>
    <row r="181" s="375" customFormat="1" x14ac:dyDescent="0.2"/>
    <row r="182" s="375" customFormat="1" x14ac:dyDescent="0.2"/>
    <row r="183" s="375" customFormat="1" x14ac:dyDescent="0.2"/>
    <row r="184" s="375" customFormat="1" x14ac:dyDescent="0.2"/>
    <row r="185" s="375" customFormat="1" x14ac:dyDescent="0.2"/>
    <row r="186" s="375" customFormat="1" x14ac:dyDescent="0.2"/>
    <row r="187" s="375" customFormat="1" x14ac:dyDescent="0.2"/>
    <row r="188" s="375" customFormat="1" x14ac:dyDescent="0.2"/>
    <row r="189" s="375" customFormat="1" x14ac:dyDescent="0.2"/>
    <row r="190" s="375" customFormat="1" x14ac:dyDescent="0.2"/>
    <row r="191" s="375" customFormat="1" x14ac:dyDescent="0.2"/>
    <row r="192" s="375" customFormat="1" x14ac:dyDescent="0.2"/>
    <row r="193" s="375" customFormat="1" x14ac:dyDescent="0.2"/>
    <row r="194" s="375" customFormat="1" x14ac:dyDescent="0.2"/>
    <row r="195" s="375" customFormat="1" x14ac:dyDescent="0.2"/>
    <row r="196" s="375" customFormat="1" x14ac:dyDescent="0.2"/>
    <row r="197" s="375" customFormat="1" x14ac:dyDescent="0.2"/>
    <row r="198" s="375" customFormat="1" x14ac:dyDescent="0.2"/>
    <row r="199" s="375" customFormat="1" x14ac:dyDescent="0.2"/>
    <row r="200" s="375" customFormat="1" x14ac:dyDescent="0.2"/>
    <row r="201" s="375" customFormat="1" x14ac:dyDescent="0.2"/>
    <row r="202" s="375" customFormat="1" x14ac:dyDescent="0.2"/>
    <row r="203" s="375" customFormat="1" x14ac:dyDescent="0.2"/>
    <row r="204" s="375" customFormat="1" x14ac:dyDescent="0.2"/>
    <row r="205" s="375" customFormat="1" x14ac:dyDescent="0.2"/>
    <row r="206" s="375" customFormat="1" x14ac:dyDescent="0.2"/>
    <row r="207" s="375" customFormat="1" x14ac:dyDescent="0.2"/>
    <row r="208" s="375" customFormat="1" x14ac:dyDescent="0.2"/>
    <row r="209" s="375" customFormat="1" x14ac:dyDescent="0.2"/>
    <row r="210" s="375" customFormat="1" x14ac:dyDescent="0.2"/>
    <row r="211" s="375" customFormat="1" x14ac:dyDescent="0.2"/>
    <row r="212" s="375" customFormat="1" x14ac:dyDescent="0.2"/>
    <row r="213" s="375" customFormat="1" x14ac:dyDescent="0.2"/>
    <row r="214" s="375" customFormat="1" x14ac:dyDescent="0.2"/>
    <row r="215" s="375" customFormat="1" x14ac:dyDescent="0.2"/>
    <row r="216" s="375" customFormat="1" x14ac:dyDescent="0.2"/>
    <row r="217" s="375" customFormat="1" x14ac:dyDescent="0.2"/>
    <row r="218" s="375" customFormat="1" x14ac:dyDescent="0.2"/>
    <row r="219" s="375" customFormat="1" x14ac:dyDescent="0.2"/>
    <row r="220" s="375" customFormat="1" x14ac:dyDescent="0.2"/>
    <row r="221" s="375" customFormat="1" x14ac:dyDescent="0.2"/>
    <row r="222" s="375" customFormat="1" x14ac:dyDescent="0.2"/>
    <row r="223" s="375" customFormat="1" x14ac:dyDescent="0.2"/>
    <row r="224" s="375" customFormat="1" x14ac:dyDescent="0.2"/>
    <row r="225" s="375" customFormat="1" x14ac:dyDescent="0.2"/>
    <row r="226" s="375" customFormat="1" x14ac:dyDescent="0.2"/>
    <row r="227" s="375" customFormat="1" x14ac:dyDescent="0.2"/>
    <row r="228" s="375" customFormat="1" x14ac:dyDescent="0.2"/>
    <row r="229" s="375" customFormat="1" x14ac:dyDescent="0.2"/>
    <row r="230" s="375" customFormat="1" x14ac:dyDescent="0.2"/>
    <row r="231" s="375" customFormat="1" x14ac:dyDescent="0.2"/>
    <row r="232" s="375" customFormat="1" x14ac:dyDescent="0.2"/>
    <row r="233" s="375" customFormat="1" x14ac:dyDescent="0.2"/>
    <row r="234" s="375" customFormat="1" x14ac:dyDescent="0.2"/>
    <row r="235" s="375" customFormat="1" x14ac:dyDescent="0.2"/>
    <row r="236" s="375" customFormat="1" x14ac:dyDescent="0.2"/>
    <row r="237" s="375" customFormat="1" x14ac:dyDescent="0.2"/>
    <row r="238" s="375" customFormat="1" x14ac:dyDescent="0.2"/>
    <row r="239" s="375" customFormat="1" x14ac:dyDescent="0.2"/>
    <row r="240" s="375" customFormat="1" x14ac:dyDescent="0.2"/>
    <row r="241" s="375" customFormat="1" x14ac:dyDescent="0.2"/>
    <row r="242" s="375" customFormat="1" x14ac:dyDescent="0.2"/>
    <row r="243" s="375" customFormat="1" x14ac:dyDescent="0.2"/>
    <row r="244" s="375" customFormat="1" x14ac:dyDescent="0.2"/>
    <row r="245" s="375" customFormat="1" x14ac:dyDescent="0.2"/>
    <row r="246" s="375" customFormat="1" x14ac:dyDescent="0.2"/>
    <row r="247" s="375" customFormat="1" x14ac:dyDescent="0.2"/>
    <row r="248" s="375" customFormat="1" x14ac:dyDescent="0.2"/>
    <row r="249" s="375" customFormat="1" x14ac:dyDescent="0.2"/>
    <row r="250" s="375" customFormat="1" x14ac:dyDescent="0.2"/>
    <row r="251" s="375" customFormat="1" x14ac:dyDescent="0.2"/>
    <row r="252" s="375" customFormat="1" x14ac:dyDescent="0.2"/>
    <row r="253" s="375" customFormat="1" x14ac:dyDescent="0.2"/>
    <row r="254" s="375" customFormat="1" x14ac:dyDescent="0.2"/>
    <row r="255" s="375" customFormat="1" x14ac:dyDescent="0.2"/>
    <row r="256" s="375" customFormat="1" x14ac:dyDescent="0.2"/>
    <row r="257" s="375" customFormat="1" x14ac:dyDescent="0.2"/>
    <row r="258" s="375" customFormat="1" x14ac:dyDescent="0.2"/>
    <row r="259" s="375" customFormat="1" x14ac:dyDescent="0.2"/>
    <row r="260" s="375" customFormat="1" x14ac:dyDescent="0.2"/>
    <row r="261" s="375" customFormat="1" x14ac:dyDescent="0.2"/>
    <row r="262" s="375" customFormat="1" x14ac:dyDescent="0.2"/>
    <row r="263" s="375" customFormat="1" x14ac:dyDescent="0.2"/>
    <row r="264" s="375" customFormat="1" x14ac:dyDescent="0.2"/>
    <row r="265" s="375" customFormat="1" x14ac:dyDescent="0.2"/>
    <row r="266" s="375" customFormat="1" x14ac:dyDescent="0.2"/>
    <row r="267" s="375" customFormat="1" x14ac:dyDescent="0.2"/>
    <row r="268" s="375" customFormat="1" x14ac:dyDescent="0.2"/>
    <row r="269" s="375" customFormat="1" x14ac:dyDescent="0.2"/>
    <row r="270" s="375" customFormat="1" x14ac:dyDescent="0.2"/>
    <row r="271" s="375" customFormat="1" x14ac:dyDescent="0.2"/>
    <row r="272" s="375" customFormat="1" x14ac:dyDescent="0.2"/>
    <row r="273" s="375" customFormat="1" x14ac:dyDescent="0.2"/>
    <row r="274" s="375" customFormat="1" x14ac:dyDescent="0.2"/>
    <row r="275" s="375" customFormat="1" x14ac:dyDescent="0.2"/>
  </sheetData>
  <sheetProtection algorithmName="SHA-512" hashValue="wRkQdAo+FCUNdHKQwNy30z2AyU4MjlddhGm+aQLKdQVZ0ffj4huw10AIC0nOvUpbKKCMQ5UOiIobrwPzzrD5pQ==" saltValue="THciOaZpSdzBkURhCkAqRQ==" spinCount="100000" sheet="1" objects="1" scenarios="1"/>
  <mergeCells count="40">
    <mergeCell ref="B2:J2"/>
    <mergeCell ref="B3:J3"/>
    <mergeCell ref="P6:R6"/>
    <mergeCell ref="F29:G29"/>
    <mergeCell ref="I29:J29"/>
    <mergeCell ref="B4:J4"/>
    <mergeCell ref="G18:J18"/>
    <mergeCell ref="B13:J13"/>
    <mergeCell ref="B155:J155"/>
    <mergeCell ref="D51:F51"/>
    <mergeCell ref="D77:F77"/>
    <mergeCell ref="D106:F106"/>
    <mergeCell ref="B59:D59"/>
    <mergeCell ref="B60:D60"/>
    <mergeCell ref="B75:G75"/>
    <mergeCell ref="B81:D81"/>
    <mergeCell ref="I81:J81"/>
    <mergeCell ref="B82:D82"/>
    <mergeCell ref="E82:F82"/>
    <mergeCell ref="B104:G104"/>
    <mergeCell ref="B83:D83"/>
    <mergeCell ref="B151:C151"/>
    <mergeCell ref="B57:D57"/>
    <mergeCell ref="I57:J57"/>
    <mergeCell ref="B154:C154"/>
    <mergeCell ref="B149:J149"/>
    <mergeCell ref="B152:J152"/>
    <mergeCell ref="B23:J23"/>
    <mergeCell ref="E30:J30"/>
    <mergeCell ref="B34:D34"/>
    <mergeCell ref="I34:J34"/>
    <mergeCell ref="B35:D35"/>
    <mergeCell ref="B49:E49"/>
    <mergeCell ref="B58:D58"/>
    <mergeCell ref="E58:F58"/>
    <mergeCell ref="B84:D84"/>
    <mergeCell ref="B85:D85"/>
    <mergeCell ref="B86:D86"/>
    <mergeCell ref="E86:F86"/>
    <mergeCell ref="B87:D87"/>
  </mergeCells>
  <dataValidations count="6">
    <dataValidation type="decimal" operator="lessThanOrEqual" allowBlank="1" showInputMessage="1" showErrorMessage="1" sqref="E34">
      <formula1>10000</formula1>
    </dataValidation>
    <dataValidation type="list" operator="lessThanOrEqual" allowBlank="1" showInputMessage="1" showErrorMessage="1" sqref="G10">
      <formula1>"10,15"</formula1>
    </dataValidation>
    <dataValidation type="list" allowBlank="1" showInputMessage="1" showErrorMessage="1" sqref="F29:G29 I29:J29">
      <formula1>"SI, NO"</formula1>
    </dataValidation>
    <dataValidation type="decimal" allowBlank="1" showInputMessage="1" showErrorMessage="1" sqref="C63:F74">
      <formula1>0</formula1>
      <formula2>100000</formula2>
    </dataValidation>
    <dataValidation type="decimal" allowBlank="1" showInputMessage="1" showErrorMessage="1" sqref="C92:F103">
      <formula1>0</formula1>
      <formula2>999999</formula2>
    </dataValidation>
    <dataValidation type="decimal" allowBlank="1" showInputMessage="1" showErrorMessage="1" sqref="E57">
      <formula1>0</formula1>
      <formula2>999999.99</formula2>
    </dataValidation>
  </dataValidations>
  <pageMargins left="0.70866141732283472" right="0.70866141732283472" top="0.74803149606299213" bottom="0.74803149606299213" header="0.31496062992125984" footer="0.31496062992125984"/>
  <pageSetup scale="61" orientation="portrait" r:id="rId1"/>
  <rowBreaks count="2" manualBreakCount="2">
    <brk id="52" min="1" max="9" man="1"/>
    <brk id="107" min="1" max="9" man="1"/>
  </rowBreak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X223"/>
  <sheetViews>
    <sheetView topLeftCell="A90" zoomScaleNormal="100" zoomScaleSheetLayoutView="130" workbookViewId="0">
      <selection activeCell="E100" sqref="E100"/>
    </sheetView>
  </sheetViews>
  <sheetFormatPr baseColWidth="10" defaultColWidth="11.42578125" defaultRowHeight="12.75" x14ac:dyDescent="0.2"/>
  <cols>
    <col min="1" max="1" width="8" style="409" customWidth="1"/>
    <col min="2" max="2" width="25.28515625" style="244" customWidth="1"/>
    <col min="3" max="3" width="22" style="243" customWidth="1"/>
    <col min="4" max="4" width="15.85546875" style="244" customWidth="1"/>
    <col min="5" max="5" width="23.7109375" style="244" customWidth="1"/>
    <col min="6" max="8" width="16.7109375" style="244" customWidth="1"/>
    <col min="9" max="9" width="14.5703125" style="339" customWidth="1"/>
    <col min="10" max="10" width="14.5703125" style="244" customWidth="1"/>
    <col min="11" max="12" width="12" style="409" customWidth="1"/>
    <col min="13" max="24" width="11.42578125" style="409"/>
    <col min="25" max="16384" width="11.42578125" style="244"/>
  </cols>
  <sheetData>
    <row r="1" spans="1:24" s="409" customFormat="1" x14ac:dyDescent="0.2">
      <c r="B1" s="522"/>
      <c r="C1" s="523"/>
      <c r="D1" s="522"/>
      <c r="E1" s="522"/>
      <c r="F1" s="522"/>
      <c r="G1" s="522"/>
      <c r="H1" s="522"/>
      <c r="I1" s="524"/>
      <c r="J1" s="522"/>
    </row>
    <row r="2" spans="1:24" s="35" customFormat="1" ht="22.5" customHeight="1" x14ac:dyDescent="0.2">
      <c r="B2" s="1044" t="s">
        <v>1330</v>
      </c>
      <c r="C2" s="1045"/>
      <c r="D2" s="1045"/>
      <c r="E2" s="1045"/>
      <c r="F2" s="1045"/>
      <c r="G2" s="1045"/>
      <c r="H2" s="1045"/>
      <c r="I2" s="1045"/>
      <c r="J2" s="1046"/>
      <c r="L2" s="114"/>
      <c r="M2" s="114"/>
      <c r="N2" s="114"/>
    </row>
    <row r="3" spans="1:24" s="35" customFormat="1" ht="19.5" customHeight="1" x14ac:dyDescent="0.2">
      <c r="B3" s="1047" t="s">
        <v>1328</v>
      </c>
      <c r="C3" s="1048"/>
      <c r="D3" s="1048"/>
      <c r="E3" s="1048"/>
      <c r="F3" s="1048"/>
      <c r="G3" s="1048"/>
      <c r="H3" s="1048"/>
      <c r="I3" s="1048"/>
      <c r="J3" s="1049"/>
      <c r="L3" s="114"/>
      <c r="M3" s="114"/>
      <c r="N3" s="114"/>
    </row>
    <row r="4" spans="1:24" s="35" customFormat="1" ht="19.5" customHeight="1" x14ac:dyDescent="0.2">
      <c r="B4" s="1050" t="s">
        <v>215</v>
      </c>
      <c r="C4" s="1051"/>
      <c r="D4" s="1051"/>
      <c r="E4" s="1051"/>
      <c r="F4" s="1051"/>
      <c r="G4" s="1051"/>
      <c r="H4" s="1051"/>
      <c r="I4" s="1051"/>
      <c r="J4" s="1052"/>
      <c r="L4" s="114"/>
      <c r="M4" s="114"/>
      <c r="N4" s="114"/>
    </row>
    <row r="5" spans="1:24" s="35" customFormat="1" ht="19.5" customHeight="1" x14ac:dyDescent="0.2">
      <c r="B5" s="456"/>
      <c r="C5" s="525"/>
      <c r="D5" s="456"/>
      <c r="E5" s="465"/>
      <c r="F5" s="465"/>
      <c r="G5" s="465"/>
      <c r="H5" s="465"/>
      <c r="I5" s="526"/>
      <c r="J5" s="465"/>
      <c r="K5" s="114"/>
      <c r="L5" s="114"/>
    </row>
    <row r="6" spans="1:24" s="6" customFormat="1" ht="16.5" customHeight="1" x14ac:dyDescent="0.2">
      <c r="A6" s="36"/>
      <c r="B6" s="527" t="s">
        <v>1374</v>
      </c>
      <c r="C6" s="528"/>
      <c r="D6" s="528"/>
      <c r="E6" s="528"/>
      <c r="F6" s="528"/>
      <c r="G6" s="528"/>
      <c r="H6" s="529"/>
      <c r="I6" s="530"/>
      <c r="J6" s="468"/>
      <c r="K6" s="116"/>
      <c r="L6" s="116"/>
      <c r="M6" s="36"/>
      <c r="N6" s="36"/>
      <c r="O6" s="36"/>
      <c r="P6" s="36"/>
      <c r="Q6" s="36"/>
      <c r="R6" s="36"/>
      <c r="S6" s="36"/>
      <c r="T6" s="36"/>
      <c r="U6" s="36"/>
      <c r="V6" s="36"/>
      <c r="W6" s="36"/>
      <c r="X6" s="36"/>
    </row>
    <row r="7" spans="1:24" s="35" customFormat="1" ht="19.5" customHeight="1" x14ac:dyDescent="0.2">
      <c r="B7" s="456"/>
      <c r="C7" s="525"/>
      <c r="D7" s="456"/>
      <c r="E7" s="465"/>
      <c r="F7" s="465"/>
      <c r="G7" s="465"/>
      <c r="H7" s="465"/>
      <c r="I7" s="526"/>
      <c r="J7" s="465"/>
      <c r="K7" s="114"/>
      <c r="L7" s="114"/>
    </row>
    <row r="8" spans="1:24" s="35" customFormat="1" ht="15" customHeight="1" x14ac:dyDescent="0.2">
      <c r="B8" s="457" t="s">
        <v>1402</v>
      </c>
      <c r="C8" s="456"/>
      <c r="D8" s="456"/>
      <c r="E8" s="456"/>
      <c r="F8" s="472"/>
      <c r="G8" s="474"/>
      <c r="H8" s="472"/>
      <c r="I8" s="531"/>
      <c r="J8" s="472"/>
    </row>
    <row r="9" spans="1:24" s="35" customFormat="1" ht="15" customHeight="1" x14ac:dyDescent="0.2">
      <c r="B9" s="456"/>
      <c r="C9" s="456"/>
      <c r="D9" s="456"/>
      <c r="E9" s="456"/>
      <c r="F9" s="472"/>
      <c r="G9" s="472"/>
      <c r="H9" s="472"/>
      <c r="I9" s="531"/>
      <c r="J9" s="472"/>
    </row>
    <row r="10" spans="1:24" s="4" customFormat="1" ht="27" customHeight="1" x14ac:dyDescent="0.2">
      <c r="A10" s="35"/>
      <c r="B10" s="461" t="s">
        <v>1258</v>
      </c>
      <c r="C10" s="1030" t="s">
        <v>24</v>
      </c>
      <c r="D10" s="1030"/>
      <c r="E10" s="1030"/>
      <c r="F10" s="1030"/>
      <c r="G10" s="1030"/>
      <c r="H10" s="1030"/>
      <c r="I10" s="1030"/>
      <c r="J10" s="1030"/>
      <c r="K10" s="35"/>
      <c r="L10" s="73"/>
      <c r="M10" s="35"/>
      <c r="N10" s="35"/>
      <c r="O10" s="35"/>
      <c r="P10" s="35"/>
      <c r="Q10" s="35"/>
      <c r="R10" s="35"/>
      <c r="S10" s="35"/>
      <c r="T10" s="35"/>
      <c r="U10" s="35"/>
      <c r="V10" s="35"/>
      <c r="W10" s="35"/>
      <c r="X10" s="35"/>
    </row>
    <row r="11" spans="1:24" s="35" customFormat="1" ht="87" customHeight="1" x14ac:dyDescent="0.2">
      <c r="B11" s="689" t="str">
        <f>+'1. Identificación'!D182</f>
        <v>Presurizado: Aspersión Semifijo y Goteo</v>
      </c>
      <c r="C11" s="1022" t="s">
        <v>1441</v>
      </c>
      <c r="D11" s="1023"/>
      <c r="E11" s="1023"/>
      <c r="F11" s="1023"/>
      <c r="G11" s="1023"/>
      <c r="H11" s="1023"/>
      <c r="I11" s="1023"/>
      <c r="J11" s="1024"/>
      <c r="L11" s="36"/>
    </row>
    <row r="12" spans="1:24" s="36" customFormat="1" ht="12.75" customHeight="1" x14ac:dyDescent="0.2">
      <c r="B12" s="532"/>
      <c r="C12" s="533"/>
      <c r="D12" s="533"/>
      <c r="E12" s="533"/>
      <c r="F12" s="533"/>
      <c r="G12" s="463"/>
      <c r="H12" s="534"/>
      <c r="I12" s="535"/>
      <c r="J12" s="456"/>
      <c r="K12" s="116"/>
      <c r="L12" s="116"/>
    </row>
    <row r="13" spans="1:24" s="36" customFormat="1" ht="12.75" customHeight="1" x14ac:dyDescent="0.2">
      <c r="B13" s="532"/>
      <c r="C13" s="533"/>
      <c r="D13" s="533"/>
      <c r="E13" s="533"/>
      <c r="F13" s="533"/>
      <c r="G13" s="463"/>
      <c r="H13" s="534"/>
      <c r="I13" s="535"/>
      <c r="J13" s="456"/>
      <c r="K13" s="116"/>
      <c r="L13" s="116"/>
    </row>
    <row r="14" spans="1:24" s="35" customFormat="1" ht="17.25" customHeight="1" x14ac:dyDescent="0.2">
      <c r="B14" s="457" t="s">
        <v>1403</v>
      </c>
      <c r="C14" s="534"/>
      <c r="D14" s="536"/>
      <c r="E14" s="526"/>
      <c r="F14" s="531"/>
      <c r="G14" s="537"/>
      <c r="H14" s="472"/>
      <c r="I14" s="531"/>
      <c r="J14" s="536"/>
      <c r="K14" s="114"/>
      <c r="L14" s="114"/>
    </row>
    <row r="15" spans="1:24" s="35" customFormat="1" ht="17.25" customHeight="1" x14ac:dyDescent="0.2">
      <c r="B15" s="457"/>
      <c r="C15" s="534"/>
      <c r="D15" s="536"/>
      <c r="E15" s="526"/>
      <c r="F15" s="531"/>
      <c r="G15" s="537"/>
      <c r="H15" s="472"/>
      <c r="I15" s="531"/>
      <c r="J15" s="536"/>
      <c r="K15" s="114"/>
      <c r="L15" s="114"/>
    </row>
    <row r="16" spans="1:24" s="35" customFormat="1" ht="17.25" customHeight="1" x14ac:dyDescent="0.2">
      <c r="B16" s="457" t="s">
        <v>1404</v>
      </c>
      <c r="C16" s="534"/>
      <c r="D16" s="536"/>
      <c r="E16" s="526"/>
      <c r="F16" s="531"/>
      <c r="G16" s="537"/>
      <c r="H16" s="472"/>
      <c r="I16" s="531"/>
      <c r="J16" s="536"/>
      <c r="K16" s="114"/>
      <c r="L16" s="114"/>
    </row>
    <row r="17" spans="1:24" s="35" customFormat="1" ht="17.25" customHeight="1" x14ac:dyDescent="0.2">
      <c r="B17" s="536"/>
      <c r="C17" s="534"/>
      <c r="D17" s="536"/>
      <c r="E17" s="526"/>
      <c r="F17" s="531"/>
      <c r="G17" s="537"/>
      <c r="H17" s="472"/>
      <c r="I17" s="531"/>
      <c r="J17" s="536"/>
      <c r="K17" s="114"/>
      <c r="L17" s="114"/>
    </row>
    <row r="18" spans="1:24" s="4" customFormat="1" ht="37.5" customHeight="1" x14ac:dyDescent="0.2">
      <c r="A18" s="35"/>
      <c r="B18" s="456"/>
      <c r="C18" s="456"/>
      <c r="D18" s="456"/>
      <c r="E18" s="1019" t="s">
        <v>1309</v>
      </c>
      <c r="F18" s="1019"/>
      <c r="G18" s="1019"/>
      <c r="H18" s="1030" t="s">
        <v>1313</v>
      </c>
      <c r="I18" s="1019" t="s">
        <v>1310</v>
      </c>
      <c r="J18" s="1019"/>
      <c r="K18" s="35"/>
      <c r="L18" s="35"/>
      <c r="M18" s="35"/>
      <c r="N18" s="35"/>
      <c r="O18" s="35"/>
      <c r="P18" s="35"/>
      <c r="Q18" s="35"/>
      <c r="R18" s="35"/>
      <c r="S18" s="35"/>
      <c r="T18" s="35"/>
      <c r="U18" s="35"/>
      <c r="V18" s="35"/>
      <c r="W18" s="35"/>
      <c r="X18" s="35"/>
    </row>
    <row r="19" spans="1:24" s="4" customFormat="1" ht="39.75" customHeight="1" x14ac:dyDescent="0.2">
      <c r="A19" s="35"/>
      <c r="B19" s="461" t="s">
        <v>1302</v>
      </c>
      <c r="C19" s="461" t="s">
        <v>1303</v>
      </c>
      <c r="D19" s="455" t="s">
        <v>1305</v>
      </c>
      <c r="E19" s="461" t="s">
        <v>1308</v>
      </c>
      <c r="F19" s="455" t="s">
        <v>1304</v>
      </c>
      <c r="G19" s="461" t="s">
        <v>1307</v>
      </c>
      <c r="H19" s="1030"/>
      <c r="I19" s="461" t="s">
        <v>1308</v>
      </c>
      <c r="J19" s="455" t="s">
        <v>1304</v>
      </c>
      <c r="K19" s="35"/>
      <c r="L19" s="35"/>
      <c r="M19" s="35"/>
      <c r="N19" s="35"/>
      <c r="O19" s="35"/>
      <c r="P19" s="35"/>
      <c r="Q19" s="35"/>
      <c r="R19" s="35"/>
      <c r="S19" s="35"/>
      <c r="T19" s="35"/>
      <c r="U19" s="35"/>
      <c r="V19" s="35"/>
      <c r="W19" s="35"/>
      <c r="X19" s="35"/>
    </row>
    <row r="20" spans="1:24" s="4" customFormat="1" ht="39.75" customHeight="1" x14ac:dyDescent="0.2">
      <c r="A20" s="35"/>
      <c r="B20" s="619" t="s">
        <v>1321</v>
      </c>
      <c r="C20" s="540" t="s">
        <v>48</v>
      </c>
      <c r="D20" s="168" t="s">
        <v>1314</v>
      </c>
      <c r="E20" s="1080"/>
      <c r="F20" s="1080"/>
      <c r="G20" s="1080"/>
      <c r="H20" s="690">
        <v>25000</v>
      </c>
      <c r="I20" s="1081"/>
      <c r="J20" s="1081"/>
      <c r="K20" s="35"/>
      <c r="L20" s="35"/>
      <c r="M20" s="35"/>
      <c r="N20" s="35"/>
      <c r="O20" s="35"/>
      <c r="P20" s="35"/>
      <c r="Q20" s="35"/>
      <c r="R20" s="35"/>
      <c r="S20" s="35"/>
      <c r="T20" s="35"/>
      <c r="U20" s="35"/>
      <c r="V20" s="35"/>
      <c r="W20" s="35"/>
      <c r="X20" s="35"/>
    </row>
    <row r="21" spans="1:24" s="4" customFormat="1" ht="29.25" customHeight="1" x14ac:dyDescent="0.2">
      <c r="A21" s="35"/>
      <c r="B21" s="1069" t="s">
        <v>1327</v>
      </c>
      <c r="C21" s="540" t="s">
        <v>1322</v>
      </c>
      <c r="D21" s="538"/>
      <c r="E21" s="538"/>
      <c r="F21" s="370"/>
      <c r="G21" s="370"/>
      <c r="H21" s="538"/>
      <c r="I21" s="371"/>
      <c r="J21" s="56"/>
      <c r="K21" s="35"/>
      <c r="L21" s="35"/>
      <c r="M21" s="35"/>
      <c r="N21" s="35"/>
      <c r="O21" s="35"/>
      <c r="P21" s="35"/>
      <c r="Q21" s="35"/>
      <c r="R21" s="35"/>
      <c r="S21" s="35"/>
      <c r="T21" s="35"/>
      <c r="U21" s="35"/>
      <c r="V21" s="35"/>
      <c r="W21" s="35"/>
      <c r="X21" s="35"/>
    </row>
    <row r="22" spans="1:24" s="4" customFormat="1" ht="40.5" customHeight="1" x14ac:dyDescent="0.2">
      <c r="A22" s="35"/>
      <c r="B22" s="1069"/>
      <c r="C22" s="541" t="s">
        <v>482</v>
      </c>
      <c r="D22" s="691" t="s">
        <v>1169</v>
      </c>
      <c r="E22" s="542" t="s">
        <v>1132</v>
      </c>
      <c r="F22" s="664">
        <v>1</v>
      </c>
      <c r="G22" s="665">
        <v>3250</v>
      </c>
      <c r="H22" s="539">
        <f t="shared" ref="H22:H36" si="0">+F22*G22</f>
        <v>3250</v>
      </c>
      <c r="I22" s="595" t="s">
        <v>154</v>
      </c>
      <c r="J22" s="664">
        <v>15</v>
      </c>
      <c r="K22" s="35"/>
      <c r="L22" s="35"/>
      <c r="M22" s="35"/>
      <c r="N22" s="35"/>
      <c r="O22" s="35"/>
      <c r="P22" s="35"/>
      <c r="Q22" s="35"/>
      <c r="R22" s="35"/>
      <c r="S22" s="35"/>
      <c r="T22" s="35"/>
      <c r="U22" s="35"/>
      <c r="V22" s="35"/>
      <c r="W22" s="35"/>
      <c r="X22" s="35"/>
    </row>
    <row r="23" spans="1:24" s="4" customFormat="1" ht="40.5" customHeight="1" x14ac:dyDescent="0.2">
      <c r="A23" s="35"/>
      <c r="B23" s="1069"/>
      <c r="C23" s="543" t="s">
        <v>483</v>
      </c>
      <c r="D23" s="691" t="s">
        <v>1140</v>
      </c>
      <c r="E23" s="542" t="s">
        <v>150</v>
      </c>
      <c r="F23" s="664">
        <v>50</v>
      </c>
      <c r="G23" s="665">
        <v>65</v>
      </c>
      <c r="H23" s="539">
        <f t="shared" si="0"/>
        <v>3250</v>
      </c>
      <c r="I23" s="595" t="s">
        <v>154</v>
      </c>
      <c r="J23" s="664">
        <v>15</v>
      </c>
      <c r="K23" s="35"/>
      <c r="L23" s="35"/>
      <c r="M23" s="35"/>
      <c r="N23" s="35"/>
      <c r="O23" s="35"/>
      <c r="P23" s="35"/>
      <c r="Q23" s="35"/>
      <c r="R23" s="35"/>
      <c r="S23" s="35"/>
      <c r="T23" s="35"/>
      <c r="U23" s="35"/>
      <c r="V23" s="35"/>
      <c r="W23" s="35"/>
      <c r="X23" s="35"/>
    </row>
    <row r="24" spans="1:24" s="4" customFormat="1" ht="40.5" customHeight="1" x14ac:dyDescent="0.2">
      <c r="A24" s="35"/>
      <c r="B24" s="1069"/>
      <c r="C24" s="541" t="s">
        <v>1212</v>
      </c>
      <c r="D24" s="691" t="s">
        <v>1130</v>
      </c>
      <c r="E24" s="542" t="s">
        <v>1132</v>
      </c>
      <c r="F24" s="664">
        <v>1</v>
      </c>
      <c r="G24" s="665">
        <v>11000</v>
      </c>
      <c r="H24" s="539">
        <f t="shared" si="0"/>
        <v>11000</v>
      </c>
      <c r="I24" s="595" t="s">
        <v>154</v>
      </c>
      <c r="J24" s="664">
        <v>15</v>
      </c>
      <c r="K24" s="35"/>
      <c r="L24" s="35"/>
      <c r="M24" s="35"/>
      <c r="N24" s="35"/>
      <c r="O24" s="35"/>
      <c r="P24" s="35"/>
      <c r="Q24" s="35"/>
      <c r="R24" s="35"/>
      <c r="S24" s="35"/>
      <c r="T24" s="35"/>
      <c r="U24" s="35"/>
      <c r="V24" s="35"/>
      <c r="W24" s="35"/>
      <c r="X24" s="35"/>
    </row>
    <row r="25" spans="1:24" s="4" customFormat="1" ht="40.5" customHeight="1" x14ac:dyDescent="0.2">
      <c r="A25" s="35"/>
      <c r="B25" s="1069"/>
      <c r="C25" s="541" t="s">
        <v>1211</v>
      </c>
      <c r="D25" s="691" t="s">
        <v>1210</v>
      </c>
      <c r="E25" s="542" t="s">
        <v>1132</v>
      </c>
      <c r="F25" s="664">
        <v>1</v>
      </c>
      <c r="G25" s="665">
        <v>65000</v>
      </c>
      <c r="H25" s="539">
        <f t="shared" si="0"/>
        <v>65000</v>
      </c>
      <c r="I25" s="595" t="s">
        <v>1315</v>
      </c>
      <c r="J25" s="664">
        <v>850</v>
      </c>
      <c r="K25" s="35"/>
      <c r="L25" s="35"/>
      <c r="M25" s="35"/>
      <c r="N25" s="35"/>
      <c r="O25" s="35"/>
      <c r="P25" s="35"/>
      <c r="Q25" s="35"/>
      <c r="R25" s="35"/>
      <c r="S25" s="35"/>
      <c r="T25" s="35"/>
      <c r="U25" s="35"/>
      <c r="V25" s="35"/>
      <c r="W25" s="35"/>
      <c r="X25" s="35"/>
    </row>
    <row r="26" spans="1:24" s="4" customFormat="1" ht="40.5" customHeight="1" x14ac:dyDescent="0.2">
      <c r="A26" s="35"/>
      <c r="B26" s="1069"/>
      <c r="C26" s="541" t="s">
        <v>1174</v>
      </c>
      <c r="D26" s="691" t="s">
        <v>1186</v>
      </c>
      <c r="E26" s="542" t="s">
        <v>1132</v>
      </c>
      <c r="F26" s="664"/>
      <c r="G26" s="665"/>
      <c r="H26" s="539">
        <f t="shared" si="0"/>
        <v>0</v>
      </c>
      <c r="I26" s="595" t="s">
        <v>154</v>
      </c>
      <c r="J26" s="664"/>
      <c r="K26" s="35"/>
      <c r="L26" s="35"/>
      <c r="M26" s="35"/>
      <c r="N26" s="35"/>
      <c r="O26" s="35"/>
      <c r="P26" s="35"/>
      <c r="Q26" s="35"/>
      <c r="R26" s="35"/>
      <c r="S26" s="35"/>
      <c r="T26" s="35"/>
      <c r="U26" s="35"/>
      <c r="V26" s="35"/>
      <c r="W26" s="35"/>
      <c r="X26" s="35"/>
    </row>
    <row r="27" spans="1:24" s="4" customFormat="1" ht="40.5" customHeight="1" x14ac:dyDescent="0.2">
      <c r="A27" s="35"/>
      <c r="B27" s="1069"/>
      <c r="C27" s="541" t="s">
        <v>1149</v>
      </c>
      <c r="D27" s="691" t="s">
        <v>1186</v>
      </c>
      <c r="E27" s="542" t="s">
        <v>1132</v>
      </c>
      <c r="F27" s="664"/>
      <c r="G27" s="665"/>
      <c r="H27" s="539">
        <f t="shared" si="0"/>
        <v>0</v>
      </c>
      <c r="I27" s="595" t="s">
        <v>1316</v>
      </c>
      <c r="J27" s="664"/>
      <c r="K27" s="35"/>
      <c r="L27" s="35"/>
      <c r="M27" s="35"/>
      <c r="N27" s="35"/>
      <c r="O27" s="35"/>
      <c r="P27" s="35"/>
      <c r="Q27" s="35"/>
      <c r="R27" s="35"/>
      <c r="S27" s="35"/>
      <c r="T27" s="35"/>
      <c r="U27" s="35"/>
      <c r="V27" s="35"/>
      <c r="W27" s="35"/>
      <c r="X27" s="35"/>
    </row>
    <row r="28" spans="1:24" s="4" customFormat="1" ht="40.5" customHeight="1" x14ac:dyDescent="0.2">
      <c r="A28" s="35"/>
      <c r="B28" s="1069"/>
      <c r="C28" s="541" t="s">
        <v>1173</v>
      </c>
      <c r="D28" s="691" t="s">
        <v>1186</v>
      </c>
      <c r="E28" s="542" t="s">
        <v>1132</v>
      </c>
      <c r="F28" s="664"/>
      <c r="G28" s="665"/>
      <c r="H28" s="539">
        <f t="shared" si="0"/>
        <v>0</v>
      </c>
      <c r="I28" s="595" t="s">
        <v>155</v>
      </c>
      <c r="J28" s="664"/>
      <c r="K28" s="35"/>
      <c r="L28" s="35"/>
      <c r="M28" s="35"/>
      <c r="N28" s="35"/>
      <c r="O28" s="35"/>
      <c r="P28" s="35"/>
      <c r="Q28" s="35"/>
      <c r="R28" s="35"/>
      <c r="S28" s="35"/>
      <c r="T28" s="35"/>
      <c r="U28" s="35"/>
      <c r="V28" s="35"/>
      <c r="W28" s="35"/>
      <c r="X28" s="35"/>
    </row>
    <row r="29" spans="1:24" s="4" customFormat="1" ht="40.5" customHeight="1" x14ac:dyDescent="0.2">
      <c r="A29" s="35"/>
      <c r="B29" s="1069"/>
      <c r="C29" s="543" t="s">
        <v>484</v>
      </c>
      <c r="D29" s="691" t="s">
        <v>1172</v>
      </c>
      <c r="E29" s="542" t="s">
        <v>150</v>
      </c>
      <c r="F29" s="664">
        <v>580</v>
      </c>
      <c r="G29" s="665">
        <v>100</v>
      </c>
      <c r="H29" s="539">
        <f t="shared" si="0"/>
        <v>58000</v>
      </c>
      <c r="I29" s="595" t="s">
        <v>154</v>
      </c>
      <c r="J29" s="664">
        <v>8</v>
      </c>
      <c r="K29" s="35"/>
      <c r="L29" s="35"/>
      <c r="M29" s="35"/>
      <c r="N29" s="35"/>
      <c r="O29" s="35"/>
      <c r="P29" s="35"/>
      <c r="Q29" s="35"/>
      <c r="R29" s="35"/>
      <c r="S29" s="35"/>
      <c r="T29" s="35"/>
      <c r="U29" s="35"/>
      <c r="V29" s="35"/>
      <c r="W29" s="35"/>
      <c r="X29" s="35"/>
    </row>
    <row r="30" spans="1:24" s="4" customFormat="1" ht="29.25" customHeight="1" x14ac:dyDescent="0.2">
      <c r="A30" s="35"/>
      <c r="B30" s="1069"/>
      <c r="C30" s="543" t="s">
        <v>485</v>
      </c>
      <c r="D30" s="691" t="s">
        <v>1171</v>
      </c>
      <c r="E30" s="542" t="s">
        <v>150</v>
      </c>
      <c r="F30" s="664">
        <v>670</v>
      </c>
      <c r="G30" s="665">
        <v>50</v>
      </c>
      <c r="H30" s="539">
        <f t="shared" si="0"/>
        <v>33500</v>
      </c>
      <c r="I30" s="595" t="s">
        <v>154</v>
      </c>
      <c r="J30" s="664">
        <v>8</v>
      </c>
      <c r="K30" s="35"/>
      <c r="L30" s="35"/>
      <c r="M30" s="35"/>
      <c r="N30" s="35"/>
      <c r="O30" s="35"/>
      <c r="P30" s="35"/>
      <c r="Q30" s="35"/>
      <c r="R30" s="35"/>
      <c r="S30" s="35"/>
      <c r="T30" s="35"/>
      <c r="U30" s="35"/>
      <c r="V30" s="35"/>
      <c r="W30" s="35"/>
      <c r="X30" s="35"/>
    </row>
    <row r="31" spans="1:24" s="4" customFormat="1" ht="29.25" customHeight="1" x14ac:dyDescent="0.2">
      <c r="A31" s="35"/>
      <c r="B31" s="1069"/>
      <c r="C31" s="541" t="s">
        <v>1160</v>
      </c>
      <c r="D31" s="691" t="s">
        <v>1186</v>
      </c>
      <c r="E31" s="542" t="s">
        <v>1132</v>
      </c>
      <c r="F31" s="664"/>
      <c r="G31" s="665"/>
      <c r="H31" s="539">
        <f t="shared" si="0"/>
        <v>0</v>
      </c>
      <c r="I31" s="617"/>
      <c r="J31" s="650"/>
      <c r="K31" s="35"/>
      <c r="L31" s="35"/>
      <c r="M31" s="35"/>
      <c r="N31" s="35"/>
      <c r="O31" s="35"/>
      <c r="P31" s="35"/>
      <c r="Q31" s="35"/>
      <c r="R31" s="35"/>
      <c r="S31" s="35"/>
      <c r="T31" s="35"/>
      <c r="U31" s="35"/>
      <c r="V31" s="35"/>
      <c r="W31" s="35"/>
      <c r="X31" s="35"/>
    </row>
    <row r="32" spans="1:24" s="4" customFormat="1" ht="29.25" customHeight="1" x14ac:dyDescent="0.2">
      <c r="A32" s="35"/>
      <c r="B32" s="1069"/>
      <c r="C32" s="543" t="s">
        <v>487</v>
      </c>
      <c r="D32" s="691" t="s">
        <v>1186</v>
      </c>
      <c r="E32" s="542" t="s">
        <v>1132</v>
      </c>
      <c r="F32" s="664"/>
      <c r="G32" s="665"/>
      <c r="H32" s="539">
        <f t="shared" si="0"/>
        <v>0</v>
      </c>
      <c r="I32" s="617"/>
      <c r="J32" s="650"/>
      <c r="K32" s="35"/>
      <c r="L32" s="35"/>
      <c r="M32" s="35"/>
      <c r="N32" s="35"/>
      <c r="O32" s="35"/>
      <c r="P32" s="35"/>
      <c r="Q32" s="35"/>
      <c r="R32" s="35"/>
      <c r="S32" s="35"/>
      <c r="T32" s="35"/>
      <c r="U32" s="35"/>
      <c r="V32" s="35"/>
      <c r="W32" s="35"/>
      <c r="X32" s="35"/>
    </row>
    <row r="33" spans="1:24" s="4" customFormat="1" ht="29.25" customHeight="1" x14ac:dyDescent="0.2">
      <c r="A33" s="35"/>
      <c r="B33" s="1069"/>
      <c r="C33" s="541" t="s">
        <v>1158</v>
      </c>
      <c r="D33" s="691" t="s">
        <v>1168</v>
      </c>
      <c r="E33" s="542" t="s">
        <v>1133</v>
      </c>
      <c r="F33" s="664">
        <v>1</v>
      </c>
      <c r="G33" s="665">
        <v>21500</v>
      </c>
      <c r="H33" s="539">
        <f t="shared" si="0"/>
        <v>21500</v>
      </c>
      <c r="I33" s="617"/>
      <c r="J33" s="650"/>
      <c r="K33" s="35"/>
      <c r="L33" s="35"/>
      <c r="M33" s="35"/>
      <c r="N33" s="35"/>
      <c r="O33" s="35"/>
      <c r="P33" s="35"/>
      <c r="Q33" s="35"/>
      <c r="R33" s="35"/>
      <c r="S33" s="35"/>
      <c r="T33" s="35"/>
      <c r="U33" s="35"/>
      <c r="V33" s="35"/>
      <c r="W33" s="35"/>
      <c r="X33" s="35"/>
    </row>
    <row r="34" spans="1:24" s="4" customFormat="1" ht="29.25" customHeight="1" x14ac:dyDescent="0.2">
      <c r="A34" s="35"/>
      <c r="B34" s="1069"/>
      <c r="C34" s="543" t="s">
        <v>490</v>
      </c>
      <c r="D34" s="691" t="s">
        <v>1168</v>
      </c>
      <c r="E34" s="542" t="s">
        <v>1133</v>
      </c>
      <c r="F34" s="664">
        <v>1</v>
      </c>
      <c r="G34" s="665">
        <v>20000</v>
      </c>
      <c r="H34" s="539">
        <f t="shared" si="0"/>
        <v>20000</v>
      </c>
      <c r="I34" s="617"/>
      <c r="J34" s="650"/>
      <c r="K34" s="35"/>
      <c r="L34" s="35"/>
      <c r="M34" s="35"/>
      <c r="N34" s="35"/>
      <c r="O34" s="35"/>
      <c r="P34" s="35"/>
      <c r="Q34" s="35"/>
      <c r="R34" s="35"/>
      <c r="S34" s="35"/>
      <c r="T34" s="35"/>
      <c r="U34" s="35"/>
      <c r="V34" s="35"/>
      <c r="W34" s="35"/>
      <c r="X34" s="35"/>
    </row>
    <row r="35" spans="1:24" s="4" customFormat="1" ht="29.25" customHeight="1" x14ac:dyDescent="0.2">
      <c r="A35" s="35"/>
      <c r="B35" s="1069"/>
      <c r="C35" s="541" t="s">
        <v>1163</v>
      </c>
      <c r="D35" s="691" t="s">
        <v>1182</v>
      </c>
      <c r="E35" s="542" t="s">
        <v>1133</v>
      </c>
      <c r="F35" s="664">
        <v>1</v>
      </c>
      <c r="G35" s="665">
        <v>17500</v>
      </c>
      <c r="H35" s="539">
        <f t="shared" si="0"/>
        <v>17500</v>
      </c>
      <c r="I35" s="617"/>
      <c r="J35" s="650"/>
      <c r="K35" s="35"/>
      <c r="L35" s="35"/>
      <c r="M35" s="35"/>
      <c r="N35" s="35"/>
      <c r="O35" s="35"/>
      <c r="P35" s="35"/>
      <c r="Q35" s="35"/>
      <c r="R35" s="35"/>
      <c r="S35" s="35"/>
      <c r="T35" s="35"/>
      <c r="U35" s="35"/>
      <c r="V35" s="35"/>
      <c r="W35" s="35"/>
      <c r="X35" s="35"/>
    </row>
    <row r="36" spans="1:24" s="4" customFormat="1" ht="29.25" customHeight="1" x14ac:dyDescent="0.2">
      <c r="A36" s="35"/>
      <c r="B36" s="1069"/>
      <c r="C36" s="541" t="s">
        <v>1139</v>
      </c>
      <c r="D36" s="691" t="s">
        <v>1318</v>
      </c>
      <c r="E36" s="542" t="s">
        <v>1133</v>
      </c>
      <c r="F36" s="664"/>
      <c r="G36" s="665"/>
      <c r="H36" s="539">
        <f t="shared" si="0"/>
        <v>0</v>
      </c>
      <c r="I36" s="617"/>
      <c r="J36" s="650"/>
      <c r="K36" s="35"/>
      <c r="L36" s="35"/>
      <c r="M36" s="35"/>
      <c r="N36" s="35"/>
      <c r="O36" s="35"/>
      <c r="P36" s="35"/>
      <c r="Q36" s="35"/>
      <c r="R36" s="35"/>
      <c r="S36" s="35"/>
      <c r="T36" s="35"/>
      <c r="U36" s="35"/>
      <c r="V36" s="35"/>
      <c r="W36" s="35"/>
      <c r="X36" s="35"/>
    </row>
    <row r="37" spans="1:24" s="4" customFormat="1" ht="29.25" customHeight="1" x14ac:dyDescent="0.2">
      <c r="A37" s="35"/>
      <c r="B37" s="1069"/>
      <c r="C37" s="540" t="s">
        <v>397</v>
      </c>
      <c r="D37" s="692"/>
      <c r="E37" s="538"/>
      <c r="F37" s="370"/>
      <c r="G37" s="370"/>
      <c r="H37" s="538"/>
      <c r="I37" s="617"/>
      <c r="J37" s="650"/>
      <c r="K37" s="35"/>
      <c r="L37" s="35"/>
      <c r="M37" s="35"/>
      <c r="N37" s="35"/>
      <c r="O37" s="35"/>
      <c r="P37" s="35"/>
      <c r="Q37" s="35"/>
      <c r="R37" s="35"/>
      <c r="S37" s="35"/>
      <c r="T37" s="35"/>
      <c r="U37" s="35"/>
      <c r="V37" s="35"/>
      <c r="W37" s="35"/>
      <c r="X37" s="35"/>
    </row>
    <row r="38" spans="1:24" s="4" customFormat="1" ht="29.25" customHeight="1" x14ac:dyDescent="0.2">
      <c r="A38" s="35"/>
      <c r="B38" s="1069"/>
      <c r="C38" s="541" t="s">
        <v>492</v>
      </c>
      <c r="D38" s="691" t="s">
        <v>1175</v>
      </c>
      <c r="E38" s="542" t="s">
        <v>145</v>
      </c>
      <c r="F38" s="519">
        <f>+'2. Balance Hídrico'!E57</f>
        <v>20</v>
      </c>
      <c r="G38" s="665">
        <v>7500</v>
      </c>
      <c r="H38" s="539">
        <f>+F38*G38</f>
        <v>150000</v>
      </c>
      <c r="I38" s="617"/>
      <c r="J38" s="650"/>
      <c r="K38" s="35"/>
      <c r="L38" s="35"/>
      <c r="M38" s="35"/>
      <c r="N38" s="35"/>
      <c r="O38" s="35"/>
      <c r="P38" s="35"/>
      <c r="Q38" s="35"/>
      <c r="R38" s="35"/>
      <c r="S38" s="35"/>
      <c r="T38" s="35"/>
      <c r="U38" s="35"/>
      <c r="V38" s="35"/>
      <c r="W38" s="35"/>
      <c r="X38" s="35"/>
    </row>
    <row r="39" spans="1:24" s="4" customFormat="1" ht="56.25" customHeight="1" x14ac:dyDescent="0.2">
      <c r="A39" s="35"/>
      <c r="B39" s="1070" t="s">
        <v>1306</v>
      </c>
      <c r="C39" s="544" t="s">
        <v>1311</v>
      </c>
      <c r="D39" s="544" t="s">
        <v>1319</v>
      </c>
      <c r="E39" s="542" t="s">
        <v>1133</v>
      </c>
      <c r="F39" s="664">
        <v>1</v>
      </c>
      <c r="G39" s="208">
        <f>+'Selección de Datos'!C2*'2. Balance Hídrico'!E57</f>
        <v>4000</v>
      </c>
      <c r="H39" s="539">
        <f>+F39*G39</f>
        <v>4000</v>
      </c>
      <c r="I39" s="617"/>
      <c r="J39" s="650"/>
      <c r="K39" s="35"/>
      <c r="L39" s="35"/>
      <c r="M39" s="35"/>
      <c r="N39" s="35"/>
      <c r="O39" s="35"/>
      <c r="P39" s="35"/>
      <c r="Q39" s="35"/>
      <c r="R39" s="35"/>
      <c r="S39" s="35"/>
      <c r="T39" s="35"/>
      <c r="U39" s="35"/>
      <c r="V39" s="35"/>
      <c r="W39" s="35"/>
      <c r="X39" s="35"/>
    </row>
    <row r="40" spans="1:24" s="4" customFormat="1" ht="56.25" customHeight="1" x14ac:dyDescent="0.2">
      <c r="A40" s="35"/>
      <c r="B40" s="1071"/>
      <c r="C40" s="544" t="s">
        <v>1312</v>
      </c>
      <c r="D40" s="544" t="s">
        <v>1319</v>
      </c>
      <c r="E40" s="542" t="s">
        <v>1133</v>
      </c>
      <c r="F40" s="664">
        <v>1</v>
      </c>
      <c r="G40" s="665">
        <v>15000</v>
      </c>
      <c r="H40" s="539">
        <f>+F40*G40</f>
        <v>15000</v>
      </c>
      <c r="I40" s="618"/>
      <c r="J40" s="650"/>
      <c r="K40" s="35"/>
      <c r="L40" s="35"/>
      <c r="M40" s="35"/>
      <c r="N40" s="35"/>
      <c r="O40" s="35"/>
      <c r="P40" s="35"/>
      <c r="Q40" s="35"/>
      <c r="R40" s="35"/>
      <c r="S40" s="35"/>
      <c r="T40" s="35"/>
      <c r="U40" s="35"/>
      <c r="V40" s="35"/>
      <c r="W40" s="35"/>
      <c r="X40" s="35"/>
    </row>
    <row r="41" spans="1:24" s="4" customFormat="1" ht="27" customHeight="1" x14ac:dyDescent="0.2">
      <c r="A41" s="35"/>
      <c r="B41" s="36"/>
      <c r="C41" s="35"/>
      <c r="D41" s="35"/>
      <c r="E41" s="35"/>
      <c r="F41" s="35"/>
      <c r="G41" s="206" t="s">
        <v>1080</v>
      </c>
      <c r="H41" s="548">
        <f>SUM(H20:H40)</f>
        <v>427000</v>
      </c>
      <c r="I41" s="456"/>
      <c r="J41" s="35"/>
      <c r="K41" s="35"/>
      <c r="L41" s="35"/>
      <c r="M41" s="35"/>
      <c r="N41" s="35"/>
      <c r="O41" s="35"/>
      <c r="P41" s="35"/>
      <c r="Q41" s="35"/>
      <c r="R41" s="35"/>
      <c r="S41" s="35"/>
      <c r="T41" s="35"/>
      <c r="U41" s="35"/>
      <c r="V41" s="35"/>
      <c r="W41" s="35"/>
      <c r="X41" s="35"/>
    </row>
    <row r="42" spans="1:24" s="35" customFormat="1" ht="17.25" customHeight="1" x14ac:dyDescent="0.2">
      <c r="B42" s="393"/>
      <c r="C42" s="372"/>
      <c r="D42" s="393"/>
      <c r="E42" s="386"/>
      <c r="F42" s="109"/>
      <c r="G42" s="404"/>
      <c r="H42" s="36"/>
      <c r="I42" s="109"/>
    </row>
    <row r="43" spans="1:24" s="35" customFormat="1" ht="17.25" customHeight="1" x14ac:dyDescent="0.2">
      <c r="B43" s="393" t="s">
        <v>1236</v>
      </c>
      <c r="C43" s="1072" t="s">
        <v>1320</v>
      </c>
      <c r="D43" s="1073"/>
      <c r="E43" s="1073"/>
      <c r="F43" s="1073"/>
      <c r="G43" s="1073"/>
      <c r="H43" s="1074"/>
      <c r="I43" s="392"/>
      <c r="J43" s="392"/>
    </row>
    <row r="44" spans="1:24" s="35" customFormat="1" ht="17.25" customHeight="1" x14ac:dyDescent="0.2">
      <c r="B44" s="393"/>
      <c r="C44" s="372"/>
      <c r="D44" s="393"/>
      <c r="E44" s="386"/>
      <c r="F44" s="109"/>
      <c r="G44" s="404"/>
      <c r="H44" s="36"/>
      <c r="I44" s="109"/>
    </row>
    <row r="45" spans="1:24" s="35" customFormat="1" ht="17.25" customHeight="1" x14ac:dyDescent="0.2">
      <c r="B45" s="405" t="s">
        <v>1213</v>
      </c>
      <c r="C45" s="378"/>
      <c r="D45" s="393"/>
      <c r="E45" s="386"/>
      <c r="F45" s="109"/>
      <c r="G45" s="404"/>
      <c r="H45" s="36"/>
      <c r="I45" s="109"/>
    </row>
    <row r="46" spans="1:24" s="35" customFormat="1" ht="17.25" customHeight="1" x14ac:dyDescent="0.2">
      <c r="B46" s="393"/>
      <c r="C46" s="372"/>
      <c r="D46" s="393"/>
      <c r="E46" s="386"/>
      <c r="F46" s="109"/>
      <c r="G46" s="404"/>
      <c r="H46" s="36"/>
      <c r="I46" s="109"/>
      <c r="J46" s="393"/>
      <c r="K46" s="114"/>
      <c r="L46" s="114"/>
    </row>
    <row r="47" spans="1:24" s="35" customFormat="1" ht="17.25" customHeight="1" x14ac:dyDescent="0.2">
      <c r="C47" s="372"/>
      <c r="E47" s="386"/>
      <c r="G47" s="406"/>
      <c r="H47" s="392"/>
      <c r="I47" s="386"/>
      <c r="J47" s="383"/>
      <c r="K47" s="114"/>
      <c r="L47" s="114"/>
    </row>
    <row r="48" spans="1:24" s="35" customFormat="1" ht="17.25" customHeight="1" x14ac:dyDescent="0.2">
      <c r="B48" s="457" t="s">
        <v>1405</v>
      </c>
      <c r="C48" s="534"/>
      <c r="D48" s="536"/>
      <c r="E48" s="526"/>
      <c r="F48" s="531"/>
      <c r="G48" s="545"/>
      <c r="H48" s="546"/>
      <c r="I48" s="526"/>
      <c r="J48" s="465"/>
      <c r="K48" s="114"/>
      <c r="L48" s="114"/>
    </row>
    <row r="49" spans="1:24" s="35" customFormat="1" ht="17.25" customHeight="1" x14ac:dyDescent="0.2">
      <c r="B49" s="457"/>
      <c r="C49" s="534"/>
      <c r="D49" s="536"/>
      <c r="E49" s="526"/>
      <c r="F49" s="531"/>
      <c r="G49" s="545"/>
      <c r="H49" s="546"/>
      <c r="I49" s="526"/>
      <c r="J49" s="465"/>
      <c r="K49" s="114"/>
      <c r="L49" s="114"/>
    </row>
    <row r="50" spans="1:24" ht="41.25" customHeight="1" x14ac:dyDescent="0.2">
      <c r="B50" s="1077" t="s">
        <v>1208</v>
      </c>
      <c r="C50" s="1078"/>
      <c r="D50" s="1078"/>
      <c r="E50" s="1079"/>
      <c r="F50" s="547" t="s">
        <v>1198</v>
      </c>
      <c r="G50" s="547" t="s">
        <v>1196</v>
      </c>
      <c r="H50" s="547" t="s">
        <v>1197</v>
      </c>
      <c r="I50" s="547" t="s">
        <v>1323</v>
      </c>
      <c r="J50" s="547" t="s">
        <v>1324</v>
      </c>
    </row>
    <row r="51" spans="1:24" s="64" customFormat="1" ht="19.5" customHeight="1" x14ac:dyDescent="0.2">
      <c r="A51" s="35"/>
      <c r="B51" s="1075"/>
      <c r="C51" s="1076"/>
      <c r="D51" s="1076"/>
      <c r="E51" s="1076"/>
      <c r="F51" s="1076"/>
      <c r="G51" s="1076"/>
      <c r="H51" s="1076"/>
      <c r="I51" s="1076"/>
      <c r="J51" s="1076"/>
      <c r="K51" s="392"/>
      <c r="L51" s="392"/>
      <c r="M51" s="35"/>
      <c r="N51" s="35"/>
      <c r="O51" s="35"/>
      <c r="P51" s="35"/>
      <c r="Q51" s="35"/>
      <c r="R51" s="35"/>
      <c r="S51" s="35"/>
      <c r="T51" s="35"/>
      <c r="U51" s="35"/>
      <c r="V51" s="35"/>
      <c r="W51" s="35"/>
      <c r="X51" s="35"/>
    </row>
    <row r="52" spans="1:24" s="64" customFormat="1" ht="19.5" customHeight="1" x14ac:dyDescent="0.2">
      <c r="A52" s="35"/>
      <c r="B52" s="1064" t="s">
        <v>1271</v>
      </c>
      <c r="C52" s="1065"/>
      <c r="D52" s="1065"/>
      <c r="E52" s="1066"/>
      <c r="F52" s="548">
        <f>+H20</f>
        <v>25000</v>
      </c>
      <c r="G52" s="548">
        <f>+F52</f>
        <v>25000</v>
      </c>
      <c r="H52" s="693"/>
      <c r="I52" s="694">
        <v>42917</v>
      </c>
      <c r="J52" s="694">
        <f>+I52+60</f>
        <v>42977</v>
      </c>
      <c r="K52" s="392"/>
      <c r="L52" s="430"/>
      <c r="M52" s="35"/>
      <c r="N52" s="35"/>
      <c r="O52" s="35"/>
      <c r="P52" s="35"/>
      <c r="Q52" s="35"/>
      <c r="R52" s="35"/>
      <c r="S52" s="35"/>
      <c r="T52" s="35"/>
      <c r="U52" s="35"/>
      <c r="V52" s="35"/>
      <c r="W52" s="35"/>
      <c r="X52" s="35"/>
    </row>
    <row r="53" spans="1:24" s="64" customFormat="1" ht="19.5" customHeight="1" x14ac:dyDescent="0.2">
      <c r="A53" s="35"/>
      <c r="B53" s="1064" t="s">
        <v>1270</v>
      </c>
      <c r="C53" s="1065"/>
      <c r="D53" s="1065"/>
      <c r="E53" s="1066"/>
      <c r="F53" s="548">
        <f>+G53+H53</f>
        <v>383000</v>
      </c>
      <c r="G53" s="548">
        <f>+SUM(H22:H36)</f>
        <v>233000</v>
      </c>
      <c r="H53" s="548">
        <f>+H38</f>
        <v>150000</v>
      </c>
      <c r="I53" s="694">
        <f>+J52+45</f>
        <v>43022</v>
      </c>
      <c r="J53" s="694">
        <f>+I53+90</f>
        <v>43112</v>
      </c>
      <c r="K53" s="392"/>
      <c r="L53" s="430"/>
      <c r="M53" s="35"/>
      <c r="N53" s="35"/>
      <c r="O53" s="35"/>
      <c r="P53" s="35"/>
      <c r="Q53" s="35"/>
      <c r="R53" s="35"/>
      <c r="S53" s="35"/>
      <c r="T53" s="35"/>
      <c r="U53" s="35"/>
      <c r="V53" s="35"/>
      <c r="W53" s="35"/>
      <c r="X53" s="35"/>
    </row>
    <row r="54" spans="1:24" s="64" customFormat="1" ht="19.5" customHeight="1" x14ac:dyDescent="0.2">
      <c r="A54" s="35"/>
      <c r="B54" s="1064" t="s">
        <v>1272</v>
      </c>
      <c r="C54" s="1065"/>
      <c r="D54" s="1065"/>
      <c r="E54" s="1066"/>
      <c r="F54" s="548">
        <f>+G39</f>
        <v>4000</v>
      </c>
      <c r="G54" s="548">
        <f>+F54</f>
        <v>4000</v>
      </c>
      <c r="H54" s="693"/>
      <c r="I54" s="694">
        <f>+I53</f>
        <v>43022</v>
      </c>
      <c r="J54" s="694">
        <f>+J53</f>
        <v>43112</v>
      </c>
      <c r="K54" s="392"/>
      <c r="L54" s="430"/>
      <c r="M54" s="35"/>
      <c r="N54" s="35"/>
      <c r="O54" s="35"/>
      <c r="P54" s="35"/>
      <c r="Q54" s="35"/>
      <c r="R54" s="35"/>
      <c r="S54" s="35"/>
      <c r="T54" s="35"/>
      <c r="U54" s="35"/>
      <c r="V54" s="35"/>
      <c r="W54" s="35"/>
      <c r="X54" s="35"/>
    </row>
    <row r="55" spans="1:24" s="64" customFormat="1" ht="19.5" customHeight="1" x14ac:dyDescent="0.2">
      <c r="A55" s="35"/>
      <c r="B55" s="1064" t="s">
        <v>1273</v>
      </c>
      <c r="C55" s="1065"/>
      <c r="D55" s="1065"/>
      <c r="E55" s="1066"/>
      <c r="F55" s="548">
        <f>+G40</f>
        <v>15000</v>
      </c>
      <c r="G55" s="548">
        <f>+F55</f>
        <v>15000</v>
      </c>
      <c r="H55" s="690"/>
      <c r="I55" s="694">
        <f>+J54</f>
        <v>43112</v>
      </c>
      <c r="J55" s="694">
        <f>+I55+180</f>
        <v>43292</v>
      </c>
      <c r="K55" s="392"/>
      <c r="L55" s="430"/>
      <c r="M55" s="35"/>
      <c r="N55" s="35"/>
      <c r="O55" s="35"/>
      <c r="P55" s="35"/>
      <c r="Q55" s="35"/>
      <c r="R55" s="35"/>
      <c r="S55" s="35"/>
      <c r="T55" s="35"/>
      <c r="U55" s="35"/>
      <c r="V55" s="35"/>
      <c r="W55" s="35"/>
      <c r="X55" s="35"/>
    </row>
    <row r="56" spans="1:24" s="35" customFormat="1" ht="19.5" customHeight="1" x14ac:dyDescent="0.2">
      <c r="B56" s="1067"/>
      <c r="C56" s="1068"/>
      <c r="D56" s="1068"/>
      <c r="E56" s="1068"/>
      <c r="F56" s="1068"/>
      <c r="G56" s="1068"/>
      <c r="H56" s="1068"/>
      <c r="I56" s="1068"/>
      <c r="J56" s="1068"/>
      <c r="K56" s="392"/>
      <c r="L56" s="392"/>
    </row>
    <row r="57" spans="1:24" s="64" customFormat="1" ht="19.5" customHeight="1" x14ac:dyDescent="0.2">
      <c r="A57" s="35"/>
      <c r="B57" s="1060" t="s">
        <v>1190</v>
      </c>
      <c r="C57" s="1061"/>
      <c r="D57" s="1061"/>
      <c r="E57" s="1062"/>
      <c r="F57" s="548">
        <f>+F52+F53+F54+F55</f>
        <v>427000</v>
      </c>
      <c r="G57" s="548">
        <f t="shared" ref="G57:H57" si="1">+G52+G53+G54+G55</f>
        <v>277000</v>
      </c>
      <c r="H57" s="548">
        <f t="shared" si="1"/>
        <v>150000</v>
      </c>
      <c r="I57" s="456"/>
      <c r="J57" s="465"/>
      <c r="K57" s="431"/>
      <c r="L57" s="114"/>
      <c r="M57" s="35"/>
      <c r="N57" s="35"/>
      <c r="O57" s="35"/>
      <c r="P57" s="35"/>
      <c r="Q57" s="35"/>
      <c r="R57" s="35"/>
      <c r="S57" s="35"/>
      <c r="T57" s="35"/>
      <c r="U57" s="35"/>
      <c r="V57" s="35"/>
      <c r="W57" s="35"/>
      <c r="X57" s="35"/>
    </row>
    <row r="58" spans="1:24" s="35" customFormat="1" ht="17.25" customHeight="1" x14ac:dyDescent="0.2">
      <c r="B58" s="457"/>
      <c r="C58" s="534"/>
      <c r="D58" s="536"/>
      <c r="E58" s="526"/>
      <c r="F58" s="456"/>
      <c r="G58" s="593"/>
      <c r="H58" s="549"/>
      <c r="I58" s="549"/>
      <c r="J58" s="465"/>
      <c r="K58" s="392"/>
      <c r="L58" s="114"/>
    </row>
    <row r="59" spans="1:24" s="35" customFormat="1" ht="17.25" customHeight="1" x14ac:dyDescent="0.2">
      <c r="B59" s="457"/>
      <c r="C59" s="534"/>
      <c r="D59" s="536"/>
      <c r="E59" s="526"/>
      <c r="F59" s="456"/>
      <c r="G59" s="593"/>
      <c r="H59" s="549"/>
      <c r="I59" s="549"/>
      <c r="J59" s="465"/>
      <c r="K59" s="392"/>
      <c r="L59" s="114"/>
    </row>
    <row r="60" spans="1:24" s="35" customFormat="1" ht="17.25" customHeight="1" x14ac:dyDescent="0.2">
      <c r="B60" s="457" t="s">
        <v>1406</v>
      </c>
      <c r="C60" s="534"/>
      <c r="D60" s="536"/>
      <c r="E60" s="526"/>
      <c r="F60" s="456"/>
      <c r="G60" s="593"/>
      <c r="H60" s="545"/>
      <c r="I60" s="526"/>
      <c r="J60" s="465"/>
      <c r="K60" s="114"/>
      <c r="L60" s="114"/>
    </row>
    <row r="61" spans="1:24" s="35" customFormat="1" ht="17.25" customHeight="1" x14ac:dyDescent="0.2">
      <c r="B61" s="457"/>
      <c r="C61" s="534"/>
      <c r="D61" s="536"/>
      <c r="E61" s="526"/>
      <c r="F61" s="456"/>
      <c r="G61" s="593"/>
      <c r="H61" s="545"/>
      <c r="I61" s="526"/>
      <c r="J61" s="465"/>
      <c r="K61" s="114"/>
      <c r="L61" s="114"/>
    </row>
    <row r="62" spans="1:24" s="64" customFormat="1" ht="35.25" customHeight="1" x14ac:dyDescent="0.2">
      <c r="A62" s="35"/>
      <c r="B62" s="1063" t="s">
        <v>1209</v>
      </c>
      <c r="C62" s="1063"/>
      <c r="D62" s="1063"/>
      <c r="E62" s="1063"/>
      <c r="F62" s="1063"/>
      <c r="G62" s="547" t="s">
        <v>1199</v>
      </c>
      <c r="H62" s="547" t="s">
        <v>1200</v>
      </c>
      <c r="I62" s="526"/>
      <c r="J62" s="465"/>
      <c r="K62" s="114"/>
      <c r="L62" s="114"/>
      <c r="M62" s="35"/>
      <c r="N62" s="35"/>
      <c r="O62" s="35"/>
      <c r="P62" s="35"/>
      <c r="Q62" s="35"/>
      <c r="R62" s="35"/>
      <c r="S62" s="35"/>
      <c r="T62" s="35"/>
      <c r="U62" s="35"/>
      <c r="V62" s="35"/>
      <c r="W62" s="35"/>
      <c r="X62" s="35"/>
    </row>
    <row r="63" spans="1:24" s="64" customFormat="1" ht="17.25" customHeight="1" x14ac:dyDescent="0.2">
      <c r="A63" s="35"/>
      <c r="B63" s="1018" t="s">
        <v>1113</v>
      </c>
      <c r="C63" s="1018"/>
      <c r="D63" s="1018"/>
      <c r="E63" s="1018"/>
      <c r="F63" s="1018"/>
      <c r="G63" s="548">
        <f>+F57</f>
        <v>427000</v>
      </c>
      <c r="H63" s="550">
        <f>+G63/G63</f>
        <v>1</v>
      </c>
      <c r="I63" s="526"/>
      <c r="J63" s="465"/>
      <c r="K63" s="114"/>
      <c r="L63" s="114"/>
      <c r="M63" s="35"/>
      <c r="N63" s="35"/>
      <c r="O63" s="35"/>
      <c r="P63" s="35"/>
      <c r="Q63" s="35"/>
      <c r="R63" s="35"/>
      <c r="S63" s="35"/>
      <c r="T63" s="35"/>
      <c r="U63" s="35"/>
      <c r="V63" s="35"/>
      <c r="W63" s="35"/>
      <c r="X63" s="35"/>
    </row>
    <row r="64" spans="1:24" s="4" customFormat="1" ht="17.25" customHeight="1" x14ac:dyDescent="0.2">
      <c r="A64" s="35"/>
      <c r="B64" s="1018" t="s">
        <v>1112</v>
      </c>
      <c r="C64" s="1018"/>
      <c r="D64" s="1018"/>
      <c r="E64" s="1018"/>
      <c r="F64" s="1018"/>
      <c r="G64" s="539">
        <f>+G57+(0.8*H57)</f>
        <v>397000</v>
      </c>
      <c r="H64" s="551">
        <f>+G64/G63</f>
        <v>0.92974238875878223</v>
      </c>
      <c r="I64" s="620"/>
      <c r="J64" s="555"/>
      <c r="K64" s="114"/>
      <c r="L64" s="114"/>
      <c r="M64" s="35"/>
      <c r="N64" s="35"/>
      <c r="O64" s="35"/>
      <c r="P64" s="35"/>
      <c r="Q64" s="35"/>
      <c r="R64" s="35"/>
      <c r="S64" s="35"/>
      <c r="T64" s="35"/>
      <c r="U64" s="35"/>
      <c r="V64" s="35"/>
      <c r="W64" s="35"/>
      <c r="X64" s="35"/>
    </row>
    <row r="65" spans="1:24" s="4" customFormat="1" ht="17.25" customHeight="1" x14ac:dyDescent="0.2">
      <c r="A65" s="35"/>
      <c r="B65" s="1018" t="s">
        <v>1109</v>
      </c>
      <c r="C65" s="1018"/>
      <c r="D65" s="1018"/>
      <c r="E65" s="1018"/>
      <c r="F65" s="1018"/>
      <c r="G65" s="539">
        <f>+H57*0.2</f>
        <v>30000</v>
      </c>
      <c r="H65" s="551">
        <f>+G65/G63</f>
        <v>7.0257611241217793E-2</v>
      </c>
      <c r="I65" s="620"/>
      <c r="J65" s="555"/>
      <c r="K65" s="114"/>
      <c r="L65" s="114"/>
      <c r="M65" s="35"/>
      <c r="N65" s="35"/>
      <c r="O65" s="35"/>
      <c r="P65" s="35"/>
      <c r="Q65" s="35"/>
      <c r="R65" s="35"/>
      <c r="S65" s="35"/>
      <c r="T65" s="35"/>
      <c r="U65" s="35"/>
      <c r="V65" s="35"/>
      <c r="W65" s="35"/>
      <c r="X65" s="35"/>
    </row>
    <row r="66" spans="1:24" s="64" customFormat="1" ht="17.25" customHeight="1" x14ac:dyDescent="0.2">
      <c r="A66" s="35"/>
      <c r="B66" s="1018"/>
      <c r="C66" s="1018"/>
      <c r="D66" s="1018"/>
      <c r="E66" s="1018"/>
      <c r="F66" s="1018"/>
      <c r="G66" s="552"/>
      <c r="H66" s="553"/>
      <c r="I66" s="526"/>
      <c r="J66" s="465"/>
      <c r="K66" s="114"/>
      <c r="L66" s="114"/>
      <c r="M66" s="35"/>
      <c r="N66" s="35"/>
      <c r="O66" s="35"/>
      <c r="P66" s="35"/>
      <c r="Q66" s="35"/>
      <c r="R66" s="35"/>
      <c r="S66" s="35"/>
      <c r="T66" s="35"/>
      <c r="U66" s="35"/>
      <c r="V66" s="35"/>
      <c r="W66" s="35"/>
      <c r="X66" s="35"/>
    </row>
    <row r="67" spans="1:24" s="64" customFormat="1" ht="17.25" customHeight="1" x14ac:dyDescent="0.2">
      <c r="A67" s="35"/>
      <c r="B67" s="1018" t="s">
        <v>425</v>
      </c>
      <c r="C67" s="1018"/>
      <c r="D67" s="1018"/>
      <c r="E67" s="1018"/>
      <c r="F67" s="1018"/>
      <c r="G67" s="548">
        <f>+G63/'2. Balance Hídrico'!E57</f>
        <v>21350</v>
      </c>
      <c r="H67" s="550">
        <f>+G67/G67</f>
        <v>1</v>
      </c>
      <c r="I67" s="526"/>
      <c r="J67" s="465"/>
      <c r="K67" s="114"/>
      <c r="L67" s="114"/>
      <c r="M67" s="35"/>
      <c r="N67" s="35"/>
      <c r="O67" s="35"/>
      <c r="P67" s="35"/>
      <c r="Q67" s="35"/>
      <c r="R67" s="35"/>
      <c r="S67" s="35"/>
      <c r="T67" s="35"/>
      <c r="U67" s="35"/>
      <c r="V67" s="35"/>
      <c r="W67" s="35"/>
      <c r="X67" s="35"/>
    </row>
    <row r="68" spans="1:24" s="64" customFormat="1" ht="17.25" customHeight="1" x14ac:dyDescent="0.2">
      <c r="A68" s="35"/>
      <c r="B68" s="1018" t="s">
        <v>1194</v>
      </c>
      <c r="C68" s="1018"/>
      <c r="D68" s="1018"/>
      <c r="E68" s="1018"/>
      <c r="F68" s="1018"/>
      <c r="G68" s="539">
        <f>+G67*H64</f>
        <v>19850</v>
      </c>
      <c r="H68" s="551">
        <f>+G68/G67</f>
        <v>0.92974238875878223</v>
      </c>
      <c r="I68" s="526"/>
      <c r="J68" s="465"/>
      <c r="K68" s="114"/>
      <c r="L68" s="114"/>
      <c r="M68" s="35"/>
      <c r="N68" s="35"/>
      <c r="O68" s="35"/>
      <c r="P68" s="35"/>
      <c r="Q68" s="35"/>
      <c r="R68" s="35"/>
      <c r="S68" s="35"/>
      <c r="T68" s="35"/>
      <c r="U68" s="35"/>
      <c r="V68" s="35"/>
      <c r="W68" s="35"/>
      <c r="X68" s="35"/>
    </row>
    <row r="69" spans="1:24" s="64" customFormat="1" ht="17.25" customHeight="1" x14ac:dyDescent="0.2">
      <c r="A69" s="35"/>
      <c r="B69" s="1018" t="s">
        <v>1195</v>
      </c>
      <c r="C69" s="1018"/>
      <c r="D69" s="1018"/>
      <c r="E69" s="1018"/>
      <c r="F69" s="1018"/>
      <c r="G69" s="539">
        <f>+H65*G67</f>
        <v>1500</v>
      </c>
      <c r="H69" s="551">
        <f>+G69/G67</f>
        <v>7.0257611241217793E-2</v>
      </c>
      <c r="I69" s="526"/>
      <c r="J69" s="465"/>
      <c r="K69" s="114"/>
      <c r="L69" s="114"/>
      <c r="M69" s="35"/>
      <c r="N69" s="35"/>
      <c r="O69" s="35"/>
      <c r="P69" s="35"/>
      <c r="Q69" s="35"/>
      <c r="R69" s="35"/>
      <c r="S69" s="35"/>
      <c r="T69" s="35"/>
      <c r="U69" s="35"/>
      <c r="V69" s="35"/>
      <c r="W69" s="35"/>
      <c r="X69" s="35"/>
    </row>
    <row r="70" spans="1:24" s="35" customFormat="1" ht="17.25" customHeight="1" x14ac:dyDescent="0.2">
      <c r="B70" s="472"/>
      <c r="C70" s="554"/>
      <c r="D70" s="472"/>
      <c r="E70" s="555"/>
      <c r="F70" s="456"/>
      <c r="G70" s="556"/>
      <c r="H70" s="545"/>
      <c r="I70" s="526"/>
      <c r="J70" s="465"/>
      <c r="K70" s="114"/>
      <c r="L70" s="114"/>
    </row>
    <row r="71" spans="1:24" s="35" customFormat="1" ht="17.25" customHeight="1" x14ac:dyDescent="0.2">
      <c r="B71" s="457" t="s">
        <v>1407</v>
      </c>
      <c r="C71" s="554"/>
      <c r="D71" s="472"/>
      <c r="E71" s="555"/>
      <c r="F71" s="456"/>
      <c r="G71" s="556"/>
      <c r="H71" s="545"/>
      <c r="I71" s="526"/>
      <c r="J71" s="465"/>
      <c r="K71" s="114"/>
      <c r="L71" s="114"/>
    </row>
    <row r="72" spans="1:24" s="35" customFormat="1" ht="16.5" customHeight="1" x14ac:dyDescent="0.2">
      <c r="B72" s="457"/>
      <c r="C72" s="554"/>
      <c r="D72" s="472"/>
      <c r="E72" s="555"/>
      <c r="F72" s="456"/>
      <c r="G72" s="556"/>
      <c r="H72" s="545"/>
      <c r="I72" s="526"/>
      <c r="J72" s="465"/>
      <c r="K72" s="114"/>
      <c r="L72" s="114"/>
    </row>
    <row r="73" spans="1:24" s="35" customFormat="1" ht="33.75" customHeight="1" x14ac:dyDescent="0.2">
      <c r="B73" s="1063" t="s">
        <v>1209</v>
      </c>
      <c r="C73" s="1063"/>
      <c r="D73" s="1063"/>
      <c r="E73" s="1063"/>
      <c r="F73" s="1063"/>
      <c r="G73" s="547" t="s">
        <v>1199</v>
      </c>
      <c r="H73" s="545"/>
      <c r="I73" s="526"/>
      <c r="J73" s="465"/>
      <c r="K73" s="114"/>
      <c r="L73" s="114"/>
    </row>
    <row r="74" spans="1:24" s="35" customFormat="1" ht="17.25" customHeight="1" x14ac:dyDescent="0.2">
      <c r="B74" s="993" t="s">
        <v>1382</v>
      </c>
      <c r="C74" s="994"/>
      <c r="D74" s="994"/>
      <c r="E74" s="994"/>
      <c r="F74" s="995"/>
      <c r="G74" s="520">
        <f>+G63/'1. Identificación'!D148</f>
        <v>35583.333333333336</v>
      </c>
      <c r="H74" s="545"/>
      <c r="I74" s="526"/>
      <c r="J74" s="465"/>
      <c r="K74" s="114"/>
      <c r="L74" s="114"/>
    </row>
    <row r="75" spans="1:24" s="35" customFormat="1" ht="21.75" customHeight="1" x14ac:dyDescent="0.2">
      <c r="B75" s="472" t="s">
        <v>1383</v>
      </c>
      <c r="C75" s="554"/>
      <c r="D75" s="472"/>
      <c r="E75" s="555"/>
      <c r="F75" s="456"/>
      <c r="G75" s="556"/>
      <c r="H75" s="545"/>
      <c r="I75" s="526"/>
      <c r="J75" s="465"/>
      <c r="K75" s="114"/>
      <c r="L75" s="114"/>
    </row>
    <row r="76" spans="1:24" s="35" customFormat="1" ht="17.25" customHeight="1" x14ac:dyDescent="0.2">
      <c r="B76" s="472"/>
      <c r="C76" s="554"/>
      <c r="D76" s="472"/>
      <c r="E76" s="555"/>
      <c r="F76" s="456"/>
      <c r="G76" s="556"/>
      <c r="H76" s="545"/>
      <c r="I76" s="526"/>
      <c r="J76" s="465"/>
      <c r="K76" s="114"/>
      <c r="L76" s="114"/>
    </row>
    <row r="77" spans="1:24" s="35" customFormat="1" ht="17.25" customHeight="1" x14ac:dyDescent="0.2">
      <c r="B77" s="457" t="s">
        <v>1408</v>
      </c>
      <c r="C77" s="554"/>
      <c r="D77" s="472"/>
      <c r="E77" s="555"/>
      <c r="F77" s="456"/>
      <c r="G77" s="556"/>
      <c r="H77" s="545"/>
      <c r="I77" s="526"/>
      <c r="J77" s="465"/>
      <c r="K77" s="114"/>
      <c r="L77" s="114"/>
    </row>
    <row r="78" spans="1:24" s="35" customFormat="1" ht="17.25" customHeight="1" x14ac:dyDescent="0.2">
      <c r="B78" s="472"/>
      <c r="C78" s="554"/>
      <c r="D78" s="472"/>
      <c r="E78" s="555"/>
      <c r="F78" s="456"/>
      <c r="G78" s="556"/>
      <c r="H78" s="545"/>
      <c r="I78" s="386"/>
      <c r="J78" s="383"/>
      <c r="K78" s="114"/>
      <c r="L78" s="114"/>
    </row>
    <row r="79" spans="1:24" s="35" customFormat="1" ht="17.25" customHeight="1" x14ac:dyDescent="0.2">
      <c r="B79" s="472" t="s">
        <v>1201</v>
      </c>
      <c r="C79" s="456"/>
      <c r="D79" s="1002" t="s">
        <v>390</v>
      </c>
      <c r="E79" s="1002"/>
      <c r="F79" s="1002"/>
      <c r="G79" s="1002"/>
      <c r="H79" s="1002"/>
      <c r="I79" s="386"/>
      <c r="J79" s="383"/>
      <c r="K79" s="114"/>
      <c r="L79" s="114"/>
    </row>
    <row r="80" spans="1:24" s="35" customFormat="1" ht="17.25" customHeight="1" x14ac:dyDescent="0.2">
      <c r="B80" s="472"/>
      <c r="C80" s="554"/>
      <c r="D80" s="36"/>
      <c r="E80" s="407"/>
      <c r="G80" s="411"/>
      <c r="H80" s="385"/>
      <c r="I80" s="386"/>
      <c r="J80" s="383"/>
      <c r="K80" s="114"/>
      <c r="L80" s="114"/>
    </row>
    <row r="81" spans="1:24" s="409" customFormat="1" ht="15.75" customHeight="1" x14ac:dyDescent="0.2">
      <c r="B81" s="522"/>
      <c r="C81" s="523"/>
      <c r="F81" s="413"/>
      <c r="I81" s="408"/>
    </row>
    <row r="82" spans="1:24" s="35" customFormat="1" x14ac:dyDescent="0.2">
      <c r="B82" s="457" t="s">
        <v>1409</v>
      </c>
      <c r="C82" s="525"/>
      <c r="D82" s="456"/>
      <c r="E82" s="456"/>
      <c r="F82" s="456"/>
      <c r="G82" s="456"/>
      <c r="H82" s="456"/>
      <c r="I82" s="535"/>
      <c r="J82" s="472"/>
      <c r="K82" s="114"/>
      <c r="L82" s="114"/>
    </row>
    <row r="83" spans="1:24" s="35" customFormat="1" x14ac:dyDescent="0.2">
      <c r="B83" s="456"/>
      <c r="C83" s="525"/>
      <c r="D83" s="456"/>
      <c r="E83" s="456"/>
      <c r="F83" s="456"/>
      <c r="G83" s="456"/>
      <c r="H83" s="456"/>
      <c r="I83" s="535"/>
      <c r="J83" s="472"/>
      <c r="K83" s="114"/>
      <c r="L83" s="114"/>
    </row>
    <row r="84" spans="1:24" s="35" customFormat="1" x14ac:dyDescent="0.2">
      <c r="B84" s="471" t="s">
        <v>1410</v>
      </c>
      <c r="C84" s="525"/>
      <c r="D84" s="456"/>
      <c r="E84" s="456"/>
      <c r="F84" s="456"/>
      <c r="G84" s="456"/>
      <c r="H84" s="456"/>
      <c r="I84" s="535"/>
      <c r="J84" s="472"/>
      <c r="K84" s="114"/>
      <c r="L84" s="114"/>
    </row>
    <row r="85" spans="1:24" s="35" customFormat="1" x14ac:dyDescent="0.2">
      <c r="B85" s="456"/>
      <c r="C85" s="525"/>
      <c r="D85" s="456"/>
      <c r="E85" s="456"/>
      <c r="F85" s="456"/>
      <c r="G85" s="456"/>
      <c r="H85" s="456"/>
      <c r="I85" s="535"/>
      <c r="J85" s="456"/>
      <c r="L85" s="114"/>
    </row>
    <row r="86" spans="1:24" s="64" customFormat="1" ht="19.5" customHeight="1" x14ac:dyDescent="0.2">
      <c r="A86" s="35"/>
      <c r="B86" s="1030" t="s">
        <v>50</v>
      </c>
      <c r="C86" s="1030"/>
      <c r="D86" s="1019" t="s">
        <v>1031</v>
      </c>
      <c r="E86" s="1019"/>
      <c r="F86" s="1019"/>
      <c r="G86" s="1019"/>
      <c r="H86" s="1019" t="s">
        <v>1032</v>
      </c>
      <c r="I86" s="1019" t="s">
        <v>1033</v>
      </c>
      <c r="J86" s="1030" t="s">
        <v>3</v>
      </c>
      <c r="K86" s="35"/>
      <c r="L86" s="114"/>
      <c r="M86" s="35"/>
      <c r="N86" s="35"/>
      <c r="O86" s="35"/>
      <c r="P86" s="35"/>
      <c r="Q86" s="35"/>
      <c r="R86" s="35"/>
      <c r="S86" s="35"/>
      <c r="T86" s="35"/>
      <c r="U86" s="35"/>
      <c r="V86" s="35"/>
      <c r="W86" s="35"/>
      <c r="X86" s="35"/>
    </row>
    <row r="87" spans="1:24" s="4" customFormat="1" ht="19.5" customHeight="1" x14ac:dyDescent="0.2">
      <c r="A87" s="35"/>
      <c r="B87" s="1030"/>
      <c r="C87" s="1030"/>
      <c r="D87" s="591" t="s">
        <v>1214</v>
      </c>
      <c r="E87" s="591" t="s">
        <v>1215</v>
      </c>
      <c r="F87" s="591" t="s">
        <v>1216</v>
      </c>
      <c r="G87" s="591" t="s">
        <v>1217</v>
      </c>
      <c r="H87" s="1019"/>
      <c r="I87" s="1019"/>
      <c r="J87" s="1030"/>
      <c r="K87" s="35"/>
      <c r="L87" s="35"/>
      <c r="M87" s="35"/>
      <c r="N87" s="35"/>
      <c r="O87" s="35"/>
      <c r="P87" s="35"/>
      <c r="Q87" s="35"/>
      <c r="R87" s="35"/>
      <c r="S87" s="35"/>
      <c r="T87" s="35"/>
      <c r="U87" s="35"/>
      <c r="V87" s="35"/>
      <c r="W87" s="35"/>
      <c r="X87" s="35"/>
    </row>
    <row r="88" spans="1:24" s="35" customFormat="1" ht="17.45" customHeight="1" x14ac:dyDescent="0.2">
      <c r="B88" s="993" t="s">
        <v>1274</v>
      </c>
      <c r="C88" s="995"/>
      <c r="D88" s="696">
        <v>1</v>
      </c>
      <c r="E88" s="696"/>
      <c r="F88" s="696"/>
      <c r="G88" s="696"/>
      <c r="H88" s="696"/>
      <c r="I88" s="696"/>
      <c r="J88" s="695">
        <f>SUM(D88:I88)</f>
        <v>1</v>
      </c>
    </row>
    <row r="89" spans="1:24" s="35" customFormat="1" ht="17.45" customHeight="1" x14ac:dyDescent="0.2">
      <c r="B89" s="993" t="s">
        <v>1275</v>
      </c>
      <c r="C89" s="995"/>
      <c r="D89" s="696"/>
      <c r="E89" s="696">
        <v>0.9</v>
      </c>
      <c r="F89" s="696">
        <v>0.1</v>
      </c>
      <c r="G89" s="696"/>
      <c r="H89" s="696"/>
      <c r="I89" s="696"/>
      <c r="J89" s="695">
        <f>SUM(D89:I89)</f>
        <v>1</v>
      </c>
    </row>
    <row r="90" spans="1:24" s="35" customFormat="1" ht="17.45" customHeight="1" x14ac:dyDescent="0.2">
      <c r="B90" s="993" t="s">
        <v>1276</v>
      </c>
      <c r="C90" s="995"/>
      <c r="D90" s="696"/>
      <c r="E90" s="696">
        <v>0.9</v>
      </c>
      <c r="F90" s="696">
        <v>0.1</v>
      </c>
      <c r="G90" s="696"/>
      <c r="H90" s="696"/>
      <c r="I90" s="696"/>
      <c r="J90" s="695">
        <f>SUM(D90:I90)</f>
        <v>1</v>
      </c>
    </row>
    <row r="91" spans="1:24" s="35" customFormat="1" ht="17.45" customHeight="1" x14ac:dyDescent="0.2">
      <c r="B91" s="993" t="s">
        <v>1277</v>
      </c>
      <c r="C91" s="995"/>
      <c r="D91" s="696"/>
      <c r="E91" s="696"/>
      <c r="F91" s="696">
        <v>0.25</v>
      </c>
      <c r="G91" s="696">
        <v>0.25</v>
      </c>
      <c r="H91" s="696">
        <v>0.5</v>
      </c>
      <c r="I91" s="696"/>
      <c r="J91" s="695">
        <f>SUM(D91:I91)</f>
        <v>1</v>
      </c>
      <c r="L91" s="414"/>
    </row>
    <row r="92" spans="1:24" s="35" customFormat="1" ht="17.45" customHeight="1" x14ac:dyDescent="0.2">
      <c r="B92" s="456"/>
      <c r="C92" s="456"/>
      <c r="I92" s="374"/>
    </row>
    <row r="93" spans="1:24" s="35" customFormat="1" ht="17.45" customHeight="1" x14ac:dyDescent="0.2">
      <c r="B93" s="456"/>
      <c r="C93" s="525"/>
      <c r="I93" s="374"/>
      <c r="K93" s="114"/>
      <c r="L93" s="114"/>
    </row>
    <row r="94" spans="1:24" s="35" customFormat="1" ht="17.45" customHeight="1" x14ac:dyDescent="0.2">
      <c r="B94" s="457" t="s">
        <v>1411</v>
      </c>
      <c r="C94" s="557"/>
      <c r="D94" s="593"/>
      <c r="E94" s="593"/>
      <c r="F94" s="593"/>
      <c r="G94" s="593"/>
      <c r="H94" s="593"/>
      <c r="I94" s="535"/>
      <c r="J94" s="456"/>
      <c r="K94" s="114"/>
      <c r="L94" s="114"/>
    </row>
    <row r="95" spans="1:24" s="35" customFormat="1" ht="17.45" customHeight="1" x14ac:dyDescent="0.2">
      <c r="B95" s="456"/>
      <c r="C95" s="557"/>
      <c r="D95" s="593"/>
      <c r="E95" s="593"/>
      <c r="F95" s="593"/>
      <c r="G95" s="593"/>
      <c r="H95" s="593"/>
      <c r="I95" s="535"/>
      <c r="J95" s="456"/>
      <c r="K95" s="114"/>
      <c r="L95" s="114"/>
    </row>
    <row r="96" spans="1:24" s="4" customFormat="1" ht="21" customHeight="1" x14ac:dyDescent="0.2">
      <c r="A96" s="35"/>
      <c r="B96" s="1030" t="s">
        <v>50</v>
      </c>
      <c r="C96" s="1030"/>
      <c r="D96" s="1019" t="s">
        <v>1031</v>
      </c>
      <c r="E96" s="1019"/>
      <c r="F96" s="1019"/>
      <c r="G96" s="1019"/>
      <c r="H96" s="1019" t="s">
        <v>1032</v>
      </c>
      <c r="I96" s="1019" t="s">
        <v>1033</v>
      </c>
      <c r="J96" s="1030" t="s">
        <v>3</v>
      </c>
      <c r="K96" s="35"/>
      <c r="L96" s="35"/>
      <c r="M96" s="35"/>
      <c r="N96" s="35"/>
      <c r="O96" s="35"/>
      <c r="P96" s="35"/>
      <c r="Q96" s="35"/>
      <c r="R96" s="35"/>
      <c r="S96" s="35"/>
      <c r="T96" s="35"/>
      <c r="U96" s="35"/>
      <c r="V96" s="35"/>
      <c r="W96" s="35"/>
      <c r="X96" s="35"/>
    </row>
    <row r="97" spans="1:24" s="4" customFormat="1" ht="18.75" customHeight="1" x14ac:dyDescent="0.2">
      <c r="A97" s="35"/>
      <c r="B97" s="1030"/>
      <c r="C97" s="1030"/>
      <c r="D97" s="591" t="s">
        <v>1214</v>
      </c>
      <c r="E97" s="591" t="s">
        <v>1215</v>
      </c>
      <c r="F97" s="591" t="s">
        <v>1216</v>
      </c>
      <c r="G97" s="591" t="s">
        <v>1217</v>
      </c>
      <c r="H97" s="1019"/>
      <c r="I97" s="1019"/>
      <c r="J97" s="1030"/>
      <c r="K97" s="35"/>
      <c r="L97" s="35"/>
      <c r="M97" s="35"/>
      <c r="N97" s="35"/>
      <c r="O97" s="35"/>
      <c r="P97" s="35"/>
      <c r="Q97" s="35"/>
      <c r="R97" s="35"/>
      <c r="S97" s="35"/>
      <c r="T97" s="35"/>
      <c r="U97" s="35"/>
      <c r="V97" s="35"/>
      <c r="W97" s="35"/>
      <c r="X97" s="35"/>
    </row>
    <row r="98" spans="1:24" s="4" customFormat="1" ht="18.75" customHeight="1" x14ac:dyDescent="0.2">
      <c r="A98" s="35"/>
      <c r="B98" s="1056" t="str">
        <f>+B88</f>
        <v>Componente 1: Estudio Definitivo</v>
      </c>
      <c r="C98" s="1057"/>
      <c r="D98" s="539">
        <f t="shared" ref="D98:I98" si="2">+D88*$F$52</f>
        <v>25000</v>
      </c>
      <c r="E98" s="539">
        <f t="shared" si="2"/>
        <v>0</v>
      </c>
      <c r="F98" s="539">
        <f t="shared" si="2"/>
        <v>0</v>
      </c>
      <c r="G98" s="539">
        <f t="shared" si="2"/>
        <v>0</v>
      </c>
      <c r="H98" s="539">
        <f t="shared" si="2"/>
        <v>0</v>
      </c>
      <c r="I98" s="539">
        <f t="shared" si="2"/>
        <v>0</v>
      </c>
      <c r="J98" s="539">
        <f>SUM(D98:I98)</f>
        <v>25000</v>
      </c>
      <c r="K98" s="35"/>
      <c r="L98" s="35"/>
      <c r="M98" s="35"/>
      <c r="N98" s="35"/>
      <c r="O98" s="35"/>
      <c r="P98" s="35"/>
      <c r="Q98" s="35"/>
      <c r="R98" s="35"/>
      <c r="S98" s="35"/>
      <c r="T98" s="35"/>
      <c r="U98" s="35"/>
      <c r="V98" s="35"/>
      <c r="W98" s="35"/>
      <c r="X98" s="35"/>
    </row>
    <row r="99" spans="1:24" s="4" customFormat="1" ht="18.75" customHeight="1" x14ac:dyDescent="0.2">
      <c r="A99" s="35"/>
      <c r="B99" s="1056" t="str">
        <f t="shared" ref="B99:B101" si="3">+B89</f>
        <v>Componente 2: Riego Tecnificado</v>
      </c>
      <c r="C99" s="1057"/>
      <c r="D99" s="539">
        <f t="shared" ref="D99:I99" si="4">+$F$53*D89</f>
        <v>0</v>
      </c>
      <c r="E99" s="539">
        <f t="shared" si="4"/>
        <v>344700</v>
      </c>
      <c r="F99" s="539">
        <f t="shared" si="4"/>
        <v>38300</v>
      </c>
      <c r="G99" s="539">
        <f t="shared" si="4"/>
        <v>0</v>
      </c>
      <c r="H99" s="539">
        <f t="shared" si="4"/>
        <v>0</v>
      </c>
      <c r="I99" s="539">
        <f t="shared" si="4"/>
        <v>0</v>
      </c>
      <c r="J99" s="539">
        <f>SUM(D99:I99)</f>
        <v>383000</v>
      </c>
      <c r="K99" s="35"/>
      <c r="L99" s="35"/>
      <c r="M99" s="35"/>
      <c r="N99" s="35"/>
      <c r="O99" s="35"/>
      <c r="P99" s="35"/>
      <c r="Q99" s="35"/>
      <c r="R99" s="35"/>
      <c r="S99" s="35"/>
      <c r="T99" s="35"/>
      <c r="U99" s="35"/>
      <c r="V99" s="35"/>
      <c r="W99" s="35"/>
      <c r="X99" s="35"/>
    </row>
    <row r="100" spans="1:24" s="4" customFormat="1" ht="18.75" customHeight="1" x14ac:dyDescent="0.2">
      <c r="A100" s="35"/>
      <c r="B100" s="1056" t="str">
        <f t="shared" si="3"/>
        <v>Componente 3: Capacitación en O&amp;M</v>
      </c>
      <c r="C100" s="1057"/>
      <c r="D100" s="539">
        <f t="shared" ref="D100:I100" si="5">+$F$54*D90</f>
        <v>0</v>
      </c>
      <c r="E100" s="539">
        <f t="shared" si="5"/>
        <v>3600</v>
      </c>
      <c r="F100" s="539">
        <f t="shared" si="5"/>
        <v>400</v>
      </c>
      <c r="G100" s="539">
        <f t="shared" si="5"/>
        <v>0</v>
      </c>
      <c r="H100" s="539">
        <f t="shared" si="5"/>
        <v>0</v>
      </c>
      <c r="I100" s="539">
        <f t="shared" si="5"/>
        <v>0</v>
      </c>
      <c r="J100" s="539">
        <f>SUM(D100:I100)</f>
        <v>4000</v>
      </c>
      <c r="K100" s="35"/>
      <c r="L100" s="35"/>
      <c r="M100" s="35"/>
      <c r="N100" s="35"/>
      <c r="O100" s="35"/>
      <c r="P100" s="35"/>
      <c r="Q100" s="35"/>
      <c r="R100" s="35"/>
      <c r="S100" s="35"/>
      <c r="T100" s="35"/>
      <c r="U100" s="35"/>
      <c r="V100" s="35"/>
      <c r="W100" s="35"/>
      <c r="X100" s="35"/>
    </row>
    <row r="101" spans="1:24" s="4" customFormat="1" ht="18.75" customHeight="1" x14ac:dyDescent="0.2">
      <c r="A101" s="35"/>
      <c r="B101" s="1056" t="str">
        <f t="shared" si="3"/>
        <v xml:space="preserve">Componente 4: Asistencia Técnica </v>
      </c>
      <c r="C101" s="1057"/>
      <c r="D101" s="539">
        <f t="shared" ref="D101:I101" si="6">+$F$55*D91</f>
        <v>0</v>
      </c>
      <c r="E101" s="539">
        <f t="shared" si="6"/>
        <v>0</v>
      </c>
      <c r="F101" s="539">
        <f t="shared" si="6"/>
        <v>3750</v>
      </c>
      <c r="G101" s="539">
        <f t="shared" si="6"/>
        <v>3750</v>
      </c>
      <c r="H101" s="539">
        <f t="shared" si="6"/>
        <v>7500</v>
      </c>
      <c r="I101" s="539">
        <f t="shared" si="6"/>
        <v>0</v>
      </c>
      <c r="J101" s="539">
        <f>SUM(D101:I101)</f>
        <v>15000</v>
      </c>
      <c r="K101" s="35"/>
      <c r="L101" s="35"/>
      <c r="M101" s="35"/>
      <c r="N101" s="35"/>
      <c r="O101" s="35"/>
      <c r="P101" s="35"/>
      <c r="Q101" s="35"/>
      <c r="R101" s="35"/>
      <c r="S101" s="35"/>
      <c r="T101" s="35"/>
      <c r="U101" s="35"/>
      <c r="V101" s="35"/>
      <c r="W101" s="35"/>
      <c r="X101" s="35"/>
    </row>
    <row r="102" spans="1:24" ht="16.5" customHeight="1" x14ac:dyDescent="0.2">
      <c r="B102" s="1058" t="s">
        <v>1080</v>
      </c>
      <c r="C102" s="1059"/>
      <c r="D102" s="548">
        <f>+SUM(D98:D101)</f>
        <v>25000</v>
      </c>
      <c r="E102" s="548">
        <f t="shared" ref="E102:J102" si="7">+SUM(E98:E101)</f>
        <v>348300</v>
      </c>
      <c r="F102" s="548">
        <f t="shared" si="7"/>
        <v>42450</v>
      </c>
      <c r="G102" s="548">
        <f t="shared" si="7"/>
        <v>3750</v>
      </c>
      <c r="H102" s="548">
        <f t="shared" si="7"/>
        <v>7500</v>
      </c>
      <c r="I102" s="548">
        <f t="shared" si="7"/>
        <v>0</v>
      </c>
      <c r="J102" s="548">
        <f t="shared" si="7"/>
        <v>427000</v>
      </c>
    </row>
    <row r="103" spans="1:24" s="409" customFormat="1" x14ac:dyDescent="0.2">
      <c r="B103" s="522"/>
      <c r="C103" s="523"/>
      <c r="D103" s="522"/>
      <c r="E103" s="522"/>
      <c r="F103" s="522"/>
      <c r="G103" s="522"/>
      <c r="H103" s="522"/>
      <c r="I103" s="524"/>
      <c r="J103" s="522"/>
    </row>
    <row r="104" spans="1:24" s="409" customFormat="1" x14ac:dyDescent="0.2">
      <c r="B104" s="522"/>
      <c r="C104" s="523"/>
      <c r="D104" s="522"/>
      <c r="E104" s="522"/>
      <c r="F104" s="522"/>
      <c r="G104" s="522"/>
      <c r="H104" s="522"/>
      <c r="I104" s="524"/>
      <c r="J104" s="522"/>
    </row>
    <row r="105" spans="1:24" s="35" customFormat="1" ht="17.25" customHeight="1" x14ac:dyDescent="0.2">
      <c r="B105" s="457" t="s">
        <v>1412</v>
      </c>
      <c r="C105" s="534"/>
      <c r="D105" s="536"/>
      <c r="E105" s="526"/>
      <c r="F105" s="593"/>
      <c r="G105" s="545"/>
      <c r="H105" s="546"/>
      <c r="I105" s="526"/>
      <c r="J105" s="465"/>
      <c r="K105" s="114"/>
      <c r="L105" s="114"/>
    </row>
    <row r="106" spans="1:24" s="35" customFormat="1" ht="15.75" customHeight="1" x14ac:dyDescent="0.2">
      <c r="B106" s="536"/>
      <c r="C106" s="534"/>
      <c r="D106" s="536"/>
      <c r="E106" s="526"/>
      <c r="F106" s="593"/>
      <c r="G106" s="545"/>
      <c r="H106" s="546"/>
      <c r="I106" s="526"/>
      <c r="J106" s="465"/>
      <c r="K106" s="114"/>
      <c r="L106" s="114"/>
    </row>
    <row r="107" spans="1:24" s="35" customFormat="1" ht="15.75" customHeight="1" x14ac:dyDescent="0.2">
      <c r="B107" s="456" t="s">
        <v>1202</v>
      </c>
      <c r="C107" s="534"/>
      <c r="D107" s="456"/>
      <c r="E107" s="526"/>
      <c r="F107" s="456"/>
      <c r="G107" s="665">
        <f>+H38*0.3</f>
        <v>45000</v>
      </c>
      <c r="H107" s="546"/>
      <c r="I107" s="526"/>
      <c r="J107" s="465"/>
      <c r="K107" s="114"/>
      <c r="L107" s="114"/>
    </row>
    <row r="108" spans="1:24" s="35" customFormat="1" ht="15.75" customHeight="1" x14ac:dyDescent="0.2">
      <c r="B108" s="536"/>
      <c r="C108" s="534"/>
      <c r="D108" s="456"/>
      <c r="E108" s="526"/>
      <c r="F108" s="456"/>
      <c r="G108" s="465"/>
      <c r="H108" s="546"/>
      <c r="I108" s="526"/>
      <c r="J108" s="465"/>
      <c r="K108" s="114"/>
      <c r="L108" s="114"/>
    </row>
    <row r="109" spans="1:24" s="35" customFormat="1" ht="15.75" customHeight="1" x14ac:dyDescent="0.2">
      <c r="B109" s="536" t="s">
        <v>1442</v>
      </c>
      <c r="C109" s="534"/>
      <c r="E109" s="386"/>
      <c r="G109" s="664">
        <v>5</v>
      </c>
      <c r="H109" s="392"/>
      <c r="I109" s="386"/>
      <c r="J109" s="383"/>
      <c r="K109" s="114"/>
      <c r="L109" s="114"/>
    </row>
    <row r="110" spans="1:24" s="35" customFormat="1" ht="15.75" customHeight="1" x14ac:dyDescent="0.2">
      <c r="B110" s="536"/>
      <c r="C110" s="534"/>
      <c r="D110" s="393"/>
      <c r="E110" s="386"/>
      <c r="G110" s="109"/>
      <c r="H110" s="392"/>
      <c r="I110" s="386"/>
      <c r="J110" s="383"/>
      <c r="K110" s="114"/>
      <c r="L110" s="114"/>
    </row>
    <row r="111" spans="1:24" s="35" customFormat="1" ht="15.75" customHeight="1" x14ac:dyDescent="0.2">
      <c r="B111" s="536"/>
      <c r="C111" s="534"/>
      <c r="D111" s="393"/>
      <c r="E111" s="386"/>
      <c r="G111" s="109"/>
      <c r="H111" s="392"/>
      <c r="I111" s="386"/>
      <c r="J111" s="383"/>
      <c r="K111" s="114"/>
      <c r="L111" s="114"/>
    </row>
    <row r="112" spans="1:24" s="35" customFormat="1" ht="15.75" customHeight="1" x14ac:dyDescent="0.2">
      <c r="B112" s="457" t="s">
        <v>1413</v>
      </c>
      <c r="C112" s="534"/>
      <c r="D112" s="393"/>
      <c r="E112" s="386"/>
      <c r="G112" s="109"/>
      <c r="H112" s="392"/>
      <c r="I112" s="386"/>
      <c r="J112" s="383"/>
      <c r="K112" s="114"/>
      <c r="L112" s="114"/>
    </row>
    <row r="113" spans="1:24" s="35" customFormat="1" ht="15.75" customHeight="1" x14ac:dyDescent="0.2">
      <c r="B113" s="536"/>
      <c r="C113" s="534"/>
      <c r="D113" s="393"/>
      <c r="E113" s="386"/>
      <c r="G113" s="109"/>
      <c r="H113" s="392"/>
      <c r="I113" s="386"/>
      <c r="J113" s="383"/>
      <c r="K113" s="114"/>
      <c r="L113" s="114"/>
    </row>
    <row r="114" spans="1:24" s="35" customFormat="1" ht="15.75" customHeight="1" x14ac:dyDescent="0.2">
      <c r="B114" s="456" t="s">
        <v>1110</v>
      </c>
      <c r="C114" s="525"/>
      <c r="F114" s="35" t="s">
        <v>1111</v>
      </c>
      <c r="G114" s="401"/>
      <c r="I114" s="374"/>
      <c r="K114" s="114"/>
      <c r="L114" s="114"/>
    </row>
    <row r="115" spans="1:24" s="35" customFormat="1" ht="15.75" customHeight="1" x14ac:dyDescent="0.2">
      <c r="B115" s="456"/>
      <c r="C115" s="525"/>
      <c r="G115" s="401"/>
      <c r="I115" s="374"/>
      <c r="K115" s="114"/>
      <c r="L115" s="114"/>
    </row>
    <row r="116" spans="1:24" s="4" customFormat="1" ht="18.75" customHeight="1" x14ac:dyDescent="0.2">
      <c r="A116" s="35"/>
      <c r="B116" s="594" t="s">
        <v>1206</v>
      </c>
      <c r="C116" s="369" t="s">
        <v>1193</v>
      </c>
      <c r="D116" s="45"/>
      <c r="E116" s="45"/>
      <c r="F116" s="1054" t="s">
        <v>1206</v>
      </c>
      <c r="G116" s="1055"/>
      <c r="H116" s="369" t="s">
        <v>1193</v>
      </c>
      <c r="I116" s="374"/>
      <c r="J116" s="35"/>
      <c r="K116" s="114"/>
      <c r="L116" s="114"/>
      <c r="M116" s="35"/>
      <c r="N116" s="35"/>
      <c r="O116" s="35"/>
      <c r="P116" s="35"/>
      <c r="Q116" s="35"/>
      <c r="R116" s="35"/>
      <c r="S116" s="35"/>
      <c r="T116" s="35"/>
      <c r="U116" s="35"/>
      <c r="V116" s="35"/>
      <c r="W116" s="35"/>
      <c r="X116" s="35"/>
    </row>
    <row r="117" spans="1:24" s="35" customFormat="1" ht="18.75" customHeight="1" x14ac:dyDescent="0.2">
      <c r="B117" s="563" t="s">
        <v>1203</v>
      </c>
      <c r="C117" s="665">
        <v>8500</v>
      </c>
      <c r="F117" s="1039" t="s">
        <v>1203</v>
      </c>
      <c r="G117" s="1039"/>
      <c r="H117" s="665">
        <v>15500</v>
      </c>
      <c r="I117" s="374"/>
      <c r="K117" s="114"/>
      <c r="L117" s="114"/>
    </row>
    <row r="118" spans="1:24" s="35" customFormat="1" ht="18.75" customHeight="1" x14ac:dyDescent="0.2">
      <c r="B118" s="563" t="s">
        <v>1204</v>
      </c>
      <c r="C118" s="665">
        <v>2500</v>
      </c>
      <c r="F118" s="1039" t="s">
        <v>1204</v>
      </c>
      <c r="G118" s="1039"/>
      <c r="H118" s="665">
        <v>3600</v>
      </c>
      <c r="I118" s="374"/>
      <c r="K118" s="114"/>
      <c r="L118" s="114"/>
    </row>
    <row r="119" spans="1:24" s="35" customFormat="1" ht="18.75" customHeight="1" x14ac:dyDescent="0.2">
      <c r="B119" s="563" t="s">
        <v>1205</v>
      </c>
      <c r="C119" s="665">
        <v>1800</v>
      </c>
      <c r="F119" s="1039" t="s">
        <v>1205</v>
      </c>
      <c r="G119" s="1039"/>
      <c r="H119" s="665">
        <v>1200</v>
      </c>
      <c r="I119" s="374"/>
      <c r="K119" s="114"/>
      <c r="L119" s="114"/>
    </row>
    <row r="120" spans="1:24" s="35" customFormat="1" ht="18.75" customHeight="1" x14ac:dyDescent="0.2">
      <c r="B120" s="563" t="s">
        <v>1218</v>
      </c>
      <c r="C120" s="665"/>
      <c r="F120" s="1039" t="s">
        <v>1218</v>
      </c>
      <c r="G120" s="1039"/>
      <c r="H120" s="665"/>
      <c r="I120" s="374"/>
      <c r="K120" s="114"/>
      <c r="L120" s="114"/>
    </row>
    <row r="121" spans="1:24" s="4" customFormat="1" ht="18.75" customHeight="1" x14ac:dyDescent="0.2">
      <c r="A121" s="35"/>
      <c r="B121" s="540" t="s">
        <v>1207</v>
      </c>
      <c r="C121" s="548">
        <f>+SUM(C117:C120)</f>
        <v>12800</v>
      </c>
      <c r="D121" s="31"/>
      <c r="E121" s="31"/>
      <c r="F121" s="1053" t="s">
        <v>1207</v>
      </c>
      <c r="G121" s="1053"/>
      <c r="H121" s="548">
        <f>+SUM(H117:H120)</f>
        <v>20300</v>
      </c>
      <c r="I121" s="374"/>
      <c r="J121" s="35"/>
      <c r="K121" s="114"/>
      <c r="L121" s="114"/>
      <c r="M121" s="35"/>
      <c r="N121" s="35"/>
      <c r="O121" s="35"/>
      <c r="P121" s="35"/>
      <c r="Q121" s="35"/>
      <c r="R121" s="35"/>
      <c r="S121" s="35"/>
      <c r="T121" s="35"/>
      <c r="U121" s="35"/>
      <c r="V121" s="35"/>
      <c r="W121" s="35"/>
      <c r="X121" s="35"/>
    </row>
    <row r="122" spans="1:24" s="4" customFormat="1" ht="15" customHeight="1" x14ac:dyDescent="0.2">
      <c r="A122" s="35"/>
      <c r="B122" s="456"/>
      <c r="C122" s="401"/>
      <c r="D122" s="35"/>
      <c r="E122" s="35"/>
      <c r="F122" s="456"/>
      <c r="G122" s="549"/>
      <c r="H122" s="35"/>
      <c r="I122" s="374"/>
      <c r="J122" s="35"/>
      <c r="K122" s="114"/>
      <c r="L122" s="114"/>
      <c r="M122" s="35"/>
      <c r="N122" s="35"/>
      <c r="O122" s="35"/>
      <c r="P122" s="35"/>
      <c r="Q122" s="35"/>
      <c r="R122" s="35"/>
      <c r="S122" s="35"/>
      <c r="T122" s="35"/>
      <c r="U122" s="35"/>
      <c r="V122" s="35"/>
      <c r="W122" s="35"/>
      <c r="X122" s="35"/>
    </row>
    <row r="123" spans="1:24" ht="15" customHeight="1" x14ac:dyDescent="0.2">
      <c r="B123" s="472" t="s">
        <v>1233</v>
      </c>
      <c r="C123" s="412"/>
      <c r="D123" s="409"/>
      <c r="E123" s="409"/>
      <c r="F123" s="472" t="s">
        <v>1234</v>
      </c>
      <c r="G123" s="523"/>
      <c r="H123" s="409"/>
      <c r="I123" s="408"/>
      <c r="J123" s="409"/>
    </row>
    <row r="124" spans="1:24" ht="15" customHeight="1" x14ac:dyDescent="0.2">
      <c r="B124" s="522"/>
      <c r="C124" s="412"/>
      <c r="D124" s="409"/>
      <c r="E124" s="409"/>
      <c r="F124" s="522"/>
      <c r="G124" s="523"/>
      <c r="H124" s="409"/>
      <c r="I124" s="408"/>
      <c r="J124" s="409"/>
    </row>
    <row r="125" spans="1:24" ht="19.5" customHeight="1" x14ac:dyDescent="0.2">
      <c r="B125" s="621" t="s">
        <v>1224</v>
      </c>
      <c r="C125" s="415"/>
      <c r="D125" s="697"/>
      <c r="E125" s="409"/>
      <c r="F125" s="621" t="s">
        <v>1224</v>
      </c>
      <c r="G125" s="622"/>
      <c r="H125" s="415"/>
      <c r="I125" s="624">
        <f>+C45</f>
        <v>0</v>
      </c>
      <c r="J125" s="409"/>
    </row>
    <row r="126" spans="1:24" ht="19.5" customHeight="1" x14ac:dyDescent="0.2">
      <c r="B126" s="621" t="s">
        <v>1219</v>
      </c>
      <c r="C126" s="415"/>
      <c r="D126" s="653"/>
      <c r="E126" s="409"/>
      <c r="F126" s="621" t="s">
        <v>1219</v>
      </c>
      <c r="G126" s="622"/>
      <c r="H126" s="415"/>
      <c r="I126" s="625">
        <f>+C45*'Selección de Datos'!C103</f>
        <v>0</v>
      </c>
      <c r="J126" s="409"/>
    </row>
    <row r="127" spans="1:24" s="409" customFormat="1" ht="19.5" customHeight="1" x14ac:dyDescent="0.2">
      <c r="B127" s="621" t="s">
        <v>1220</v>
      </c>
      <c r="C127" s="415"/>
      <c r="D127" s="698"/>
      <c r="F127" s="621" t="s">
        <v>1220</v>
      </c>
      <c r="G127" s="622"/>
      <c r="H127" s="415"/>
      <c r="I127" s="699"/>
    </row>
    <row r="128" spans="1:24" s="409" customFormat="1" ht="19.5" customHeight="1" x14ac:dyDescent="0.2">
      <c r="B128" s="621" t="s">
        <v>1232</v>
      </c>
      <c r="C128" s="415"/>
      <c r="D128" s="698"/>
      <c r="F128" s="621" t="s">
        <v>1232</v>
      </c>
      <c r="G128" s="622"/>
      <c r="H128" s="415"/>
      <c r="I128" s="699"/>
    </row>
    <row r="129" spans="2:9" s="409" customFormat="1" ht="19.5" customHeight="1" x14ac:dyDescent="0.2">
      <c r="B129" s="522"/>
      <c r="F129" s="522"/>
      <c r="G129" s="522"/>
      <c r="I129" s="408"/>
    </row>
    <row r="130" spans="2:9" s="409" customFormat="1" ht="19.5" customHeight="1" x14ac:dyDescent="0.2">
      <c r="B130" s="471" t="s">
        <v>1230</v>
      </c>
      <c r="C130" s="73"/>
      <c r="D130" s="73"/>
      <c r="F130" s="471" t="s">
        <v>1230</v>
      </c>
      <c r="G130" s="471"/>
      <c r="I130" s="404"/>
    </row>
    <row r="131" spans="2:9" s="409" customFormat="1" ht="19.5" customHeight="1" x14ac:dyDescent="0.2">
      <c r="B131" s="621" t="s">
        <v>1227</v>
      </c>
      <c r="C131" s="415"/>
      <c r="D131" s="698"/>
      <c r="F131" s="621" t="s">
        <v>1227</v>
      </c>
      <c r="G131" s="622"/>
      <c r="H131" s="415"/>
      <c r="I131" s="699"/>
    </row>
    <row r="132" spans="2:9" s="409" customFormat="1" ht="19.5" customHeight="1" x14ac:dyDescent="0.2">
      <c r="B132" s="522"/>
      <c r="F132" s="522"/>
      <c r="G132" s="522"/>
      <c r="I132" s="408"/>
    </row>
    <row r="133" spans="2:9" s="409" customFormat="1" ht="19.5" customHeight="1" x14ac:dyDescent="0.2">
      <c r="B133" s="471" t="s">
        <v>1231</v>
      </c>
      <c r="C133" s="416"/>
      <c r="D133" s="416"/>
      <c r="F133" s="471" t="s">
        <v>1231</v>
      </c>
      <c r="G133" s="623"/>
      <c r="I133" s="417"/>
    </row>
    <row r="134" spans="2:9" s="409" customFormat="1" ht="19.5" customHeight="1" x14ac:dyDescent="0.2">
      <c r="B134" s="621" t="s">
        <v>1229</v>
      </c>
      <c r="C134" s="415"/>
      <c r="D134" s="698"/>
      <c r="F134" s="621" t="s">
        <v>1229</v>
      </c>
      <c r="G134" s="622"/>
      <c r="H134" s="415"/>
      <c r="I134" s="699"/>
    </row>
    <row r="135" spans="2:9" s="409" customFormat="1" ht="19.5" customHeight="1" x14ac:dyDescent="0.2">
      <c r="B135" s="621" t="s">
        <v>1225</v>
      </c>
      <c r="C135" s="415"/>
      <c r="D135" s="698"/>
      <c r="F135" s="621" t="s">
        <v>1225</v>
      </c>
      <c r="G135" s="622"/>
      <c r="H135" s="415"/>
      <c r="I135" s="699"/>
    </row>
    <row r="136" spans="2:9" s="409" customFormat="1" x14ac:dyDescent="0.2">
      <c r="C136" s="412"/>
      <c r="I136" s="408"/>
    </row>
    <row r="137" spans="2:9" s="409" customFormat="1" x14ac:dyDescent="0.2">
      <c r="C137" s="412"/>
      <c r="I137" s="408"/>
    </row>
    <row r="138" spans="2:9" s="409" customFormat="1" x14ac:dyDescent="0.2">
      <c r="C138" s="412"/>
      <c r="I138" s="408"/>
    </row>
    <row r="139" spans="2:9" s="409" customFormat="1" x14ac:dyDescent="0.2">
      <c r="C139" s="412"/>
      <c r="I139" s="408"/>
    </row>
    <row r="140" spans="2:9" s="409" customFormat="1" x14ac:dyDescent="0.2">
      <c r="C140" s="412"/>
      <c r="I140" s="408"/>
    </row>
    <row r="141" spans="2:9" s="409" customFormat="1" x14ac:dyDescent="0.2">
      <c r="C141" s="412"/>
      <c r="I141" s="408"/>
    </row>
    <row r="142" spans="2:9" s="409" customFormat="1" x14ac:dyDescent="0.2">
      <c r="C142" s="412"/>
      <c r="I142" s="408"/>
    </row>
    <row r="143" spans="2:9" s="409" customFormat="1" x14ac:dyDescent="0.2">
      <c r="C143" s="412"/>
      <c r="I143" s="408"/>
    </row>
    <row r="144" spans="2:9" s="409" customFormat="1" x14ac:dyDescent="0.2">
      <c r="C144" s="412"/>
      <c r="I144" s="408"/>
    </row>
    <row r="145" spans="3:9" s="409" customFormat="1" x14ac:dyDescent="0.2">
      <c r="C145" s="412"/>
      <c r="I145" s="408"/>
    </row>
    <row r="146" spans="3:9" s="409" customFormat="1" x14ac:dyDescent="0.2">
      <c r="C146" s="412"/>
      <c r="I146" s="408"/>
    </row>
    <row r="147" spans="3:9" s="409" customFormat="1" x14ac:dyDescent="0.2">
      <c r="C147" s="412"/>
      <c r="I147" s="408"/>
    </row>
    <row r="148" spans="3:9" s="409" customFormat="1" x14ac:dyDescent="0.2">
      <c r="C148" s="412"/>
      <c r="I148" s="408"/>
    </row>
    <row r="149" spans="3:9" s="409" customFormat="1" x14ac:dyDescent="0.2">
      <c r="C149" s="412"/>
      <c r="I149" s="408"/>
    </row>
    <row r="150" spans="3:9" s="409" customFormat="1" x14ac:dyDescent="0.2">
      <c r="C150" s="412"/>
      <c r="I150" s="408"/>
    </row>
    <row r="151" spans="3:9" s="409" customFormat="1" x14ac:dyDescent="0.2">
      <c r="C151" s="412"/>
      <c r="I151" s="408"/>
    </row>
    <row r="152" spans="3:9" s="409" customFormat="1" x14ac:dyDescent="0.2">
      <c r="C152" s="412"/>
      <c r="I152" s="408"/>
    </row>
    <row r="153" spans="3:9" s="409" customFormat="1" x14ac:dyDescent="0.2">
      <c r="C153" s="412"/>
      <c r="I153" s="408"/>
    </row>
    <row r="154" spans="3:9" s="409" customFormat="1" x14ac:dyDescent="0.2">
      <c r="C154" s="412"/>
      <c r="I154" s="408"/>
    </row>
    <row r="155" spans="3:9" s="409" customFormat="1" x14ac:dyDescent="0.2">
      <c r="C155" s="412"/>
      <c r="I155" s="408"/>
    </row>
    <row r="156" spans="3:9" s="409" customFormat="1" x14ac:dyDescent="0.2">
      <c r="C156" s="412"/>
      <c r="I156" s="408"/>
    </row>
    <row r="157" spans="3:9" s="409" customFormat="1" x14ac:dyDescent="0.2">
      <c r="C157" s="412"/>
      <c r="I157" s="408"/>
    </row>
    <row r="158" spans="3:9" s="409" customFormat="1" x14ac:dyDescent="0.2">
      <c r="C158" s="412"/>
      <c r="I158" s="408"/>
    </row>
    <row r="159" spans="3:9" s="409" customFormat="1" x14ac:dyDescent="0.2">
      <c r="C159" s="412"/>
      <c r="I159" s="408"/>
    </row>
    <row r="160" spans="3:9" s="409" customFormat="1" x14ac:dyDescent="0.2">
      <c r="C160" s="412"/>
      <c r="I160" s="408"/>
    </row>
    <row r="161" spans="3:9" s="409" customFormat="1" x14ac:dyDescent="0.2">
      <c r="C161" s="412"/>
      <c r="I161" s="408"/>
    </row>
    <row r="162" spans="3:9" s="409" customFormat="1" x14ac:dyDescent="0.2">
      <c r="C162" s="412"/>
      <c r="I162" s="408"/>
    </row>
    <row r="163" spans="3:9" s="409" customFormat="1" x14ac:dyDescent="0.2">
      <c r="C163" s="412"/>
      <c r="I163" s="408"/>
    </row>
    <row r="164" spans="3:9" s="409" customFormat="1" x14ac:dyDescent="0.2">
      <c r="C164" s="412"/>
      <c r="I164" s="408"/>
    </row>
    <row r="165" spans="3:9" s="409" customFormat="1" x14ac:dyDescent="0.2">
      <c r="C165" s="412"/>
      <c r="I165" s="408"/>
    </row>
    <row r="166" spans="3:9" s="409" customFormat="1" x14ac:dyDescent="0.2">
      <c r="C166" s="412"/>
      <c r="I166" s="408"/>
    </row>
    <row r="167" spans="3:9" s="409" customFormat="1" x14ac:dyDescent="0.2">
      <c r="C167" s="412"/>
      <c r="I167" s="408"/>
    </row>
    <row r="168" spans="3:9" s="409" customFormat="1" x14ac:dyDescent="0.2">
      <c r="C168" s="412"/>
      <c r="I168" s="408"/>
    </row>
    <row r="169" spans="3:9" s="409" customFormat="1" x14ac:dyDescent="0.2">
      <c r="C169" s="412"/>
      <c r="I169" s="408"/>
    </row>
    <row r="170" spans="3:9" s="409" customFormat="1" x14ac:dyDescent="0.2">
      <c r="C170" s="412"/>
      <c r="I170" s="408"/>
    </row>
    <row r="171" spans="3:9" s="409" customFormat="1" x14ac:dyDescent="0.2">
      <c r="C171" s="412"/>
      <c r="I171" s="408"/>
    </row>
    <row r="172" spans="3:9" s="409" customFormat="1" x14ac:dyDescent="0.2">
      <c r="C172" s="412"/>
      <c r="I172" s="408"/>
    </row>
    <row r="173" spans="3:9" s="409" customFormat="1" x14ac:dyDescent="0.2">
      <c r="C173" s="412"/>
      <c r="I173" s="408"/>
    </row>
    <row r="174" spans="3:9" s="409" customFormat="1" x14ac:dyDescent="0.2">
      <c r="C174" s="412"/>
      <c r="I174" s="408"/>
    </row>
    <row r="175" spans="3:9" s="409" customFormat="1" x14ac:dyDescent="0.2">
      <c r="C175" s="412"/>
      <c r="I175" s="408"/>
    </row>
    <row r="176" spans="3:9" s="409" customFormat="1" x14ac:dyDescent="0.2">
      <c r="C176" s="412"/>
      <c r="I176" s="408"/>
    </row>
    <row r="177" spans="3:9" s="409" customFormat="1" x14ac:dyDescent="0.2">
      <c r="C177" s="412"/>
      <c r="I177" s="408"/>
    </row>
    <row r="178" spans="3:9" s="409" customFormat="1" x14ac:dyDescent="0.2">
      <c r="C178" s="412"/>
      <c r="I178" s="408"/>
    </row>
    <row r="179" spans="3:9" s="409" customFormat="1" x14ac:dyDescent="0.2">
      <c r="C179" s="412"/>
      <c r="I179" s="408"/>
    </row>
    <row r="180" spans="3:9" s="409" customFormat="1" x14ac:dyDescent="0.2">
      <c r="C180" s="412"/>
      <c r="I180" s="408"/>
    </row>
    <row r="181" spans="3:9" s="409" customFormat="1" x14ac:dyDescent="0.2">
      <c r="C181" s="412"/>
      <c r="I181" s="408"/>
    </row>
    <row r="182" spans="3:9" s="409" customFormat="1" x14ac:dyDescent="0.2">
      <c r="C182" s="412"/>
      <c r="I182" s="408"/>
    </row>
    <row r="183" spans="3:9" s="409" customFormat="1" x14ac:dyDescent="0.2">
      <c r="C183" s="412"/>
      <c r="I183" s="408"/>
    </row>
    <row r="184" spans="3:9" s="409" customFormat="1" x14ac:dyDescent="0.2">
      <c r="C184" s="412"/>
      <c r="I184" s="408"/>
    </row>
    <row r="185" spans="3:9" s="409" customFormat="1" x14ac:dyDescent="0.2">
      <c r="C185" s="412"/>
      <c r="I185" s="408"/>
    </row>
    <row r="186" spans="3:9" s="409" customFormat="1" x14ac:dyDescent="0.2">
      <c r="C186" s="412"/>
      <c r="I186" s="408"/>
    </row>
    <row r="187" spans="3:9" s="409" customFormat="1" x14ac:dyDescent="0.2">
      <c r="C187" s="412"/>
      <c r="I187" s="408"/>
    </row>
    <row r="188" spans="3:9" s="409" customFormat="1" x14ac:dyDescent="0.2">
      <c r="C188" s="412"/>
      <c r="I188" s="408"/>
    </row>
    <row r="189" spans="3:9" s="409" customFormat="1" x14ac:dyDescent="0.2">
      <c r="C189" s="412"/>
      <c r="I189" s="408"/>
    </row>
    <row r="190" spans="3:9" s="409" customFormat="1" x14ac:dyDescent="0.2">
      <c r="C190" s="412"/>
      <c r="I190" s="408"/>
    </row>
    <row r="191" spans="3:9" s="409" customFormat="1" x14ac:dyDescent="0.2">
      <c r="C191" s="412"/>
      <c r="I191" s="408"/>
    </row>
    <row r="192" spans="3:9" s="409" customFormat="1" x14ac:dyDescent="0.2">
      <c r="C192" s="412"/>
      <c r="I192" s="408"/>
    </row>
    <row r="193" spans="3:9" s="409" customFormat="1" x14ac:dyDescent="0.2">
      <c r="C193" s="412"/>
      <c r="I193" s="408"/>
    </row>
    <row r="194" spans="3:9" s="409" customFormat="1" x14ac:dyDescent="0.2">
      <c r="C194" s="412"/>
      <c r="I194" s="408"/>
    </row>
    <row r="195" spans="3:9" s="409" customFormat="1" x14ac:dyDescent="0.2">
      <c r="C195" s="412"/>
      <c r="I195" s="408"/>
    </row>
    <row r="196" spans="3:9" s="409" customFormat="1" x14ac:dyDescent="0.2">
      <c r="C196" s="412"/>
      <c r="I196" s="408"/>
    </row>
    <row r="197" spans="3:9" s="409" customFormat="1" x14ac:dyDescent="0.2">
      <c r="C197" s="412"/>
      <c r="I197" s="408"/>
    </row>
    <row r="198" spans="3:9" s="409" customFormat="1" x14ac:dyDescent="0.2">
      <c r="C198" s="412"/>
      <c r="I198" s="408"/>
    </row>
    <row r="199" spans="3:9" s="409" customFormat="1" x14ac:dyDescent="0.2">
      <c r="C199" s="412"/>
      <c r="I199" s="408"/>
    </row>
    <row r="200" spans="3:9" s="409" customFormat="1" x14ac:dyDescent="0.2">
      <c r="C200" s="412"/>
      <c r="I200" s="408"/>
    </row>
    <row r="201" spans="3:9" s="409" customFormat="1" x14ac:dyDescent="0.2">
      <c r="C201" s="412"/>
      <c r="I201" s="408"/>
    </row>
    <row r="202" spans="3:9" s="409" customFormat="1" x14ac:dyDescent="0.2">
      <c r="C202" s="412"/>
      <c r="I202" s="408"/>
    </row>
    <row r="203" spans="3:9" s="409" customFormat="1" x14ac:dyDescent="0.2">
      <c r="C203" s="412"/>
      <c r="I203" s="408"/>
    </row>
    <row r="204" spans="3:9" s="409" customFormat="1" x14ac:dyDescent="0.2">
      <c r="C204" s="412"/>
      <c r="I204" s="408"/>
    </row>
    <row r="205" spans="3:9" s="409" customFormat="1" x14ac:dyDescent="0.2">
      <c r="C205" s="412"/>
      <c r="I205" s="408"/>
    </row>
    <row r="206" spans="3:9" s="409" customFormat="1" x14ac:dyDescent="0.2">
      <c r="C206" s="412"/>
      <c r="I206" s="408"/>
    </row>
    <row r="207" spans="3:9" s="409" customFormat="1" x14ac:dyDescent="0.2">
      <c r="C207" s="412"/>
      <c r="I207" s="408"/>
    </row>
    <row r="208" spans="3:9" s="409" customFormat="1" x14ac:dyDescent="0.2">
      <c r="C208" s="412"/>
      <c r="I208" s="408"/>
    </row>
    <row r="209" spans="3:9" s="409" customFormat="1" x14ac:dyDescent="0.2">
      <c r="C209" s="412"/>
      <c r="I209" s="408"/>
    </row>
    <row r="210" spans="3:9" s="409" customFormat="1" x14ac:dyDescent="0.2">
      <c r="C210" s="412"/>
      <c r="I210" s="408"/>
    </row>
    <row r="211" spans="3:9" s="409" customFormat="1" x14ac:dyDescent="0.2">
      <c r="C211" s="412"/>
      <c r="I211" s="408"/>
    </row>
    <row r="212" spans="3:9" s="409" customFormat="1" x14ac:dyDescent="0.2">
      <c r="C212" s="412"/>
      <c r="I212" s="408"/>
    </row>
    <row r="213" spans="3:9" s="409" customFormat="1" x14ac:dyDescent="0.2">
      <c r="C213" s="412"/>
      <c r="I213" s="408"/>
    </row>
    <row r="214" spans="3:9" s="409" customFormat="1" x14ac:dyDescent="0.2">
      <c r="C214" s="412"/>
      <c r="I214" s="408"/>
    </row>
    <row r="215" spans="3:9" s="409" customFormat="1" x14ac:dyDescent="0.2">
      <c r="C215" s="412"/>
      <c r="I215" s="408"/>
    </row>
    <row r="216" spans="3:9" s="409" customFormat="1" x14ac:dyDescent="0.2">
      <c r="C216" s="412"/>
      <c r="I216" s="408"/>
    </row>
    <row r="217" spans="3:9" s="409" customFormat="1" x14ac:dyDescent="0.2">
      <c r="C217" s="412"/>
      <c r="I217" s="408"/>
    </row>
    <row r="218" spans="3:9" s="409" customFormat="1" x14ac:dyDescent="0.2">
      <c r="C218" s="412"/>
      <c r="I218" s="408"/>
    </row>
    <row r="219" spans="3:9" s="409" customFormat="1" x14ac:dyDescent="0.2">
      <c r="C219" s="412"/>
      <c r="I219" s="408"/>
    </row>
    <row r="220" spans="3:9" s="409" customFormat="1" x14ac:dyDescent="0.2">
      <c r="C220" s="412"/>
      <c r="I220" s="408"/>
    </row>
    <row r="221" spans="3:9" s="409" customFormat="1" x14ac:dyDescent="0.2">
      <c r="C221" s="412"/>
      <c r="I221" s="408"/>
    </row>
    <row r="222" spans="3:9" s="409" customFormat="1" x14ac:dyDescent="0.2">
      <c r="C222" s="412"/>
      <c r="I222" s="408"/>
    </row>
    <row r="223" spans="3:9" s="409" customFormat="1" x14ac:dyDescent="0.2">
      <c r="C223" s="412"/>
      <c r="I223" s="408"/>
    </row>
  </sheetData>
  <sheetProtection algorithmName="SHA-512" hashValue="362+VOP7vAI289Yd3lezwY2Exm9wSPdewyBVIsBoO+HVxvokVloMm9iPqwb5FanMZR06R0t9q3/FCaKe7l7j/A==" saltValue="p6JXuBXKN5fh5lplCJLHrg==" spinCount="100000" sheet="1" objects="1" scenarios="1"/>
  <mergeCells count="57">
    <mergeCell ref="B54:E54"/>
    <mergeCell ref="B55:E55"/>
    <mergeCell ref="B56:J56"/>
    <mergeCell ref="E18:G18"/>
    <mergeCell ref="H18:H19"/>
    <mergeCell ref="I18:J18"/>
    <mergeCell ref="B21:B38"/>
    <mergeCell ref="B39:B40"/>
    <mergeCell ref="C43:H43"/>
    <mergeCell ref="B51:J51"/>
    <mergeCell ref="B50:E50"/>
    <mergeCell ref="B52:E52"/>
    <mergeCell ref="B53:E53"/>
    <mergeCell ref="E20:G20"/>
    <mergeCell ref="I20:J20"/>
    <mergeCell ref="B57:E57"/>
    <mergeCell ref="D79:H79"/>
    <mergeCell ref="B67:F67"/>
    <mergeCell ref="B68:F68"/>
    <mergeCell ref="B65:F65"/>
    <mergeCell ref="B62:F62"/>
    <mergeCell ref="B73:F73"/>
    <mergeCell ref="B74:F74"/>
    <mergeCell ref="H96:H97"/>
    <mergeCell ref="I96:I97"/>
    <mergeCell ref="J96:J97"/>
    <mergeCell ref="J86:J87"/>
    <mergeCell ref="I86:I87"/>
    <mergeCell ref="H86:H87"/>
    <mergeCell ref="B98:C98"/>
    <mergeCell ref="D86:G86"/>
    <mergeCell ref="B102:C102"/>
    <mergeCell ref="B100:C100"/>
    <mergeCell ref="B99:C99"/>
    <mergeCell ref="B96:C97"/>
    <mergeCell ref="D96:G96"/>
    <mergeCell ref="F121:G121"/>
    <mergeCell ref="F116:G116"/>
    <mergeCell ref="F117:G117"/>
    <mergeCell ref="B63:F63"/>
    <mergeCell ref="B64:F64"/>
    <mergeCell ref="B89:C89"/>
    <mergeCell ref="B90:C90"/>
    <mergeCell ref="B91:C91"/>
    <mergeCell ref="B66:F66"/>
    <mergeCell ref="B88:C88"/>
    <mergeCell ref="B86:C87"/>
    <mergeCell ref="F120:G120"/>
    <mergeCell ref="F118:G118"/>
    <mergeCell ref="F119:G119"/>
    <mergeCell ref="B69:F69"/>
    <mergeCell ref="B101:C101"/>
    <mergeCell ref="B2:J2"/>
    <mergeCell ref="B3:J3"/>
    <mergeCell ref="C10:J10"/>
    <mergeCell ref="C11:J11"/>
    <mergeCell ref="B4:J4"/>
  </mergeCells>
  <dataValidations count="7">
    <dataValidation type="decimal" allowBlank="1" showInputMessage="1" showErrorMessage="1" sqref="F22:G36">
      <formula1>0</formula1>
      <formula2>1000000</formula2>
    </dataValidation>
    <dataValidation type="date" allowBlank="1" showInputMessage="1" showErrorMessage="1" sqref="I52:J55">
      <formula1>40179</formula1>
      <formula2>45291</formula2>
    </dataValidation>
    <dataValidation type="decimal" allowBlank="1" showInputMessage="1" showErrorMessage="1" sqref="D88:I91">
      <formula1>0</formula1>
      <formula2>5</formula2>
    </dataValidation>
    <dataValidation type="decimal" allowBlank="1" showInputMessage="1" showErrorMessage="1" sqref="G109">
      <formula1>1</formula1>
      <formula2>15</formula2>
    </dataValidation>
    <dataValidation type="decimal" allowBlank="1" showInputMessage="1" showErrorMessage="1" sqref="C117:C120 H117:H120">
      <formula1>0</formula1>
      <formula2>999999</formula2>
    </dataValidation>
    <dataValidation type="decimal" allowBlank="1" showInputMessage="1" showErrorMessage="1" sqref="J22:J40">
      <formula1>0</formula1>
      <formula2>99999999</formula2>
    </dataValidation>
    <dataValidation type="decimal" allowBlank="1" showInputMessage="1" showErrorMessage="1" sqref="G107">
      <formula1>0</formula1>
      <formula2>999999999</formula2>
    </dataValidation>
  </dataValidations>
  <pageMargins left="0.70866141732283472" right="0.70866141732283472" top="0.74803149606299213" bottom="0.74803149606299213" header="0.31496062992125984" footer="0.31496062992125984"/>
  <pageSetup scale="53" orientation="portrait" r:id="rId1"/>
  <rowBreaks count="2" manualBreakCount="2">
    <brk id="45" min="1" max="9" man="1"/>
    <brk id="111" min="1" max="9" man="1"/>
  </rowBreaks>
  <ignoredErrors>
    <ignoredError sqref="G53" formula="1"/>
  </ignoredErrors>
  <legacyDrawing r:id="rId2"/>
  <extLst>
    <ext xmlns:x14="http://schemas.microsoft.com/office/spreadsheetml/2009/9/main" uri="{CCE6A557-97BC-4b89-ADB6-D9C93CAAB3DF}">
      <x14:dataValidations xmlns:xm="http://schemas.microsoft.com/office/excel/2006/main" count="16">
        <x14:dataValidation type="list" allowBlank="1" showInputMessage="1" showErrorMessage="1">
          <x14:formula1>
            <xm:f>'Selección de Datos'!$D$11:$D$16</xm:f>
          </x14:formula1>
          <xm:sqref>D22</xm:sqref>
        </x14:dataValidation>
        <x14:dataValidation type="list" allowBlank="1" showInputMessage="1" showErrorMessage="1">
          <x14:formula1>
            <xm:f>'Selección de Datos'!$D$18:$D$23</xm:f>
          </x14:formula1>
          <xm:sqref>D23</xm:sqref>
        </x14:dataValidation>
        <x14:dataValidation type="list" allowBlank="1" showInputMessage="1" showErrorMessage="1">
          <x14:formula1>
            <xm:f>'Selección de Datos'!$D$25:$D$28</xm:f>
          </x14:formula1>
          <xm:sqref>D29</xm:sqref>
        </x14:dataValidation>
        <x14:dataValidation type="list" allowBlank="1" showInputMessage="1" showErrorMessage="1">
          <x14:formula1>
            <xm:f>'Selección de Datos'!$D$30:$D$33</xm:f>
          </x14:formula1>
          <xm:sqref>D30</xm:sqref>
        </x14:dataValidation>
        <x14:dataValidation type="list" allowBlank="1" showInputMessage="1" showErrorMessage="1">
          <x14:formula1>
            <xm:f>'Selección de Datos'!$D$35:$D$40</xm:f>
          </x14:formula1>
          <xm:sqref>D25</xm:sqref>
        </x14:dataValidation>
        <x14:dataValidation type="list" allowBlank="1" showInputMessage="1" showErrorMessage="1">
          <x14:formula1>
            <xm:f>'Selección de Datos'!$D$45:$D$49</xm:f>
          </x14:formula1>
          <xm:sqref>D27</xm:sqref>
        </x14:dataValidation>
        <x14:dataValidation type="list" allowBlank="1" showInputMessage="1" showErrorMessage="1">
          <x14:formula1>
            <xm:f>'Selección de Datos'!$D$51:$D$54</xm:f>
          </x14:formula1>
          <xm:sqref>D26</xm:sqref>
        </x14:dataValidation>
        <x14:dataValidation type="list" allowBlank="1" showInputMessage="1" showErrorMessage="1">
          <x14:formula1>
            <xm:f>'Selección de Datos'!$D$56:$D$58</xm:f>
          </x14:formula1>
          <xm:sqref>D32</xm:sqref>
        </x14:dataValidation>
        <x14:dataValidation type="list" allowBlank="1" showInputMessage="1" showErrorMessage="1">
          <x14:formula1>
            <xm:f>'Selección de Datos'!$D$60:$D$62</xm:f>
          </x14:formula1>
          <xm:sqref>D24</xm:sqref>
        </x14:dataValidation>
        <x14:dataValidation type="list" allowBlank="1" showInputMessage="1" showErrorMessage="1">
          <x14:formula1>
            <xm:f>'Selección de Datos'!$D$64:$D$67</xm:f>
          </x14:formula1>
          <xm:sqref>D31</xm:sqref>
        </x14:dataValidation>
        <x14:dataValidation type="list" allowBlank="1" showInputMessage="1" showErrorMessage="1">
          <x14:formula1>
            <xm:f>'Selección de Datos'!$D$69:$D$74</xm:f>
          </x14:formula1>
          <xm:sqref>D35</xm:sqref>
        </x14:dataValidation>
        <x14:dataValidation type="list" allowBlank="1" showInputMessage="1" showErrorMessage="1">
          <x14:formula1>
            <xm:f>'Selección de Datos'!$D$76:$D$77</xm:f>
          </x14:formula1>
          <xm:sqref>D33</xm:sqref>
        </x14:dataValidation>
        <x14:dataValidation type="list" allowBlank="1" showInputMessage="1" showErrorMessage="1">
          <x14:formula1>
            <xm:f>'Selección de Datos'!$D$79:$D$80</xm:f>
          </x14:formula1>
          <xm:sqref>D34</xm:sqref>
        </x14:dataValidation>
        <x14:dataValidation type="list" allowBlank="1" showInputMessage="1" showErrorMessage="1">
          <x14:formula1>
            <xm:f>'Selección de Datos'!$D$82:$D$88</xm:f>
          </x14:formula1>
          <xm:sqref>D38</xm:sqref>
        </x14:dataValidation>
        <x14:dataValidation type="list" allowBlank="1" showInputMessage="1" showErrorMessage="1">
          <x14:formula1>
            <xm:f>'Selección de Datos'!$B$96:$B$101</xm:f>
          </x14:formula1>
          <xm:sqref>D79</xm:sqref>
        </x14:dataValidation>
        <x14:dataValidation type="list" allowBlank="1" showInputMessage="1" showErrorMessage="1">
          <x14:formula1>
            <xm:f>'Selección de Datos'!$D$42:$D$43</xm:f>
          </x14:formula1>
          <xm:sqref>D28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11"/>
  <sheetViews>
    <sheetView topLeftCell="A83" zoomScaleNormal="100" workbookViewId="0">
      <selection activeCell="F11" sqref="F11"/>
    </sheetView>
  </sheetViews>
  <sheetFormatPr baseColWidth="10" defaultRowHeight="12.75" x14ac:dyDescent="0.2"/>
  <cols>
    <col min="1" max="1" width="8" style="375" customWidth="1"/>
    <col min="2" max="2" width="27.28515625" customWidth="1"/>
    <col min="3" max="3" width="15.140625" customWidth="1"/>
    <col min="4" max="4" width="15.85546875" customWidth="1"/>
    <col min="5" max="7" width="15" customWidth="1"/>
    <col min="8" max="12" width="14" customWidth="1"/>
    <col min="13" max="16" width="11.42578125" style="375"/>
    <col min="17" max="18" width="12" style="375" customWidth="1"/>
    <col min="19" max="19" width="11.42578125" style="375"/>
  </cols>
  <sheetData>
    <row r="1" spans="1:19" s="375" customFormat="1" x14ac:dyDescent="0.2"/>
    <row r="2" spans="1:19" s="35" customFormat="1" ht="22.5" customHeight="1" x14ac:dyDescent="0.2">
      <c r="B2" s="987" t="s">
        <v>1330</v>
      </c>
      <c r="C2" s="988"/>
      <c r="D2" s="988"/>
      <c r="E2" s="988"/>
      <c r="F2" s="988"/>
      <c r="G2" s="988"/>
      <c r="H2" s="988"/>
      <c r="I2" s="988"/>
      <c r="J2" s="989"/>
      <c r="L2" s="114"/>
      <c r="M2" s="114"/>
      <c r="N2" s="114"/>
    </row>
    <row r="3" spans="1:19" s="35" customFormat="1" ht="19.5" customHeight="1" x14ac:dyDescent="0.2">
      <c r="B3" s="999" t="s">
        <v>1328</v>
      </c>
      <c r="C3" s="1000"/>
      <c r="D3" s="1000"/>
      <c r="E3" s="1000"/>
      <c r="F3" s="1000"/>
      <c r="G3" s="1000"/>
      <c r="H3" s="1000"/>
      <c r="I3" s="1000"/>
      <c r="J3" s="1001"/>
      <c r="L3" s="114"/>
      <c r="M3" s="114"/>
      <c r="N3" s="114"/>
    </row>
    <row r="4" spans="1:19" s="35" customFormat="1" ht="19.5" customHeight="1" x14ac:dyDescent="0.2">
      <c r="B4" s="990" t="s">
        <v>215</v>
      </c>
      <c r="C4" s="991"/>
      <c r="D4" s="991"/>
      <c r="E4" s="991"/>
      <c r="F4" s="991"/>
      <c r="G4" s="991"/>
      <c r="H4" s="991"/>
      <c r="I4" s="991"/>
      <c r="J4" s="992"/>
      <c r="L4" s="114"/>
      <c r="M4" s="114"/>
      <c r="N4" s="114"/>
    </row>
    <row r="5" spans="1:19" s="35" customFormat="1" x14ac:dyDescent="0.2">
      <c r="E5" s="708"/>
      <c r="F5" s="708"/>
      <c r="G5" s="708"/>
      <c r="H5" s="708"/>
      <c r="I5" s="708"/>
      <c r="J5" s="708"/>
      <c r="L5" s="114"/>
      <c r="M5" s="114"/>
    </row>
    <row r="6" spans="1:19" s="6" customFormat="1" ht="15.75" x14ac:dyDescent="0.2">
      <c r="A6" s="36"/>
      <c r="B6" s="527" t="s">
        <v>1470</v>
      </c>
      <c r="C6" s="47"/>
      <c r="D6" s="47"/>
      <c r="E6" s="47"/>
      <c r="F6" s="47"/>
      <c r="G6" s="47"/>
      <c r="H6" s="48"/>
      <c r="I6" s="42"/>
      <c r="J6" s="42"/>
      <c r="L6" s="116"/>
      <c r="M6" s="116"/>
      <c r="N6" s="54"/>
      <c r="O6" s="1082"/>
      <c r="P6" s="1082"/>
      <c r="Q6" s="1082"/>
      <c r="R6" s="36"/>
      <c r="S6" s="36"/>
    </row>
    <row r="7" spans="1:19" s="35" customFormat="1" x14ac:dyDescent="0.2">
      <c r="B7" s="456"/>
      <c r="E7" s="708"/>
      <c r="F7" s="708"/>
      <c r="G7" s="708"/>
      <c r="H7" s="708"/>
      <c r="I7" s="708"/>
      <c r="J7" s="708"/>
      <c r="L7" s="114"/>
      <c r="M7" s="114"/>
    </row>
    <row r="8" spans="1:19" s="35" customFormat="1" x14ac:dyDescent="0.2">
      <c r="B8" s="457" t="s">
        <v>1464</v>
      </c>
      <c r="C8" s="709"/>
      <c r="D8" s="709"/>
      <c r="E8" s="439"/>
      <c r="F8" s="707"/>
      <c r="G8" s="385"/>
      <c r="H8" s="392"/>
      <c r="I8" s="708"/>
      <c r="J8" s="708"/>
      <c r="L8" s="114"/>
      <c r="M8" s="114"/>
    </row>
    <row r="9" spans="1:19" s="35" customFormat="1" x14ac:dyDescent="0.2">
      <c r="B9" s="536"/>
      <c r="C9" s="709"/>
      <c r="D9" s="709"/>
      <c r="E9" s="439"/>
      <c r="F9" s="707"/>
      <c r="G9" s="385"/>
      <c r="H9" s="392"/>
      <c r="I9" s="708"/>
      <c r="J9" s="708"/>
      <c r="L9" s="114"/>
      <c r="M9" s="114"/>
    </row>
    <row r="10" spans="1:19" s="35" customFormat="1" x14ac:dyDescent="0.2">
      <c r="B10" s="457" t="s">
        <v>1465</v>
      </c>
      <c r="C10" s="709"/>
      <c r="D10" s="709"/>
      <c r="E10" s="439"/>
      <c r="F10" s="707"/>
      <c r="G10" s="385"/>
      <c r="H10" s="392"/>
      <c r="I10" s="708"/>
      <c r="J10" s="708"/>
      <c r="L10" s="114"/>
      <c r="M10" s="114"/>
    </row>
    <row r="11" spans="1:19" s="35" customFormat="1" x14ac:dyDescent="0.2">
      <c r="B11" s="536"/>
      <c r="C11" s="709"/>
      <c r="D11" s="709"/>
      <c r="E11" s="439"/>
      <c r="F11" s="707"/>
      <c r="G11" s="385"/>
      <c r="H11" s="392"/>
      <c r="I11" s="708"/>
      <c r="J11" s="708"/>
      <c r="L11" s="114"/>
      <c r="M11" s="114"/>
    </row>
    <row r="12" spans="1:19" s="35" customFormat="1" x14ac:dyDescent="0.2">
      <c r="B12" s="536" t="s">
        <v>1029</v>
      </c>
      <c r="C12" s="709"/>
      <c r="D12" s="709"/>
      <c r="E12" s="439"/>
      <c r="F12" s="707"/>
      <c r="G12" s="385"/>
      <c r="H12" s="392"/>
      <c r="I12" s="708"/>
      <c r="J12" s="708"/>
      <c r="L12" s="114"/>
      <c r="M12" s="114"/>
    </row>
    <row r="13" spans="1:19" s="35" customFormat="1" x14ac:dyDescent="0.2">
      <c r="B13" s="536"/>
      <c r="C13" s="709"/>
      <c r="D13" s="709"/>
      <c r="E13" s="439"/>
      <c r="F13" s="707"/>
      <c r="G13" s="385"/>
      <c r="H13" s="392"/>
      <c r="I13" s="708"/>
      <c r="J13" s="708"/>
      <c r="L13" s="114"/>
      <c r="M13" s="114"/>
    </row>
    <row r="14" spans="1:19" s="64" customFormat="1" x14ac:dyDescent="0.2">
      <c r="A14" s="35"/>
      <c r="B14" s="723" t="s">
        <v>1444</v>
      </c>
      <c r="C14" s="742" t="str">
        <f>+'2. Balance Hídrico'!D62</f>
        <v>MAIZ</v>
      </c>
      <c r="D14" s="742" t="str">
        <f>+'2. Balance Hídrico'!E62</f>
        <v>PAPA</v>
      </c>
      <c r="E14" s="742"/>
      <c r="F14" s="742"/>
      <c r="G14" s="742"/>
      <c r="H14" s="392"/>
      <c r="I14" s="708"/>
      <c r="J14" s="708"/>
      <c r="K14" s="35"/>
      <c r="L14" s="114"/>
      <c r="M14" s="114"/>
      <c r="N14" s="35"/>
      <c r="O14" s="35"/>
      <c r="P14" s="35"/>
      <c r="Q14" s="35"/>
      <c r="R14" s="35"/>
      <c r="S14" s="35"/>
    </row>
    <row r="15" spans="1:19" s="64" customFormat="1" x14ac:dyDescent="0.2">
      <c r="A15" s="35"/>
      <c r="B15" s="723" t="s">
        <v>1445</v>
      </c>
      <c r="C15" s="743">
        <f>+'2. Balance Hídrico'!D66</f>
        <v>5</v>
      </c>
      <c r="D15" s="743">
        <f>+'2. Balance Hídrico'!E64</f>
        <v>5</v>
      </c>
      <c r="E15" s="743"/>
      <c r="F15" s="743"/>
      <c r="G15" s="743"/>
      <c r="H15" s="392"/>
      <c r="I15" s="708"/>
      <c r="J15" s="708"/>
      <c r="K15" s="35"/>
      <c r="L15" s="114"/>
      <c r="M15" s="114"/>
      <c r="N15" s="35"/>
      <c r="O15" s="35"/>
      <c r="P15" s="35"/>
      <c r="Q15" s="35"/>
      <c r="R15" s="35"/>
      <c r="S15" s="35"/>
    </row>
    <row r="16" spans="1:19" s="64" customFormat="1" x14ac:dyDescent="0.2">
      <c r="A16" s="35"/>
      <c r="B16" s="723" t="s">
        <v>1446</v>
      </c>
      <c r="C16" s="744">
        <v>5000</v>
      </c>
      <c r="D16" s="744">
        <v>10000</v>
      </c>
      <c r="E16" s="744"/>
      <c r="F16" s="744"/>
      <c r="G16" s="744"/>
      <c r="H16" s="392"/>
      <c r="I16" s="708"/>
      <c r="J16" s="708"/>
      <c r="K16" s="35"/>
      <c r="L16" s="114"/>
      <c r="M16" s="114"/>
      <c r="N16" s="35"/>
      <c r="O16" s="35"/>
      <c r="P16" s="35"/>
      <c r="Q16" s="35"/>
      <c r="R16" s="35"/>
      <c r="S16" s="35"/>
    </row>
    <row r="17" spans="1:19" s="64" customFormat="1" x14ac:dyDescent="0.2">
      <c r="A17" s="35"/>
      <c r="B17" s="723" t="s">
        <v>1447</v>
      </c>
      <c r="C17" s="745">
        <v>0.8</v>
      </c>
      <c r="D17" s="745">
        <v>0.6</v>
      </c>
      <c r="E17" s="745"/>
      <c r="F17" s="745"/>
      <c r="G17" s="745"/>
      <c r="H17" s="392"/>
      <c r="I17" s="708"/>
      <c r="J17" s="708"/>
      <c r="K17" s="35"/>
      <c r="L17" s="114"/>
      <c r="M17" s="114"/>
      <c r="N17" s="35"/>
      <c r="O17" s="35"/>
      <c r="P17" s="35"/>
      <c r="Q17" s="35"/>
      <c r="R17" s="35"/>
      <c r="S17" s="35"/>
    </row>
    <row r="18" spans="1:19" s="64" customFormat="1" x14ac:dyDescent="0.2">
      <c r="A18" s="35"/>
      <c r="B18" s="724" t="s">
        <v>1448</v>
      </c>
      <c r="C18" s="739">
        <f>+C16*C15*C17</f>
        <v>20000</v>
      </c>
      <c r="D18" s="739">
        <f>+D16*D15*D17</f>
        <v>30000</v>
      </c>
      <c r="E18" s="739">
        <f>+E16*E15*E17</f>
        <v>0</v>
      </c>
      <c r="F18" s="739">
        <f>+F16*F15*F17</f>
        <v>0</v>
      </c>
      <c r="G18" s="739">
        <f>+G16*G15*G17</f>
        <v>0</v>
      </c>
      <c r="H18" s="392"/>
      <c r="I18" s="708"/>
      <c r="J18" s="708"/>
      <c r="K18" s="35"/>
      <c r="L18" s="114"/>
      <c r="M18" s="114"/>
      <c r="N18" s="35"/>
      <c r="O18" s="35"/>
      <c r="P18" s="35"/>
      <c r="Q18" s="35"/>
      <c r="R18" s="35"/>
      <c r="S18" s="35"/>
    </row>
    <row r="19" spans="1:19" s="64" customFormat="1" x14ac:dyDescent="0.2">
      <c r="A19" s="35"/>
      <c r="B19" s="711"/>
      <c r="C19" s="714"/>
      <c r="D19" s="714"/>
      <c r="E19" s="714"/>
      <c r="F19" s="714"/>
      <c r="G19" s="714"/>
      <c r="H19" s="392"/>
      <c r="I19" s="708"/>
      <c r="J19" s="708"/>
      <c r="K19" s="35"/>
      <c r="L19" s="114"/>
      <c r="M19" s="114"/>
      <c r="N19" s="35"/>
      <c r="O19" s="35"/>
      <c r="P19" s="35"/>
      <c r="Q19" s="35"/>
      <c r="R19" s="35"/>
      <c r="S19" s="35"/>
    </row>
    <row r="20" spans="1:19" s="64" customFormat="1" ht="25.5" x14ac:dyDescent="0.2">
      <c r="A20" s="35"/>
      <c r="B20" s="723" t="s">
        <v>1449</v>
      </c>
      <c r="C20" s="744">
        <v>3000</v>
      </c>
      <c r="D20" s="744">
        <v>5000</v>
      </c>
      <c r="E20" s="744"/>
      <c r="F20" s="744"/>
      <c r="G20" s="744"/>
      <c r="H20" s="392"/>
      <c r="I20" s="708"/>
      <c r="J20" s="708"/>
      <c r="K20" s="35"/>
      <c r="L20" s="114"/>
      <c r="M20" s="114"/>
      <c r="N20" s="35"/>
      <c r="O20" s="35"/>
      <c r="P20" s="35"/>
      <c r="Q20" s="35"/>
      <c r="R20" s="35"/>
      <c r="S20" s="35"/>
    </row>
    <row r="21" spans="1:19" s="64" customFormat="1" x14ac:dyDescent="0.2">
      <c r="A21" s="35"/>
      <c r="B21" s="724" t="s">
        <v>1450</v>
      </c>
      <c r="C21" s="740">
        <f>+C18-(C15*C20)</f>
        <v>5000</v>
      </c>
      <c r="D21" s="740">
        <f>+D18-(D15*D20)</f>
        <v>5000</v>
      </c>
      <c r="E21" s="740">
        <f>+E18-(E15*E20)</f>
        <v>0</v>
      </c>
      <c r="F21" s="740">
        <f>+F18-(F15*F20)</f>
        <v>0</v>
      </c>
      <c r="G21" s="740">
        <f>+G18-(G15*G20)</f>
        <v>0</v>
      </c>
      <c r="H21" s="392"/>
      <c r="I21" s="708"/>
      <c r="J21" s="708"/>
      <c r="K21" s="35"/>
      <c r="L21" s="114"/>
      <c r="M21" s="114"/>
      <c r="N21" s="35"/>
      <c r="O21" s="35"/>
      <c r="P21" s="35"/>
      <c r="Q21" s="35"/>
      <c r="R21" s="35"/>
      <c r="S21" s="35"/>
    </row>
    <row r="22" spans="1:19" s="35" customFormat="1" x14ac:dyDescent="0.2">
      <c r="B22" s="534"/>
      <c r="C22" s="536"/>
      <c r="D22" s="536"/>
      <c r="E22" s="526"/>
      <c r="F22" s="710"/>
      <c r="G22" s="545"/>
      <c r="H22" s="392"/>
      <c r="I22" s="708"/>
      <c r="J22" s="708"/>
      <c r="L22" s="114"/>
      <c r="M22" s="114"/>
    </row>
    <row r="23" spans="1:19" s="35" customFormat="1" x14ac:dyDescent="0.2">
      <c r="B23" s="534" t="s">
        <v>1030</v>
      </c>
      <c r="C23" s="536"/>
      <c r="D23" s="536"/>
      <c r="E23" s="526"/>
      <c r="F23" s="710"/>
      <c r="G23" s="545"/>
      <c r="H23" s="392"/>
      <c r="I23" s="708"/>
      <c r="J23" s="708"/>
      <c r="L23" s="114"/>
      <c r="M23" s="114"/>
    </row>
    <row r="24" spans="1:19" s="35" customFormat="1" x14ac:dyDescent="0.2">
      <c r="B24" s="534"/>
      <c r="C24" s="456"/>
      <c r="D24" s="536"/>
      <c r="E24" s="526"/>
      <c r="F24" s="710"/>
      <c r="G24" s="545"/>
      <c r="H24" s="392"/>
      <c r="I24" s="708"/>
      <c r="J24" s="708"/>
      <c r="L24" s="114"/>
      <c r="M24" s="114"/>
    </row>
    <row r="25" spans="1:19" s="64" customFormat="1" x14ac:dyDescent="0.2">
      <c r="A25" s="35"/>
      <c r="B25" s="742" t="str">
        <f>+'2. Balance Hídrico'!C62</f>
        <v>ALFALFA</v>
      </c>
      <c r="C25" s="725" t="s">
        <v>1031</v>
      </c>
      <c r="D25" s="725" t="s">
        <v>1032</v>
      </c>
      <c r="E25" s="725" t="s">
        <v>1033</v>
      </c>
      <c r="F25" s="725" t="s">
        <v>1034</v>
      </c>
      <c r="G25" s="725" t="s">
        <v>1035</v>
      </c>
      <c r="H25" s="715" t="s">
        <v>1036</v>
      </c>
      <c r="I25" s="715" t="s">
        <v>1037</v>
      </c>
      <c r="J25" s="715" t="s">
        <v>1038</v>
      </c>
      <c r="K25" s="715" t="s">
        <v>1039</v>
      </c>
      <c r="L25" s="715" t="s">
        <v>1040</v>
      </c>
      <c r="M25" s="114"/>
      <c r="N25" s="35"/>
      <c r="O25" s="35"/>
      <c r="P25" s="35"/>
      <c r="Q25" s="35"/>
      <c r="R25" s="35"/>
      <c r="S25" s="35"/>
    </row>
    <row r="26" spans="1:19" s="64" customFormat="1" x14ac:dyDescent="0.2">
      <c r="A26" s="35"/>
      <c r="B26" s="723" t="s">
        <v>1445</v>
      </c>
      <c r="C26" s="743">
        <f>+'2. Balance Hídrico'!C63</f>
        <v>15</v>
      </c>
      <c r="D26" s="743">
        <f>+C26</f>
        <v>15</v>
      </c>
      <c r="E26" s="743">
        <f t="shared" ref="E26:L28" si="0">+D26</f>
        <v>15</v>
      </c>
      <c r="F26" s="743">
        <f t="shared" si="0"/>
        <v>15</v>
      </c>
      <c r="G26" s="743">
        <f t="shared" si="0"/>
        <v>15</v>
      </c>
      <c r="H26" s="743">
        <f t="shared" si="0"/>
        <v>15</v>
      </c>
      <c r="I26" s="743">
        <f t="shared" si="0"/>
        <v>15</v>
      </c>
      <c r="J26" s="743">
        <f t="shared" si="0"/>
        <v>15</v>
      </c>
      <c r="K26" s="743">
        <f t="shared" si="0"/>
        <v>15</v>
      </c>
      <c r="L26" s="743">
        <f t="shared" si="0"/>
        <v>15</v>
      </c>
      <c r="M26" s="114"/>
      <c r="N26" s="35"/>
      <c r="O26" s="35"/>
      <c r="P26" s="35"/>
      <c r="Q26" s="35"/>
      <c r="R26" s="35"/>
      <c r="S26" s="35"/>
    </row>
    <row r="27" spans="1:19" s="64" customFormat="1" x14ac:dyDescent="0.2">
      <c r="A27" s="35"/>
      <c r="B27" s="723" t="s">
        <v>1446</v>
      </c>
      <c r="C27" s="744">
        <v>10000</v>
      </c>
      <c r="D27" s="744">
        <f>+C27</f>
        <v>10000</v>
      </c>
      <c r="E27" s="744">
        <f>+D27</f>
        <v>10000</v>
      </c>
      <c r="F27" s="744">
        <f t="shared" si="0"/>
        <v>10000</v>
      </c>
      <c r="G27" s="744">
        <f t="shared" si="0"/>
        <v>10000</v>
      </c>
      <c r="H27" s="744">
        <f t="shared" si="0"/>
        <v>10000</v>
      </c>
      <c r="I27" s="744">
        <f t="shared" si="0"/>
        <v>10000</v>
      </c>
      <c r="J27" s="744">
        <f t="shared" si="0"/>
        <v>10000</v>
      </c>
      <c r="K27" s="744">
        <f t="shared" si="0"/>
        <v>10000</v>
      </c>
      <c r="L27" s="744">
        <f t="shared" si="0"/>
        <v>10000</v>
      </c>
      <c r="M27" s="114"/>
      <c r="N27" s="35"/>
      <c r="O27" s="35"/>
      <c r="P27" s="35"/>
      <c r="Q27" s="35"/>
      <c r="R27" s="35"/>
      <c r="S27" s="35"/>
    </row>
    <row r="28" spans="1:19" s="64" customFormat="1" x14ac:dyDescent="0.2">
      <c r="A28" s="35"/>
      <c r="B28" s="723" t="s">
        <v>1447</v>
      </c>
      <c r="C28" s="745">
        <v>0.15</v>
      </c>
      <c r="D28" s="745">
        <f>+C28</f>
        <v>0.15</v>
      </c>
      <c r="E28" s="745">
        <f>+D28</f>
        <v>0.15</v>
      </c>
      <c r="F28" s="745">
        <f t="shared" si="0"/>
        <v>0.15</v>
      </c>
      <c r="G28" s="745">
        <f t="shared" si="0"/>
        <v>0.15</v>
      </c>
      <c r="H28" s="745">
        <f t="shared" si="0"/>
        <v>0.15</v>
      </c>
      <c r="I28" s="745">
        <f t="shared" si="0"/>
        <v>0.15</v>
      </c>
      <c r="J28" s="745">
        <f t="shared" si="0"/>
        <v>0.15</v>
      </c>
      <c r="K28" s="745">
        <f t="shared" si="0"/>
        <v>0.15</v>
      </c>
      <c r="L28" s="745">
        <f t="shared" si="0"/>
        <v>0.15</v>
      </c>
      <c r="M28" s="114"/>
      <c r="N28" s="35"/>
      <c r="O28" s="35"/>
      <c r="P28" s="35"/>
      <c r="Q28" s="35"/>
      <c r="R28" s="35"/>
      <c r="S28" s="35"/>
    </row>
    <row r="29" spans="1:19" s="64" customFormat="1" x14ac:dyDescent="0.2">
      <c r="A29" s="35"/>
      <c r="B29" s="724" t="s">
        <v>1448</v>
      </c>
      <c r="C29" s="739">
        <f>+C26*C27*C28</f>
        <v>22500</v>
      </c>
      <c r="D29" s="739">
        <f t="shared" ref="D29:L29" si="1">+D26*D27*D28</f>
        <v>22500</v>
      </c>
      <c r="E29" s="739">
        <f t="shared" si="1"/>
        <v>22500</v>
      </c>
      <c r="F29" s="739">
        <f t="shared" si="1"/>
        <v>22500</v>
      </c>
      <c r="G29" s="739">
        <f t="shared" si="1"/>
        <v>22500</v>
      </c>
      <c r="H29" s="739">
        <f t="shared" si="1"/>
        <v>22500</v>
      </c>
      <c r="I29" s="739">
        <f t="shared" si="1"/>
        <v>22500</v>
      </c>
      <c r="J29" s="739">
        <f t="shared" si="1"/>
        <v>22500</v>
      </c>
      <c r="K29" s="739">
        <f t="shared" si="1"/>
        <v>22500</v>
      </c>
      <c r="L29" s="739">
        <f t="shared" si="1"/>
        <v>22500</v>
      </c>
      <c r="M29" s="114"/>
      <c r="N29" s="35"/>
      <c r="O29" s="35"/>
      <c r="P29" s="35"/>
      <c r="Q29" s="35"/>
      <c r="R29" s="35"/>
      <c r="S29" s="35"/>
    </row>
    <row r="30" spans="1:19" s="64" customFormat="1" x14ac:dyDescent="0.2">
      <c r="A30" s="35"/>
      <c r="B30" s="711"/>
      <c r="C30" s="714"/>
      <c r="D30" s="714"/>
      <c r="E30" s="714"/>
      <c r="F30" s="714"/>
      <c r="G30" s="714"/>
      <c r="H30" s="714"/>
      <c r="I30" s="714"/>
      <c r="J30" s="714"/>
      <c r="K30" s="714"/>
      <c r="L30" s="714"/>
      <c r="M30" s="114"/>
      <c r="N30" s="35"/>
      <c r="O30" s="35"/>
      <c r="P30" s="35"/>
      <c r="Q30" s="35"/>
      <c r="R30" s="35"/>
      <c r="S30" s="35"/>
    </row>
    <row r="31" spans="1:19" s="64" customFormat="1" ht="25.5" x14ac:dyDescent="0.2">
      <c r="A31" s="35"/>
      <c r="B31" s="723" t="s">
        <v>1449</v>
      </c>
      <c r="C31" s="744">
        <v>1300</v>
      </c>
      <c r="D31" s="744">
        <f>+C31</f>
        <v>1300</v>
      </c>
      <c r="E31" s="744">
        <f>+D31</f>
        <v>1300</v>
      </c>
      <c r="F31" s="744">
        <f t="shared" ref="F31:L31" si="2">+E31</f>
        <v>1300</v>
      </c>
      <c r="G31" s="744">
        <f t="shared" si="2"/>
        <v>1300</v>
      </c>
      <c r="H31" s="744">
        <f t="shared" si="2"/>
        <v>1300</v>
      </c>
      <c r="I31" s="744">
        <f t="shared" si="2"/>
        <v>1300</v>
      </c>
      <c r="J31" s="744">
        <f t="shared" si="2"/>
        <v>1300</v>
      </c>
      <c r="K31" s="744">
        <f t="shared" si="2"/>
        <v>1300</v>
      </c>
      <c r="L31" s="744">
        <f t="shared" si="2"/>
        <v>1300</v>
      </c>
      <c r="M31" s="114"/>
      <c r="N31" s="35"/>
      <c r="O31" s="35"/>
      <c r="P31" s="35"/>
      <c r="Q31" s="35"/>
      <c r="R31" s="35"/>
      <c r="S31" s="35"/>
    </row>
    <row r="32" spans="1:19" s="184" customFormat="1" x14ac:dyDescent="0.2">
      <c r="A32" s="45"/>
      <c r="B32" s="724" t="s">
        <v>1450</v>
      </c>
      <c r="C32" s="740">
        <f>+C29-(C26*C31)</f>
        <v>3000</v>
      </c>
      <c r="D32" s="740">
        <f t="shared" ref="D32:L32" si="3">+D29-(D26*D31)</f>
        <v>3000</v>
      </c>
      <c r="E32" s="740">
        <f t="shared" si="3"/>
        <v>3000</v>
      </c>
      <c r="F32" s="740">
        <f t="shared" si="3"/>
        <v>3000</v>
      </c>
      <c r="G32" s="740">
        <f t="shared" si="3"/>
        <v>3000</v>
      </c>
      <c r="H32" s="740">
        <f t="shared" si="3"/>
        <v>3000</v>
      </c>
      <c r="I32" s="740">
        <f t="shared" si="3"/>
        <v>3000</v>
      </c>
      <c r="J32" s="740">
        <f t="shared" si="3"/>
        <v>3000</v>
      </c>
      <c r="K32" s="740">
        <f t="shared" si="3"/>
        <v>3000</v>
      </c>
      <c r="L32" s="740">
        <f t="shared" si="3"/>
        <v>3000</v>
      </c>
      <c r="M32" s="115"/>
      <c r="N32" s="45"/>
      <c r="O32" s="45"/>
      <c r="P32" s="45"/>
      <c r="Q32" s="45"/>
      <c r="R32" s="45"/>
      <c r="S32" s="45"/>
    </row>
    <row r="33" spans="1:19" s="35" customFormat="1" x14ac:dyDescent="0.2">
      <c r="B33" s="534"/>
      <c r="C33" s="536"/>
      <c r="D33" s="536"/>
      <c r="E33" s="526"/>
      <c r="F33" s="710"/>
      <c r="G33" s="545"/>
      <c r="H33" s="546"/>
      <c r="I33" s="465"/>
      <c r="J33" s="465"/>
      <c r="K33" s="456"/>
      <c r="L33" s="726"/>
      <c r="M33" s="114"/>
    </row>
    <row r="34" spans="1:19" s="35" customFormat="1" x14ac:dyDescent="0.2">
      <c r="B34" s="534"/>
      <c r="C34" s="536"/>
      <c r="D34" s="536"/>
      <c r="E34" s="526"/>
      <c r="F34" s="710"/>
      <c r="G34" s="545"/>
      <c r="H34" s="546"/>
      <c r="I34" s="465"/>
      <c r="J34" s="465"/>
      <c r="K34" s="456"/>
      <c r="L34" s="726"/>
      <c r="M34" s="114"/>
    </row>
    <row r="35" spans="1:19" s="64" customFormat="1" x14ac:dyDescent="0.2">
      <c r="A35" s="35"/>
      <c r="B35" s="742"/>
      <c r="C35" s="725" t="s">
        <v>1031</v>
      </c>
      <c r="D35" s="725" t="s">
        <v>1032</v>
      </c>
      <c r="E35" s="725" t="s">
        <v>1033</v>
      </c>
      <c r="F35" s="725" t="s">
        <v>1034</v>
      </c>
      <c r="G35" s="725" t="s">
        <v>1035</v>
      </c>
      <c r="H35" s="725" t="s">
        <v>1036</v>
      </c>
      <c r="I35" s="725" t="s">
        <v>1037</v>
      </c>
      <c r="J35" s="725" t="s">
        <v>1038</v>
      </c>
      <c r="K35" s="725" t="s">
        <v>1039</v>
      </c>
      <c r="L35" s="725" t="s">
        <v>1040</v>
      </c>
      <c r="M35" s="114"/>
      <c r="N35" s="35"/>
      <c r="O35" s="35"/>
      <c r="P35" s="35"/>
      <c r="Q35" s="35"/>
      <c r="R35" s="35"/>
      <c r="S35" s="35"/>
    </row>
    <row r="36" spans="1:19" s="64" customFormat="1" x14ac:dyDescent="0.2">
      <c r="A36" s="35"/>
      <c r="B36" s="723" t="s">
        <v>1445</v>
      </c>
      <c r="C36" s="743">
        <f>+'[2]Balance Hídrico'!C73</f>
        <v>0</v>
      </c>
      <c r="D36" s="743">
        <f t="shared" ref="D36:L36" si="4">+C36</f>
        <v>0</v>
      </c>
      <c r="E36" s="743">
        <f t="shared" si="4"/>
        <v>0</v>
      </c>
      <c r="F36" s="743">
        <f t="shared" si="4"/>
        <v>0</v>
      </c>
      <c r="G36" s="743">
        <f t="shared" si="4"/>
        <v>0</v>
      </c>
      <c r="H36" s="743">
        <f t="shared" si="4"/>
        <v>0</v>
      </c>
      <c r="I36" s="743">
        <f t="shared" si="4"/>
        <v>0</v>
      </c>
      <c r="J36" s="743">
        <f t="shared" si="4"/>
        <v>0</v>
      </c>
      <c r="K36" s="743">
        <f t="shared" si="4"/>
        <v>0</v>
      </c>
      <c r="L36" s="743">
        <f t="shared" si="4"/>
        <v>0</v>
      </c>
      <c r="M36" s="114"/>
      <c r="N36" s="35"/>
      <c r="O36" s="35"/>
      <c r="P36" s="35"/>
      <c r="Q36" s="35"/>
      <c r="R36" s="35"/>
      <c r="S36" s="35"/>
    </row>
    <row r="37" spans="1:19" s="64" customFormat="1" x14ac:dyDescent="0.2">
      <c r="A37" s="35"/>
      <c r="B37" s="723" t="s">
        <v>1446</v>
      </c>
      <c r="C37" s="744">
        <v>0</v>
      </c>
      <c r="D37" s="744">
        <v>0</v>
      </c>
      <c r="E37" s="744">
        <v>0</v>
      </c>
      <c r="F37" s="744">
        <v>0</v>
      </c>
      <c r="G37" s="744">
        <v>0</v>
      </c>
      <c r="H37" s="744">
        <v>0</v>
      </c>
      <c r="I37" s="744">
        <v>0</v>
      </c>
      <c r="J37" s="744">
        <v>0</v>
      </c>
      <c r="K37" s="744">
        <v>0</v>
      </c>
      <c r="L37" s="744">
        <v>0</v>
      </c>
      <c r="M37" s="114"/>
      <c r="N37" s="35"/>
      <c r="O37" s="35"/>
      <c r="P37" s="35"/>
      <c r="Q37" s="35"/>
      <c r="R37" s="35"/>
      <c r="S37" s="35"/>
    </row>
    <row r="38" spans="1:19" s="64" customFormat="1" x14ac:dyDescent="0.2">
      <c r="A38" s="35"/>
      <c r="B38" s="723" t="s">
        <v>1447</v>
      </c>
      <c r="C38" s="745">
        <v>0</v>
      </c>
      <c r="D38" s="745">
        <f t="shared" ref="D38:L38" si="5">+C38</f>
        <v>0</v>
      </c>
      <c r="E38" s="745">
        <f t="shared" si="5"/>
        <v>0</v>
      </c>
      <c r="F38" s="745">
        <f t="shared" si="5"/>
        <v>0</v>
      </c>
      <c r="G38" s="745">
        <f t="shared" si="5"/>
        <v>0</v>
      </c>
      <c r="H38" s="745">
        <f t="shared" si="5"/>
        <v>0</v>
      </c>
      <c r="I38" s="745">
        <f t="shared" si="5"/>
        <v>0</v>
      </c>
      <c r="J38" s="745">
        <f t="shared" si="5"/>
        <v>0</v>
      </c>
      <c r="K38" s="745">
        <f t="shared" si="5"/>
        <v>0</v>
      </c>
      <c r="L38" s="745">
        <f t="shared" si="5"/>
        <v>0</v>
      </c>
      <c r="M38" s="114"/>
      <c r="N38" s="35"/>
      <c r="O38" s="35"/>
      <c r="P38" s="35"/>
      <c r="Q38" s="35"/>
      <c r="R38" s="35"/>
      <c r="S38" s="35"/>
    </row>
    <row r="39" spans="1:19" s="64" customFormat="1" x14ac:dyDescent="0.2">
      <c r="A39" s="35"/>
      <c r="B39" s="724" t="s">
        <v>1448</v>
      </c>
      <c r="C39" s="739">
        <f>+C36*C37*C38</f>
        <v>0</v>
      </c>
      <c r="D39" s="739">
        <f t="shared" ref="D39:L39" si="6">+D36*D37*D38</f>
        <v>0</v>
      </c>
      <c r="E39" s="739">
        <f t="shared" si="6"/>
        <v>0</v>
      </c>
      <c r="F39" s="739">
        <f t="shared" si="6"/>
        <v>0</v>
      </c>
      <c r="G39" s="739">
        <f t="shared" si="6"/>
        <v>0</v>
      </c>
      <c r="H39" s="739">
        <f t="shared" si="6"/>
        <v>0</v>
      </c>
      <c r="I39" s="739">
        <f t="shared" si="6"/>
        <v>0</v>
      </c>
      <c r="J39" s="739">
        <f t="shared" si="6"/>
        <v>0</v>
      </c>
      <c r="K39" s="739">
        <f t="shared" si="6"/>
        <v>0</v>
      </c>
      <c r="L39" s="739">
        <f t="shared" si="6"/>
        <v>0</v>
      </c>
      <c r="M39" s="114"/>
      <c r="N39" s="35"/>
      <c r="O39" s="35"/>
      <c r="P39" s="35"/>
      <c r="Q39" s="35"/>
      <c r="R39" s="35"/>
      <c r="S39" s="35"/>
    </row>
    <row r="40" spans="1:19" s="64" customFormat="1" x14ac:dyDescent="0.2">
      <c r="A40" s="35"/>
      <c r="B40" s="711"/>
      <c r="C40" s="714"/>
      <c r="D40" s="714"/>
      <c r="E40" s="714"/>
      <c r="F40" s="714"/>
      <c r="G40" s="714"/>
      <c r="H40" s="714"/>
      <c r="I40" s="714"/>
      <c r="J40" s="714"/>
      <c r="K40" s="714"/>
      <c r="L40" s="714"/>
      <c r="M40" s="114"/>
      <c r="N40" s="35"/>
      <c r="O40" s="35"/>
      <c r="P40" s="35"/>
      <c r="Q40" s="35"/>
      <c r="R40" s="35"/>
      <c r="S40" s="35"/>
    </row>
    <row r="41" spans="1:19" s="64" customFormat="1" ht="25.5" x14ac:dyDescent="0.2">
      <c r="A41" s="35"/>
      <c r="B41" s="723" t="s">
        <v>1449</v>
      </c>
      <c r="C41" s="744">
        <v>0</v>
      </c>
      <c r="D41" s="744">
        <v>0</v>
      </c>
      <c r="E41" s="744">
        <v>0</v>
      </c>
      <c r="F41" s="744">
        <v>0</v>
      </c>
      <c r="G41" s="744">
        <v>0</v>
      </c>
      <c r="H41" s="744">
        <v>0</v>
      </c>
      <c r="I41" s="744">
        <v>0</v>
      </c>
      <c r="J41" s="744">
        <v>0</v>
      </c>
      <c r="K41" s="744">
        <v>0</v>
      </c>
      <c r="L41" s="744">
        <v>0</v>
      </c>
      <c r="M41" s="114"/>
      <c r="N41" s="35"/>
      <c r="O41" s="35"/>
      <c r="P41" s="35"/>
      <c r="Q41" s="35"/>
      <c r="R41" s="35"/>
      <c r="S41" s="35"/>
    </row>
    <row r="42" spans="1:19" s="184" customFormat="1" x14ac:dyDescent="0.2">
      <c r="A42" s="45"/>
      <c r="B42" s="724" t="s">
        <v>1450</v>
      </c>
      <c r="C42" s="740">
        <f>+C39-(C36*C41)</f>
        <v>0</v>
      </c>
      <c r="D42" s="740">
        <f t="shared" ref="D42:L42" si="7">+D39-(D36*D41)</f>
        <v>0</v>
      </c>
      <c r="E42" s="740">
        <f t="shared" si="7"/>
        <v>0</v>
      </c>
      <c r="F42" s="740">
        <f t="shared" si="7"/>
        <v>0</v>
      </c>
      <c r="G42" s="740">
        <f t="shared" si="7"/>
        <v>0</v>
      </c>
      <c r="H42" s="740">
        <f t="shared" si="7"/>
        <v>0</v>
      </c>
      <c r="I42" s="740">
        <f t="shared" si="7"/>
        <v>0</v>
      </c>
      <c r="J42" s="740">
        <f t="shared" si="7"/>
        <v>0</v>
      </c>
      <c r="K42" s="740">
        <f t="shared" si="7"/>
        <v>0</v>
      </c>
      <c r="L42" s="740">
        <f t="shared" si="7"/>
        <v>0</v>
      </c>
      <c r="M42" s="115"/>
      <c r="N42" s="45"/>
      <c r="O42" s="45"/>
      <c r="P42" s="45"/>
      <c r="Q42" s="45"/>
      <c r="R42" s="45"/>
      <c r="S42" s="45"/>
    </row>
    <row r="43" spans="1:19" s="35" customFormat="1" x14ac:dyDescent="0.2">
      <c r="B43" s="534"/>
      <c r="C43" s="536"/>
      <c r="D43" s="536"/>
      <c r="E43" s="526"/>
      <c r="F43" s="710"/>
      <c r="G43" s="545"/>
      <c r="H43" s="546"/>
      <c r="I43" s="465"/>
      <c r="J43" s="465"/>
      <c r="K43" s="456"/>
      <c r="L43" s="726"/>
      <c r="M43" s="114"/>
    </row>
    <row r="44" spans="1:19" s="35" customFormat="1" x14ac:dyDescent="0.2">
      <c r="B44" s="534"/>
      <c r="C44" s="536"/>
      <c r="D44" s="536"/>
      <c r="E44" s="526"/>
      <c r="F44" s="710"/>
      <c r="G44" s="545"/>
      <c r="H44" s="546"/>
      <c r="I44" s="465"/>
      <c r="J44" s="465"/>
      <c r="K44" s="456"/>
      <c r="L44" s="726"/>
      <c r="M44" s="114"/>
    </row>
    <row r="45" spans="1:19" s="35" customFormat="1" x14ac:dyDescent="0.2">
      <c r="B45" s="457" t="s">
        <v>1466</v>
      </c>
      <c r="C45" s="536"/>
      <c r="D45" s="536"/>
      <c r="E45" s="526"/>
      <c r="F45" s="710"/>
      <c r="G45" s="545"/>
      <c r="H45" s="546"/>
      <c r="I45" s="465"/>
      <c r="J45" s="465"/>
      <c r="K45" s="456"/>
      <c r="L45" s="726"/>
      <c r="M45" s="114"/>
    </row>
    <row r="46" spans="1:19" s="35" customFormat="1" x14ac:dyDescent="0.2">
      <c r="B46" s="534"/>
      <c r="C46" s="536"/>
      <c r="D46" s="536"/>
      <c r="E46" s="526"/>
      <c r="F46" s="710"/>
      <c r="G46" s="545"/>
      <c r="H46" s="546"/>
      <c r="I46" s="465"/>
      <c r="J46" s="465"/>
      <c r="K46" s="456"/>
      <c r="L46" s="726"/>
      <c r="M46" s="114"/>
    </row>
    <row r="47" spans="1:19" s="35" customFormat="1" x14ac:dyDescent="0.2">
      <c r="B47" s="534" t="s">
        <v>1029</v>
      </c>
      <c r="C47" s="536"/>
      <c r="D47" s="536"/>
      <c r="E47" s="526"/>
      <c r="F47" s="710"/>
      <c r="G47" s="545"/>
      <c r="H47" s="546"/>
      <c r="I47" s="465"/>
      <c r="J47" s="465"/>
      <c r="K47" s="456"/>
      <c r="L47" s="726"/>
      <c r="M47" s="114"/>
    </row>
    <row r="48" spans="1:19" s="35" customFormat="1" x14ac:dyDescent="0.2">
      <c r="B48" s="534"/>
      <c r="C48" s="536"/>
      <c r="D48" s="536"/>
      <c r="E48" s="526"/>
      <c r="F48" s="710"/>
      <c r="G48" s="545"/>
      <c r="H48" s="546"/>
      <c r="I48" s="465"/>
      <c r="J48" s="465"/>
      <c r="K48" s="456"/>
      <c r="L48" s="726"/>
      <c r="M48" s="114"/>
    </row>
    <row r="49" spans="1:19" s="64" customFormat="1" x14ac:dyDescent="0.2">
      <c r="A49" s="35"/>
      <c r="B49" s="723" t="s">
        <v>1444</v>
      </c>
      <c r="C49" s="742" t="str">
        <f>+'2. Balance Hídrico'!D91</f>
        <v>HABA</v>
      </c>
      <c r="D49" s="742" t="str">
        <f>+'2. Balance Hídrico'!E91</f>
        <v>QUINUA</v>
      </c>
      <c r="E49" s="742"/>
      <c r="F49" s="742"/>
      <c r="G49" s="742"/>
      <c r="H49" s="35"/>
      <c r="I49" s="708"/>
      <c r="J49" s="708"/>
      <c r="K49" s="35"/>
      <c r="L49" s="114"/>
      <c r="M49" s="114"/>
      <c r="N49" s="35"/>
      <c r="O49" s="35"/>
      <c r="P49" s="35"/>
      <c r="Q49" s="35"/>
      <c r="R49" s="35"/>
      <c r="S49" s="35"/>
    </row>
    <row r="50" spans="1:19" s="64" customFormat="1" x14ac:dyDescent="0.2">
      <c r="A50" s="35"/>
      <c r="B50" s="723" t="s">
        <v>1445</v>
      </c>
      <c r="C50" s="742">
        <f>+'2. Balance Hídrico'!D95</f>
        <v>5</v>
      </c>
      <c r="D50" s="742">
        <f>+'2. Balance Hídrico'!E92</f>
        <v>5</v>
      </c>
      <c r="E50" s="742"/>
      <c r="F50" s="742"/>
      <c r="G50" s="742"/>
      <c r="H50" s="35"/>
      <c r="I50" s="707"/>
      <c r="J50" s="708"/>
      <c r="K50" s="35"/>
      <c r="L50" s="114"/>
      <c r="M50" s="114"/>
      <c r="N50" s="35"/>
      <c r="O50" s="35"/>
      <c r="P50" s="35"/>
      <c r="Q50" s="35"/>
      <c r="R50" s="35"/>
      <c r="S50" s="35"/>
    </row>
    <row r="51" spans="1:19" s="64" customFormat="1" x14ac:dyDescent="0.2">
      <c r="A51" s="35"/>
      <c r="B51" s="723" t="s">
        <v>1446</v>
      </c>
      <c r="C51" s="744">
        <v>6000</v>
      </c>
      <c r="D51" s="744">
        <v>4500</v>
      </c>
      <c r="E51" s="744"/>
      <c r="F51" s="744"/>
      <c r="G51" s="744"/>
      <c r="H51" s="35"/>
      <c r="I51" s="707"/>
      <c r="J51" s="708"/>
      <c r="K51" s="35"/>
      <c r="L51" s="114"/>
      <c r="M51" s="114"/>
      <c r="N51" s="35"/>
      <c r="O51" s="35"/>
      <c r="P51" s="35"/>
      <c r="Q51" s="35"/>
      <c r="R51" s="35"/>
      <c r="S51" s="35"/>
    </row>
    <row r="52" spans="1:19" s="64" customFormat="1" x14ac:dyDescent="0.2">
      <c r="A52" s="35"/>
      <c r="B52" s="723" t="s">
        <v>1447</v>
      </c>
      <c r="C52" s="745">
        <v>1.5</v>
      </c>
      <c r="D52" s="745">
        <v>3.5</v>
      </c>
      <c r="E52" s="745"/>
      <c r="F52" s="745"/>
      <c r="G52" s="745"/>
      <c r="H52" s="35"/>
      <c r="I52" s="406"/>
      <c r="J52" s="708"/>
      <c r="K52" s="35"/>
      <c r="L52" s="114"/>
      <c r="M52" s="114"/>
      <c r="N52" s="35"/>
      <c r="O52" s="35"/>
      <c r="P52" s="35"/>
      <c r="Q52" s="35"/>
      <c r="R52" s="35"/>
      <c r="S52" s="35"/>
    </row>
    <row r="53" spans="1:19" s="64" customFormat="1" x14ac:dyDescent="0.2">
      <c r="A53" s="35"/>
      <c r="B53" s="724" t="s">
        <v>1448</v>
      </c>
      <c r="C53" s="739">
        <f>+C51*C50*C52</f>
        <v>45000</v>
      </c>
      <c r="D53" s="739">
        <f>+D51*D50*D52</f>
        <v>78750</v>
      </c>
      <c r="E53" s="739">
        <f>+E51*E50*E52</f>
        <v>0</v>
      </c>
      <c r="F53" s="739">
        <f>+F51*F50*F52</f>
        <v>0</v>
      </c>
      <c r="G53" s="739">
        <f>+G51*G50*G52</f>
        <v>0</v>
      </c>
      <c r="H53" s="35"/>
      <c r="I53" s="716"/>
      <c r="J53" s="708"/>
      <c r="K53" s="35"/>
      <c r="L53" s="114"/>
      <c r="M53" s="114"/>
      <c r="N53" s="35"/>
      <c r="O53" s="35"/>
      <c r="P53" s="35"/>
      <c r="Q53" s="35"/>
      <c r="R53" s="35"/>
      <c r="S53" s="35"/>
    </row>
    <row r="54" spans="1:19" s="64" customFormat="1" x14ac:dyDescent="0.2">
      <c r="A54" s="35"/>
      <c r="B54" s="711"/>
      <c r="C54" s="714"/>
      <c r="D54" s="714"/>
      <c r="E54" s="714"/>
      <c r="F54" s="714"/>
      <c r="G54" s="714"/>
      <c r="H54" s="35"/>
      <c r="I54" s="717"/>
      <c r="J54" s="708"/>
      <c r="K54" s="35"/>
      <c r="L54" s="114"/>
      <c r="M54" s="114"/>
      <c r="N54" s="35"/>
      <c r="O54" s="35"/>
      <c r="P54" s="35"/>
      <c r="Q54" s="35"/>
      <c r="R54" s="35"/>
      <c r="S54" s="35"/>
    </row>
    <row r="55" spans="1:19" s="64" customFormat="1" ht="25.5" x14ac:dyDescent="0.2">
      <c r="A55" s="35"/>
      <c r="B55" s="723" t="s">
        <v>1449</v>
      </c>
      <c r="C55" s="744">
        <v>4500</v>
      </c>
      <c r="D55" s="744">
        <v>5000</v>
      </c>
      <c r="E55" s="744">
        <v>9000</v>
      </c>
      <c r="F55" s="744"/>
      <c r="G55" s="744"/>
      <c r="H55" s="35"/>
      <c r="I55" s="717"/>
      <c r="J55" s="708"/>
      <c r="K55" s="35"/>
      <c r="L55" s="114"/>
      <c r="M55" s="114"/>
      <c r="N55" s="35"/>
      <c r="O55" s="35"/>
      <c r="P55" s="35"/>
      <c r="Q55" s="35"/>
      <c r="R55" s="35"/>
      <c r="S55" s="35"/>
    </row>
    <row r="56" spans="1:19" s="64" customFormat="1" x14ac:dyDescent="0.2">
      <c r="A56" s="35"/>
      <c r="B56" s="724" t="s">
        <v>1450</v>
      </c>
      <c r="C56" s="740">
        <f>+C53-(C50*C55)</f>
        <v>22500</v>
      </c>
      <c r="D56" s="740">
        <f>+D53-(D50*D55)</f>
        <v>53750</v>
      </c>
      <c r="E56" s="740">
        <f>+E53-(E50*E55)</f>
        <v>0</v>
      </c>
      <c r="F56" s="740">
        <f>+F53-(F50*F55)</f>
        <v>0</v>
      </c>
      <c r="G56" s="740">
        <f>+G53-(G50*G55)</f>
        <v>0</v>
      </c>
      <c r="H56" s="35"/>
      <c r="I56" s="406"/>
      <c r="J56" s="708"/>
      <c r="K56" s="35"/>
      <c r="L56" s="114"/>
      <c r="M56" s="114"/>
      <c r="N56" s="35"/>
      <c r="O56" s="35"/>
      <c r="P56" s="35"/>
      <c r="Q56" s="35"/>
      <c r="R56" s="35"/>
      <c r="S56" s="35"/>
    </row>
    <row r="57" spans="1:19" s="35" customFormat="1" x14ac:dyDescent="0.2">
      <c r="B57" s="534"/>
      <c r="C57" s="536"/>
      <c r="D57" s="536"/>
      <c r="E57" s="526"/>
      <c r="F57" s="526"/>
      <c r="G57" s="545"/>
      <c r="H57" s="546"/>
      <c r="I57" s="727"/>
      <c r="J57" s="465"/>
      <c r="K57" s="456"/>
      <c r="L57" s="726"/>
      <c r="M57" s="114"/>
    </row>
    <row r="58" spans="1:19" s="35" customFormat="1" x14ac:dyDescent="0.2">
      <c r="B58" s="534"/>
      <c r="C58" s="536"/>
      <c r="D58" s="536"/>
      <c r="E58" s="526"/>
      <c r="F58" s="710"/>
      <c r="G58" s="545"/>
      <c r="H58" s="546"/>
      <c r="I58" s="465"/>
      <c r="J58" s="465"/>
      <c r="K58" s="456"/>
      <c r="L58" s="726"/>
      <c r="M58" s="114"/>
    </row>
    <row r="59" spans="1:19" s="35" customFormat="1" x14ac:dyDescent="0.2">
      <c r="B59" s="534" t="s">
        <v>1030</v>
      </c>
      <c r="C59" s="536"/>
      <c r="D59" s="536"/>
      <c r="E59" s="526"/>
      <c r="F59" s="710"/>
      <c r="G59" s="545"/>
      <c r="H59" s="546"/>
      <c r="I59" s="465"/>
      <c r="J59" s="465"/>
      <c r="K59" s="456"/>
      <c r="L59" s="726"/>
      <c r="M59" s="114"/>
    </row>
    <row r="60" spans="1:19" s="35" customFormat="1" x14ac:dyDescent="0.2">
      <c r="B60" s="534"/>
      <c r="C60" s="456"/>
      <c r="D60" s="536"/>
      <c r="E60" s="526"/>
      <c r="F60" s="710"/>
      <c r="G60" s="545"/>
      <c r="H60" s="546"/>
      <c r="I60" s="465"/>
      <c r="J60" s="465"/>
      <c r="K60" s="456"/>
      <c r="L60" s="726"/>
      <c r="M60" s="114"/>
    </row>
    <row r="61" spans="1:19" s="64" customFormat="1" x14ac:dyDescent="0.2">
      <c r="A61" s="35"/>
      <c r="B61" s="742" t="str">
        <f>+'2. Balance Hídrico'!C91</f>
        <v>ALFALFA</v>
      </c>
      <c r="C61" s="725" t="s">
        <v>1031</v>
      </c>
      <c r="D61" s="725" t="s">
        <v>1032</v>
      </c>
      <c r="E61" s="725" t="s">
        <v>1033</v>
      </c>
      <c r="F61" s="725" t="s">
        <v>1034</v>
      </c>
      <c r="G61" s="725" t="s">
        <v>1035</v>
      </c>
      <c r="H61" s="725" t="s">
        <v>1036</v>
      </c>
      <c r="I61" s="725" t="s">
        <v>1037</v>
      </c>
      <c r="J61" s="725" t="s">
        <v>1038</v>
      </c>
      <c r="K61" s="725" t="s">
        <v>1039</v>
      </c>
      <c r="L61" s="725" t="s">
        <v>1040</v>
      </c>
      <c r="M61" s="114"/>
      <c r="N61" s="35"/>
      <c r="O61" s="35"/>
      <c r="P61" s="35"/>
      <c r="Q61" s="35"/>
      <c r="R61" s="35"/>
      <c r="S61" s="35"/>
    </row>
    <row r="62" spans="1:19" s="64" customFormat="1" ht="15" customHeight="1" x14ac:dyDescent="0.2">
      <c r="A62" s="35"/>
      <c r="B62" s="723" t="s">
        <v>1445</v>
      </c>
      <c r="C62" s="743">
        <f>+'2. Balance Hídrico'!C92</f>
        <v>10</v>
      </c>
      <c r="D62" s="743">
        <f>+C62</f>
        <v>10</v>
      </c>
      <c r="E62" s="743">
        <f t="shared" ref="E62:L64" si="8">+D62</f>
        <v>10</v>
      </c>
      <c r="F62" s="743">
        <f t="shared" si="8"/>
        <v>10</v>
      </c>
      <c r="G62" s="743">
        <f t="shared" si="8"/>
        <v>10</v>
      </c>
      <c r="H62" s="743">
        <f t="shared" si="8"/>
        <v>10</v>
      </c>
      <c r="I62" s="743">
        <f t="shared" si="8"/>
        <v>10</v>
      </c>
      <c r="J62" s="743">
        <f t="shared" si="8"/>
        <v>10</v>
      </c>
      <c r="K62" s="743">
        <f t="shared" si="8"/>
        <v>10</v>
      </c>
      <c r="L62" s="743">
        <f t="shared" si="8"/>
        <v>10</v>
      </c>
      <c r="M62" s="114"/>
      <c r="N62" s="35"/>
      <c r="O62" s="35"/>
      <c r="P62" s="35"/>
      <c r="Q62" s="35"/>
      <c r="R62" s="35"/>
      <c r="S62" s="35"/>
    </row>
    <row r="63" spans="1:19" s="64" customFormat="1" ht="15" customHeight="1" x14ac:dyDescent="0.2">
      <c r="A63" s="35"/>
      <c r="B63" s="723" t="s">
        <v>1446</v>
      </c>
      <c r="C63" s="744">
        <v>12500</v>
      </c>
      <c r="D63" s="744">
        <f>+C63</f>
        <v>12500</v>
      </c>
      <c r="E63" s="744">
        <f>+D63</f>
        <v>12500</v>
      </c>
      <c r="F63" s="744">
        <f t="shared" si="8"/>
        <v>12500</v>
      </c>
      <c r="G63" s="744">
        <f t="shared" si="8"/>
        <v>12500</v>
      </c>
      <c r="H63" s="744">
        <f t="shared" si="8"/>
        <v>12500</v>
      </c>
      <c r="I63" s="744">
        <f t="shared" si="8"/>
        <v>12500</v>
      </c>
      <c r="J63" s="744">
        <f t="shared" si="8"/>
        <v>12500</v>
      </c>
      <c r="K63" s="744">
        <f t="shared" si="8"/>
        <v>12500</v>
      </c>
      <c r="L63" s="744">
        <f t="shared" si="8"/>
        <v>12500</v>
      </c>
      <c r="M63" s="114"/>
      <c r="N63" s="35"/>
      <c r="O63" s="35"/>
      <c r="P63" s="35"/>
      <c r="Q63" s="35"/>
      <c r="R63" s="35"/>
      <c r="S63" s="35"/>
    </row>
    <row r="64" spans="1:19" s="64" customFormat="1" ht="15" customHeight="1" x14ac:dyDescent="0.2">
      <c r="A64" s="35"/>
      <c r="B64" s="723" t="s">
        <v>1447</v>
      </c>
      <c r="C64" s="745">
        <v>0.15</v>
      </c>
      <c r="D64" s="745">
        <f>+C64</f>
        <v>0.15</v>
      </c>
      <c r="E64" s="745">
        <f>+D64</f>
        <v>0.15</v>
      </c>
      <c r="F64" s="745">
        <f t="shared" si="8"/>
        <v>0.15</v>
      </c>
      <c r="G64" s="745">
        <f t="shared" si="8"/>
        <v>0.15</v>
      </c>
      <c r="H64" s="745">
        <f t="shared" si="8"/>
        <v>0.15</v>
      </c>
      <c r="I64" s="745">
        <f t="shared" si="8"/>
        <v>0.15</v>
      </c>
      <c r="J64" s="745">
        <f t="shared" si="8"/>
        <v>0.15</v>
      </c>
      <c r="K64" s="745">
        <f t="shared" si="8"/>
        <v>0.15</v>
      </c>
      <c r="L64" s="745">
        <f t="shared" si="8"/>
        <v>0.15</v>
      </c>
      <c r="M64" s="114"/>
      <c r="N64" s="35"/>
      <c r="O64" s="35"/>
      <c r="P64" s="35"/>
      <c r="Q64" s="35"/>
      <c r="R64" s="35"/>
      <c r="S64" s="35"/>
    </row>
    <row r="65" spans="1:19" s="64" customFormat="1" ht="15" customHeight="1" x14ac:dyDescent="0.2">
      <c r="A65" s="35"/>
      <c r="B65" s="713" t="s">
        <v>1448</v>
      </c>
      <c r="C65" s="739">
        <f t="shared" ref="C65:L65" si="9">+C62*C63*C64</f>
        <v>18750</v>
      </c>
      <c r="D65" s="739">
        <f t="shared" si="9"/>
        <v>18750</v>
      </c>
      <c r="E65" s="739">
        <f t="shared" si="9"/>
        <v>18750</v>
      </c>
      <c r="F65" s="739">
        <f t="shared" si="9"/>
        <v>18750</v>
      </c>
      <c r="G65" s="739">
        <f t="shared" si="9"/>
        <v>18750</v>
      </c>
      <c r="H65" s="739">
        <f t="shared" si="9"/>
        <v>18750</v>
      </c>
      <c r="I65" s="739">
        <f t="shared" si="9"/>
        <v>18750</v>
      </c>
      <c r="J65" s="739">
        <f t="shared" si="9"/>
        <v>18750</v>
      </c>
      <c r="K65" s="739">
        <f t="shared" si="9"/>
        <v>18750</v>
      </c>
      <c r="L65" s="739">
        <f t="shared" si="9"/>
        <v>18750</v>
      </c>
      <c r="M65" s="114"/>
      <c r="N65" s="35"/>
      <c r="O65" s="35"/>
      <c r="P65" s="35"/>
      <c r="Q65" s="35"/>
      <c r="R65" s="35"/>
      <c r="S65" s="35"/>
    </row>
    <row r="66" spans="1:19" s="64" customFormat="1" ht="17.25" customHeight="1" x14ac:dyDescent="0.2">
      <c r="A66" s="35"/>
      <c r="B66" s="702"/>
      <c r="C66" s="728"/>
      <c r="D66" s="728"/>
      <c r="E66" s="728"/>
      <c r="F66" s="728"/>
      <c r="G66" s="728"/>
      <c r="H66" s="728"/>
      <c r="I66" s="728"/>
      <c r="J66" s="728"/>
      <c r="K66" s="728"/>
      <c r="L66" s="728"/>
      <c r="M66" s="114"/>
      <c r="N66" s="35"/>
      <c r="O66" s="35"/>
      <c r="P66" s="35"/>
      <c r="Q66" s="35"/>
      <c r="R66" s="35"/>
      <c r="S66" s="35"/>
    </row>
    <row r="67" spans="1:19" s="64" customFormat="1" ht="30" customHeight="1" x14ac:dyDescent="0.2">
      <c r="A67" s="35"/>
      <c r="B67" s="712" t="s">
        <v>1449</v>
      </c>
      <c r="C67" s="744">
        <v>1400</v>
      </c>
      <c r="D67" s="744">
        <f>+C67</f>
        <v>1400</v>
      </c>
      <c r="E67" s="744">
        <f>+D67</f>
        <v>1400</v>
      </c>
      <c r="F67" s="744">
        <f t="shared" ref="F67:L67" si="10">+E67</f>
        <v>1400</v>
      </c>
      <c r="G67" s="744">
        <f t="shared" si="10"/>
        <v>1400</v>
      </c>
      <c r="H67" s="744">
        <f t="shared" si="10"/>
        <v>1400</v>
      </c>
      <c r="I67" s="744">
        <f t="shared" si="10"/>
        <v>1400</v>
      </c>
      <c r="J67" s="744">
        <f t="shared" si="10"/>
        <v>1400</v>
      </c>
      <c r="K67" s="744">
        <f t="shared" si="10"/>
        <v>1400</v>
      </c>
      <c r="L67" s="744">
        <f t="shared" si="10"/>
        <v>1400</v>
      </c>
      <c r="M67" s="114"/>
      <c r="N67" s="35"/>
      <c r="O67" s="35"/>
      <c r="P67" s="35"/>
      <c r="Q67" s="35"/>
      <c r="R67" s="35"/>
      <c r="S67" s="35"/>
    </row>
    <row r="68" spans="1:19" s="184" customFormat="1" ht="17.25" customHeight="1" x14ac:dyDescent="0.2">
      <c r="A68" s="45"/>
      <c r="B68" s="713" t="s">
        <v>1450</v>
      </c>
      <c r="C68" s="740">
        <f t="shared" ref="C68:L68" si="11">+C65-(C62*C67)</f>
        <v>4750</v>
      </c>
      <c r="D68" s="740">
        <f t="shared" si="11"/>
        <v>4750</v>
      </c>
      <c r="E68" s="740">
        <f t="shared" si="11"/>
        <v>4750</v>
      </c>
      <c r="F68" s="740">
        <f t="shared" si="11"/>
        <v>4750</v>
      </c>
      <c r="G68" s="740">
        <f t="shared" si="11"/>
        <v>4750</v>
      </c>
      <c r="H68" s="740">
        <f t="shared" si="11"/>
        <v>4750</v>
      </c>
      <c r="I68" s="740">
        <f t="shared" si="11"/>
        <v>4750</v>
      </c>
      <c r="J68" s="740">
        <f t="shared" si="11"/>
        <v>4750</v>
      </c>
      <c r="K68" s="740">
        <f t="shared" si="11"/>
        <v>4750</v>
      </c>
      <c r="L68" s="740">
        <f t="shared" si="11"/>
        <v>4750</v>
      </c>
      <c r="M68" s="115"/>
      <c r="N68" s="45"/>
      <c r="O68" s="45"/>
      <c r="P68" s="45"/>
      <c r="Q68" s="45"/>
      <c r="R68" s="45"/>
      <c r="S68" s="45"/>
    </row>
    <row r="69" spans="1:19" s="35" customFormat="1" ht="17.25" customHeight="1" x14ac:dyDescent="0.2">
      <c r="B69" s="705"/>
      <c r="C69" s="536"/>
      <c r="D69" s="536"/>
      <c r="E69" s="526"/>
      <c r="F69" s="710"/>
      <c r="G69" s="545"/>
      <c r="H69" s="546"/>
      <c r="I69" s="465"/>
      <c r="J69" s="465"/>
      <c r="K69" s="456"/>
      <c r="L69" s="726"/>
      <c r="M69" s="114"/>
    </row>
    <row r="70" spans="1:19" s="35" customFormat="1" ht="17.25" customHeight="1" x14ac:dyDescent="0.2">
      <c r="B70" s="705"/>
      <c r="C70" s="456"/>
      <c r="D70" s="536"/>
      <c r="E70" s="526"/>
      <c r="F70" s="710"/>
      <c r="G70" s="545"/>
      <c r="H70" s="546"/>
      <c r="I70" s="465"/>
      <c r="J70" s="465"/>
      <c r="K70" s="456"/>
      <c r="L70" s="726"/>
      <c r="M70" s="114"/>
    </row>
    <row r="71" spans="1:19" s="64" customFormat="1" ht="17.25" customHeight="1" x14ac:dyDescent="0.2">
      <c r="A71" s="35"/>
      <c r="B71" s="742" t="str">
        <f>+'2. Balance Hídrico'!F91</f>
        <v>PALTO</v>
      </c>
      <c r="C71" s="725" t="s">
        <v>1031</v>
      </c>
      <c r="D71" s="725" t="s">
        <v>1032</v>
      </c>
      <c r="E71" s="725" t="s">
        <v>1033</v>
      </c>
      <c r="F71" s="725" t="s">
        <v>1034</v>
      </c>
      <c r="G71" s="725" t="s">
        <v>1035</v>
      </c>
      <c r="H71" s="725" t="s">
        <v>1036</v>
      </c>
      <c r="I71" s="725" t="s">
        <v>1037</v>
      </c>
      <c r="J71" s="725" t="s">
        <v>1038</v>
      </c>
      <c r="K71" s="725" t="s">
        <v>1039</v>
      </c>
      <c r="L71" s="725" t="s">
        <v>1040</v>
      </c>
      <c r="M71" s="114"/>
      <c r="N71" s="35"/>
      <c r="O71" s="35"/>
      <c r="P71" s="35"/>
      <c r="Q71" s="35"/>
      <c r="R71" s="35"/>
      <c r="S71" s="35"/>
    </row>
    <row r="72" spans="1:19" s="64" customFormat="1" ht="17.25" customHeight="1" x14ac:dyDescent="0.2">
      <c r="A72" s="35"/>
      <c r="B72" s="712" t="s">
        <v>1445</v>
      </c>
      <c r="C72" s="742">
        <f>+'2. Balance Hídrico'!F92</f>
        <v>5</v>
      </c>
      <c r="D72" s="742">
        <f>+C72</f>
        <v>5</v>
      </c>
      <c r="E72" s="742">
        <f t="shared" ref="E72:L73" si="12">+D72</f>
        <v>5</v>
      </c>
      <c r="F72" s="742">
        <f t="shared" si="12"/>
        <v>5</v>
      </c>
      <c r="G72" s="742">
        <f t="shared" si="12"/>
        <v>5</v>
      </c>
      <c r="H72" s="742">
        <f t="shared" si="12"/>
        <v>5</v>
      </c>
      <c r="I72" s="742">
        <f t="shared" si="12"/>
        <v>5</v>
      </c>
      <c r="J72" s="742">
        <f t="shared" si="12"/>
        <v>5</v>
      </c>
      <c r="K72" s="742">
        <f t="shared" si="12"/>
        <v>5</v>
      </c>
      <c r="L72" s="742">
        <f t="shared" si="12"/>
        <v>5</v>
      </c>
      <c r="M72" s="114"/>
      <c r="N72" s="35"/>
      <c r="O72" s="35"/>
      <c r="P72" s="35"/>
      <c r="Q72" s="35"/>
      <c r="R72" s="35"/>
      <c r="S72" s="35"/>
    </row>
    <row r="73" spans="1:19" s="64" customFormat="1" ht="17.25" customHeight="1" x14ac:dyDescent="0.2">
      <c r="A73" s="35"/>
      <c r="B73" s="712" t="s">
        <v>1446</v>
      </c>
      <c r="C73" s="744">
        <v>0</v>
      </c>
      <c r="D73" s="744">
        <v>0</v>
      </c>
      <c r="E73" s="744">
        <v>0</v>
      </c>
      <c r="F73" s="744">
        <v>3500</v>
      </c>
      <c r="G73" s="744">
        <v>7500</v>
      </c>
      <c r="H73" s="744">
        <v>10000</v>
      </c>
      <c r="I73" s="744">
        <v>14000</v>
      </c>
      <c r="J73" s="744">
        <f t="shared" si="12"/>
        <v>14000</v>
      </c>
      <c r="K73" s="744">
        <f t="shared" si="12"/>
        <v>14000</v>
      </c>
      <c r="L73" s="744">
        <f t="shared" si="12"/>
        <v>14000</v>
      </c>
      <c r="M73" s="114"/>
      <c r="N73" s="35"/>
      <c r="O73" s="35"/>
      <c r="P73" s="35"/>
      <c r="Q73" s="35"/>
      <c r="R73" s="35"/>
      <c r="S73" s="35"/>
    </row>
    <row r="74" spans="1:19" s="64" customFormat="1" ht="17.25" customHeight="1" x14ac:dyDescent="0.2">
      <c r="A74" s="35"/>
      <c r="B74" s="712" t="s">
        <v>1447</v>
      </c>
      <c r="C74" s="745">
        <v>3.5</v>
      </c>
      <c r="D74" s="745">
        <f>+C74</f>
        <v>3.5</v>
      </c>
      <c r="E74" s="745">
        <f>+D74</f>
        <v>3.5</v>
      </c>
      <c r="F74" s="745">
        <f t="shared" ref="F74:L74" si="13">+E74</f>
        <v>3.5</v>
      </c>
      <c r="G74" s="745">
        <f t="shared" si="13"/>
        <v>3.5</v>
      </c>
      <c r="H74" s="745">
        <f t="shared" si="13"/>
        <v>3.5</v>
      </c>
      <c r="I74" s="745">
        <f t="shared" si="13"/>
        <v>3.5</v>
      </c>
      <c r="J74" s="745">
        <f t="shared" si="13"/>
        <v>3.5</v>
      </c>
      <c r="K74" s="745">
        <f t="shared" si="13"/>
        <v>3.5</v>
      </c>
      <c r="L74" s="745">
        <f t="shared" si="13"/>
        <v>3.5</v>
      </c>
      <c r="M74" s="114"/>
      <c r="N74" s="35"/>
      <c r="O74" s="35"/>
      <c r="P74" s="35"/>
      <c r="Q74" s="35"/>
      <c r="R74" s="35"/>
      <c r="S74" s="35"/>
    </row>
    <row r="75" spans="1:19" s="64" customFormat="1" ht="17.25" customHeight="1" x14ac:dyDescent="0.2">
      <c r="A75" s="35"/>
      <c r="B75" s="713" t="s">
        <v>1448</v>
      </c>
      <c r="C75" s="739">
        <f t="shared" ref="C75:L75" si="14">+C72*C73*C74</f>
        <v>0</v>
      </c>
      <c r="D75" s="739">
        <f t="shared" si="14"/>
        <v>0</v>
      </c>
      <c r="E75" s="739">
        <f t="shared" si="14"/>
        <v>0</v>
      </c>
      <c r="F75" s="739">
        <f t="shared" si="14"/>
        <v>61250</v>
      </c>
      <c r="G75" s="739">
        <f t="shared" si="14"/>
        <v>131250</v>
      </c>
      <c r="H75" s="739">
        <f t="shared" si="14"/>
        <v>175000</v>
      </c>
      <c r="I75" s="739">
        <f t="shared" si="14"/>
        <v>245000</v>
      </c>
      <c r="J75" s="739">
        <f t="shared" si="14"/>
        <v>245000</v>
      </c>
      <c r="K75" s="739">
        <f t="shared" si="14"/>
        <v>245000</v>
      </c>
      <c r="L75" s="739">
        <f t="shared" si="14"/>
        <v>245000</v>
      </c>
      <c r="M75" s="114"/>
      <c r="N75" s="35"/>
      <c r="O75" s="35"/>
      <c r="P75" s="35"/>
      <c r="Q75" s="35"/>
      <c r="R75" s="35"/>
      <c r="S75" s="35"/>
    </row>
    <row r="76" spans="1:19" s="64" customFormat="1" ht="17.25" customHeight="1" x14ac:dyDescent="0.2">
      <c r="A76" s="35"/>
      <c r="B76" s="702"/>
      <c r="C76" s="728"/>
      <c r="D76" s="728"/>
      <c r="E76" s="728"/>
      <c r="F76" s="728"/>
      <c r="G76" s="728"/>
      <c r="H76" s="728"/>
      <c r="I76" s="728"/>
      <c r="J76" s="728"/>
      <c r="K76" s="728"/>
      <c r="L76" s="728"/>
      <c r="M76" s="114"/>
      <c r="N76" s="35"/>
      <c r="O76" s="35"/>
      <c r="P76" s="35"/>
      <c r="Q76" s="35"/>
      <c r="R76" s="35"/>
      <c r="S76" s="35"/>
    </row>
    <row r="77" spans="1:19" s="64" customFormat="1" ht="28.5" customHeight="1" x14ac:dyDescent="0.2">
      <c r="A77" s="35"/>
      <c r="B77" s="729" t="s">
        <v>1449</v>
      </c>
      <c r="C77" s="744">
        <v>15000</v>
      </c>
      <c r="D77" s="744">
        <v>7500</v>
      </c>
      <c r="E77" s="744">
        <f>+D77</f>
        <v>7500</v>
      </c>
      <c r="F77" s="744">
        <f t="shared" ref="F77:L77" si="15">+E77</f>
        <v>7500</v>
      </c>
      <c r="G77" s="744">
        <f t="shared" si="15"/>
        <v>7500</v>
      </c>
      <c r="H77" s="744">
        <f t="shared" si="15"/>
        <v>7500</v>
      </c>
      <c r="I77" s="744">
        <f t="shared" si="15"/>
        <v>7500</v>
      </c>
      <c r="J77" s="744">
        <f t="shared" si="15"/>
        <v>7500</v>
      </c>
      <c r="K77" s="744">
        <f t="shared" si="15"/>
        <v>7500</v>
      </c>
      <c r="L77" s="744">
        <f t="shared" si="15"/>
        <v>7500</v>
      </c>
      <c r="M77" s="114"/>
      <c r="N77" s="35"/>
      <c r="O77" s="35"/>
      <c r="P77" s="35"/>
      <c r="Q77" s="35"/>
      <c r="R77" s="35"/>
      <c r="S77" s="35"/>
    </row>
    <row r="78" spans="1:19" s="184" customFormat="1" ht="17.25" customHeight="1" x14ac:dyDescent="0.2">
      <c r="A78" s="45"/>
      <c r="B78" s="730" t="s">
        <v>1450</v>
      </c>
      <c r="C78" s="740">
        <f t="shared" ref="C78:L78" si="16">+C75-(C72*C77)</f>
        <v>-75000</v>
      </c>
      <c r="D78" s="740">
        <f t="shared" si="16"/>
        <v>-37500</v>
      </c>
      <c r="E78" s="740">
        <f t="shared" si="16"/>
        <v>-37500</v>
      </c>
      <c r="F78" s="740">
        <f t="shared" si="16"/>
        <v>23750</v>
      </c>
      <c r="G78" s="740">
        <f t="shared" si="16"/>
        <v>93750</v>
      </c>
      <c r="H78" s="740">
        <f t="shared" si="16"/>
        <v>137500</v>
      </c>
      <c r="I78" s="740">
        <f t="shared" si="16"/>
        <v>207500</v>
      </c>
      <c r="J78" s="740">
        <f t="shared" si="16"/>
        <v>207500</v>
      </c>
      <c r="K78" s="740">
        <f t="shared" si="16"/>
        <v>207500</v>
      </c>
      <c r="L78" s="740">
        <f t="shared" si="16"/>
        <v>207500</v>
      </c>
      <c r="M78" s="115"/>
      <c r="N78" s="45"/>
      <c r="O78" s="45"/>
      <c r="P78" s="45"/>
      <c r="Q78" s="45"/>
      <c r="R78" s="45"/>
      <c r="S78" s="45"/>
    </row>
    <row r="79" spans="1:19" s="35" customFormat="1" ht="17.25" customHeight="1" x14ac:dyDescent="0.2">
      <c r="B79" s="731"/>
      <c r="C79" s="536"/>
      <c r="D79" s="536"/>
      <c r="E79" s="526"/>
      <c r="F79" s="710"/>
      <c r="G79" s="545"/>
      <c r="H79" s="546"/>
      <c r="I79" s="465"/>
      <c r="J79" s="465"/>
      <c r="K79" s="456"/>
      <c r="L79" s="726"/>
      <c r="M79" s="114"/>
    </row>
    <row r="80" spans="1:19" s="35" customFormat="1" ht="17.25" customHeight="1" x14ac:dyDescent="0.2">
      <c r="B80" s="731"/>
      <c r="C80" s="536"/>
      <c r="D80" s="536"/>
      <c r="E80" s="526"/>
      <c r="F80" s="710"/>
      <c r="G80" s="545"/>
      <c r="H80" s="546"/>
      <c r="I80" s="465"/>
      <c r="J80" s="465"/>
      <c r="K80" s="456"/>
      <c r="L80" s="726"/>
      <c r="M80" s="114"/>
    </row>
    <row r="81" spans="1:22" s="35" customFormat="1" ht="17.25" customHeight="1" x14ac:dyDescent="0.2">
      <c r="B81" s="732" t="s">
        <v>1467</v>
      </c>
      <c r="C81" s="536"/>
      <c r="D81" s="536"/>
      <c r="E81" s="526"/>
      <c r="F81" s="710"/>
      <c r="G81" s="545"/>
      <c r="H81" s="546"/>
      <c r="I81" s="465"/>
      <c r="J81" s="465"/>
      <c r="K81" s="456"/>
      <c r="L81" s="726"/>
      <c r="M81" s="114"/>
      <c r="Q81" s="414"/>
      <c r="R81" s="414"/>
      <c r="S81" s="414"/>
      <c r="T81" s="414"/>
      <c r="U81" s="414"/>
      <c r="V81" s="414"/>
    </row>
    <row r="82" spans="1:22" s="35" customFormat="1" ht="17.25" customHeight="1" x14ac:dyDescent="0.2">
      <c r="B82" s="732"/>
      <c r="C82" s="536"/>
      <c r="D82" s="536"/>
      <c r="E82" s="526"/>
      <c r="F82" s="710"/>
      <c r="G82" s="545"/>
      <c r="H82" s="546"/>
      <c r="I82" s="465"/>
      <c r="J82" s="465"/>
      <c r="K82" s="456"/>
      <c r="L82" s="726"/>
      <c r="M82" s="114"/>
      <c r="Q82" s="414"/>
      <c r="R82" s="414"/>
      <c r="S82" s="414"/>
      <c r="T82" s="414"/>
      <c r="U82" s="414"/>
      <c r="V82" s="414"/>
    </row>
    <row r="83" spans="1:22" s="35" customFormat="1" ht="17.25" customHeight="1" x14ac:dyDescent="0.2">
      <c r="B83" s="732" t="s">
        <v>1468</v>
      </c>
      <c r="C83" s="536"/>
      <c r="D83" s="536"/>
      <c r="E83" s="526"/>
      <c r="F83" s="710"/>
      <c r="G83" s="545"/>
      <c r="H83" s="546"/>
      <c r="I83" s="465"/>
      <c r="J83" s="465"/>
      <c r="K83" s="456"/>
      <c r="L83" s="726"/>
      <c r="M83" s="114"/>
      <c r="Q83" s="414"/>
      <c r="R83" s="414"/>
      <c r="S83" s="414"/>
      <c r="T83" s="414"/>
      <c r="U83" s="414"/>
      <c r="V83" s="414"/>
    </row>
    <row r="84" spans="1:22" s="35" customFormat="1" ht="17.25" customHeight="1" x14ac:dyDescent="0.2">
      <c r="B84" s="732"/>
      <c r="C84" s="536"/>
      <c r="D84" s="536"/>
      <c r="E84" s="526"/>
      <c r="F84" s="710"/>
      <c r="G84" s="545"/>
      <c r="H84" s="546"/>
      <c r="I84" s="465"/>
      <c r="J84" s="465"/>
      <c r="K84" s="456"/>
      <c r="L84" s="726"/>
      <c r="M84" s="114"/>
      <c r="Q84" s="414"/>
      <c r="R84" s="414"/>
      <c r="S84" s="414"/>
      <c r="T84" s="414"/>
      <c r="U84" s="414"/>
      <c r="V84" s="414"/>
    </row>
    <row r="85" spans="1:22" s="64" customFormat="1" ht="17.25" customHeight="1" x14ac:dyDescent="0.2">
      <c r="A85" s="35"/>
      <c r="B85" s="733" t="s">
        <v>1451</v>
      </c>
      <c r="C85" s="746">
        <v>0.08</v>
      </c>
      <c r="D85" s="706"/>
      <c r="E85" s="704"/>
      <c r="F85" s="707"/>
      <c r="G85" s="385"/>
      <c r="H85" s="392"/>
      <c r="I85" s="708"/>
      <c r="J85" s="708"/>
      <c r="K85" s="35"/>
      <c r="L85" s="114"/>
      <c r="M85" s="114"/>
      <c r="N85" s="35"/>
      <c r="O85" s="35"/>
      <c r="P85" s="35"/>
      <c r="Q85" s="414"/>
      <c r="R85" s="414"/>
      <c r="S85" s="414"/>
      <c r="T85" s="718"/>
      <c r="U85" s="718"/>
      <c r="V85" s="718"/>
    </row>
    <row r="86" spans="1:22" s="35" customFormat="1" ht="17.25" customHeight="1" x14ac:dyDescent="0.2">
      <c r="B86" s="731"/>
      <c r="C86" s="709"/>
      <c r="D86" s="709"/>
      <c r="E86" s="439"/>
      <c r="F86" s="707"/>
      <c r="G86" s="385"/>
      <c r="H86" s="392"/>
      <c r="I86" s="708"/>
      <c r="J86" s="708"/>
      <c r="L86" s="114"/>
      <c r="M86" s="114"/>
      <c r="Q86" s="414"/>
      <c r="R86" s="414"/>
      <c r="S86" s="414"/>
      <c r="T86" s="414"/>
      <c r="U86" s="414"/>
      <c r="V86" s="414"/>
    </row>
    <row r="87" spans="1:22" s="254" customFormat="1" ht="41.25" customHeight="1" x14ac:dyDescent="0.2">
      <c r="A87" s="397"/>
      <c r="B87" s="734" t="s">
        <v>1452</v>
      </c>
      <c r="C87" s="737" t="s">
        <v>1453</v>
      </c>
      <c r="D87" s="737" t="s">
        <v>1454</v>
      </c>
      <c r="E87" s="737" t="s">
        <v>1455</v>
      </c>
      <c r="F87" s="397"/>
      <c r="G87" s="394"/>
      <c r="H87" s="397"/>
      <c r="I87" s="397"/>
      <c r="J87" s="395"/>
      <c r="K87" s="397"/>
      <c r="L87" s="418"/>
      <c r="M87" s="418"/>
      <c r="N87" s="397"/>
      <c r="O87" s="397"/>
      <c r="P87" s="397"/>
      <c r="Q87" s="721" t="s">
        <v>1456</v>
      </c>
      <c r="R87" s="721" t="s">
        <v>1457</v>
      </c>
      <c r="S87" s="397"/>
      <c r="U87" s="253" t="s">
        <v>1458</v>
      </c>
      <c r="V87" s="253" t="s">
        <v>1459</v>
      </c>
    </row>
    <row r="88" spans="1:22" s="64" customFormat="1" ht="17.25" customHeight="1" x14ac:dyDescent="0.2">
      <c r="A88" s="35"/>
      <c r="B88" s="735" t="s">
        <v>1460</v>
      </c>
      <c r="C88" s="739"/>
      <c r="D88" s="739">
        <f>+'[2]FyE Costos'!G71</f>
        <v>427000</v>
      </c>
      <c r="E88" s="740">
        <f>+C88-D88</f>
        <v>-427000</v>
      </c>
      <c r="F88" s="35"/>
      <c r="G88" s="385"/>
      <c r="H88" s="35"/>
      <c r="I88" s="35"/>
      <c r="J88" s="708"/>
      <c r="K88" s="35"/>
      <c r="L88" s="114"/>
      <c r="M88" s="114"/>
      <c r="N88" s="35"/>
      <c r="O88" s="35"/>
      <c r="P88" s="35"/>
      <c r="Q88" s="414"/>
      <c r="R88" s="414"/>
      <c r="S88" s="35"/>
      <c r="U88" s="200"/>
      <c r="V88" s="703"/>
    </row>
    <row r="89" spans="1:22" s="64" customFormat="1" ht="17.25" customHeight="1" x14ac:dyDescent="0.2">
      <c r="A89" s="35"/>
      <c r="B89" s="736" t="s">
        <v>1031</v>
      </c>
      <c r="C89" s="739">
        <f t="shared" ref="C89:C98" si="17">+V89-U89</f>
        <v>-7000</v>
      </c>
      <c r="D89" s="739">
        <f>+'[2]FyE Costos'!H124-'[2]FyE Costos'!C124</f>
        <v>7500</v>
      </c>
      <c r="E89" s="740">
        <f t="shared" ref="E89:E98" si="18">+C89-D89</f>
        <v>-14500</v>
      </c>
      <c r="F89" s="35"/>
      <c r="G89" s="385"/>
      <c r="H89" s="35"/>
      <c r="I89" s="35"/>
      <c r="J89" s="708"/>
      <c r="K89" s="35"/>
      <c r="L89" s="114"/>
      <c r="M89" s="114"/>
      <c r="N89" s="35"/>
      <c r="O89" s="35"/>
      <c r="P89" s="35" t="s">
        <v>1031</v>
      </c>
      <c r="Q89" s="722">
        <f>+C18+D18+C29</f>
        <v>72500</v>
      </c>
      <c r="R89" s="722">
        <f>+C53+D53+C65+C75</f>
        <v>142500</v>
      </c>
      <c r="S89" s="35"/>
      <c r="U89" s="719">
        <f>+C32+C21+D21</f>
        <v>13000</v>
      </c>
      <c r="V89" s="719">
        <f>+C56+D56+C68+C78</f>
        <v>6000</v>
      </c>
    </row>
    <row r="90" spans="1:22" s="64" customFormat="1" ht="17.25" customHeight="1" x14ac:dyDescent="0.2">
      <c r="A90" s="35"/>
      <c r="B90" s="736" t="s">
        <v>1032</v>
      </c>
      <c r="C90" s="739">
        <f t="shared" si="17"/>
        <v>30500</v>
      </c>
      <c r="D90" s="739">
        <f>+D89</f>
        <v>7500</v>
      </c>
      <c r="E90" s="740">
        <f t="shared" si="18"/>
        <v>23000</v>
      </c>
      <c r="F90" s="35"/>
      <c r="G90" s="385"/>
      <c r="H90" s="35"/>
      <c r="I90" s="35"/>
      <c r="J90" s="708"/>
      <c r="K90" s="35"/>
      <c r="L90" s="114"/>
      <c r="M90" s="114"/>
      <c r="N90" s="35"/>
      <c r="O90" s="35"/>
      <c r="P90" s="35" t="s">
        <v>1032</v>
      </c>
      <c r="Q90" s="722">
        <f>+Q89</f>
        <v>72500</v>
      </c>
      <c r="R90" s="722">
        <f>+C53+D53+D65+D75</f>
        <v>142500</v>
      </c>
      <c r="S90" s="35"/>
      <c r="U90" s="719">
        <f>+C21+D21+D32</f>
        <v>13000</v>
      </c>
      <c r="V90" s="719">
        <f>+C56+D56+D68+D78</f>
        <v>43500</v>
      </c>
    </row>
    <row r="91" spans="1:22" s="64" customFormat="1" ht="17.25" customHeight="1" x14ac:dyDescent="0.2">
      <c r="A91" s="35"/>
      <c r="B91" s="736" t="s">
        <v>1033</v>
      </c>
      <c r="C91" s="739">
        <f t="shared" si="17"/>
        <v>30500</v>
      </c>
      <c r="D91" s="739">
        <f t="shared" ref="D91:D98" si="19">+D90</f>
        <v>7500</v>
      </c>
      <c r="E91" s="740">
        <f t="shared" si="18"/>
        <v>23000</v>
      </c>
      <c r="F91" s="35"/>
      <c r="G91" s="385"/>
      <c r="H91" s="35"/>
      <c r="I91" s="35"/>
      <c r="J91" s="708"/>
      <c r="K91" s="35"/>
      <c r="L91" s="114"/>
      <c r="M91" s="114"/>
      <c r="N91" s="35"/>
      <c r="O91" s="35"/>
      <c r="P91" s="35" t="s">
        <v>1033</v>
      </c>
      <c r="Q91" s="722">
        <f>+Q90</f>
        <v>72500</v>
      </c>
      <c r="R91" s="722">
        <f>+C53+D53+E65+E75</f>
        <v>142500</v>
      </c>
      <c r="S91" s="35"/>
      <c r="U91" s="719">
        <f>+E32+C21+D21</f>
        <v>13000</v>
      </c>
      <c r="V91" s="719">
        <f>+C56+D56+E68+E78</f>
        <v>43500</v>
      </c>
    </row>
    <row r="92" spans="1:22" s="64" customFormat="1" ht="17.25" customHeight="1" x14ac:dyDescent="0.2">
      <c r="A92" s="35"/>
      <c r="B92" s="736" t="s">
        <v>1034</v>
      </c>
      <c r="C92" s="739">
        <f t="shared" si="17"/>
        <v>91750</v>
      </c>
      <c r="D92" s="739">
        <f t="shared" si="19"/>
        <v>7500</v>
      </c>
      <c r="E92" s="740">
        <f t="shared" si="18"/>
        <v>84250</v>
      </c>
      <c r="F92" s="35"/>
      <c r="G92" s="385"/>
      <c r="H92" s="35"/>
      <c r="I92" s="35"/>
      <c r="J92" s="708"/>
      <c r="K92" s="35"/>
      <c r="L92" s="114"/>
      <c r="M92" s="114"/>
      <c r="N92" s="35"/>
      <c r="O92" s="35"/>
      <c r="P92" s="35" t="s">
        <v>1034</v>
      </c>
      <c r="Q92" s="722">
        <f t="shared" ref="Q92:Q98" si="20">+Q91</f>
        <v>72500</v>
      </c>
      <c r="R92" s="722">
        <f>+C53+D53+F65+F75</f>
        <v>203750</v>
      </c>
      <c r="S92" s="35"/>
      <c r="U92" s="719">
        <f>+C21+D21+F32</f>
        <v>13000</v>
      </c>
      <c r="V92" s="719">
        <f>+C56+D56+F68+F78</f>
        <v>104750</v>
      </c>
    </row>
    <row r="93" spans="1:22" s="64" customFormat="1" ht="17.25" customHeight="1" x14ac:dyDescent="0.2">
      <c r="A93" s="35"/>
      <c r="B93" s="736" t="s">
        <v>1035</v>
      </c>
      <c r="C93" s="739">
        <f t="shared" si="17"/>
        <v>161750</v>
      </c>
      <c r="D93" s="739">
        <f>+D92+'[2]FyE Costos'!G110</f>
        <v>52500</v>
      </c>
      <c r="E93" s="740">
        <f t="shared" si="18"/>
        <v>109250</v>
      </c>
      <c r="F93" s="35"/>
      <c r="G93" s="385"/>
      <c r="H93" s="35"/>
      <c r="I93" s="35"/>
      <c r="J93" s="708"/>
      <c r="K93" s="35"/>
      <c r="L93" s="114"/>
      <c r="M93" s="114"/>
      <c r="N93" s="35"/>
      <c r="O93" s="35"/>
      <c r="P93" s="35" t="s">
        <v>1035</v>
      </c>
      <c r="Q93" s="722">
        <f t="shared" si="20"/>
        <v>72500</v>
      </c>
      <c r="R93" s="722">
        <f>+C53+D53+G65+G75</f>
        <v>273750</v>
      </c>
      <c r="S93" s="35"/>
      <c r="U93" s="719">
        <f>+C21+D21+G32</f>
        <v>13000</v>
      </c>
      <c r="V93" s="719">
        <f>+C56+D56+G68+G78</f>
        <v>174750</v>
      </c>
    </row>
    <row r="94" spans="1:22" s="64" customFormat="1" ht="17.25" customHeight="1" x14ac:dyDescent="0.2">
      <c r="A94" s="35"/>
      <c r="B94" s="736" t="s">
        <v>1036</v>
      </c>
      <c r="C94" s="739">
        <f t="shared" si="17"/>
        <v>205500</v>
      </c>
      <c r="D94" s="739">
        <f>+D92</f>
        <v>7500</v>
      </c>
      <c r="E94" s="740">
        <f t="shared" si="18"/>
        <v>198000</v>
      </c>
      <c r="F94" s="35"/>
      <c r="G94" s="385"/>
      <c r="H94" s="35"/>
      <c r="I94" s="35"/>
      <c r="J94" s="708"/>
      <c r="K94" s="35"/>
      <c r="L94" s="114"/>
      <c r="M94" s="114"/>
      <c r="N94" s="35"/>
      <c r="O94" s="35"/>
      <c r="P94" s="35" t="s">
        <v>1036</v>
      </c>
      <c r="Q94" s="722">
        <f t="shared" si="20"/>
        <v>72500</v>
      </c>
      <c r="R94" s="722">
        <f>+C53+D53+H65+H75</f>
        <v>317500</v>
      </c>
      <c r="S94" s="35"/>
      <c r="U94" s="719">
        <f>+C21+D21+H32</f>
        <v>13000</v>
      </c>
      <c r="V94" s="719">
        <f>+C56+D56+H68+H78</f>
        <v>218500</v>
      </c>
    </row>
    <row r="95" spans="1:22" s="64" customFormat="1" ht="17.25" customHeight="1" x14ac:dyDescent="0.2">
      <c r="A95" s="35"/>
      <c r="B95" s="736" t="s">
        <v>1037</v>
      </c>
      <c r="C95" s="739">
        <f t="shared" si="17"/>
        <v>275500</v>
      </c>
      <c r="D95" s="739">
        <f t="shared" si="19"/>
        <v>7500</v>
      </c>
      <c r="E95" s="740">
        <f t="shared" si="18"/>
        <v>268000</v>
      </c>
      <c r="F95" s="35"/>
      <c r="G95" s="385"/>
      <c r="H95" s="35"/>
      <c r="I95" s="35"/>
      <c r="J95" s="708"/>
      <c r="K95" s="35"/>
      <c r="L95" s="114"/>
      <c r="M95" s="114"/>
      <c r="N95" s="35"/>
      <c r="O95" s="35"/>
      <c r="P95" s="35" t="s">
        <v>1037</v>
      </c>
      <c r="Q95" s="722">
        <f t="shared" si="20"/>
        <v>72500</v>
      </c>
      <c r="R95" s="722">
        <f>+C53+D53+I65+I75</f>
        <v>387500</v>
      </c>
      <c r="S95" s="35"/>
      <c r="U95" s="719">
        <f>+C21+D21+I32</f>
        <v>13000</v>
      </c>
      <c r="V95" s="719">
        <f>+C56+D56+I68+I78</f>
        <v>288500</v>
      </c>
    </row>
    <row r="96" spans="1:22" s="64" customFormat="1" ht="17.25" customHeight="1" x14ac:dyDescent="0.2">
      <c r="A96" s="35"/>
      <c r="B96" s="736" t="s">
        <v>1038</v>
      </c>
      <c r="C96" s="739">
        <f t="shared" si="17"/>
        <v>275500</v>
      </c>
      <c r="D96" s="739">
        <f t="shared" si="19"/>
        <v>7500</v>
      </c>
      <c r="E96" s="740">
        <f t="shared" si="18"/>
        <v>268000</v>
      </c>
      <c r="F96" s="35"/>
      <c r="G96" s="385"/>
      <c r="H96" s="35"/>
      <c r="I96" s="35"/>
      <c r="J96" s="708"/>
      <c r="K96" s="35"/>
      <c r="L96" s="114"/>
      <c r="M96" s="114"/>
      <c r="N96" s="35"/>
      <c r="O96" s="35"/>
      <c r="P96" s="35" t="s">
        <v>1038</v>
      </c>
      <c r="Q96" s="722">
        <f t="shared" si="20"/>
        <v>72500</v>
      </c>
      <c r="R96" s="722">
        <f>+C53+D53+J65+J75</f>
        <v>387500</v>
      </c>
      <c r="S96" s="35"/>
      <c r="U96" s="719">
        <f>+C21+D21+J32</f>
        <v>13000</v>
      </c>
      <c r="V96" s="719">
        <f>+C56+D56+J68+J78</f>
        <v>288500</v>
      </c>
    </row>
    <row r="97" spans="1:22" s="64" customFormat="1" ht="17.25" customHeight="1" x14ac:dyDescent="0.2">
      <c r="A97" s="35"/>
      <c r="B97" s="736" t="s">
        <v>1039</v>
      </c>
      <c r="C97" s="739">
        <f t="shared" si="17"/>
        <v>275500</v>
      </c>
      <c r="D97" s="739">
        <f t="shared" si="19"/>
        <v>7500</v>
      </c>
      <c r="E97" s="740">
        <f t="shared" si="18"/>
        <v>268000</v>
      </c>
      <c r="F97" s="35"/>
      <c r="G97" s="385"/>
      <c r="H97" s="35"/>
      <c r="I97" s="35"/>
      <c r="J97" s="708"/>
      <c r="K97" s="35"/>
      <c r="L97" s="114"/>
      <c r="M97" s="114"/>
      <c r="N97" s="35"/>
      <c r="O97" s="35"/>
      <c r="P97" s="35" t="s">
        <v>1039</v>
      </c>
      <c r="Q97" s="722">
        <f t="shared" si="20"/>
        <v>72500</v>
      </c>
      <c r="R97" s="722">
        <f>+C53+D53+K65+K75</f>
        <v>387500</v>
      </c>
      <c r="S97" s="35"/>
      <c r="U97" s="719">
        <f>+C21+D21+K32</f>
        <v>13000</v>
      </c>
      <c r="V97" s="719">
        <f>+C56+D56+K68+K78</f>
        <v>288500</v>
      </c>
    </row>
    <row r="98" spans="1:22" s="64" customFormat="1" ht="17.25" customHeight="1" x14ac:dyDescent="0.2">
      <c r="A98" s="35"/>
      <c r="B98" s="736" t="s">
        <v>1040</v>
      </c>
      <c r="C98" s="739">
        <f t="shared" si="17"/>
        <v>275500</v>
      </c>
      <c r="D98" s="739">
        <f t="shared" si="19"/>
        <v>7500</v>
      </c>
      <c r="E98" s="740">
        <f t="shared" si="18"/>
        <v>268000</v>
      </c>
      <c r="F98" s="35"/>
      <c r="G98" s="385"/>
      <c r="H98" s="35"/>
      <c r="I98" s="35"/>
      <c r="J98" s="708"/>
      <c r="K98" s="35"/>
      <c r="L98" s="114"/>
      <c r="M98" s="114"/>
      <c r="N98" s="35"/>
      <c r="O98" s="35"/>
      <c r="P98" s="35" t="s">
        <v>1040</v>
      </c>
      <c r="Q98" s="722">
        <f t="shared" si="20"/>
        <v>72500</v>
      </c>
      <c r="R98" s="722">
        <f>+C53+D53+L65+L75</f>
        <v>387500</v>
      </c>
      <c r="S98" s="35"/>
      <c r="U98" s="719">
        <f>+C21+D21+L32</f>
        <v>13000</v>
      </c>
      <c r="V98" s="719">
        <f>+C56+D56+L68+L78</f>
        <v>288500</v>
      </c>
    </row>
    <row r="99" spans="1:22" s="35" customFormat="1" ht="17.25" customHeight="1" x14ac:dyDescent="0.2">
      <c r="B99" s="536"/>
      <c r="C99" s="536"/>
      <c r="D99" s="536"/>
      <c r="E99" s="526"/>
      <c r="F99" s="710"/>
      <c r="G99" s="545"/>
      <c r="H99" s="546"/>
      <c r="I99" s="708"/>
      <c r="J99" s="708"/>
      <c r="L99" s="114"/>
      <c r="M99" s="114"/>
      <c r="Q99" s="720">
        <f>SUM(Q89:Q98)</f>
        <v>725000</v>
      </c>
      <c r="R99" s="720">
        <f>SUM(R89:R98)</f>
        <v>2772500</v>
      </c>
      <c r="S99" s="414"/>
      <c r="T99" s="414"/>
      <c r="U99" s="414"/>
      <c r="V99" s="414"/>
    </row>
    <row r="100" spans="1:22" s="35" customFormat="1" ht="17.25" customHeight="1" x14ac:dyDescent="0.2">
      <c r="B100" s="536"/>
      <c r="C100" s="536"/>
      <c r="D100" s="536"/>
      <c r="E100" s="526"/>
      <c r="F100" s="710"/>
      <c r="G100" s="545"/>
      <c r="H100" s="546"/>
      <c r="I100" s="708"/>
      <c r="J100" s="708"/>
      <c r="L100" s="114"/>
      <c r="M100" s="114"/>
      <c r="Q100" s="414"/>
      <c r="R100" s="414"/>
      <c r="S100" s="414"/>
      <c r="T100" s="414"/>
      <c r="U100" s="414"/>
      <c r="V100" s="414"/>
    </row>
    <row r="101" spans="1:22" s="35" customFormat="1" ht="17.25" customHeight="1" x14ac:dyDescent="0.2">
      <c r="B101" s="457" t="s">
        <v>1469</v>
      </c>
      <c r="C101" s="536"/>
      <c r="D101" s="536"/>
      <c r="E101" s="526"/>
      <c r="F101" s="710"/>
      <c r="G101" s="545"/>
      <c r="H101" s="546"/>
      <c r="I101" s="708"/>
      <c r="J101" s="708"/>
      <c r="L101" s="114"/>
      <c r="M101" s="114"/>
      <c r="Q101" s="414"/>
      <c r="R101" s="414"/>
      <c r="S101" s="414"/>
      <c r="T101" s="414"/>
      <c r="U101" s="414"/>
      <c r="V101" s="414"/>
    </row>
    <row r="102" spans="1:22" s="35" customFormat="1" ht="17.25" customHeight="1" x14ac:dyDescent="0.2">
      <c r="B102" s="536"/>
      <c r="C102" s="536"/>
      <c r="D102" s="536"/>
      <c r="E102" s="526"/>
      <c r="F102" s="710"/>
      <c r="G102" s="545"/>
      <c r="H102" s="546"/>
      <c r="I102" s="708"/>
      <c r="J102" s="708"/>
      <c r="L102" s="114"/>
      <c r="M102" s="114"/>
    </row>
    <row r="103" spans="1:22" s="64" customFormat="1" ht="17.25" customHeight="1" x14ac:dyDescent="0.2">
      <c r="A103" s="35"/>
      <c r="B103" s="738" t="s">
        <v>1461</v>
      </c>
      <c r="C103" s="739">
        <f>NPV(C85,E89:E98)+E88</f>
        <v>417974.63895608019</v>
      </c>
      <c r="D103" s="536"/>
      <c r="E103" s="526"/>
      <c r="F103" s="710"/>
      <c r="G103" s="545"/>
      <c r="H103" s="546"/>
      <c r="I103" s="708"/>
      <c r="J103" s="708"/>
      <c r="K103" s="35"/>
      <c r="L103" s="114"/>
      <c r="M103" s="114"/>
      <c r="N103" s="35"/>
      <c r="O103" s="35"/>
      <c r="P103" s="35"/>
      <c r="Q103" s="35"/>
      <c r="R103" s="35"/>
      <c r="S103" s="35"/>
    </row>
    <row r="104" spans="1:22" s="64" customFormat="1" ht="17.25" customHeight="1" x14ac:dyDescent="0.2">
      <c r="A104" s="35"/>
      <c r="B104" s="738" t="s">
        <v>1462</v>
      </c>
      <c r="C104" s="741">
        <f>IRR(E88:E98)</f>
        <v>0.1888862258824715</v>
      </c>
      <c r="D104" s="536"/>
      <c r="E104" s="526"/>
      <c r="F104" s="710"/>
      <c r="G104" s="545"/>
      <c r="H104" s="546"/>
      <c r="I104" s="708"/>
      <c r="J104" s="708"/>
      <c r="K104" s="35"/>
      <c r="L104" s="114"/>
      <c r="M104" s="114"/>
      <c r="N104" s="35"/>
      <c r="O104" s="35"/>
      <c r="P104" s="35"/>
      <c r="Q104" s="35"/>
      <c r="R104" s="35"/>
      <c r="S104" s="35"/>
    </row>
    <row r="105" spans="1:22" s="64" customFormat="1" ht="17.25" customHeight="1" x14ac:dyDescent="0.2">
      <c r="A105" s="35"/>
      <c r="B105" s="738" t="s">
        <v>1463</v>
      </c>
      <c r="C105" s="739">
        <f>NPV(C85,E89:E98)/(-E88)</f>
        <v>1.9788633230821551</v>
      </c>
      <c r="D105" s="536"/>
      <c r="E105" s="526"/>
      <c r="F105" s="710"/>
      <c r="G105" s="545"/>
      <c r="H105" s="546"/>
      <c r="I105" s="708"/>
      <c r="J105" s="708"/>
      <c r="K105" s="35"/>
      <c r="L105" s="114"/>
      <c r="M105" s="114"/>
      <c r="N105" s="35"/>
      <c r="O105" s="35"/>
      <c r="P105" s="35"/>
      <c r="Q105" s="35"/>
      <c r="R105" s="35"/>
      <c r="S105" s="35"/>
    </row>
    <row r="106" spans="1:22" s="35" customFormat="1" ht="17.25" customHeight="1" x14ac:dyDescent="0.2">
      <c r="B106" s="536"/>
      <c r="C106" s="536"/>
      <c r="D106" s="536"/>
      <c r="E106" s="526"/>
      <c r="F106" s="710"/>
      <c r="G106" s="545"/>
      <c r="H106" s="546"/>
      <c r="I106" s="708"/>
      <c r="J106" s="708"/>
      <c r="L106" s="114"/>
      <c r="M106" s="114"/>
    </row>
    <row r="107" spans="1:22" s="35" customFormat="1" ht="17.25" customHeight="1" x14ac:dyDescent="0.2">
      <c r="B107" s="536"/>
      <c r="C107" s="536"/>
      <c r="D107" s="536"/>
      <c r="E107" s="526"/>
      <c r="F107" s="710"/>
      <c r="G107" s="545"/>
      <c r="H107" s="546"/>
      <c r="I107" s="708"/>
      <c r="J107" s="708"/>
      <c r="L107" s="114"/>
      <c r="M107" s="114"/>
    </row>
    <row r="108" spans="1:22" s="35" customFormat="1" ht="17.25" customHeight="1" x14ac:dyDescent="0.2">
      <c r="B108" s="536"/>
      <c r="C108" s="536"/>
      <c r="D108" s="536"/>
      <c r="E108" s="526"/>
      <c r="F108" s="710"/>
      <c r="G108" s="545"/>
      <c r="H108" s="546"/>
      <c r="I108" s="708"/>
      <c r="J108" s="708"/>
      <c r="L108" s="114"/>
      <c r="M108" s="114"/>
    </row>
    <row r="109" spans="1:22" s="35" customFormat="1" ht="17.25" customHeight="1" x14ac:dyDescent="0.2">
      <c r="B109" s="536"/>
      <c r="C109" s="536"/>
      <c r="D109" s="536"/>
      <c r="E109" s="526"/>
      <c r="F109" s="710"/>
      <c r="G109" s="545"/>
      <c r="H109" s="546"/>
      <c r="I109" s="708"/>
      <c r="J109" s="708"/>
      <c r="L109" s="114"/>
      <c r="M109" s="114"/>
    </row>
    <row r="110" spans="1:22" s="35" customFormat="1" ht="17.25" customHeight="1" x14ac:dyDescent="0.2">
      <c r="B110" s="709"/>
      <c r="C110" s="709"/>
      <c r="D110" s="709"/>
      <c r="E110" s="439"/>
      <c r="F110" s="707"/>
      <c r="G110" s="385"/>
      <c r="H110" s="392"/>
      <c r="I110" s="708"/>
      <c r="J110" s="708"/>
      <c r="L110" s="114"/>
      <c r="M110" s="114"/>
    </row>
    <row r="111" spans="1:22" s="35" customFormat="1" ht="17.25" customHeight="1" x14ac:dyDescent="0.2">
      <c r="B111" s="709"/>
      <c r="C111" s="709"/>
      <c r="D111" s="709"/>
      <c r="E111" s="439"/>
      <c r="F111" s="707"/>
      <c r="G111" s="385"/>
      <c r="H111" s="392"/>
      <c r="I111" s="708"/>
      <c r="J111" s="708"/>
      <c r="L111" s="114"/>
      <c r="M111" s="114"/>
    </row>
  </sheetData>
  <sheetProtection algorithmName="SHA-512" hashValue="7xQnH1r03AkYlh001LWvAFhNZgOyylnVh5Xv91oTXG2fqwXTRz/v56ZqyCQWEHCumxY/OhZniGrYiUjmLQ9bDw==" saltValue="IJ069Pt6XOZkkahdTE2lmw==" spinCount="100000" sheet="1" objects="1" scenarios="1"/>
  <mergeCells count="4">
    <mergeCell ref="B2:J2"/>
    <mergeCell ref="B4:J4"/>
    <mergeCell ref="O6:Q6"/>
    <mergeCell ref="B3:J3"/>
  </mergeCells>
  <dataValidations count="4">
    <dataValidation type="decimal" allowBlank="1" showInputMessage="1" showErrorMessage="1" sqref="C85">
      <formula1>0</formula1>
      <formula2>100</formula2>
    </dataValidation>
    <dataValidation type="decimal" allowBlank="1" showInputMessage="1" showErrorMessage="1" sqref="C72:L72 C74:L74 C62:L62 C63:L63 C64:L64 C17:G17 C50:G50 C36:L36 C38:L38 C26:L26 C28:L28 C20:G20 C15:G15">
      <formula1>0</formula1>
      <formula2>10000</formula2>
    </dataValidation>
    <dataValidation type="decimal" allowBlank="1" showInputMessage="1" showErrorMessage="1" sqref="C73:L73 C77:L77 C67:L67 C51:G51 C37:L37 C41:L41 C31:L31 C27:L27 C16:G16 C55:G55">
      <formula1>0</formula1>
      <formula2>100000</formula2>
    </dataValidation>
    <dataValidation type="decimal" allowBlank="1" showInputMessage="1" showErrorMessage="1" sqref="C52:G52">
      <formula1>0</formula1>
      <formula2>10000</formula2>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AI120"/>
  <sheetViews>
    <sheetView topLeftCell="A58" zoomScaleNormal="100" zoomScaleSheetLayoutView="130" workbookViewId="0">
      <selection activeCell="B70" sqref="B70:I70"/>
    </sheetView>
  </sheetViews>
  <sheetFormatPr baseColWidth="10" defaultColWidth="11.42578125" defaultRowHeight="12.75" x14ac:dyDescent="0.2"/>
  <cols>
    <col min="1" max="1" width="11.42578125" style="35"/>
    <col min="2" max="2" width="18.85546875" style="4" customWidth="1"/>
    <col min="3" max="3" width="14.140625" style="4" customWidth="1"/>
    <col min="4" max="4" width="18.7109375" style="4" customWidth="1"/>
    <col min="5" max="5" width="20.7109375" style="4" customWidth="1"/>
    <col min="6" max="6" width="16.28515625" style="4" customWidth="1"/>
    <col min="7" max="10" width="15" style="4" customWidth="1"/>
    <col min="11" max="11" width="12" style="4" hidden="1" customWidth="1"/>
    <col min="12" max="14" width="12" style="114" hidden="1" customWidth="1"/>
    <col min="15" max="15" width="12" style="4" hidden="1" customWidth="1"/>
    <col min="16" max="35" width="11.42578125" style="35"/>
    <col min="36" max="16384" width="11.42578125" style="4"/>
  </cols>
  <sheetData>
    <row r="1" spans="2:17" s="35" customFormat="1" x14ac:dyDescent="0.2">
      <c r="L1" s="114"/>
      <c r="M1" s="114"/>
      <c r="N1" s="114"/>
    </row>
    <row r="2" spans="2:17" s="35" customFormat="1" ht="22.5" customHeight="1" x14ac:dyDescent="0.2">
      <c r="B2" s="987" t="s">
        <v>1330</v>
      </c>
      <c r="C2" s="988"/>
      <c r="D2" s="988"/>
      <c r="E2" s="988"/>
      <c r="F2" s="988"/>
      <c r="G2" s="988"/>
      <c r="H2" s="988"/>
      <c r="I2" s="988"/>
      <c r="J2" s="989"/>
      <c r="L2" s="114"/>
      <c r="M2" s="114"/>
      <c r="N2" s="114"/>
    </row>
    <row r="3" spans="2:17" s="35" customFormat="1" ht="19.5" customHeight="1" x14ac:dyDescent="0.2">
      <c r="B3" s="999" t="s">
        <v>1328</v>
      </c>
      <c r="C3" s="1000"/>
      <c r="D3" s="1000"/>
      <c r="E3" s="1000"/>
      <c r="F3" s="1000"/>
      <c r="G3" s="1000"/>
      <c r="H3" s="1000"/>
      <c r="I3" s="1000"/>
      <c r="J3" s="1001"/>
      <c r="L3" s="114"/>
      <c r="M3" s="114"/>
      <c r="N3" s="114"/>
    </row>
    <row r="4" spans="2:17" s="35" customFormat="1" ht="19.5" customHeight="1" x14ac:dyDescent="0.2">
      <c r="B4" s="990" t="s">
        <v>215</v>
      </c>
      <c r="C4" s="991"/>
      <c r="D4" s="991"/>
      <c r="E4" s="991"/>
      <c r="F4" s="991"/>
      <c r="G4" s="991"/>
      <c r="H4" s="991"/>
      <c r="I4" s="991"/>
      <c r="J4" s="992"/>
      <c r="L4" s="114"/>
      <c r="M4" s="114"/>
      <c r="N4" s="114"/>
    </row>
    <row r="5" spans="2:17" s="35" customFormat="1" x14ac:dyDescent="0.2">
      <c r="B5" s="73"/>
      <c r="C5" s="428"/>
      <c r="D5" s="132"/>
      <c r="E5" s="132"/>
      <c r="F5" s="428"/>
      <c r="G5" s="132"/>
      <c r="H5" s="426"/>
      <c r="I5" s="36"/>
      <c r="J5" s="114"/>
      <c r="K5" s="114"/>
      <c r="L5" s="114"/>
    </row>
    <row r="6" spans="2:17" ht="18.600000000000001" customHeight="1" x14ac:dyDescent="0.2">
      <c r="B6" s="771" t="s">
        <v>1425</v>
      </c>
      <c r="C6" s="771"/>
      <c r="D6" s="771"/>
      <c r="E6" s="771"/>
      <c r="F6" s="771"/>
      <c r="G6" s="771"/>
      <c r="H6" s="771"/>
      <c r="I6" s="771"/>
      <c r="J6" s="771"/>
    </row>
    <row r="7" spans="2:17" s="35" customFormat="1" ht="18.600000000000001" customHeight="1" x14ac:dyDescent="0.2">
      <c r="B7" s="50"/>
      <c r="C7" s="50"/>
      <c r="D7" s="50"/>
      <c r="E7" s="50"/>
      <c r="F7" s="50"/>
      <c r="G7" s="50"/>
      <c r="H7" s="36"/>
      <c r="I7" s="36"/>
      <c r="J7" s="373"/>
      <c r="L7" s="114"/>
      <c r="M7" s="114"/>
      <c r="N7" s="114"/>
    </row>
    <row r="8" spans="2:17" s="35" customFormat="1" x14ac:dyDescent="0.2">
      <c r="B8" s="73" t="s">
        <v>1471</v>
      </c>
      <c r="C8" s="36"/>
      <c r="D8" s="36"/>
      <c r="E8" s="36"/>
      <c r="F8" s="36"/>
      <c r="G8" s="36"/>
      <c r="H8" s="36"/>
      <c r="I8" s="36"/>
      <c r="J8" s="393"/>
      <c r="K8" s="36"/>
      <c r="L8" s="114"/>
      <c r="M8" s="114"/>
      <c r="N8" s="114"/>
    </row>
    <row r="9" spans="2:17" s="35" customFormat="1" x14ac:dyDescent="0.2">
      <c r="B9" s="36"/>
      <c r="C9" s="36"/>
      <c r="D9" s="36"/>
      <c r="E9" s="36"/>
      <c r="F9" s="36"/>
      <c r="G9" s="36"/>
      <c r="H9" s="36"/>
      <c r="I9" s="36"/>
      <c r="J9" s="410"/>
      <c r="K9" s="36"/>
      <c r="L9" s="114"/>
      <c r="M9" s="114"/>
      <c r="N9" s="114"/>
    </row>
    <row r="10" spans="2:17" s="35" customFormat="1" ht="24" customHeight="1" x14ac:dyDescent="0.2">
      <c r="B10" s="1110" t="s">
        <v>1472</v>
      </c>
      <c r="C10" s="1110"/>
      <c r="D10" s="1110"/>
      <c r="E10" s="1110"/>
      <c r="F10" s="36"/>
      <c r="G10" s="36"/>
      <c r="H10" s="36"/>
      <c r="I10" s="36"/>
      <c r="J10" s="373"/>
      <c r="K10" s="36"/>
      <c r="L10" s="114"/>
      <c r="M10" s="114"/>
      <c r="N10" s="114"/>
    </row>
    <row r="11" spans="2:17" s="35" customFormat="1" ht="24" customHeight="1" x14ac:dyDescent="0.2">
      <c r="B11" s="1022" t="s">
        <v>1414</v>
      </c>
      <c r="C11" s="1023"/>
      <c r="D11" s="1023"/>
      <c r="E11" s="1023"/>
      <c r="F11" s="1023"/>
      <c r="G11" s="1023"/>
      <c r="H11" s="1023"/>
      <c r="I11" s="1023"/>
      <c r="J11" s="1024"/>
      <c r="K11" s="384"/>
      <c r="L11" s="384"/>
      <c r="M11" s="384"/>
      <c r="N11" s="384"/>
      <c r="O11" s="384"/>
      <c r="Q11" s="419"/>
    </row>
    <row r="12" spans="2:17" s="35" customFormat="1" ht="15" customHeight="1" x14ac:dyDescent="0.2">
      <c r="B12" s="373"/>
      <c r="C12" s="373"/>
      <c r="D12" s="373"/>
      <c r="E12" s="373"/>
      <c r="F12" s="373"/>
      <c r="G12" s="373"/>
      <c r="H12" s="373"/>
      <c r="I12" s="373"/>
      <c r="J12" s="373"/>
      <c r="K12" s="419"/>
      <c r="L12" s="419"/>
      <c r="M12" s="419"/>
      <c r="N12" s="419"/>
      <c r="O12" s="419"/>
      <c r="Q12" s="419"/>
    </row>
    <row r="13" spans="2:17" s="35" customFormat="1" ht="22.5" customHeight="1" x14ac:dyDescent="0.2">
      <c r="B13" s="73" t="s">
        <v>1473</v>
      </c>
      <c r="C13" s="73"/>
      <c r="D13" s="73"/>
      <c r="E13" s="73"/>
      <c r="F13" s="73"/>
      <c r="G13" s="73"/>
      <c r="H13" s="73"/>
      <c r="I13" s="36"/>
      <c r="L13" s="114"/>
      <c r="M13" s="114"/>
      <c r="N13" s="114"/>
      <c r="Q13" s="36"/>
    </row>
    <row r="14" spans="2:17" s="35" customFormat="1" ht="14.25" customHeight="1" x14ac:dyDescent="0.2">
      <c r="B14" s="372"/>
      <c r="C14" s="372"/>
      <c r="D14" s="372"/>
      <c r="E14" s="372"/>
      <c r="F14" s="372"/>
      <c r="G14" s="372"/>
      <c r="H14" s="372"/>
      <c r="I14" s="36"/>
      <c r="L14" s="114"/>
      <c r="M14" s="114"/>
      <c r="N14" s="114"/>
      <c r="Q14" s="36"/>
    </row>
    <row r="15" spans="2:17" ht="18.75" customHeight="1" x14ac:dyDescent="0.2">
      <c r="B15" s="807" t="s">
        <v>36</v>
      </c>
      <c r="C15" s="807"/>
      <c r="D15" s="807"/>
      <c r="E15" s="328" t="s">
        <v>19</v>
      </c>
      <c r="F15" s="757" t="s">
        <v>20</v>
      </c>
      <c r="G15" s="775"/>
      <c r="H15" s="775"/>
      <c r="I15" s="775"/>
      <c r="J15" s="758"/>
      <c r="K15" s="226"/>
      <c r="L15" s="226"/>
      <c r="M15" s="226"/>
      <c r="N15" s="226"/>
      <c r="O15" s="226"/>
    </row>
    <row r="16" spans="2:17" ht="42.75" customHeight="1" x14ac:dyDescent="0.2">
      <c r="B16" s="1109" t="str">
        <f>+B11</f>
        <v>GRUPO DE GESTIÓN EMPRESARIAL SAN LUIS</v>
      </c>
      <c r="C16" s="1109"/>
      <c r="D16" s="1109"/>
      <c r="E16" s="674" t="s">
        <v>180</v>
      </c>
      <c r="F16" s="1022" t="s">
        <v>350</v>
      </c>
      <c r="G16" s="1023"/>
      <c r="H16" s="1023"/>
      <c r="I16" s="1023"/>
      <c r="J16" s="1024"/>
      <c r="K16" s="227"/>
      <c r="L16" s="227"/>
      <c r="M16" s="227"/>
      <c r="N16" s="227"/>
      <c r="O16" s="227"/>
    </row>
    <row r="17" spans="2:16" ht="42.75" customHeight="1" x14ac:dyDescent="0.2">
      <c r="B17" s="1109" t="str">
        <f>+B16</f>
        <v>GRUPO DE GESTIÓN EMPRESARIAL SAN LUIS</v>
      </c>
      <c r="C17" s="1109"/>
      <c r="D17" s="1109"/>
      <c r="E17" s="674" t="s">
        <v>180</v>
      </c>
      <c r="F17" s="1022" t="s">
        <v>1128</v>
      </c>
      <c r="G17" s="1023"/>
      <c r="H17" s="1023"/>
      <c r="I17" s="1023"/>
      <c r="J17" s="1024"/>
      <c r="K17" s="342"/>
      <c r="L17" s="342"/>
      <c r="M17" s="342"/>
      <c r="N17" s="342"/>
      <c r="O17" s="342"/>
    </row>
    <row r="18" spans="2:16" s="35" customFormat="1" ht="13.5" customHeight="1" x14ac:dyDescent="0.2">
      <c r="B18" s="395"/>
      <c r="C18" s="386"/>
      <c r="D18" s="386"/>
      <c r="E18" s="386"/>
      <c r="F18" s="395"/>
      <c r="G18" s="395"/>
      <c r="H18" s="393"/>
      <c r="I18" s="114"/>
      <c r="J18" s="114"/>
      <c r="K18" s="114"/>
    </row>
    <row r="19" spans="2:16" s="35" customFormat="1" ht="13.5" customHeight="1" x14ac:dyDescent="0.2">
      <c r="B19" s="73" t="s">
        <v>1474</v>
      </c>
      <c r="C19" s="386"/>
      <c r="D19" s="386"/>
      <c r="E19" s="386"/>
      <c r="F19" s="395"/>
      <c r="G19" s="395"/>
      <c r="H19" s="393"/>
      <c r="I19" s="114"/>
      <c r="J19" s="114"/>
      <c r="K19" s="114"/>
    </row>
    <row r="20" spans="2:16" s="35" customFormat="1" ht="13.5" customHeight="1" x14ac:dyDescent="0.2">
      <c r="B20" s="73"/>
      <c r="C20" s="386"/>
      <c r="D20" s="386"/>
      <c r="E20" s="386"/>
      <c r="F20" s="395"/>
      <c r="G20" s="395"/>
      <c r="H20" s="393"/>
      <c r="I20" s="114"/>
      <c r="J20" s="114"/>
      <c r="K20" s="114"/>
    </row>
    <row r="21" spans="2:16" s="35" customFormat="1" ht="19.5" customHeight="1" x14ac:dyDescent="0.2">
      <c r="B21" s="420" t="s">
        <v>1475</v>
      </c>
      <c r="C21" s="36"/>
      <c r="D21" s="36"/>
      <c r="E21" s="36"/>
      <c r="F21" s="36"/>
      <c r="G21" s="36"/>
      <c r="H21" s="36"/>
      <c r="I21" s="36"/>
      <c r="J21" s="36"/>
      <c r="K21" s="36"/>
      <c r="L21" s="114"/>
      <c r="M21" s="114"/>
      <c r="N21" s="114"/>
      <c r="O21" s="36"/>
      <c r="P21" s="36"/>
    </row>
    <row r="22" spans="2:16" s="35" customFormat="1" ht="19.5" customHeight="1" x14ac:dyDescent="0.2">
      <c r="B22" s="36"/>
      <c r="C22" s="183"/>
      <c r="D22" s="183"/>
      <c r="E22" s="183"/>
      <c r="F22" s="183"/>
      <c r="G22" s="443"/>
      <c r="H22" s="443"/>
      <c r="I22" s="443"/>
      <c r="J22" s="36"/>
      <c r="K22" s="36"/>
      <c r="L22" s="114"/>
      <c r="M22" s="114"/>
      <c r="N22" s="114"/>
      <c r="O22" s="36"/>
      <c r="P22" s="36"/>
    </row>
    <row r="23" spans="2:16" s="35" customFormat="1" ht="19.5" customHeight="1" x14ac:dyDescent="0.2">
      <c r="B23" s="442" t="s">
        <v>1047</v>
      </c>
      <c r="C23" s="664" t="s">
        <v>97</v>
      </c>
      <c r="D23" s="36"/>
      <c r="E23" s="36"/>
      <c r="F23" s="36"/>
      <c r="G23" s="36"/>
      <c r="H23" s="36"/>
      <c r="I23" s="36"/>
      <c r="J23" s="36"/>
      <c r="K23" s="36"/>
      <c r="L23" s="114"/>
      <c r="M23" s="114"/>
      <c r="N23" s="114"/>
      <c r="O23" s="36"/>
      <c r="P23" s="36"/>
    </row>
    <row r="24" spans="2:16" s="35" customFormat="1" ht="19.5" customHeight="1" x14ac:dyDescent="0.2">
      <c r="B24" s="442" t="s">
        <v>1046</v>
      </c>
      <c r="C24" s="659" t="str">
        <f>IF(C23="X", "", "X")</f>
        <v/>
      </c>
      <c r="E24" s="36"/>
      <c r="F24" s="36"/>
      <c r="G24" s="36"/>
      <c r="H24" s="36"/>
      <c r="I24" s="36"/>
      <c r="J24" s="36"/>
      <c r="K24" s="36"/>
      <c r="L24" s="114"/>
      <c r="M24" s="114"/>
      <c r="N24" s="114"/>
      <c r="O24" s="36"/>
      <c r="P24" s="36"/>
    </row>
    <row r="25" spans="2:16" s="35" customFormat="1" ht="19.5" customHeight="1" x14ac:dyDescent="0.2">
      <c r="B25" s="472"/>
      <c r="C25" s="456"/>
      <c r="D25" s="456"/>
      <c r="E25" s="472"/>
      <c r="F25" s="472"/>
      <c r="G25" s="472"/>
      <c r="H25" s="589"/>
      <c r="I25" s="589"/>
      <c r="J25" s="472"/>
      <c r="K25" s="36"/>
      <c r="L25" s="114"/>
      <c r="M25" s="114"/>
      <c r="N25" s="114"/>
      <c r="O25" s="36"/>
      <c r="P25" s="36"/>
    </row>
    <row r="26" spans="2:16" s="35" customFormat="1" ht="19.5" customHeight="1" x14ac:dyDescent="0.2">
      <c r="B26" s="471" t="s">
        <v>1476</v>
      </c>
      <c r="C26" s="589"/>
      <c r="D26" s="589"/>
      <c r="E26" s="589"/>
      <c r="F26" s="589"/>
      <c r="G26" s="589"/>
      <c r="H26" s="589"/>
      <c r="I26" s="589"/>
      <c r="J26" s="589"/>
      <c r="K26" s="36"/>
      <c r="L26" s="114"/>
      <c r="M26" s="114"/>
      <c r="N26" s="114"/>
      <c r="O26" s="36"/>
      <c r="P26" s="36"/>
    </row>
    <row r="27" spans="2:16" s="35" customFormat="1" ht="19.5" customHeight="1" x14ac:dyDescent="0.2">
      <c r="B27" s="472"/>
      <c r="C27" s="536"/>
      <c r="D27" s="472"/>
      <c r="E27" s="472"/>
      <c r="F27" s="472"/>
      <c r="G27" s="472"/>
      <c r="H27" s="472"/>
      <c r="I27" s="472"/>
      <c r="J27" s="472"/>
      <c r="K27" s="36"/>
      <c r="L27" s="114"/>
      <c r="M27" s="114"/>
      <c r="N27" s="114"/>
      <c r="O27" s="36"/>
      <c r="P27" s="36"/>
    </row>
    <row r="28" spans="2:16" s="35" customFormat="1" ht="34.5" customHeight="1" x14ac:dyDescent="0.2">
      <c r="B28" s="1030" t="s">
        <v>1400</v>
      </c>
      <c r="C28" s="1030"/>
      <c r="D28" s="588" t="s">
        <v>1399</v>
      </c>
      <c r="E28" s="1030" t="s">
        <v>1384</v>
      </c>
      <c r="F28" s="1030"/>
      <c r="G28" s="1030"/>
      <c r="H28" s="1030"/>
      <c r="I28" s="1030"/>
      <c r="J28" s="588" t="s">
        <v>1261</v>
      </c>
      <c r="K28" s="36"/>
      <c r="L28" s="114"/>
      <c r="M28" s="114"/>
      <c r="N28" s="114"/>
      <c r="O28" s="36"/>
      <c r="P28" s="36"/>
    </row>
    <row r="29" spans="2:16" s="35" customFormat="1" ht="19.5" customHeight="1" x14ac:dyDescent="0.2">
      <c r="B29" s="993" t="s">
        <v>1385</v>
      </c>
      <c r="C29" s="995"/>
      <c r="D29" s="650"/>
      <c r="E29" s="1111"/>
      <c r="F29" s="1112"/>
      <c r="G29" s="1112"/>
      <c r="H29" s="1112"/>
      <c r="I29" s="1113"/>
      <c r="J29" s="700"/>
      <c r="K29" s="36"/>
      <c r="L29" s="114"/>
      <c r="M29" s="114"/>
      <c r="N29" s="114"/>
      <c r="O29" s="36"/>
      <c r="P29" s="36"/>
    </row>
    <row r="30" spans="2:16" s="35" customFormat="1" ht="19.5" customHeight="1" x14ac:dyDescent="0.2">
      <c r="B30" s="993" t="s">
        <v>1389</v>
      </c>
      <c r="C30" s="995"/>
      <c r="D30" s="650"/>
      <c r="E30" s="1111"/>
      <c r="F30" s="1112"/>
      <c r="G30" s="1112"/>
      <c r="H30" s="1112"/>
      <c r="I30" s="1113"/>
      <c r="J30" s="700"/>
      <c r="K30" s="36"/>
      <c r="L30" s="114"/>
      <c r="M30" s="114"/>
      <c r="N30" s="114"/>
      <c r="O30" s="36"/>
      <c r="P30" s="36"/>
    </row>
    <row r="31" spans="2:16" s="35" customFormat="1" ht="19.5" customHeight="1" x14ac:dyDescent="0.2">
      <c r="B31" s="993" t="s">
        <v>1390</v>
      </c>
      <c r="C31" s="995"/>
      <c r="D31" s="650"/>
      <c r="E31" s="1111"/>
      <c r="F31" s="1112"/>
      <c r="G31" s="1112"/>
      <c r="H31" s="1112"/>
      <c r="I31" s="1113"/>
      <c r="J31" s="700"/>
      <c r="K31" s="36"/>
      <c r="L31" s="114"/>
      <c r="M31" s="114"/>
      <c r="N31" s="114"/>
      <c r="O31" s="36"/>
      <c r="P31" s="36"/>
    </row>
    <row r="32" spans="2:16" s="35" customFormat="1" ht="19.5" customHeight="1" x14ac:dyDescent="0.2">
      <c r="B32" s="993" t="s">
        <v>1391</v>
      </c>
      <c r="C32" s="995"/>
      <c r="D32" s="650"/>
      <c r="E32" s="1111"/>
      <c r="F32" s="1112"/>
      <c r="G32" s="1112"/>
      <c r="H32" s="1112"/>
      <c r="I32" s="1113"/>
      <c r="J32" s="700"/>
      <c r="K32" s="36"/>
      <c r="L32" s="114"/>
      <c r="M32" s="114"/>
      <c r="N32" s="114"/>
      <c r="O32" s="36"/>
      <c r="P32" s="36"/>
    </row>
    <row r="33" spans="2:16" s="35" customFormat="1" ht="19.5" customHeight="1" x14ac:dyDescent="0.2">
      <c r="B33" s="993" t="s">
        <v>1392</v>
      </c>
      <c r="C33" s="995"/>
      <c r="D33" s="650"/>
      <c r="E33" s="1111"/>
      <c r="F33" s="1112"/>
      <c r="G33" s="1112"/>
      <c r="H33" s="1112"/>
      <c r="I33" s="1113"/>
      <c r="J33" s="700"/>
      <c r="K33" s="36"/>
      <c r="L33" s="114"/>
      <c r="M33" s="114"/>
      <c r="N33" s="114"/>
      <c r="O33" s="36"/>
      <c r="P33" s="36"/>
    </row>
    <row r="34" spans="2:16" s="35" customFormat="1" ht="19.5" customHeight="1" x14ac:dyDescent="0.2">
      <c r="B34" s="993" t="s">
        <v>1393</v>
      </c>
      <c r="C34" s="995"/>
      <c r="D34" s="650"/>
      <c r="E34" s="1111"/>
      <c r="F34" s="1112"/>
      <c r="G34" s="1112"/>
      <c r="H34" s="1112"/>
      <c r="I34" s="1113"/>
      <c r="J34" s="700"/>
      <c r="K34" s="36"/>
      <c r="L34" s="114"/>
      <c r="M34" s="114"/>
      <c r="N34" s="114"/>
      <c r="O34" s="36"/>
      <c r="P34" s="36"/>
    </row>
    <row r="35" spans="2:16" s="35" customFormat="1" ht="19.5" customHeight="1" x14ac:dyDescent="0.2">
      <c r="B35" s="993" t="s">
        <v>1394</v>
      </c>
      <c r="C35" s="995"/>
      <c r="D35" s="650"/>
      <c r="E35" s="1111"/>
      <c r="F35" s="1112"/>
      <c r="G35" s="1112"/>
      <c r="H35" s="1112"/>
      <c r="I35" s="1113"/>
      <c r="J35" s="700"/>
      <c r="K35" s="36"/>
      <c r="L35" s="114"/>
      <c r="M35" s="114"/>
      <c r="N35" s="114"/>
      <c r="O35" s="36"/>
      <c r="P35" s="36"/>
    </row>
    <row r="36" spans="2:16" s="35" customFormat="1" ht="19.5" customHeight="1" x14ac:dyDescent="0.2">
      <c r="B36" s="993" t="s">
        <v>1395</v>
      </c>
      <c r="C36" s="995"/>
      <c r="D36" s="650"/>
      <c r="E36" s="1111"/>
      <c r="F36" s="1112"/>
      <c r="G36" s="1112"/>
      <c r="H36" s="1112"/>
      <c r="I36" s="1113"/>
      <c r="J36" s="700"/>
      <c r="K36" s="36"/>
      <c r="L36" s="114"/>
      <c r="M36" s="114"/>
      <c r="N36" s="114"/>
      <c r="O36" s="36"/>
      <c r="P36" s="36"/>
    </row>
    <row r="37" spans="2:16" s="35" customFormat="1" ht="19.5" customHeight="1" x14ac:dyDescent="0.2">
      <c r="B37" s="993" t="s">
        <v>1396</v>
      </c>
      <c r="C37" s="995"/>
      <c r="D37" s="650"/>
      <c r="E37" s="1111"/>
      <c r="F37" s="1112"/>
      <c r="G37" s="1112"/>
      <c r="H37" s="1112"/>
      <c r="I37" s="1113"/>
      <c r="J37" s="700"/>
      <c r="K37" s="36"/>
      <c r="L37" s="114"/>
      <c r="M37" s="114"/>
      <c r="N37" s="114"/>
      <c r="O37" s="36"/>
      <c r="P37" s="36"/>
    </row>
    <row r="38" spans="2:16" s="35" customFormat="1" ht="19.5" customHeight="1" x14ac:dyDescent="0.2">
      <c r="B38" s="993" t="s">
        <v>1397</v>
      </c>
      <c r="C38" s="995"/>
      <c r="D38" s="650"/>
      <c r="E38" s="1111"/>
      <c r="F38" s="1112"/>
      <c r="G38" s="1112"/>
      <c r="H38" s="1112"/>
      <c r="I38" s="1113"/>
      <c r="J38" s="700"/>
      <c r="K38" s="36"/>
      <c r="L38" s="114"/>
      <c r="M38" s="114"/>
      <c r="N38" s="114"/>
      <c r="O38" s="36"/>
      <c r="P38" s="36"/>
    </row>
    <row r="39" spans="2:16" s="35" customFormat="1" ht="19.5" customHeight="1" x14ac:dyDescent="0.2">
      <c r="B39" s="993" t="s">
        <v>1386</v>
      </c>
      <c r="C39" s="995"/>
      <c r="D39" s="650"/>
      <c r="E39" s="1111"/>
      <c r="F39" s="1112"/>
      <c r="G39" s="1112"/>
      <c r="H39" s="1112"/>
      <c r="I39" s="1113"/>
      <c r="J39" s="700"/>
      <c r="K39" s="36"/>
      <c r="L39" s="114"/>
      <c r="M39" s="114"/>
      <c r="N39" s="114"/>
      <c r="O39" s="36"/>
      <c r="P39" s="36"/>
    </row>
    <row r="40" spans="2:16" s="35" customFormat="1" ht="19.5" customHeight="1" x14ac:dyDescent="0.2">
      <c r="B40" s="993" t="s">
        <v>1387</v>
      </c>
      <c r="C40" s="995"/>
      <c r="D40" s="650"/>
      <c r="E40" s="1111"/>
      <c r="F40" s="1112"/>
      <c r="G40" s="1112"/>
      <c r="H40" s="1112"/>
      <c r="I40" s="1113"/>
      <c r="J40" s="700"/>
      <c r="K40" s="36"/>
      <c r="L40" s="114"/>
      <c r="M40" s="114"/>
      <c r="N40" s="114"/>
      <c r="O40" s="36"/>
      <c r="P40" s="36"/>
    </row>
    <row r="41" spans="2:16" s="35" customFormat="1" ht="19.5" customHeight="1" x14ac:dyDescent="0.2">
      <c r="B41" s="993" t="s">
        <v>1388</v>
      </c>
      <c r="C41" s="995"/>
      <c r="D41" s="650"/>
      <c r="E41" s="1111"/>
      <c r="F41" s="1112"/>
      <c r="G41" s="1112"/>
      <c r="H41" s="1112"/>
      <c r="I41" s="1113"/>
      <c r="J41" s="700"/>
      <c r="K41" s="36"/>
      <c r="L41" s="114"/>
      <c r="M41" s="114"/>
      <c r="N41" s="114"/>
      <c r="O41" s="36"/>
      <c r="P41" s="36"/>
    </row>
    <row r="42" spans="2:16" s="35" customFormat="1" ht="19.5" customHeight="1" x14ac:dyDescent="0.2">
      <c r="B42" s="993" t="s">
        <v>1398</v>
      </c>
      <c r="C42" s="995"/>
      <c r="D42" s="650"/>
      <c r="E42" s="1111"/>
      <c r="F42" s="1112"/>
      <c r="G42" s="1112"/>
      <c r="H42" s="1112"/>
      <c r="I42" s="1113"/>
      <c r="J42" s="700"/>
      <c r="K42" s="36"/>
      <c r="L42" s="114"/>
      <c r="M42" s="114"/>
      <c r="N42" s="114"/>
      <c r="O42" s="36"/>
      <c r="P42" s="36"/>
    </row>
    <row r="43" spans="2:16" s="35" customFormat="1" ht="19.5" customHeight="1" x14ac:dyDescent="0.2">
      <c r="B43" s="993"/>
      <c r="C43" s="995"/>
      <c r="D43" s="379"/>
      <c r="E43" s="993"/>
      <c r="F43" s="994"/>
      <c r="G43" s="994"/>
      <c r="H43" s="994"/>
      <c r="I43" s="995"/>
      <c r="J43" s="563"/>
      <c r="K43" s="36"/>
      <c r="L43" s="114"/>
      <c r="M43" s="114"/>
      <c r="N43" s="114"/>
      <c r="O43" s="36"/>
      <c r="P43" s="36"/>
    </row>
    <row r="44" spans="2:16" s="35" customFormat="1" ht="19.5" customHeight="1" x14ac:dyDescent="0.2">
      <c r="B44" s="1114" t="s">
        <v>3</v>
      </c>
      <c r="C44" s="1114"/>
      <c r="D44" s="1114"/>
      <c r="E44" s="1114"/>
      <c r="F44" s="1114"/>
      <c r="G44" s="1114"/>
      <c r="H44" s="1114"/>
      <c r="I44" s="1114"/>
      <c r="J44" s="639">
        <f>SUM(J29:J43)</f>
        <v>0</v>
      </c>
      <c r="K44" s="36"/>
      <c r="L44" s="114"/>
      <c r="M44" s="114"/>
      <c r="N44" s="114"/>
      <c r="O44" s="36"/>
      <c r="P44" s="36"/>
    </row>
    <row r="45" spans="2:16" s="35" customFormat="1" ht="19.5" customHeight="1" x14ac:dyDescent="0.2">
      <c r="B45" s="36"/>
      <c r="C45" s="443"/>
      <c r="D45" s="36"/>
      <c r="E45" s="36"/>
      <c r="F45" s="36"/>
      <c r="G45" s="36"/>
      <c r="H45" s="36"/>
      <c r="I45" s="36"/>
      <c r="J45" s="36"/>
      <c r="K45" s="36"/>
      <c r="L45" s="114"/>
      <c r="M45" s="114"/>
      <c r="N45" s="114"/>
      <c r="O45" s="36"/>
      <c r="P45" s="36"/>
    </row>
    <row r="46" spans="2:16" s="35" customFormat="1" ht="23.25" customHeight="1" x14ac:dyDescent="0.2">
      <c r="B46" s="73" t="s">
        <v>1477</v>
      </c>
      <c r="C46" s="36"/>
      <c r="D46" s="36"/>
      <c r="E46" s="36"/>
      <c r="F46" s="36"/>
      <c r="G46" s="36"/>
      <c r="H46" s="36"/>
      <c r="I46" s="36"/>
      <c r="J46" s="36"/>
      <c r="L46" s="114"/>
      <c r="M46" s="114"/>
      <c r="N46" s="114"/>
    </row>
    <row r="47" spans="2:16" s="35" customFormat="1" ht="13.5" customHeight="1" x14ac:dyDescent="0.2">
      <c r="B47" s="73"/>
      <c r="C47" s="36"/>
      <c r="D47" s="36"/>
      <c r="E47" s="36"/>
      <c r="F47" s="36"/>
      <c r="G47" s="36"/>
      <c r="H47" s="36"/>
      <c r="I47" s="36"/>
      <c r="J47" s="36"/>
      <c r="L47" s="114"/>
      <c r="M47" s="114"/>
      <c r="N47" s="114"/>
    </row>
    <row r="48" spans="2:16" s="35" customFormat="1" ht="19.5" customHeight="1" x14ac:dyDescent="0.2">
      <c r="B48" s="420" t="s">
        <v>1478</v>
      </c>
      <c r="C48" s="36"/>
      <c r="D48" s="36"/>
      <c r="E48" s="36"/>
      <c r="F48" s="36"/>
      <c r="G48" s="36"/>
      <c r="H48" s="36"/>
      <c r="I48" s="36"/>
      <c r="J48" s="36"/>
      <c r="K48" s="36"/>
      <c r="L48" s="114"/>
      <c r="M48" s="114"/>
      <c r="N48" s="114"/>
      <c r="O48" s="36"/>
      <c r="P48" s="36"/>
    </row>
    <row r="49" spans="2:16" s="35" customFormat="1" ht="19.5" customHeight="1" x14ac:dyDescent="0.2">
      <c r="B49" s="36"/>
      <c r="C49" s="183"/>
      <c r="D49" s="183"/>
      <c r="E49" s="183"/>
      <c r="F49" s="183"/>
      <c r="G49" s="393"/>
      <c r="H49" s="393"/>
      <c r="I49" s="393"/>
      <c r="J49" s="36"/>
      <c r="K49" s="36"/>
      <c r="L49" s="114"/>
      <c r="M49" s="114"/>
      <c r="N49" s="114"/>
      <c r="O49" s="36"/>
      <c r="P49" s="36"/>
    </row>
    <row r="50" spans="2:16" s="35" customFormat="1" ht="19.5" customHeight="1" x14ac:dyDescent="0.2">
      <c r="B50" s="109" t="s">
        <v>1047</v>
      </c>
      <c r="C50" s="664"/>
      <c r="D50" s="36"/>
      <c r="E50" s="36"/>
      <c r="F50" s="36"/>
      <c r="G50" s="36"/>
      <c r="H50" s="36"/>
      <c r="I50" s="36"/>
      <c r="J50" s="36"/>
      <c r="K50" s="36"/>
      <c r="L50" s="114"/>
      <c r="M50" s="114"/>
      <c r="N50" s="114"/>
      <c r="O50" s="36"/>
      <c r="P50" s="36"/>
    </row>
    <row r="51" spans="2:16" s="35" customFormat="1" ht="19.5" customHeight="1" x14ac:dyDescent="0.2">
      <c r="B51" s="109" t="s">
        <v>1046</v>
      </c>
      <c r="C51" s="701" t="str">
        <f>IF(C50="X", "", "X")</f>
        <v>X</v>
      </c>
      <c r="E51" s="36"/>
      <c r="F51" s="36"/>
      <c r="G51" s="36"/>
      <c r="H51" s="36"/>
      <c r="I51" s="36"/>
      <c r="J51" s="36"/>
      <c r="K51" s="36"/>
      <c r="L51" s="114"/>
      <c r="M51" s="114"/>
      <c r="N51" s="114"/>
      <c r="O51" s="36"/>
      <c r="P51" s="36"/>
    </row>
    <row r="52" spans="2:16" s="35" customFormat="1" ht="19.5" customHeight="1" x14ac:dyDescent="0.2">
      <c r="B52" s="36"/>
      <c r="E52" s="36"/>
      <c r="F52" s="36"/>
      <c r="G52" s="36"/>
      <c r="H52" s="109"/>
      <c r="I52" s="109"/>
      <c r="J52" s="36"/>
      <c r="K52" s="36"/>
      <c r="L52" s="114"/>
      <c r="M52" s="114"/>
      <c r="N52" s="114"/>
      <c r="O52" s="36"/>
      <c r="P52" s="36"/>
    </row>
    <row r="53" spans="2:16" s="35" customFormat="1" ht="19.5" customHeight="1" x14ac:dyDescent="0.2">
      <c r="B53" s="420" t="s">
        <v>1479</v>
      </c>
      <c r="E53" s="36"/>
      <c r="F53" s="36"/>
      <c r="G53" s="36"/>
      <c r="H53" s="109"/>
      <c r="I53" s="109"/>
      <c r="J53" s="36"/>
      <c r="K53" s="36"/>
      <c r="L53" s="114"/>
      <c r="M53" s="114"/>
      <c r="N53" s="114"/>
      <c r="O53" s="36"/>
      <c r="P53" s="36"/>
    </row>
    <row r="54" spans="2:16" s="35" customFormat="1" ht="19.5" customHeight="1" x14ac:dyDescent="0.2">
      <c r="B54" s="36"/>
      <c r="C54" s="421"/>
      <c r="D54" s="36"/>
      <c r="E54" s="36"/>
      <c r="F54" s="36"/>
      <c r="G54" s="36"/>
      <c r="H54" s="109"/>
      <c r="I54" s="109"/>
      <c r="J54" s="36"/>
      <c r="K54" s="36"/>
      <c r="L54" s="114"/>
      <c r="M54" s="114"/>
      <c r="N54" s="114"/>
      <c r="O54" s="36"/>
      <c r="P54" s="36"/>
    </row>
    <row r="55" spans="2:16" ht="24" customHeight="1" x14ac:dyDescent="0.2">
      <c r="B55" s="757" t="s">
        <v>1122</v>
      </c>
      <c r="C55" s="775"/>
      <c r="D55" s="775"/>
      <c r="E55" s="758"/>
      <c r="F55" s="757" t="s">
        <v>1123</v>
      </c>
      <c r="G55" s="775"/>
      <c r="H55" s="775"/>
      <c r="I55" s="775"/>
      <c r="J55" s="367" t="s">
        <v>1261</v>
      </c>
      <c r="K55" s="10"/>
      <c r="L55" s="138"/>
      <c r="M55" s="138"/>
      <c r="N55" s="138"/>
      <c r="O55" s="10"/>
      <c r="P55" s="36"/>
    </row>
    <row r="56" spans="2:16" s="35" customFormat="1" ht="19.5" customHeight="1" x14ac:dyDescent="0.2">
      <c r="B56" s="1115" t="s">
        <v>73</v>
      </c>
      <c r="C56" s="1116"/>
      <c r="D56" s="1116"/>
      <c r="E56" s="1116"/>
      <c r="F56" s="1116"/>
      <c r="G56" s="1116"/>
      <c r="H56" s="1116"/>
      <c r="I56" s="1117"/>
      <c r="J56" s="640">
        <f>+J57+J58+J59</f>
        <v>0</v>
      </c>
      <c r="K56" s="36"/>
      <c r="L56" s="114"/>
      <c r="M56" s="114"/>
      <c r="N56" s="114"/>
      <c r="O56" s="36"/>
      <c r="P56" s="36"/>
    </row>
    <row r="57" spans="2:16" s="35" customFormat="1" ht="19.5" customHeight="1" x14ac:dyDescent="0.2">
      <c r="B57" s="379" t="s">
        <v>1119</v>
      </c>
      <c r="C57" s="1084"/>
      <c r="D57" s="1083"/>
      <c r="E57" s="1085"/>
      <c r="F57" s="1083"/>
      <c r="G57" s="1083"/>
      <c r="H57" s="1083"/>
      <c r="I57" s="1083"/>
      <c r="J57" s="700"/>
      <c r="K57" s="36"/>
      <c r="L57" s="114"/>
      <c r="M57" s="114"/>
      <c r="N57" s="114"/>
      <c r="O57" s="36"/>
      <c r="P57" s="36"/>
    </row>
    <row r="58" spans="2:16" s="35" customFormat="1" ht="19.5" customHeight="1" x14ac:dyDescent="0.2">
      <c r="B58" s="379" t="s">
        <v>1120</v>
      </c>
      <c r="C58" s="1084"/>
      <c r="D58" s="1083"/>
      <c r="E58" s="1085"/>
      <c r="F58" s="1083"/>
      <c r="G58" s="1083"/>
      <c r="H58" s="1083"/>
      <c r="I58" s="1083"/>
      <c r="J58" s="700"/>
      <c r="K58" s="36"/>
      <c r="L58" s="114"/>
      <c r="M58" s="114"/>
      <c r="N58" s="114"/>
      <c r="O58" s="36"/>
      <c r="P58" s="36"/>
    </row>
    <row r="59" spans="2:16" s="35" customFormat="1" ht="19.5" customHeight="1" x14ac:dyDescent="0.2">
      <c r="B59" s="379" t="s">
        <v>1121</v>
      </c>
      <c r="C59" s="1084"/>
      <c r="D59" s="1083"/>
      <c r="E59" s="1085"/>
      <c r="F59" s="1083"/>
      <c r="G59" s="1083"/>
      <c r="H59" s="1083"/>
      <c r="I59" s="1083"/>
      <c r="J59" s="700"/>
      <c r="K59" s="36"/>
      <c r="L59" s="114"/>
      <c r="M59" s="114"/>
      <c r="N59" s="114"/>
      <c r="O59" s="36"/>
      <c r="P59" s="36"/>
    </row>
    <row r="60" spans="2:16" s="35" customFormat="1" ht="19.5" customHeight="1" x14ac:dyDescent="0.2">
      <c r="B60" s="1115" t="s">
        <v>11</v>
      </c>
      <c r="C60" s="1116"/>
      <c r="D60" s="1116"/>
      <c r="E60" s="1116"/>
      <c r="F60" s="1116"/>
      <c r="G60" s="1116"/>
      <c r="H60" s="1116"/>
      <c r="I60" s="1117"/>
      <c r="J60" s="640">
        <f>+J61+J62+J63</f>
        <v>0</v>
      </c>
      <c r="K60" s="36"/>
      <c r="L60" s="114"/>
      <c r="M60" s="114"/>
      <c r="N60" s="114"/>
      <c r="O60" s="36"/>
      <c r="P60" s="36"/>
    </row>
    <row r="61" spans="2:16" s="35" customFormat="1" ht="19.5" customHeight="1" x14ac:dyDescent="0.2">
      <c r="B61" s="379" t="s">
        <v>1119</v>
      </c>
      <c r="C61" s="1084"/>
      <c r="D61" s="1083"/>
      <c r="E61" s="1085"/>
      <c r="F61" s="1083"/>
      <c r="G61" s="1083"/>
      <c r="H61" s="1083"/>
      <c r="I61" s="1083"/>
      <c r="J61" s="700"/>
      <c r="K61" s="36"/>
      <c r="L61" s="114"/>
      <c r="M61" s="114"/>
      <c r="N61" s="114"/>
      <c r="O61" s="36"/>
      <c r="P61" s="36"/>
    </row>
    <row r="62" spans="2:16" s="35" customFormat="1" ht="19.5" customHeight="1" x14ac:dyDescent="0.2">
      <c r="B62" s="379" t="s">
        <v>1120</v>
      </c>
      <c r="C62" s="1084"/>
      <c r="D62" s="1083"/>
      <c r="E62" s="1085"/>
      <c r="F62" s="1083"/>
      <c r="G62" s="1083"/>
      <c r="H62" s="1083"/>
      <c r="I62" s="1083"/>
      <c r="J62" s="700"/>
      <c r="K62" s="36"/>
      <c r="L62" s="114"/>
      <c r="M62" s="114"/>
      <c r="N62" s="114"/>
      <c r="O62" s="36"/>
      <c r="P62" s="36"/>
    </row>
    <row r="63" spans="2:16" s="35" customFormat="1" ht="19.5" customHeight="1" x14ac:dyDescent="0.2">
      <c r="B63" s="379" t="s">
        <v>1121</v>
      </c>
      <c r="C63" s="1084"/>
      <c r="D63" s="1083"/>
      <c r="E63" s="1085"/>
      <c r="F63" s="1083"/>
      <c r="G63" s="1083"/>
      <c r="H63" s="1083"/>
      <c r="I63" s="1083"/>
      <c r="J63" s="700"/>
      <c r="K63" s="36"/>
      <c r="L63" s="114"/>
      <c r="M63" s="114"/>
      <c r="N63" s="114"/>
      <c r="O63" s="36"/>
      <c r="P63" s="36"/>
    </row>
    <row r="64" spans="2:16" s="35" customFormat="1" ht="24" customHeight="1" x14ac:dyDescent="0.2">
      <c r="B64" s="1114" t="s">
        <v>3</v>
      </c>
      <c r="C64" s="1114"/>
      <c r="D64" s="1114"/>
      <c r="E64" s="1114"/>
      <c r="F64" s="1114"/>
      <c r="G64" s="1114"/>
      <c r="H64" s="1114"/>
      <c r="I64" s="1114"/>
      <c r="J64" s="641">
        <f>+J60+J56</f>
        <v>0</v>
      </c>
      <c r="L64" s="114"/>
      <c r="M64" s="114"/>
      <c r="N64" s="114"/>
    </row>
    <row r="65" spans="1:35" s="35" customFormat="1" ht="13.5" customHeight="1" x14ac:dyDescent="0.2">
      <c r="B65" s="73"/>
      <c r="C65" s="36"/>
      <c r="D65" s="36"/>
      <c r="E65" s="36"/>
      <c r="F65" s="36"/>
      <c r="G65" s="36"/>
      <c r="H65" s="36"/>
      <c r="I65" s="36"/>
      <c r="J65" s="36"/>
      <c r="L65" s="114"/>
      <c r="M65" s="114"/>
      <c r="N65" s="114"/>
    </row>
    <row r="66" spans="1:35" s="35" customFormat="1" ht="33" customHeight="1" x14ac:dyDescent="0.2">
      <c r="B66" s="422" t="s">
        <v>1480</v>
      </c>
      <c r="C66" s="36"/>
      <c r="D66" s="36"/>
      <c r="E66" s="109"/>
      <c r="F66" s="109"/>
      <c r="G66" s="109"/>
      <c r="H66" s="109"/>
      <c r="I66" s="109"/>
      <c r="J66" s="36"/>
      <c r="L66" s="114"/>
      <c r="M66" s="114"/>
      <c r="N66" s="114"/>
    </row>
    <row r="67" spans="1:35" s="64" customFormat="1" ht="18.75" customHeight="1" x14ac:dyDescent="0.2">
      <c r="A67" s="35"/>
      <c r="B67" s="1089" t="s">
        <v>1423</v>
      </c>
      <c r="C67" s="1090"/>
      <c r="D67" s="1090"/>
      <c r="E67" s="1090"/>
      <c r="F67" s="1090"/>
      <c r="G67" s="1090"/>
      <c r="H67" s="1090"/>
      <c r="I67" s="1091"/>
      <c r="J67" s="114"/>
      <c r="K67" s="114"/>
      <c r="L67" s="35"/>
      <c r="M67" s="35"/>
      <c r="N67" s="35"/>
      <c r="O67" s="35"/>
      <c r="P67" s="35"/>
      <c r="Q67" s="35"/>
      <c r="R67" s="35"/>
      <c r="S67" s="35"/>
      <c r="T67" s="35"/>
      <c r="U67" s="35"/>
      <c r="V67" s="35"/>
      <c r="W67" s="35"/>
      <c r="X67" s="35"/>
      <c r="Y67" s="35"/>
      <c r="Z67" s="35"/>
      <c r="AA67" s="35"/>
      <c r="AB67" s="35"/>
      <c r="AC67" s="35"/>
      <c r="AD67" s="35"/>
      <c r="AE67" s="35"/>
      <c r="AF67" s="35"/>
      <c r="AG67" s="35"/>
      <c r="AH67" s="35"/>
      <c r="AI67" s="35"/>
    </row>
    <row r="68" spans="1:35" s="64" customFormat="1" ht="18.75" customHeight="1" x14ac:dyDescent="0.2">
      <c r="A68" s="35"/>
      <c r="B68" s="1086" t="s">
        <v>1422</v>
      </c>
      <c r="C68" s="1087"/>
      <c r="D68" s="1087"/>
      <c r="E68" s="1087"/>
      <c r="F68" s="1087"/>
      <c r="G68" s="1087"/>
      <c r="H68" s="1087"/>
      <c r="I68" s="1088"/>
      <c r="J68" s="114"/>
      <c r="K68" s="114"/>
      <c r="L68" s="35"/>
      <c r="M68" s="35"/>
      <c r="N68" s="35"/>
      <c r="O68" s="35"/>
      <c r="P68" s="35"/>
      <c r="Q68" s="35"/>
      <c r="R68" s="35"/>
      <c r="S68" s="35"/>
      <c r="T68" s="35"/>
      <c r="U68" s="35"/>
      <c r="V68" s="35"/>
      <c r="W68" s="35"/>
      <c r="X68" s="35"/>
      <c r="Y68" s="35"/>
      <c r="Z68" s="35"/>
      <c r="AA68" s="35"/>
      <c r="AB68" s="35"/>
      <c r="AC68" s="35"/>
      <c r="AD68" s="35"/>
      <c r="AE68" s="35"/>
      <c r="AF68" s="35"/>
      <c r="AG68" s="35"/>
      <c r="AH68" s="35"/>
      <c r="AI68" s="35"/>
    </row>
    <row r="69" spans="1:35" s="64" customFormat="1" ht="18.75" customHeight="1" x14ac:dyDescent="0.2">
      <c r="A69" s="35"/>
      <c r="B69" s="1086" t="s">
        <v>1424</v>
      </c>
      <c r="C69" s="1087"/>
      <c r="D69" s="1087"/>
      <c r="E69" s="1087"/>
      <c r="F69" s="1087"/>
      <c r="G69" s="1087"/>
      <c r="H69" s="1087"/>
      <c r="I69" s="1088"/>
      <c r="J69" s="114"/>
      <c r="K69" s="114"/>
      <c r="L69" s="35"/>
      <c r="M69" s="35"/>
      <c r="N69" s="35"/>
      <c r="O69" s="35"/>
      <c r="P69" s="35"/>
      <c r="Q69" s="35"/>
      <c r="R69" s="35"/>
      <c r="S69" s="35"/>
      <c r="T69" s="35"/>
      <c r="U69" s="35"/>
      <c r="V69" s="35"/>
      <c r="W69" s="35"/>
      <c r="X69" s="35"/>
      <c r="Y69" s="35"/>
      <c r="Z69" s="35"/>
      <c r="AA69" s="35"/>
      <c r="AB69" s="35"/>
      <c r="AC69" s="35"/>
      <c r="AD69" s="35"/>
      <c r="AE69" s="35"/>
      <c r="AF69" s="35"/>
      <c r="AG69" s="35"/>
      <c r="AH69" s="35"/>
      <c r="AI69" s="35"/>
    </row>
    <row r="70" spans="1:35" s="64" customFormat="1" ht="18.75" customHeight="1" x14ac:dyDescent="0.2">
      <c r="A70" s="35"/>
      <c r="B70" s="1086" t="s">
        <v>1415</v>
      </c>
      <c r="C70" s="1087"/>
      <c r="D70" s="1087"/>
      <c r="E70" s="1087"/>
      <c r="F70" s="1087"/>
      <c r="G70" s="1087"/>
      <c r="H70" s="1087"/>
      <c r="I70" s="1088"/>
      <c r="J70" s="114"/>
      <c r="K70" s="114"/>
      <c r="L70" s="35"/>
      <c r="M70" s="35"/>
      <c r="N70" s="35"/>
      <c r="O70" s="35"/>
      <c r="P70" s="35"/>
      <c r="Q70" s="35"/>
      <c r="R70" s="35"/>
      <c r="S70" s="35"/>
      <c r="T70" s="35"/>
      <c r="U70" s="35"/>
      <c r="V70" s="35"/>
      <c r="W70" s="35"/>
      <c r="X70" s="35"/>
      <c r="Y70" s="35"/>
      <c r="Z70" s="35"/>
      <c r="AA70" s="35"/>
      <c r="AB70" s="35"/>
      <c r="AC70" s="35"/>
      <c r="AD70" s="35"/>
      <c r="AE70" s="35"/>
      <c r="AF70" s="35"/>
      <c r="AG70" s="35"/>
      <c r="AH70" s="35"/>
      <c r="AI70" s="35"/>
    </row>
    <row r="71" spans="1:35" ht="18.75" customHeight="1" x14ac:dyDescent="0.2">
      <c r="B71" s="1086" t="s">
        <v>1416</v>
      </c>
      <c r="C71" s="1087"/>
      <c r="D71" s="1087"/>
      <c r="E71" s="1087"/>
      <c r="F71" s="1087"/>
      <c r="G71" s="1087"/>
      <c r="H71" s="1087"/>
      <c r="I71" s="1088"/>
      <c r="J71" s="114"/>
      <c r="K71" s="114"/>
      <c r="L71" s="35"/>
      <c r="M71" s="35"/>
      <c r="N71" s="35"/>
      <c r="O71" s="35"/>
    </row>
    <row r="72" spans="1:35" ht="18.75" customHeight="1" x14ac:dyDescent="0.2">
      <c r="B72" s="1086" t="s">
        <v>1419</v>
      </c>
      <c r="C72" s="1087"/>
      <c r="D72" s="1087"/>
      <c r="E72" s="1087"/>
      <c r="F72" s="1087"/>
      <c r="G72" s="1087"/>
      <c r="H72" s="1087"/>
      <c r="I72" s="1088"/>
      <c r="J72" s="114"/>
      <c r="K72" s="114"/>
      <c r="L72" s="35"/>
      <c r="M72" s="35"/>
      <c r="N72" s="35"/>
      <c r="O72" s="35"/>
    </row>
    <row r="73" spans="1:35" ht="18.75" customHeight="1" x14ac:dyDescent="0.2">
      <c r="B73" s="642" t="s">
        <v>1417</v>
      </c>
      <c r="C73" s="643"/>
      <c r="D73" s="643"/>
      <c r="E73" s="643"/>
      <c r="F73" s="643"/>
      <c r="G73" s="643"/>
      <c r="H73" s="643"/>
      <c r="I73" s="644"/>
      <c r="J73" s="114"/>
      <c r="K73" s="114"/>
      <c r="L73" s="35"/>
      <c r="M73" s="35"/>
      <c r="N73" s="35"/>
      <c r="O73" s="35"/>
    </row>
    <row r="74" spans="1:35" ht="18.75" customHeight="1" x14ac:dyDescent="0.2">
      <c r="B74" s="1106" t="s">
        <v>1421</v>
      </c>
      <c r="C74" s="1107"/>
      <c r="D74" s="1107"/>
      <c r="E74" s="1107"/>
      <c r="F74" s="1107"/>
      <c r="G74" s="1107"/>
      <c r="H74" s="1107"/>
      <c r="I74" s="1108"/>
      <c r="J74" s="114"/>
      <c r="K74" s="114"/>
      <c r="L74" s="35"/>
      <c r="M74" s="35"/>
      <c r="N74" s="35"/>
      <c r="O74" s="35"/>
    </row>
    <row r="75" spans="1:35" s="35" customFormat="1" ht="12.75" customHeight="1" x14ac:dyDescent="0.2">
      <c r="B75" s="36"/>
      <c r="C75" s="383"/>
      <c r="D75" s="383"/>
      <c r="E75" s="383"/>
      <c r="F75" s="383"/>
      <c r="G75" s="383"/>
      <c r="H75" s="383"/>
      <c r="I75" s="383"/>
      <c r="J75" s="36"/>
      <c r="L75" s="114"/>
      <c r="M75" s="114"/>
      <c r="N75" s="114"/>
    </row>
    <row r="76" spans="1:35" s="35" customFormat="1" ht="21" customHeight="1" x14ac:dyDescent="0.2">
      <c r="B76" s="422" t="s">
        <v>1481</v>
      </c>
      <c r="C76" s="36"/>
      <c r="D76" s="36"/>
      <c r="E76" s="36"/>
      <c r="F76" s="36"/>
      <c r="G76" s="36"/>
      <c r="H76" s="36"/>
      <c r="I76" s="36"/>
      <c r="J76" s="36"/>
      <c r="L76" s="114"/>
      <c r="M76" s="114"/>
      <c r="N76" s="114"/>
    </row>
    <row r="77" spans="1:35" s="35" customFormat="1" x14ac:dyDescent="0.2">
      <c r="B77" s="36"/>
      <c r="C77" s="404"/>
      <c r="D77" s="1000"/>
      <c r="E77" s="1000"/>
      <c r="F77" s="1000"/>
      <c r="G77" s="1000"/>
      <c r="H77" s="1000"/>
      <c r="I77" s="1000"/>
      <c r="J77" s="36"/>
      <c r="L77" s="114"/>
      <c r="M77" s="114"/>
      <c r="N77" s="114"/>
    </row>
    <row r="78" spans="1:35" ht="18" customHeight="1" x14ac:dyDescent="0.2">
      <c r="B78" s="1103" t="s">
        <v>447</v>
      </c>
      <c r="C78" s="1104"/>
      <c r="D78" s="1104"/>
      <c r="E78" s="1104"/>
      <c r="F78" s="1104"/>
      <c r="G78" s="1104"/>
      <c r="H78" s="1104"/>
      <c r="I78" s="1105"/>
      <c r="J78" s="36"/>
      <c r="K78" s="35"/>
      <c r="O78" s="35"/>
    </row>
    <row r="79" spans="1:35" ht="18" customHeight="1" x14ac:dyDescent="0.2">
      <c r="B79" s="1096" t="s">
        <v>1124</v>
      </c>
      <c r="C79" s="1097"/>
      <c r="D79" s="1097"/>
      <c r="E79" s="1097"/>
      <c r="F79" s="1097"/>
      <c r="G79" s="1097"/>
      <c r="H79" s="1097"/>
      <c r="I79" s="1098"/>
      <c r="J79" s="36"/>
      <c r="K79" s="35"/>
      <c r="O79" s="35"/>
    </row>
    <row r="80" spans="1:35" ht="18" customHeight="1" x14ac:dyDescent="0.2">
      <c r="B80" s="642" t="s">
        <v>1418</v>
      </c>
      <c r="C80" s="643"/>
      <c r="D80" s="643"/>
      <c r="E80" s="643"/>
      <c r="F80" s="643"/>
      <c r="G80" s="643"/>
      <c r="H80" s="643"/>
      <c r="I80" s="644"/>
      <c r="J80" s="36"/>
      <c r="K80" s="35"/>
      <c r="O80" s="35"/>
    </row>
    <row r="81" spans="2:16" ht="18" customHeight="1" x14ac:dyDescent="0.2">
      <c r="B81" s="1086" t="s">
        <v>1420</v>
      </c>
      <c r="C81" s="1087"/>
      <c r="D81" s="1087"/>
      <c r="E81" s="1087"/>
      <c r="F81" s="1087"/>
      <c r="G81" s="1087"/>
      <c r="H81" s="1087"/>
      <c r="I81" s="1088"/>
      <c r="J81" s="36"/>
      <c r="K81" s="35"/>
      <c r="O81" s="35"/>
    </row>
    <row r="82" spans="2:16" ht="18" customHeight="1" x14ac:dyDescent="0.2">
      <c r="B82" s="1093" t="s">
        <v>305</v>
      </c>
      <c r="C82" s="1094"/>
      <c r="D82" s="1094"/>
      <c r="E82" s="1094"/>
      <c r="F82" s="1094"/>
      <c r="G82" s="1094"/>
      <c r="H82" s="1094"/>
      <c r="I82" s="1095"/>
      <c r="J82" s="36"/>
      <c r="K82" s="35"/>
      <c r="O82" s="35"/>
    </row>
    <row r="83" spans="2:16" s="35" customFormat="1" x14ac:dyDescent="0.2">
      <c r="B83" s="36"/>
      <c r="C83" s="427"/>
      <c r="D83" s="427"/>
      <c r="E83" s="427"/>
      <c r="F83" s="427"/>
      <c r="G83" s="427"/>
      <c r="H83" s="427"/>
      <c r="I83" s="427"/>
      <c r="J83" s="36"/>
      <c r="L83" s="114"/>
      <c r="M83" s="114"/>
      <c r="N83" s="114"/>
    </row>
    <row r="84" spans="2:16" s="35" customFormat="1" x14ac:dyDescent="0.2">
      <c r="B84" s="36"/>
      <c r="C84" s="427"/>
      <c r="D84" s="427"/>
      <c r="E84" s="427"/>
      <c r="F84" s="427"/>
      <c r="G84" s="427"/>
      <c r="H84" s="427"/>
      <c r="I84" s="427"/>
      <c r="J84" s="36"/>
      <c r="L84" s="114"/>
      <c r="M84" s="114"/>
      <c r="N84" s="114"/>
    </row>
    <row r="85" spans="2:16" s="35" customFormat="1" ht="15" customHeight="1" x14ac:dyDescent="0.2">
      <c r="B85" s="45" t="s">
        <v>1482</v>
      </c>
      <c r="C85" s="36"/>
      <c r="D85" s="36"/>
      <c r="E85" s="36"/>
      <c r="F85" s="36"/>
      <c r="G85" s="36"/>
      <c r="H85" s="36"/>
      <c r="I85" s="36"/>
      <c r="J85" s="429"/>
      <c r="L85" s="114"/>
      <c r="M85" s="114"/>
      <c r="N85" s="114"/>
    </row>
    <row r="86" spans="2:16" s="35" customFormat="1" ht="15" customHeight="1" x14ac:dyDescent="0.2">
      <c r="E86" s="694">
        <v>42977</v>
      </c>
      <c r="F86" s="424"/>
      <c r="J86" s="429"/>
      <c r="L86" s="114"/>
      <c r="M86" s="114"/>
      <c r="N86" s="114"/>
    </row>
    <row r="87" spans="2:16" s="35" customFormat="1" ht="15" customHeight="1" x14ac:dyDescent="0.2">
      <c r="J87" s="429"/>
      <c r="L87" s="114"/>
      <c r="M87" s="114"/>
      <c r="N87" s="114"/>
    </row>
    <row r="88" spans="2:16" s="35" customFormat="1" ht="15" customHeight="1" x14ac:dyDescent="0.2">
      <c r="B88" s="45" t="s">
        <v>1483</v>
      </c>
      <c r="J88" s="429"/>
      <c r="L88" s="114"/>
      <c r="M88" s="114"/>
      <c r="N88" s="114"/>
    </row>
    <row r="89" spans="2:16" s="35" customFormat="1" x14ac:dyDescent="0.2">
      <c r="L89" s="114"/>
      <c r="M89" s="114"/>
      <c r="N89" s="114"/>
    </row>
    <row r="90" spans="2:16" s="35" customFormat="1" x14ac:dyDescent="0.2">
      <c r="L90" s="114"/>
      <c r="M90" s="114"/>
      <c r="N90" s="114"/>
    </row>
    <row r="91" spans="2:16" s="35" customFormat="1" ht="19.5" customHeight="1" x14ac:dyDescent="0.2">
      <c r="C91" s="1099"/>
      <c r="D91" s="1092"/>
      <c r="E91" s="1100"/>
      <c r="F91" s="429"/>
      <c r="G91" s="1099"/>
      <c r="H91" s="1092"/>
      <c r="I91" s="1100"/>
      <c r="J91" s="36"/>
      <c r="K91" s="36"/>
      <c r="L91" s="114"/>
      <c r="M91" s="114"/>
      <c r="N91" s="114"/>
      <c r="O91" s="36"/>
      <c r="P91" s="36"/>
    </row>
    <row r="92" spans="2:16" s="35" customFormat="1" ht="19.5" customHeight="1" x14ac:dyDescent="0.2">
      <c r="C92" s="999"/>
      <c r="D92" s="1000"/>
      <c r="E92" s="1001"/>
      <c r="F92" s="429"/>
      <c r="G92" s="999"/>
      <c r="H92" s="1000"/>
      <c r="I92" s="1001"/>
      <c r="J92" s="36"/>
      <c r="K92" s="36"/>
      <c r="L92" s="114"/>
      <c r="M92" s="114"/>
      <c r="N92" s="114"/>
      <c r="O92" s="36"/>
      <c r="P92" s="36"/>
    </row>
    <row r="93" spans="2:16" s="35" customFormat="1" ht="19.5" customHeight="1" x14ac:dyDescent="0.2">
      <c r="C93" s="990"/>
      <c r="D93" s="1101"/>
      <c r="E93" s="1102"/>
      <c r="F93" s="429"/>
      <c r="G93" s="990"/>
      <c r="H93" s="1101"/>
      <c r="I93" s="1102"/>
      <c r="J93" s="36"/>
      <c r="K93" s="36"/>
      <c r="L93" s="114"/>
      <c r="M93" s="114"/>
      <c r="N93" s="114"/>
      <c r="O93" s="36"/>
      <c r="P93" s="36"/>
    </row>
    <row r="94" spans="2:16" s="35" customFormat="1" x14ac:dyDescent="0.2">
      <c r="C94" s="1092" t="s">
        <v>22</v>
      </c>
      <c r="D94" s="1092"/>
      <c r="E94" s="1092"/>
      <c r="G94" s="1092" t="s">
        <v>441</v>
      </c>
      <c r="H94" s="1092"/>
      <c r="I94" s="1092"/>
      <c r="J94" s="36"/>
      <c r="L94" s="114"/>
      <c r="M94" s="114"/>
      <c r="N94" s="114"/>
    </row>
    <row r="95" spans="2:16" s="35" customFormat="1" x14ac:dyDescent="0.2">
      <c r="L95" s="114"/>
      <c r="M95" s="114"/>
      <c r="N95" s="114"/>
    </row>
    <row r="96" spans="2:16" s="35" customFormat="1" x14ac:dyDescent="0.2">
      <c r="B96" s="425"/>
      <c r="L96" s="114"/>
      <c r="M96" s="114"/>
      <c r="N96" s="114"/>
    </row>
    <row r="97" spans="3:14" s="35" customFormat="1" x14ac:dyDescent="0.2">
      <c r="C97" s="425"/>
      <c r="D97" s="425"/>
      <c r="E97" s="425"/>
      <c r="F97" s="425"/>
      <c r="G97" s="425"/>
      <c r="H97" s="425"/>
      <c r="I97" s="425"/>
      <c r="L97" s="114"/>
      <c r="M97" s="114"/>
      <c r="N97" s="114"/>
    </row>
    <row r="98" spans="3:14" s="35" customFormat="1" x14ac:dyDescent="0.2">
      <c r="L98" s="114"/>
      <c r="M98" s="114"/>
      <c r="N98" s="114"/>
    </row>
    <row r="99" spans="3:14" s="35" customFormat="1" x14ac:dyDescent="0.2">
      <c r="L99" s="114"/>
      <c r="M99" s="114"/>
      <c r="N99" s="114"/>
    </row>
    <row r="100" spans="3:14" s="35" customFormat="1" x14ac:dyDescent="0.2">
      <c r="L100" s="114"/>
      <c r="M100" s="114"/>
      <c r="N100" s="114"/>
    </row>
    <row r="101" spans="3:14" s="35" customFormat="1" x14ac:dyDescent="0.2">
      <c r="L101" s="114"/>
      <c r="M101" s="114"/>
      <c r="N101" s="114"/>
    </row>
    <row r="102" spans="3:14" s="35" customFormat="1" x14ac:dyDescent="0.2">
      <c r="L102" s="114"/>
      <c r="M102" s="114"/>
      <c r="N102" s="114"/>
    </row>
    <row r="103" spans="3:14" s="35" customFormat="1" x14ac:dyDescent="0.2">
      <c r="L103" s="114"/>
      <c r="M103" s="114"/>
      <c r="N103" s="114"/>
    </row>
    <row r="104" spans="3:14" s="35" customFormat="1" x14ac:dyDescent="0.2">
      <c r="L104" s="114"/>
      <c r="M104" s="114"/>
      <c r="N104" s="114"/>
    </row>
    <row r="105" spans="3:14" s="35" customFormat="1" x14ac:dyDescent="0.2">
      <c r="L105" s="114"/>
      <c r="M105" s="114"/>
      <c r="N105" s="114"/>
    </row>
    <row r="106" spans="3:14" s="35" customFormat="1" x14ac:dyDescent="0.2">
      <c r="L106" s="114"/>
      <c r="M106" s="114"/>
      <c r="N106" s="114"/>
    </row>
    <row r="107" spans="3:14" s="35" customFormat="1" x14ac:dyDescent="0.2">
      <c r="L107" s="114"/>
      <c r="M107" s="114"/>
      <c r="N107" s="114"/>
    </row>
    <row r="108" spans="3:14" s="35" customFormat="1" x14ac:dyDescent="0.2">
      <c r="L108" s="114"/>
      <c r="M108" s="114"/>
      <c r="N108" s="114"/>
    </row>
    <row r="109" spans="3:14" s="35" customFormat="1" x14ac:dyDescent="0.2">
      <c r="L109" s="114"/>
      <c r="M109" s="114"/>
      <c r="N109" s="114"/>
    </row>
    <row r="110" spans="3:14" s="35" customFormat="1" x14ac:dyDescent="0.2">
      <c r="L110" s="114"/>
      <c r="M110" s="114"/>
      <c r="N110" s="114"/>
    </row>
    <row r="111" spans="3:14" s="35" customFormat="1" x14ac:dyDescent="0.2">
      <c r="L111" s="114"/>
      <c r="M111" s="114"/>
      <c r="N111" s="114"/>
    </row>
    <row r="112" spans="3:14" s="35" customFormat="1" x14ac:dyDescent="0.2">
      <c r="L112" s="114"/>
      <c r="M112" s="114"/>
      <c r="N112" s="114"/>
    </row>
    <row r="113" spans="12:14" s="35" customFormat="1" x14ac:dyDescent="0.2">
      <c r="L113" s="114"/>
      <c r="M113" s="114"/>
      <c r="N113" s="114"/>
    </row>
    <row r="114" spans="12:14" s="35" customFormat="1" x14ac:dyDescent="0.2">
      <c r="L114" s="114"/>
      <c r="M114" s="114"/>
      <c r="N114" s="114"/>
    </row>
    <row r="115" spans="12:14" s="35" customFormat="1" x14ac:dyDescent="0.2">
      <c r="L115" s="114"/>
      <c r="M115" s="114"/>
      <c r="N115" s="114"/>
    </row>
    <row r="116" spans="12:14" s="35" customFormat="1" x14ac:dyDescent="0.2">
      <c r="L116" s="114"/>
      <c r="M116" s="114"/>
      <c r="N116" s="114"/>
    </row>
    <row r="117" spans="12:14" s="35" customFormat="1" x14ac:dyDescent="0.2">
      <c r="L117" s="114"/>
      <c r="M117" s="114"/>
      <c r="N117" s="114"/>
    </row>
    <row r="118" spans="12:14" s="35" customFormat="1" x14ac:dyDescent="0.2">
      <c r="L118" s="114"/>
      <c r="M118" s="114"/>
      <c r="N118" s="114"/>
    </row>
    <row r="119" spans="12:14" s="35" customFormat="1" x14ac:dyDescent="0.2">
      <c r="L119" s="114"/>
      <c r="M119" s="114"/>
      <c r="N119" s="114"/>
    </row>
    <row r="120" spans="12:14" s="35" customFormat="1" x14ac:dyDescent="0.2">
      <c r="L120" s="114"/>
      <c r="M120" s="114"/>
      <c r="N120" s="114"/>
    </row>
  </sheetData>
  <sheetProtection algorithmName="SHA-512" hashValue="PLo54y8o6s+sPPlrnakjjo2CmfhZzbQMRzfv5gzODTRn42RQFLEA6XSTVBbfwiTM1TCJGYyJocen8NmPiu6X5w==" saltValue="4oUnzp43UoIMaB9Q50xEMg==" spinCount="100000" sheet="1" objects="1" scenarios="1"/>
  <mergeCells count="78">
    <mergeCell ref="E43:I43"/>
    <mergeCell ref="B44:I44"/>
    <mergeCell ref="B64:I64"/>
    <mergeCell ref="B68:I68"/>
    <mergeCell ref="B69:I69"/>
    <mergeCell ref="B55:E55"/>
    <mergeCell ref="F55:I55"/>
    <mergeCell ref="B56:I56"/>
    <mergeCell ref="F57:I57"/>
    <mergeCell ref="F58:I58"/>
    <mergeCell ref="F59:I59"/>
    <mergeCell ref="B60:I60"/>
    <mergeCell ref="C57:E57"/>
    <mergeCell ref="C58:E58"/>
    <mergeCell ref="C59:E59"/>
    <mergeCell ref="C63:E63"/>
    <mergeCell ref="B41:C41"/>
    <mergeCell ref="B42:C42"/>
    <mergeCell ref="B43:C43"/>
    <mergeCell ref="E30:I30"/>
    <mergeCell ref="E31:I31"/>
    <mergeCell ref="E32:I32"/>
    <mergeCell ref="E33:I33"/>
    <mergeCell ref="E34:I34"/>
    <mergeCell ref="E35:I35"/>
    <mergeCell ref="E36:I36"/>
    <mergeCell ref="E37:I37"/>
    <mergeCell ref="E38:I38"/>
    <mergeCell ref="E39:I39"/>
    <mergeCell ref="E40:I40"/>
    <mergeCell ref="E41:I41"/>
    <mergeCell ref="E42:I42"/>
    <mergeCell ref="B36:C36"/>
    <mergeCell ref="B37:C37"/>
    <mergeCell ref="B38:C38"/>
    <mergeCell ref="B39:C39"/>
    <mergeCell ref="B40:C40"/>
    <mergeCell ref="B31:C31"/>
    <mergeCell ref="B32:C32"/>
    <mergeCell ref="B33:C33"/>
    <mergeCell ref="B34:C34"/>
    <mergeCell ref="B35:C35"/>
    <mergeCell ref="B28:C28"/>
    <mergeCell ref="E28:I28"/>
    <mergeCell ref="B29:C29"/>
    <mergeCell ref="E29:I29"/>
    <mergeCell ref="B30:C30"/>
    <mergeCell ref="B2:J2"/>
    <mergeCell ref="B3:J3"/>
    <mergeCell ref="B17:D17"/>
    <mergeCell ref="F17:J17"/>
    <mergeCell ref="B6:J6"/>
    <mergeCell ref="B10:E10"/>
    <mergeCell ref="B11:J11"/>
    <mergeCell ref="B15:D15"/>
    <mergeCell ref="F15:J15"/>
    <mergeCell ref="B16:D16"/>
    <mergeCell ref="F16:J16"/>
    <mergeCell ref="B4:J4"/>
    <mergeCell ref="B71:I71"/>
    <mergeCell ref="B67:I67"/>
    <mergeCell ref="B70:I70"/>
    <mergeCell ref="C94:E94"/>
    <mergeCell ref="G94:I94"/>
    <mergeCell ref="B82:I82"/>
    <mergeCell ref="B79:I79"/>
    <mergeCell ref="B72:I72"/>
    <mergeCell ref="B81:I81"/>
    <mergeCell ref="C91:E93"/>
    <mergeCell ref="G91:I93"/>
    <mergeCell ref="D77:I77"/>
    <mergeCell ref="B78:I78"/>
    <mergeCell ref="B74:I74"/>
    <mergeCell ref="F63:I63"/>
    <mergeCell ref="C61:E61"/>
    <mergeCell ref="F61:I61"/>
    <mergeCell ref="F62:I62"/>
    <mergeCell ref="C62:E62"/>
  </mergeCells>
  <dataValidations count="5">
    <dataValidation type="list" allowBlank="1" showInputMessage="1" showErrorMessage="1" sqref="D29:D42">
      <formula1>"BAJO, MEDIO, ALTO"</formula1>
    </dataValidation>
    <dataValidation type="decimal" allowBlank="1" showInputMessage="1" showErrorMessage="1" sqref="J29:J42">
      <formula1>0</formula1>
      <formula2>999999</formula2>
    </dataValidation>
    <dataValidation type="date" allowBlank="1" showInputMessage="1" showErrorMessage="1" sqref="E86">
      <formula1>42005</formula1>
      <formula2>45291</formula2>
    </dataValidation>
    <dataValidation type="decimal" allowBlank="1" showInputMessage="1" showErrorMessage="1" sqref="J61:J63 J57:J59">
      <formula1>0</formula1>
      <formula2>99999999</formula2>
    </dataValidation>
    <dataValidation type="list" allowBlank="1" showInputMessage="1" showErrorMessage="1" sqref="C23 C50">
      <formula1>"_,X"</formula1>
    </dataValidation>
  </dataValidations>
  <printOptions horizontalCentered="1"/>
  <pageMargins left="0.39370078740157483" right="0.27559055118110237" top="0.39370078740157483" bottom="0.39370078740157483" header="0.31496062992125984" footer="0.31496062992125984"/>
  <pageSetup paperSize="9" scale="60"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B2:D114"/>
  <sheetViews>
    <sheetView zoomScale="220" zoomScaleNormal="220" workbookViewId="0">
      <selection activeCell="C2" sqref="C2"/>
    </sheetView>
  </sheetViews>
  <sheetFormatPr baseColWidth="10" defaultColWidth="11.42578125" defaultRowHeight="12.75" x14ac:dyDescent="0.2"/>
  <cols>
    <col min="1" max="1" width="11.42578125" style="243"/>
    <col min="2" max="2" width="23.28515625" style="243" customWidth="1"/>
    <col min="3" max="3" width="18.7109375" style="243" customWidth="1"/>
    <col min="4" max="4" width="35.5703125" style="350" customWidth="1"/>
    <col min="5" max="16384" width="11.42578125" style="243"/>
  </cols>
  <sheetData>
    <row r="2" spans="2:4" ht="25.5" x14ac:dyDescent="0.2">
      <c r="B2" s="347" t="s">
        <v>1189</v>
      </c>
      <c r="C2" s="243">
        <v>200</v>
      </c>
      <c r="D2" s="254" t="s">
        <v>1188</v>
      </c>
    </row>
    <row r="3" spans="2:4" ht="25.5" x14ac:dyDescent="0.2">
      <c r="B3" s="347" t="s">
        <v>1187</v>
      </c>
      <c r="C3" s="243">
        <v>500</v>
      </c>
      <c r="D3" s="254" t="s">
        <v>1188</v>
      </c>
    </row>
    <row r="5" spans="2:4" ht="25.5" x14ac:dyDescent="0.2">
      <c r="B5" s="347" t="s">
        <v>1191</v>
      </c>
      <c r="C5" s="243">
        <v>1200</v>
      </c>
      <c r="D5" s="254" t="s">
        <v>1188</v>
      </c>
    </row>
    <row r="9" spans="2:4" x14ac:dyDescent="0.2">
      <c r="D9" s="254" t="s">
        <v>1134</v>
      </c>
    </row>
    <row r="10" spans="2:4" x14ac:dyDescent="0.2">
      <c r="C10" s="351" t="s">
        <v>477</v>
      </c>
      <c r="D10" s="254"/>
    </row>
    <row r="11" spans="2:4" ht="22.5" customHeight="1" x14ac:dyDescent="0.2">
      <c r="C11" s="246" t="s">
        <v>482</v>
      </c>
      <c r="D11" s="252" t="s">
        <v>1169</v>
      </c>
    </row>
    <row r="12" spans="2:4" ht="22.5" customHeight="1" x14ac:dyDescent="0.2">
      <c r="C12" s="246"/>
      <c r="D12" s="252" t="s">
        <v>1137</v>
      </c>
    </row>
    <row r="13" spans="2:4" ht="22.5" customHeight="1" x14ac:dyDescent="0.2">
      <c r="C13" s="246"/>
      <c r="D13" s="252" t="s">
        <v>1138</v>
      </c>
    </row>
    <row r="14" spans="2:4" ht="22.5" customHeight="1" x14ac:dyDescent="0.2">
      <c r="C14" s="246"/>
      <c r="D14" s="252" t="s">
        <v>379</v>
      </c>
    </row>
    <row r="15" spans="2:4" ht="22.5" customHeight="1" x14ac:dyDescent="0.2">
      <c r="C15" s="246"/>
      <c r="D15" s="252" t="s">
        <v>1139</v>
      </c>
    </row>
    <row r="16" spans="2:4" ht="22.5" customHeight="1" x14ac:dyDescent="0.2">
      <c r="C16" s="353"/>
      <c r="D16" s="13" t="s">
        <v>1186</v>
      </c>
    </row>
    <row r="17" spans="3:4" ht="22.5" customHeight="1" x14ac:dyDescent="0.2">
      <c r="C17" s="353"/>
      <c r="D17" s="254"/>
    </row>
    <row r="18" spans="3:4" ht="22.5" customHeight="1" x14ac:dyDescent="0.2">
      <c r="C18" s="246" t="s">
        <v>483</v>
      </c>
      <c r="D18" s="252" t="s">
        <v>1140</v>
      </c>
    </row>
    <row r="19" spans="3:4" ht="22.5" customHeight="1" x14ac:dyDescent="0.2">
      <c r="C19" s="246"/>
      <c r="D19" s="252" t="s">
        <v>1170</v>
      </c>
    </row>
    <row r="20" spans="3:4" ht="22.5" customHeight="1" x14ac:dyDescent="0.2">
      <c r="C20" s="246"/>
      <c r="D20" s="252" t="s">
        <v>1171</v>
      </c>
    </row>
    <row r="21" spans="3:4" ht="22.5" customHeight="1" x14ac:dyDescent="0.2">
      <c r="C21" s="246"/>
      <c r="D21" s="252" t="s">
        <v>1172</v>
      </c>
    </row>
    <row r="22" spans="3:4" ht="22.5" customHeight="1" x14ac:dyDescent="0.2">
      <c r="C22" s="246"/>
      <c r="D22" s="252" t="s">
        <v>1139</v>
      </c>
    </row>
    <row r="23" spans="3:4" ht="22.5" customHeight="1" x14ac:dyDescent="0.2">
      <c r="C23" s="352"/>
      <c r="D23" s="13" t="s">
        <v>1186</v>
      </c>
    </row>
    <row r="24" spans="3:4" ht="22.5" customHeight="1" x14ac:dyDescent="0.2">
      <c r="C24" s="351"/>
      <c r="D24" s="254"/>
    </row>
    <row r="25" spans="3:4" ht="22.5" customHeight="1" x14ac:dyDescent="0.2">
      <c r="C25" s="246" t="s">
        <v>484</v>
      </c>
      <c r="D25" s="252" t="s">
        <v>1171</v>
      </c>
    </row>
    <row r="26" spans="3:4" ht="22.5" customHeight="1" x14ac:dyDescent="0.2">
      <c r="C26" s="246"/>
      <c r="D26" s="252" t="s">
        <v>1172</v>
      </c>
    </row>
    <row r="27" spans="3:4" ht="22.5" customHeight="1" x14ac:dyDescent="0.2">
      <c r="C27" s="246"/>
      <c r="D27" s="252" t="s">
        <v>1139</v>
      </c>
    </row>
    <row r="28" spans="3:4" ht="22.5" customHeight="1" x14ac:dyDescent="0.2">
      <c r="C28" s="353"/>
      <c r="D28" s="13" t="s">
        <v>1186</v>
      </c>
    </row>
    <row r="29" spans="3:4" ht="22.5" customHeight="1" x14ac:dyDescent="0.2">
      <c r="C29" s="353"/>
      <c r="D29" s="254"/>
    </row>
    <row r="30" spans="3:4" ht="22.5" customHeight="1" x14ac:dyDescent="0.2">
      <c r="C30" s="246" t="s">
        <v>485</v>
      </c>
      <c r="D30" s="252" t="s">
        <v>1171</v>
      </c>
    </row>
    <row r="31" spans="3:4" ht="22.5" customHeight="1" x14ac:dyDescent="0.2">
      <c r="C31" s="246"/>
      <c r="D31" s="252" t="s">
        <v>1172</v>
      </c>
    </row>
    <row r="32" spans="3:4" ht="22.5" customHeight="1" x14ac:dyDescent="0.2">
      <c r="C32" s="246"/>
      <c r="D32" s="252" t="s">
        <v>1139</v>
      </c>
    </row>
    <row r="33" spans="3:4" ht="22.5" customHeight="1" x14ac:dyDescent="0.2">
      <c r="C33" s="353"/>
      <c r="D33" s="13" t="s">
        <v>1186</v>
      </c>
    </row>
    <row r="34" spans="3:4" ht="22.5" customHeight="1" x14ac:dyDescent="0.2">
      <c r="C34" s="353"/>
    </row>
    <row r="35" spans="3:4" ht="22.5" customHeight="1" x14ac:dyDescent="0.2">
      <c r="C35" s="246" t="s">
        <v>486</v>
      </c>
      <c r="D35" s="252" t="s">
        <v>1210</v>
      </c>
    </row>
    <row r="36" spans="3:4" ht="22.5" customHeight="1" x14ac:dyDescent="0.2">
      <c r="C36" s="246"/>
      <c r="D36" s="252" t="s">
        <v>1145</v>
      </c>
    </row>
    <row r="37" spans="3:4" ht="22.5" customHeight="1" x14ac:dyDescent="0.2">
      <c r="C37" s="246"/>
      <c r="D37" s="252" t="s">
        <v>1146</v>
      </c>
    </row>
    <row r="38" spans="3:4" ht="22.5" customHeight="1" x14ac:dyDescent="0.2">
      <c r="C38" s="246"/>
      <c r="D38" s="252" t="s">
        <v>1147</v>
      </c>
    </row>
    <row r="39" spans="3:4" ht="22.5" customHeight="1" x14ac:dyDescent="0.2">
      <c r="C39" s="246"/>
      <c r="D39" s="252" t="s">
        <v>1139</v>
      </c>
    </row>
    <row r="40" spans="3:4" ht="22.5" customHeight="1" x14ac:dyDescent="0.2">
      <c r="C40" s="353"/>
      <c r="D40" s="13" t="s">
        <v>1186</v>
      </c>
    </row>
    <row r="41" spans="3:4" ht="22.5" customHeight="1" x14ac:dyDescent="0.2">
      <c r="C41" s="353"/>
      <c r="D41" s="254"/>
    </row>
    <row r="42" spans="3:4" ht="22.5" customHeight="1" x14ac:dyDescent="0.2">
      <c r="C42" s="246" t="s">
        <v>488</v>
      </c>
      <c r="D42" s="252" t="s">
        <v>1317</v>
      </c>
    </row>
    <row r="43" spans="3:4" ht="22.5" customHeight="1" x14ac:dyDescent="0.2">
      <c r="C43" s="353"/>
      <c r="D43" s="13" t="s">
        <v>1186</v>
      </c>
    </row>
    <row r="44" spans="3:4" ht="22.5" customHeight="1" x14ac:dyDescent="0.2">
      <c r="C44" s="353"/>
    </row>
    <row r="45" spans="3:4" ht="22.5" customHeight="1" x14ac:dyDescent="0.2">
      <c r="C45" s="349" t="s">
        <v>1149</v>
      </c>
      <c r="D45" s="252" t="s">
        <v>1150</v>
      </c>
    </row>
    <row r="46" spans="3:4" ht="22.5" customHeight="1" x14ac:dyDescent="0.2">
      <c r="C46" s="246"/>
      <c r="D46" s="252" t="s">
        <v>1151</v>
      </c>
    </row>
    <row r="47" spans="3:4" ht="22.5" customHeight="1" x14ac:dyDescent="0.2">
      <c r="C47" s="246"/>
      <c r="D47" s="252" t="s">
        <v>1152</v>
      </c>
    </row>
    <row r="48" spans="3:4" ht="22.5" customHeight="1" x14ac:dyDescent="0.2">
      <c r="C48" s="246"/>
      <c r="D48" s="252" t="s">
        <v>1139</v>
      </c>
    </row>
    <row r="49" spans="3:4" ht="22.5" customHeight="1" x14ac:dyDescent="0.2">
      <c r="C49" s="361"/>
      <c r="D49" s="13" t="s">
        <v>1186</v>
      </c>
    </row>
    <row r="50" spans="3:4" ht="22.5" customHeight="1" x14ac:dyDescent="0.2"/>
    <row r="51" spans="3:4" ht="22.5" customHeight="1" x14ac:dyDescent="0.2">
      <c r="C51" s="246" t="s">
        <v>489</v>
      </c>
      <c r="D51" s="252" t="s">
        <v>1153</v>
      </c>
    </row>
    <row r="52" spans="3:4" ht="22.5" customHeight="1" x14ac:dyDescent="0.2">
      <c r="C52" s="246"/>
      <c r="D52" s="252" t="s">
        <v>1154</v>
      </c>
    </row>
    <row r="53" spans="3:4" ht="22.5" customHeight="1" x14ac:dyDescent="0.2">
      <c r="C53" s="246"/>
      <c r="D53" s="252" t="s">
        <v>1155</v>
      </c>
    </row>
    <row r="54" spans="3:4" ht="22.5" customHeight="1" x14ac:dyDescent="0.2">
      <c r="C54" s="353"/>
      <c r="D54" s="13" t="s">
        <v>1186</v>
      </c>
    </row>
    <row r="55" spans="3:4" ht="22.5" customHeight="1" x14ac:dyDescent="0.2">
      <c r="C55" s="353"/>
    </row>
    <row r="56" spans="3:4" ht="22.5" customHeight="1" x14ac:dyDescent="0.2">
      <c r="C56" s="246" t="s">
        <v>487</v>
      </c>
      <c r="D56" s="252" t="s">
        <v>1156</v>
      </c>
    </row>
    <row r="57" spans="3:4" ht="22.5" customHeight="1" x14ac:dyDescent="0.2">
      <c r="C57" s="246"/>
      <c r="D57" s="252" t="s">
        <v>1157</v>
      </c>
    </row>
    <row r="58" spans="3:4" ht="22.5" customHeight="1" x14ac:dyDescent="0.2">
      <c r="C58" s="353"/>
      <c r="D58" s="13" t="s">
        <v>1186</v>
      </c>
    </row>
    <row r="59" spans="3:4" ht="22.5" customHeight="1" x14ac:dyDescent="0.2">
      <c r="C59" s="355"/>
      <c r="D59" s="254"/>
    </row>
    <row r="60" spans="3:4" ht="22.5" customHeight="1" x14ac:dyDescent="0.2">
      <c r="C60" s="349" t="s">
        <v>1159</v>
      </c>
      <c r="D60" s="252" t="s">
        <v>1130</v>
      </c>
    </row>
    <row r="61" spans="3:4" ht="22.5" customHeight="1" x14ac:dyDescent="0.2">
      <c r="C61" s="349"/>
      <c r="D61" s="252" t="s">
        <v>1139</v>
      </c>
    </row>
    <row r="62" spans="3:4" ht="22.5" customHeight="1" x14ac:dyDescent="0.2">
      <c r="C62" s="355"/>
      <c r="D62" s="13" t="s">
        <v>1186</v>
      </c>
    </row>
    <row r="63" spans="3:4" ht="22.5" customHeight="1" x14ac:dyDescent="0.2">
      <c r="C63" s="355"/>
      <c r="D63" s="254"/>
    </row>
    <row r="64" spans="3:4" ht="22.5" customHeight="1" x14ac:dyDescent="0.2">
      <c r="C64" s="349" t="s">
        <v>1160</v>
      </c>
      <c r="D64" s="252" t="s">
        <v>1161</v>
      </c>
    </row>
    <row r="65" spans="3:4" ht="22.5" customHeight="1" x14ac:dyDescent="0.2">
      <c r="C65" s="349"/>
      <c r="D65" s="252" t="s">
        <v>1162</v>
      </c>
    </row>
    <row r="66" spans="3:4" ht="22.5" customHeight="1" x14ac:dyDescent="0.2">
      <c r="C66" s="246"/>
      <c r="D66" s="252" t="s">
        <v>1139</v>
      </c>
    </row>
    <row r="67" spans="3:4" ht="22.5" customHeight="1" x14ac:dyDescent="0.2">
      <c r="C67" s="353"/>
      <c r="D67" s="13" t="s">
        <v>1186</v>
      </c>
    </row>
    <row r="68" spans="3:4" ht="22.5" customHeight="1" x14ac:dyDescent="0.2">
      <c r="C68" s="353"/>
      <c r="D68" s="254"/>
    </row>
    <row r="69" spans="3:4" ht="22.5" customHeight="1" x14ac:dyDescent="0.2">
      <c r="C69" s="349" t="s">
        <v>1163</v>
      </c>
      <c r="D69" s="357" t="s">
        <v>1182</v>
      </c>
    </row>
    <row r="70" spans="3:4" ht="22.5" customHeight="1" x14ac:dyDescent="0.2">
      <c r="C70" s="246"/>
      <c r="D70" s="357" t="s">
        <v>1183</v>
      </c>
    </row>
    <row r="71" spans="3:4" ht="22.5" customHeight="1" x14ac:dyDescent="0.2">
      <c r="C71" s="246"/>
      <c r="D71" s="357" t="s">
        <v>1184</v>
      </c>
    </row>
    <row r="72" spans="3:4" ht="22.5" customHeight="1" x14ac:dyDescent="0.2">
      <c r="C72" s="358"/>
      <c r="D72" s="357" t="s">
        <v>1185</v>
      </c>
    </row>
    <row r="73" spans="3:4" ht="22.5" customHeight="1" x14ac:dyDescent="0.2">
      <c r="C73" s="358"/>
      <c r="D73" s="357" t="s">
        <v>1139</v>
      </c>
    </row>
    <row r="74" spans="3:4" ht="22.5" customHeight="1" x14ac:dyDescent="0.2">
      <c r="C74" s="359"/>
      <c r="D74" s="13" t="s">
        <v>1186</v>
      </c>
    </row>
    <row r="75" spans="3:4" ht="22.5" customHeight="1" x14ac:dyDescent="0.2">
      <c r="C75" s="359"/>
      <c r="D75" s="360"/>
    </row>
    <row r="76" spans="3:4" ht="22.5" customHeight="1" x14ac:dyDescent="0.2">
      <c r="C76" s="349" t="s">
        <v>1158</v>
      </c>
      <c r="D76" s="252" t="s">
        <v>1168</v>
      </c>
    </row>
    <row r="77" spans="3:4" ht="22.5" customHeight="1" x14ac:dyDescent="0.2">
      <c r="C77" s="354"/>
      <c r="D77" s="13" t="s">
        <v>1186</v>
      </c>
    </row>
    <row r="78" spans="3:4" ht="22.5" customHeight="1" x14ac:dyDescent="0.2">
      <c r="C78" s="354"/>
      <c r="D78" s="13"/>
    </row>
    <row r="79" spans="3:4" ht="22.5" customHeight="1" x14ac:dyDescent="0.2">
      <c r="C79" s="246" t="s">
        <v>490</v>
      </c>
      <c r="D79" s="252" t="s">
        <v>1168</v>
      </c>
    </row>
    <row r="80" spans="3:4" ht="22.5" customHeight="1" x14ac:dyDescent="0.2">
      <c r="C80" s="352"/>
      <c r="D80" s="13" t="s">
        <v>1186</v>
      </c>
    </row>
    <row r="81" spans="2:4" ht="22.5" customHeight="1" x14ac:dyDescent="0.2">
      <c r="C81" s="359"/>
      <c r="D81" s="360"/>
    </row>
    <row r="82" spans="2:4" ht="22.5" customHeight="1" x14ac:dyDescent="0.2">
      <c r="C82" s="356" t="s">
        <v>492</v>
      </c>
      <c r="D82" s="256" t="s">
        <v>1180</v>
      </c>
    </row>
    <row r="83" spans="2:4" x14ac:dyDescent="0.2">
      <c r="C83" s="347"/>
      <c r="D83" s="254" t="s">
        <v>1181</v>
      </c>
    </row>
    <row r="84" spans="2:4" x14ac:dyDescent="0.2">
      <c r="C84" s="347"/>
      <c r="D84" s="254" t="s">
        <v>1175</v>
      </c>
    </row>
    <row r="85" spans="2:4" x14ac:dyDescent="0.2">
      <c r="C85" s="347"/>
      <c r="D85" s="254" t="s">
        <v>1177</v>
      </c>
    </row>
    <row r="86" spans="2:4" x14ac:dyDescent="0.2">
      <c r="C86" s="347"/>
      <c r="D86" s="254" t="s">
        <v>1176</v>
      </c>
    </row>
    <row r="87" spans="2:4" x14ac:dyDescent="0.2">
      <c r="C87" s="347"/>
      <c r="D87" s="254" t="s">
        <v>1178</v>
      </c>
    </row>
    <row r="88" spans="2:4" x14ac:dyDescent="0.2">
      <c r="C88" s="347"/>
      <c r="D88" s="254" t="s">
        <v>1179</v>
      </c>
    </row>
    <row r="90" spans="2:4" x14ac:dyDescent="0.2">
      <c r="C90" s="347" t="s">
        <v>1221</v>
      </c>
      <c r="D90" s="254" t="s">
        <v>1222</v>
      </c>
    </row>
    <row r="91" spans="2:4" x14ac:dyDescent="0.2">
      <c r="D91" s="254" t="s">
        <v>1223</v>
      </c>
    </row>
    <row r="95" spans="2:4" x14ac:dyDescent="0.2">
      <c r="B95" s="362" t="s">
        <v>58</v>
      </c>
      <c r="C95" s="347"/>
    </row>
    <row r="96" spans="2:4" x14ac:dyDescent="0.2">
      <c r="B96" s="363" t="s">
        <v>59</v>
      </c>
    </row>
    <row r="97" spans="2:4" x14ac:dyDescent="0.2">
      <c r="B97" s="363" t="s">
        <v>60</v>
      </c>
    </row>
    <row r="98" spans="2:4" ht="12.75" customHeight="1" x14ac:dyDescent="0.2">
      <c r="B98" s="363" t="s">
        <v>61</v>
      </c>
    </row>
    <row r="99" spans="2:4" x14ac:dyDescent="0.2">
      <c r="B99" s="363" t="s">
        <v>390</v>
      </c>
    </row>
    <row r="100" spans="2:4" ht="12.75" customHeight="1" x14ac:dyDescent="0.2">
      <c r="B100" s="363" t="s">
        <v>62</v>
      </c>
    </row>
    <row r="101" spans="2:4" ht="12.75" customHeight="1" x14ac:dyDescent="0.2">
      <c r="B101" s="363" t="s">
        <v>63</v>
      </c>
    </row>
    <row r="103" spans="2:4" x14ac:dyDescent="0.2">
      <c r="B103" s="347" t="s">
        <v>1226</v>
      </c>
      <c r="C103" s="243">
        <v>0.74570000000000003</v>
      </c>
    </row>
    <row r="104" spans="2:4" x14ac:dyDescent="0.2">
      <c r="B104" s="347" t="s">
        <v>1228</v>
      </c>
      <c r="C104" s="243">
        <v>365</v>
      </c>
    </row>
    <row r="109" spans="2:4" x14ac:dyDescent="0.2">
      <c r="B109" s="55" t="s">
        <v>1230</v>
      </c>
      <c r="C109" s="55"/>
      <c r="D109" s="55"/>
    </row>
    <row r="110" spans="2:4" x14ac:dyDescent="0.2">
      <c r="B110" s="366" t="s">
        <v>1227</v>
      </c>
      <c r="C110" s="365"/>
      <c r="D110" s="246">
        <v>0.4</v>
      </c>
    </row>
    <row r="111" spans="2:4" x14ac:dyDescent="0.2">
      <c r="B111" s="244"/>
      <c r="C111" s="244"/>
      <c r="D111" s="244"/>
    </row>
    <row r="112" spans="2:4" x14ac:dyDescent="0.2">
      <c r="B112" s="55" t="s">
        <v>1231</v>
      </c>
      <c r="C112" s="361"/>
      <c r="D112" s="361"/>
    </row>
    <row r="113" spans="2:4" x14ac:dyDescent="0.2">
      <c r="B113" s="366" t="s">
        <v>1229</v>
      </c>
      <c r="C113" s="365"/>
      <c r="D113" s="246">
        <v>0.05</v>
      </c>
    </row>
    <row r="114" spans="2:4" x14ac:dyDescent="0.2">
      <c r="B114" s="366" t="s">
        <v>1225</v>
      </c>
      <c r="C114" s="365"/>
      <c r="D114" s="246">
        <v>12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Drop Down 1">
              <controlPr defaultSize="0" autoLine="0" autoPict="0">
                <anchor moveWithCells="1">
                  <from>
                    <xdr:col>3</xdr:col>
                    <xdr:colOff>0</xdr:colOff>
                    <xdr:row>105</xdr:row>
                    <xdr:rowOff>161925</xdr:rowOff>
                  </from>
                  <to>
                    <xdr:col>3</xdr:col>
                    <xdr:colOff>971550</xdr:colOff>
                    <xdr:row>107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C2:H93"/>
  <sheetViews>
    <sheetView topLeftCell="A58" zoomScale="175" zoomScaleNormal="175" workbookViewId="0">
      <selection activeCell="F65" sqref="F65"/>
    </sheetView>
  </sheetViews>
  <sheetFormatPr baseColWidth="10" defaultColWidth="11.42578125" defaultRowHeight="12.75" x14ac:dyDescent="0.2"/>
  <cols>
    <col min="1" max="2" width="11.42578125" style="243"/>
    <col min="3" max="3" width="36.85546875" style="243" customWidth="1"/>
    <col min="4" max="4" width="15.7109375" style="245" customWidth="1"/>
    <col min="5" max="5" width="12.42578125" style="245" customWidth="1"/>
    <col min="6" max="6" width="24.5703125" style="343" customWidth="1"/>
    <col min="7" max="8" width="15.7109375" style="245" customWidth="1"/>
    <col min="9" max="16384" width="11.42578125" style="243"/>
  </cols>
  <sheetData>
    <row r="2" spans="3:8" x14ac:dyDescent="0.2">
      <c r="C2" s="243" t="s">
        <v>464</v>
      </c>
    </row>
    <row r="4" spans="3:8" ht="25.5" x14ac:dyDescent="0.2">
      <c r="C4" s="246"/>
      <c r="D4" s="247"/>
      <c r="E4" s="247" t="s">
        <v>475</v>
      </c>
      <c r="F4" s="344" t="s">
        <v>476</v>
      </c>
      <c r="G4" s="247" t="s">
        <v>477</v>
      </c>
      <c r="H4" s="247" t="s">
        <v>478</v>
      </c>
    </row>
    <row r="5" spans="3:8" x14ac:dyDescent="0.2">
      <c r="C5" s="246" t="s">
        <v>465</v>
      </c>
      <c r="D5" s="247"/>
      <c r="E5" s="247" t="s">
        <v>97</v>
      </c>
      <c r="F5" s="344"/>
      <c r="G5" s="247"/>
      <c r="H5" s="247"/>
    </row>
    <row r="6" spans="3:8" x14ac:dyDescent="0.2">
      <c r="C6" s="246" t="s">
        <v>463</v>
      </c>
      <c r="D6" s="247"/>
      <c r="E6" s="247"/>
      <c r="F6" s="344" t="s">
        <v>97</v>
      </c>
      <c r="G6" s="247" t="s">
        <v>97</v>
      </c>
      <c r="H6" s="247" t="s">
        <v>97</v>
      </c>
    </row>
    <row r="7" spans="3:8" x14ac:dyDescent="0.2">
      <c r="C7" s="246" t="s">
        <v>494</v>
      </c>
      <c r="D7" s="247"/>
      <c r="E7" s="247"/>
      <c r="F7" s="344" t="s">
        <v>97</v>
      </c>
      <c r="G7" s="247"/>
      <c r="H7" s="247"/>
    </row>
    <row r="8" spans="3:8" x14ac:dyDescent="0.2">
      <c r="C8" s="246" t="s">
        <v>462</v>
      </c>
      <c r="D8" s="247"/>
      <c r="E8" s="247"/>
      <c r="F8" s="344" t="s">
        <v>97</v>
      </c>
      <c r="G8" s="247" t="s">
        <v>97</v>
      </c>
      <c r="H8" s="247" t="s">
        <v>97</v>
      </c>
    </row>
    <row r="9" spans="3:8" x14ac:dyDescent="0.2">
      <c r="C9" s="246" t="s">
        <v>466</v>
      </c>
      <c r="D9" s="247"/>
      <c r="E9" s="247"/>
      <c r="F9" s="344" t="s">
        <v>97</v>
      </c>
      <c r="G9" s="247"/>
      <c r="H9" s="247"/>
    </row>
    <row r="10" spans="3:8" x14ac:dyDescent="0.2">
      <c r="C10" s="246" t="s">
        <v>467</v>
      </c>
      <c r="D10" s="247"/>
      <c r="E10" s="247"/>
      <c r="F10" s="344" t="s">
        <v>97</v>
      </c>
      <c r="G10" s="247"/>
      <c r="H10" s="247"/>
    </row>
    <row r="11" spans="3:8" x14ac:dyDescent="0.2">
      <c r="C11" s="246" t="s">
        <v>468</v>
      </c>
      <c r="D11" s="247"/>
      <c r="E11" s="247"/>
      <c r="F11" s="344" t="s">
        <v>97</v>
      </c>
      <c r="G11" s="247"/>
      <c r="H11" s="247"/>
    </row>
    <row r="12" spans="3:8" x14ac:dyDescent="0.2">
      <c r="C12" s="246" t="s">
        <v>469</v>
      </c>
      <c r="D12" s="247"/>
      <c r="E12" s="247" t="s">
        <v>97</v>
      </c>
      <c r="F12" s="344" t="s">
        <v>97</v>
      </c>
      <c r="G12" s="247" t="s">
        <v>97</v>
      </c>
      <c r="H12" s="247" t="s">
        <v>97</v>
      </c>
    </row>
    <row r="13" spans="3:8" x14ac:dyDescent="0.2">
      <c r="C13" s="246" t="s">
        <v>479</v>
      </c>
      <c r="D13" s="247"/>
      <c r="E13" s="247"/>
      <c r="F13" s="344"/>
      <c r="G13" s="247" t="s">
        <v>97</v>
      </c>
      <c r="H13" s="247" t="s">
        <v>97</v>
      </c>
    </row>
    <row r="15" spans="3:8" x14ac:dyDescent="0.2">
      <c r="C15" s="244" t="s">
        <v>480</v>
      </c>
    </row>
    <row r="16" spans="3:8" x14ac:dyDescent="0.2">
      <c r="C16" s="244"/>
    </row>
    <row r="17" spans="3:7" ht="25.5" x14ac:dyDescent="0.2">
      <c r="E17" s="245" t="s">
        <v>495</v>
      </c>
      <c r="F17" s="343" t="s">
        <v>496</v>
      </c>
    </row>
    <row r="18" spans="3:7" x14ac:dyDescent="0.2">
      <c r="C18" s="243" t="s">
        <v>457</v>
      </c>
      <c r="E18" s="245" t="s">
        <v>497</v>
      </c>
      <c r="F18" s="343" t="s">
        <v>460</v>
      </c>
      <c r="G18" s="256" t="s">
        <v>528</v>
      </c>
    </row>
    <row r="19" spans="3:7" x14ac:dyDescent="0.2">
      <c r="C19" s="243" t="s">
        <v>459</v>
      </c>
      <c r="E19" s="245" t="s">
        <v>497</v>
      </c>
      <c r="F19" s="343" t="s">
        <v>460</v>
      </c>
      <c r="G19" s="256" t="s">
        <v>528</v>
      </c>
    </row>
    <row r="20" spans="3:7" ht="38.25" x14ac:dyDescent="0.2">
      <c r="C20" s="243" t="s">
        <v>458</v>
      </c>
      <c r="F20" s="343" t="s">
        <v>460</v>
      </c>
      <c r="G20" s="256" t="s">
        <v>529</v>
      </c>
    </row>
    <row r="21" spans="3:7" x14ac:dyDescent="0.2">
      <c r="C21" s="243" t="s">
        <v>461</v>
      </c>
      <c r="E21" s="245" t="s">
        <v>130</v>
      </c>
      <c r="F21" s="343" t="s">
        <v>460</v>
      </c>
    </row>
    <row r="24" spans="3:7" x14ac:dyDescent="0.2">
      <c r="C24" s="244" t="s">
        <v>481</v>
      </c>
    </row>
    <row r="26" spans="3:7" x14ac:dyDescent="0.2">
      <c r="C26" s="243" t="s">
        <v>470</v>
      </c>
      <c r="E26" s="245" t="s">
        <v>498</v>
      </c>
      <c r="F26" s="343" t="s">
        <v>493</v>
      </c>
    </row>
    <row r="27" spans="3:7" ht="25.5" x14ac:dyDescent="0.2">
      <c r="C27" s="243" t="s">
        <v>474</v>
      </c>
      <c r="E27" s="245" t="s">
        <v>498</v>
      </c>
      <c r="F27" s="343" t="s">
        <v>493</v>
      </c>
    </row>
    <row r="28" spans="3:7" x14ac:dyDescent="0.2">
      <c r="C28" s="243" t="s">
        <v>472</v>
      </c>
      <c r="E28" s="245" t="s">
        <v>499</v>
      </c>
      <c r="F28" s="343" t="s">
        <v>493</v>
      </c>
    </row>
    <row r="29" spans="3:7" ht="25.5" x14ac:dyDescent="0.2">
      <c r="C29" s="243" t="s">
        <v>473</v>
      </c>
      <c r="E29" s="245" t="s">
        <v>499</v>
      </c>
      <c r="F29" s="343" t="s">
        <v>493</v>
      </c>
    </row>
    <row r="30" spans="3:7" x14ac:dyDescent="0.2">
      <c r="C30" s="243" t="s">
        <v>471</v>
      </c>
      <c r="E30" s="245" t="s">
        <v>500</v>
      </c>
      <c r="F30" s="343" t="s">
        <v>501</v>
      </c>
    </row>
    <row r="32" spans="3:7" x14ac:dyDescent="0.2">
      <c r="F32" s="345" t="s">
        <v>1134</v>
      </c>
    </row>
    <row r="33" spans="3:7" x14ac:dyDescent="0.2">
      <c r="C33" s="246" t="s">
        <v>477</v>
      </c>
      <c r="D33" s="256" t="s">
        <v>102</v>
      </c>
      <c r="E33" s="256" t="s">
        <v>1129</v>
      </c>
      <c r="F33" s="345"/>
      <c r="G33" s="348" t="s">
        <v>1131</v>
      </c>
    </row>
    <row r="34" spans="3:7" ht="22.5" customHeight="1" x14ac:dyDescent="0.2">
      <c r="C34" s="246" t="s">
        <v>482</v>
      </c>
      <c r="D34" s="256" t="s">
        <v>1132</v>
      </c>
      <c r="E34" s="245">
        <v>1</v>
      </c>
      <c r="F34" s="345" t="s">
        <v>1136</v>
      </c>
      <c r="G34" s="348">
        <v>5500</v>
      </c>
    </row>
    <row r="35" spans="3:7" ht="22.5" customHeight="1" x14ac:dyDescent="0.2">
      <c r="C35" s="246"/>
      <c r="D35" s="256"/>
      <c r="F35" s="345" t="s">
        <v>1137</v>
      </c>
      <c r="G35" s="348"/>
    </row>
    <row r="36" spans="3:7" ht="22.5" customHeight="1" x14ac:dyDescent="0.2">
      <c r="C36" s="246"/>
      <c r="D36" s="256"/>
      <c r="F36" s="345" t="s">
        <v>1138</v>
      </c>
      <c r="G36" s="348"/>
    </row>
    <row r="37" spans="3:7" ht="22.5" customHeight="1" x14ac:dyDescent="0.2">
      <c r="C37" s="246"/>
      <c r="D37" s="256"/>
      <c r="F37" s="345" t="s">
        <v>1139</v>
      </c>
      <c r="G37" s="348"/>
    </row>
    <row r="38" spans="3:7" ht="22.5" customHeight="1" x14ac:dyDescent="0.2">
      <c r="C38" s="246"/>
      <c r="D38" s="256"/>
      <c r="F38" s="345"/>
      <c r="G38" s="348"/>
    </row>
    <row r="39" spans="3:7" ht="22.5" customHeight="1" x14ac:dyDescent="0.2">
      <c r="C39" s="246" t="s">
        <v>483</v>
      </c>
      <c r="D39" s="256" t="s">
        <v>150</v>
      </c>
      <c r="E39" s="245">
        <v>20</v>
      </c>
      <c r="F39" s="345" t="s">
        <v>1140</v>
      </c>
      <c r="G39" s="348"/>
    </row>
    <row r="40" spans="3:7" ht="22.5" customHeight="1" x14ac:dyDescent="0.2">
      <c r="C40" s="246"/>
      <c r="D40" s="256"/>
      <c r="F40" s="345" t="s">
        <v>1143</v>
      </c>
      <c r="G40" s="348"/>
    </row>
    <row r="41" spans="3:7" ht="22.5" customHeight="1" x14ac:dyDescent="0.2">
      <c r="C41" s="246"/>
      <c r="D41" s="256"/>
      <c r="F41" s="345" t="s">
        <v>1141</v>
      </c>
      <c r="G41" s="348"/>
    </row>
    <row r="42" spans="3:7" ht="22.5" customHeight="1" x14ac:dyDescent="0.2">
      <c r="C42" s="246"/>
      <c r="D42" s="256"/>
      <c r="F42" s="345" t="s">
        <v>1142</v>
      </c>
      <c r="G42" s="348"/>
    </row>
    <row r="43" spans="3:7" ht="22.5" customHeight="1" x14ac:dyDescent="0.2">
      <c r="C43" s="246"/>
      <c r="D43" s="256"/>
      <c r="F43" s="345" t="s">
        <v>1139</v>
      </c>
      <c r="G43" s="348"/>
    </row>
    <row r="44" spans="3:7" ht="22.5" customHeight="1" x14ac:dyDescent="0.2">
      <c r="C44" s="246"/>
      <c r="D44" s="256"/>
      <c r="F44" s="345"/>
      <c r="G44" s="348"/>
    </row>
    <row r="45" spans="3:7" ht="22.5" customHeight="1" x14ac:dyDescent="0.2">
      <c r="C45" s="246"/>
      <c r="D45" s="256"/>
      <c r="F45" s="345"/>
      <c r="G45" s="348"/>
    </row>
    <row r="46" spans="3:7" ht="22.5" customHeight="1" x14ac:dyDescent="0.2">
      <c r="C46" s="246" t="s">
        <v>484</v>
      </c>
      <c r="D46" s="256" t="s">
        <v>150</v>
      </c>
      <c r="E46" s="245">
        <v>800</v>
      </c>
      <c r="F46" s="345" t="s">
        <v>1141</v>
      </c>
      <c r="G46" s="348"/>
    </row>
    <row r="47" spans="3:7" ht="22.5" customHeight="1" x14ac:dyDescent="0.2">
      <c r="C47" s="246"/>
      <c r="D47" s="256"/>
      <c r="F47" s="345" t="s">
        <v>1142</v>
      </c>
      <c r="G47" s="348"/>
    </row>
    <row r="48" spans="3:7" ht="22.5" customHeight="1" x14ac:dyDescent="0.2">
      <c r="C48" s="246"/>
      <c r="D48" s="256"/>
      <c r="F48" s="345" t="s">
        <v>1139</v>
      </c>
      <c r="G48" s="348"/>
    </row>
    <row r="49" spans="3:7" ht="22.5" customHeight="1" x14ac:dyDescent="0.2">
      <c r="C49" s="246"/>
      <c r="D49" s="256"/>
      <c r="F49" s="345"/>
      <c r="G49" s="348"/>
    </row>
    <row r="50" spans="3:7" ht="22.5" customHeight="1" x14ac:dyDescent="0.2">
      <c r="C50" s="246" t="s">
        <v>485</v>
      </c>
      <c r="F50" s="345" t="s">
        <v>1141</v>
      </c>
      <c r="G50" s="348"/>
    </row>
    <row r="51" spans="3:7" ht="22.5" customHeight="1" x14ac:dyDescent="0.2">
      <c r="C51" s="246"/>
      <c r="F51" s="345" t="s">
        <v>1142</v>
      </c>
      <c r="G51" s="348"/>
    </row>
    <row r="52" spans="3:7" ht="22.5" customHeight="1" x14ac:dyDescent="0.2">
      <c r="C52" s="246"/>
      <c r="F52" s="345" t="s">
        <v>1139</v>
      </c>
      <c r="G52" s="348"/>
    </row>
    <row r="53" spans="3:7" ht="22.5" customHeight="1" x14ac:dyDescent="0.2">
      <c r="C53" s="246"/>
      <c r="G53" s="348"/>
    </row>
    <row r="54" spans="3:7" ht="22.5" customHeight="1" x14ac:dyDescent="0.2">
      <c r="C54" s="246" t="s">
        <v>486</v>
      </c>
      <c r="D54" s="256" t="s">
        <v>99</v>
      </c>
      <c r="E54" s="245">
        <v>1500</v>
      </c>
      <c r="F54" s="345" t="s">
        <v>1144</v>
      </c>
      <c r="G54" s="348">
        <v>54000</v>
      </c>
    </row>
    <row r="55" spans="3:7" ht="22.5" customHeight="1" x14ac:dyDescent="0.2">
      <c r="C55" s="246"/>
      <c r="D55" s="256"/>
      <c r="F55" s="345" t="s">
        <v>1145</v>
      </c>
      <c r="G55" s="348"/>
    </row>
    <row r="56" spans="3:7" ht="22.5" customHeight="1" x14ac:dyDescent="0.2">
      <c r="C56" s="246"/>
      <c r="D56" s="256"/>
      <c r="F56" s="345" t="s">
        <v>1146</v>
      </c>
      <c r="G56" s="348"/>
    </row>
    <row r="57" spans="3:7" ht="22.5" customHeight="1" x14ac:dyDescent="0.2">
      <c r="C57" s="246"/>
      <c r="D57" s="256"/>
      <c r="F57" s="345" t="s">
        <v>1147</v>
      </c>
      <c r="G57" s="348"/>
    </row>
    <row r="58" spans="3:7" ht="22.5" customHeight="1" x14ac:dyDescent="0.2">
      <c r="C58" s="246"/>
      <c r="D58" s="256"/>
      <c r="F58" s="345" t="s">
        <v>1139</v>
      </c>
      <c r="G58" s="348"/>
    </row>
    <row r="59" spans="3:7" ht="22.5" customHeight="1" x14ac:dyDescent="0.2">
      <c r="C59" s="246"/>
      <c r="D59" s="256"/>
      <c r="F59" s="345"/>
      <c r="G59" s="348"/>
    </row>
    <row r="60" spans="3:7" ht="22.5" customHeight="1" x14ac:dyDescent="0.2">
      <c r="C60" s="246" t="s">
        <v>488</v>
      </c>
      <c r="D60" s="256">
        <v>1</v>
      </c>
      <c r="E60" s="256" t="s">
        <v>1132</v>
      </c>
      <c r="F60" s="345" t="s">
        <v>1148</v>
      </c>
      <c r="G60" s="348"/>
    </row>
    <row r="61" spans="3:7" ht="22.5" customHeight="1" x14ac:dyDescent="0.2">
      <c r="C61" s="246"/>
      <c r="D61" s="256"/>
      <c r="G61" s="348"/>
    </row>
    <row r="62" spans="3:7" ht="22.5" customHeight="1" x14ac:dyDescent="0.2">
      <c r="C62" s="349" t="s">
        <v>1149</v>
      </c>
      <c r="D62" s="256">
        <v>1</v>
      </c>
      <c r="E62" s="256" t="s">
        <v>1132</v>
      </c>
      <c r="F62" s="345" t="s">
        <v>1150</v>
      </c>
      <c r="G62" s="348"/>
    </row>
    <row r="63" spans="3:7" ht="22.5" customHeight="1" x14ac:dyDescent="0.2">
      <c r="C63" s="246"/>
      <c r="D63" s="256"/>
      <c r="F63" s="345" t="s">
        <v>1151</v>
      </c>
      <c r="G63" s="348"/>
    </row>
    <row r="64" spans="3:7" ht="22.5" customHeight="1" x14ac:dyDescent="0.2">
      <c r="C64" s="246"/>
      <c r="D64" s="256"/>
      <c r="F64" s="345" t="s">
        <v>1152</v>
      </c>
      <c r="G64" s="348"/>
    </row>
    <row r="65" spans="3:6" ht="22.5" customHeight="1" x14ac:dyDescent="0.2">
      <c r="D65" s="256"/>
      <c r="F65" s="345" t="s">
        <v>1139</v>
      </c>
    </row>
    <row r="66" spans="3:6" ht="22.5" customHeight="1" x14ac:dyDescent="0.2"/>
    <row r="67" spans="3:6" ht="22.5" customHeight="1" x14ac:dyDescent="0.2">
      <c r="C67" s="246" t="s">
        <v>489</v>
      </c>
      <c r="D67" s="245">
        <v>1</v>
      </c>
      <c r="E67" s="256" t="s">
        <v>1132</v>
      </c>
      <c r="F67" s="345" t="s">
        <v>1153</v>
      </c>
    </row>
    <row r="68" spans="3:6" ht="22.5" customHeight="1" x14ac:dyDescent="0.2">
      <c r="C68" s="246"/>
      <c r="F68" s="345" t="s">
        <v>1154</v>
      </c>
    </row>
    <row r="69" spans="3:6" ht="22.5" customHeight="1" x14ac:dyDescent="0.2">
      <c r="C69" s="246"/>
      <c r="F69" s="345" t="s">
        <v>1155</v>
      </c>
    </row>
    <row r="70" spans="3:6" ht="22.5" customHeight="1" x14ac:dyDescent="0.2">
      <c r="C70" s="246"/>
    </row>
    <row r="71" spans="3:6" ht="22.5" customHeight="1" x14ac:dyDescent="0.2">
      <c r="C71" s="246" t="s">
        <v>487</v>
      </c>
      <c r="D71" s="245">
        <v>1</v>
      </c>
      <c r="E71" s="256" t="s">
        <v>1132</v>
      </c>
      <c r="F71" s="345" t="s">
        <v>1156</v>
      </c>
    </row>
    <row r="72" spans="3:6" ht="22.5" customHeight="1" x14ac:dyDescent="0.2">
      <c r="C72" s="246"/>
      <c r="F72" s="345" t="s">
        <v>1157</v>
      </c>
    </row>
    <row r="73" spans="3:6" ht="22.5" customHeight="1" x14ac:dyDescent="0.2">
      <c r="C73" s="246"/>
    </row>
    <row r="74" spans="3:6" ht="22.5" customHeight="1" x14ac:dyDescent="0.2">
      <c r="C74" s="349" t="s">
        <v>1158</v>
      </c>
      <c r="D74" s="245">
        <v>1</v>
      </c>
      <c r="E74" s="256" t="s">
        <v>1133</v>
      </c>
      <c r="F74" s="345" t="s">
        <v>170</v>
      </c>
    </row>
    <row r="75" spans="3:6" ht="22.5" customHeight="1" x14ac:dyDescent="0.2">
      <c r="C75" s="349"/>
      <c r="E75" s="256"/>
      <c r="F75" s="345"/>
    </row>
    <row r="76" spans="3:6" ht="22.5" customHeight="1" x14ac:dyDescent="0.2">
      <c r="C76" s="349" t="s">
        <v>1159</v>
      </c>
      <c r="D76" s="245">
        <v>1</v>
      </c>
      <c r="E76" s="256" t="s">
        <v>1132</v>
      </c>
      <c r="F76" s="345" t="s">
        <v>1130</v>
      </c>
    </row>
    <row r="77" spans="3:6" ht="22.5" customHeight="1" x14ac:dyDescent="0.2">
      <c r="C77" s="349"/>
      <c r="E77" s="256"/>
      <c r="F77" s="345" t="s">
        <v>1139</v>
      </c>
    </row>
    <row r="78" spans="3:6" ht="22.5" customHeight="1" x14ac:dyDescent="0.2">
      <c r="C78" s="349"/>
      <c r="E78" s="256"/>
      <c r="F78" s="345"/>
    </row>
    <row r="79" spans="3:6" ht="22.5" customHeight="1" x14ac:dyDescent="0.2">
      <c r="C79" s="349" t="s">
        <v>1160</v>
      </c>
      <c r="D79" s="256" t="s">
        <v>1132</v>
      </c>
      <c r="E79" s="256">
        <v>1</v>
      </c>
      <c r="F79" s="345" t="s">
        <v>1161</v>
      </c>
    </row>
    <row r="80" spans="3:6" ht="22.5" customHeight="1" x14ac:dyDescent="0.2">
      <c r="C80" s="349"/>
      <c r="E80" s="256"/>
      <c r="F80" s="345" t="s">
        <v>1162</v>
      </c>
    </row>
    <row r="81" spans="3:6" ht="22.5" customHeight="1" x14ac:dyDescent="0.2">
      <c r="C81" s="246"/>
      <c r="F81" s="345" t="s">
        <v>1139</v>
      </c>
    </row>
    <row r="82" spans="3:6" ht="22.5" customHeight="1" x14ac:dyDescent="0.2">
      <c r="C82" s="246"/>
      <c r="F82" s="345"/>
    </row>
    <row r="83" spans="3:6" ht="22.5" customHeight="1" x14ac:dyDescent="0.2">
      <c r="C83" s="246" t="s">
        <v>490</v>
      </c>
      <c r="D83" s="245">
        <v>1</v>
      </c>
      <c r="E83" s="256" t="s">
        <v>1133</v>
      </c>
      <c r="F83" s="345" t="s">
        <v>170</v>
      </c>
    </row>
    <row r="84" spans="3:6" ht="22.5" customHeight="1" x14ac:dyDescent="0.2">
      <c r="C84" s="246"/>
    </row>
    <row r="85" spans="3:6" ht="22.5" customHeight="1" x14ac:dyDescent="0.2">
      <c r="C85" s="349" t="s">
        <v>1163</v>
      </c>
      <c r="D85" s="245">
        <v>1</v>
      </c>
      <c r="E85" s="256" t="s">
        <v>1133</v>
      </c>
      <c r="F85" s="343" t="s">
        <v>1164</v>
      </c>
    </row>
    <row r="86" spans="3:6" ht="22.5" customHeight="1" x14ac:dyDescent="0.2">
      <c r="C86" s="246"/>
      <c r="F86" s="343" t="s">
        <v>1165</v>
      </c>
    </row>
    <row r="87" spans="3:6" ht="22.5" customHeight="1" x14ac:dyDescent="0.2">
      <c r="C87" s="246"/>
      <c r="F87" s="343" t="s">
        <v>1167</v>
      </c>
    </row>
    <row r="88" spans="3:6" ht="22.5" customHeight="1" x14ac:dyDescent="0.2">
      <c r="C88" s="346" t="s">
        <v>491</v>
      </c>
      <c r="F88" s="343" t="s">
        <v>1166</v>
      </c>
    </row>
    <row r="89" spans="3:6" ht="22.5" customHeight="1" x14ac:dyDescent="0.2">
      <c r="C89" s="227" t="s">
        <v>492</v>
      </c>
      <c r="F89" s="343" t="s">
        <v>1139</v>
      </c>
    </row>
    <row r="90" spans="3:6" x14ac:dyDescent="0.2">
      <c r="C90" s="347"/>
    </row>
    <row r="91" spans="3:6" x14ac:dyDescent="0.2">
      <c r="C91" s="347"/>
    </row>
    <row r="93" spans="3:6" x14ac:dyDescent="0.2">
      <c r="C93" s="347" t="s">
        <v>1135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M313"/>
  <sheetViews>
    <sheetView topLeftCell="A121" zoomScale="175" zoomScaleNormal="175" workbookViewId="0">
      <selection activeCell="B139" sqref="B139"/>
    </sheetView>
  </sheetViews>
  <sheetFormatPr baseColWidth="10" defaultColWidth="11.42578125" defaultRowHeight="13.5" x14ac:dyDescent="0.2"/>
  <cols>
    <col min="1" max="1" width="8.140625" style="260" customWidth="1"/>
    <col min="2" max="2" width="51" style="260" customWidth="1"/>
    <col min="3" max="3" width="9.5703125" style="312" customWidth="1"/>
    <col min="4" max="4" width="7.5703125" style="260" customWidth="1"/>
    <col min="5" max="6" width="11.42578125" style="260"/>
    <col min="7" max="7" width="6.28515625" style="260" customWidth="1"/>
    <col min="8" max="8" width="6.28515625" style="261" hidden="1" customWidth="1"/>
    <col min="9" max="9" width="9.85546875" style="262" hidden="1" customWidth="1"/>
    <col min="10" max="10" width="12.28515625" style="260" hidden="1" customWidth="1"/>
    <col min="11" max="11" width="11.42578125" style="260"/>
    <col min="12" max="12" width="4.5703125" style="260" customWidth="1"/>
    <col min="13" max="16384" width="11.42578125" style="260"/>
  </cols>
  <sheetData>
    <row r="1" spans="1:11" ht="18.75" thickBot="1" x14ac:dyDescent="0.25">
      <c r="A1" s="1124" t="s">
        <v>551</v>
      </c>
      <c r="B1" s="1125"/>
      <c r="C1" s="1125"/>
      <c r="D1" s="1125"/>
      <c r="E1" s="1125"/>
      <c r="F1" s="1126"/>
    </row>
    <row r="2" spans="1:11" ht="38.25" customHeight="1" x14ac:dyDescent="0.2">
      <c r="A2" s="263" t="s">
        <v>424</v>
      </c>
      <c r="B2" s="1127"/>
      <c r="C2" s="1127"/>
      <c r="D2" s="1127"/>
      <c r="E2" s="1127"/>
      <c r="F2" s="1128"/>
    </row>
    <row r="3" spans="1:11" x14ac:dyDescent="0.2">
      <c r="A3" s="264" t="s">
        <v>552</v>
      </c>
      <c r="B3" s="265"/>
      <c r="C3" s="266" t="s">
        <v>553</v>
      </c>
      <c r="D3" s="267">
        <v>15</v>
      </c>
      <c r="E3" s="268"/>
      <c r="F3" s="269"/>
    </row>
    <row r="4" spans="1:11" x14ac:dyDescent="0.2">
      <c r="A4" s="264" t="s">
        <v>554</v>
      </c>
      <c r="B4" s="1129" t="s">
        <v>1108</v>
      </c>
      <c r="C4" s="1129"/>
      <c r="D4" s="1129"/>
      <c r="E4" s="1129"/>
      <c r="F4" s="1130"/>
    </row>
    <row r="5" spans="1:11" x14ac:dyDescent="0.2">
      <c r="A5" s="270" t="s">
        <v>555</v>
      </c>
      <c r="B5" s="270" t="s">
        <v>24</v>
      </c>
      <c r="C5" s="270" t="s">
        <v>556</v>
      </c>
      <c r="D5" s="270" t="s">
        <v>557</v>
      </c>
      <c r="E5" s="270" t="s">
        <v>558</v>
      </c>
      <c r="F5" s="270" t="s">
        <v>559</v>
      </c>
    </row>
    <row r="6" spans="1:11" x14ac:dyDescent="0.25">
      <c r="A6" s="271" t="s">
        <v>560</v>
      </c>
      <c r="B6" s="272" t="s">
        <v>561</v>
      </c>
      <c r="C6" s="272"/>
      <c r="D6" s="273"/>
      <c r="E6" s="273"/>
      <c r="F6" s="273">
        <v>1800</v>
      </c>
      <c r="H6" s="274"/>
      <c r="K6" s="364">
        <f>+F6/F311</f>
        <v>7.1928485822256088E-3</v>
      </c>
    </row>
    <row r="7" spans="1:11" s="278" customFormat="1" x14ac:dyDescent="0.25">
      <c r="A7" s="275" t="s">
        <v>562</v>
      </c>
      <c r="B7" s="276" t="s">
        <v>563</v>
      </c>
      <c r="C7" s="276" t="s">
        <v>564</v>
      </c>
      <c r="D7" s="277">
        <v>1</v>
      </c>
      <c r="E7" s="277">
        <v>700</v>
      </c>
      <c r="F7" s="277">
        <v>700</v>
      </c>
      <c r="H7" s="279"/>
      <c r="I7" s="280"/>
    </row>
    <row r="8" spans="1:11" s="278" customFormat="1" x14ac:dyDescent="0.25">
      <c r="A8" s="275" t="s">
        <v>565</v>
      </c>
      <c r="B8" s="276" t="s">
        <v>566</v>
      </c>
      <c r="C8" s="276" t="s">
        <v>567</v>
      </c>
      <c r="D8" s="277">
        <v>1</v>
      </c>
      <c r="E8" s="277">
        <v>1100</v>
      </c>
      <c r="F8" s="277">
        <v>1100</v>
      </c>
      <c r="H8" s="279"/>
      <c r="I8" s="280"/>
    </row>
    <row r="9" spans="1:11" s="278" customFormat="1" x14ac:dyDescent="0.25">
      <c r="A9" s="271" t="s">
        <v>568</v>
      </c>
      <c r="B9" s="272" t="s">
        <v>569</v>
      </c>
      <c r="C9" s="272"/>
      <c r="D9" s="273"/>
      <c r="E9" s="273"/>
      <c r="F9" s="273">
        <v>1115.22</v>
      </c>
      <c r="H9" s="279"/>
      <c r="I9" s="280"/>
    </row>
    <row r="10" spans="1:11" s="278" customFormat="1" x14ac:dyDescent="0.25">
      <c r="A10" s="281" t="s">
        <v>570</v>
      </c>
      <c r="B10" s="282" t="s">
        <v>571</v>
      </c>
      <c r="C10" s="282"/>
      <c r="D10" s="283"/>
      <c r="E10" s="283"/>
      <c r="F10" s="283">
        <v>11.27</v>
      </c>
      <c r="H10" s="279"/>
      <c r="I10" s="280"/>
    </row>
    <row r="11" spans="1:11" s="278" customFormat="1" x14ac:dyDescent="0.25">
      <c r="A11" s="275" t="s">
        <v>572</v>
      </c>
      <c r="B11" s="276" t="s">
        <v>573</v>
      </c>
      <c r="C11" s="276" t="s">
        <v>574</v>
      </c>
      <c r="D11" s="277">
        <v>4</v>
      </c>
      <c r="E11" s="277">
        <v>0.95</v>
      </c>
      <c r="F11" s="277">
        <v>3.8</v>
      </c>
      <c r="H11" s="279"/>
      <c r="I11" s="280"/>
    </row>
    <row r="12" spans="1:11" s="278" customFormat="1" x14ac:dyDescent="0.25">
      <c r="A12" s="275" t="s">
        <v>575</v>
      </c>
      <c r="B12" s="276" t="s">
        <v>576</v>
      </c>
      <c r="C12" s="276" t="s">
        <v>574</v>
      </c>
      <c r="D12" s="277">
        <v>3</v>
      </c>
      <c r="E12" s="277">
        <v>2.4900000000000002</v>
      </c>
      <c r="F12" s="277">
        <v>7.47</v>
      </c>
      <c r="H12" s="279"/>
      <c r="I12" s="280"/>
    </row>
    <row r="13" spans="1:11" s="278" customFormat="1" x14ac:dyDescent="0.25">
      <c r="A13" s="281" t="s">
        <v>577</v>
      </c>
      <c r="B13" s="282" t="s">
        <v>578</v>
      </c>
      <c r="C13" s="282"/>
      <c r="D13" s="283"/>
      <c r="E13" s="283"/>
      <c r="F13" s="283">
        <v>30.74</v>
      </c>
      <c r="H13" s="279"/>
      <c r="I13" s="280"/>
    </row>
    <row r="14" spans="1:11" s="278" customFormat="1" x14ac:dyDescent="0.25">
      <c r="A14" s="275" t="s">
        <v>579</v>
      </c>
      <c r="B14" s="276" t="s">
        <v>580</v>
      </c>
      <c r="C14" s="276" t="s">
        <v>530</v>
      </c>
      <c r="D14" s="277">
        <v>1.34</v>
      </c>
      <c r="E14" s="277">
        <v>18.899999999999999</v>
      </c>
      <c r="F14" s="277">
        <v>25.33</v>
      </c>
      <c r="H14" s="279"/>
      <c r="I14" s="280"/>
    </row>
    <row r="15" spans="1:11" s="278" customFormat="1" x14ac:dyDescent="0.25">
      <c r="A15" s="275" t="s">
        <v>581</v>
      </c>
      <c r="B15" s="276" t="s">
        <v>582</v>
      </c>
      <c r="C15" s="276" t="s">
        <v>574</v>
      </c>
      <c r="D15" s="277">
        <v>4.29</v>
      </c>
      <c r="E15" s="277">
        <v>1.26</v>
      </c>
      <c r="F15" s="277">
        <v>5.41</v>
      </c>
      <c r="H15" s="279"/>
      <c r="I15" s="280"/>
    </row>
    <row r="16" spans="1:11" s="278" customFormat="1" x14ac:dyDescent="0.25">
      <c r="A16" s="281" t="s">
        <v>583</v>
      </c>
      <c r="B16" s="282" t="s">
        <v>584</v>
      </c>
      <c r="C16" s="282"/>
      <c r="D16" s="283"/>
      <c r="E16" s="283"/>
      <c r="F16" s="283">
        <v>634.58000000000004</v>
      </c>
      <c r="H16" s="279"/>
      <c r="I16" s="280"/>
    </row>
    <row r="17" spans="1:9" s="278" customFormat="1" x14ac:dyDescent="0.25">
      <c r="A17" s="275" t="s">
        <v>585</v>
      </c>
      <c r="B17" s="276" t="s">
        <v>586</v>
      </c>
      <c r="C17" s="276" t="s">
        <v>530</v>
      </c>
      <c r="D17" s="277">
        <v>0.53</v>
      </c>
      <c r="E17" s="277">
        <v>426.39</v>
      </c>
      <c r="F17" s="277">
        <v>225.99</v>
      </c>
      <c r="H17" s="279"/>
      <c r="I17" s="280"/>
    </row>
    <row r="18" spans="1:9" s="278" customFormat="1" x14ac:dyDescent="0.25">
      <c r="A18" s="275" t="s">
        <v>587</v>
      </c>
      <c r="B18" s="276" t="s">
        <v>588</v>
      </c>
      <c r="C18" s="276" t="s">
        <v>574</v>
      </c>
      <c r="D18" s="277">
        <v>7.71</v>
      </c>
      <c r="E18" s="277">
        <v>24.62</v>
      </c>
      <c r="F18" s="277">
        <v>189.82</v>
      </c>
      <c r="H18" s="279"/>
      <c r="I18" s="280"/>
    </row>
    <row r="19" spans="1:9" s="278" customFormat="1" x14ac:dyDescent="0.25">
      <c r="A19" s="275" t="s">
        <v>589</v>
      </c>
      <c r="B19" s="276" t="s">
        <v>590</v>
      </c>
      <c r="C19" s="276" t="s">
        <v>591</v>
      </c>
      <c r="D19" s="277">
        <v>30.64</v>
      </c>
      <c r="E19" s="277">
        <v>7.14</v>
      </c>
      <c r="F19" s="277">
        <v>218.77</v>
      </c>
      <c r="H19" s="279"/>
      <c r="I19" s="280"/>
    </row>
    <row r="20" spans="1:9" s="278" customFormat="1" x14ac:dyDescent="0.25">
      <c r="A20" s="281" t="s">
        <v>592</v>
      </c>
      <c r="B20" s="282" t="s">
        <v>593</v>
      </c>
      <c r="C20" s="282"/>
      <c r="D20" s="283"/>
      <c r="E20" s="283"/>
      <c r="F20" s="283">
        <v>139.47999999999999</v>
      </c>
      <c r="H20" s="279"/>
      <c r="I20" s="280"/>
    </row>
    <row r="21" spans="1:9" s="278" customFormat="1" x14ac:dyDescent="0.25">
      <c r="A21" s="275" t="s">
        <v>594</v>
      </c>
      <c r="B21" s="276" t="s">
        <v>595</v>
      </c>
      <c r="C21" s="276" t="s">
        <v>574</v>
      </c>
      <c r="D21" s="277">
        <v>3.22</v>
      </c>
      <c r="E21" s="277">
        <v>15.93</v>
      </c>
      <c r="F21" s="277">
        <v>51.29</v>
      </c>
      <c r="H21" s="279"/>
      <c r="I21" s="280"/>
    </row>
    <row r="22" spans="1:9" s="278" customFormat="1" x14ac:dyDescent="0.25">
      <c r="A22" s="275" t="s">
        <v>596</v>
      </c>
      <c r="B22" s="276" t="s">
        <v>597</v>
      </c>
      <c r="C22" s="276" t="s">
        <v>574</v>
      </c>
      <c r="D22" s="277">
        <v>3.49</v>
      </c>
      <c r="E22" s="277">
        <v>25.27</v>
      </c>
      <c r="F22" s="277">
        <v>88.19</v>
      </c>
      <c r="H22" s="279"/>
      <c r="I22" s="280"/>
    </row>
    <row r="23" spans="1:9" s="278" customFormat="1" x14ac:dyDescent="0.25">
      <c r="A23" s="281" t="s">
        <v>598</v>
      </c>
      <c r="B23" s="282" t="s">
        <v>599</v>
      </c>
      <c r="C23" s="282"/>
      <c r="D23" s="283"/>
      <c r="E23" s="283"/>
      <c r="F23" s="283">
        <v>299.14999999999998</v>
      </c>
      <c r="H23" s="279"/>
      <c r="I23" s="280"/>
    </row>
    <row r="24" spans="1:9" s="278" customFormat="1" x14ac:dyDescent="0.25">
      <c r="A24" s="275" t="s">
        <v>600</v>
      </c>
      <c r="B24" s="276" t="s">
        <v>601</v>
      </c>
      <c r="C24" s="276" t="s">
        <v>564</v>
      </c>
      <c r="D24" s="277">
        <v>1</v>
      </c>
      <c r="E24" s="277">
        <v>210.9</v>
      </c>
      <c r="F24" s="277">
        <v>210.9</v>
      </c>
      <c r="H24" s="279"/>
      <c r="I24" s="280"/>
    </row>
    <row r="25" spans="1:9" s="278" customFormat="1" x14ac:dyDescent="0.25">
      <c r="A25" s="275" t="s">
        <v>602</v>
      </c>
      <c r="B25" s="276" t="s">
        <v>603</v>
      </c>
      <c r="C25" s="276" t="s">
        <v>567</v>
      </c>
      <c r="D25" s="277">
        <v>1</v>
      </c>
      <c r="E25" s="277">
        <v>88.25</v>
      </c>
      <c r="F25" s="277">
        <v>88.25</v>
      </c>
      <c r="H25" s="279"/>
      <c r="I25" s="280"/>
    </row>
    <row r="26" spans="1:9" s="278" customFormat="1" x14ac:dyDescent="0.25">
      <c r="A26" s="271" t="s">
        <v>604</v>
      </c>
      <c r="B26" s="272" t="s">
        <v>605</v>
      </c>
      <c r="C26" s="272"/>
      <c r="D26" s="273"/>
      <c r="E26" s="273"/>
      <c r="F26" s="273">
        <v>351.02</v>
      </c>
      <c r="H26" s="279"/>
      <c r="I26" s="280"/>
    </row>
    <row r="27" spans="1:9" s="278" customFormat="1" x14ac:dyDescent="0.25">
      <c r="A27" s="281" t="s">
        <v>606</v>
      </c>
      <c r="B27" s="282" t="s">
        <v>571</v>
      </c>
      <c r="C27" s="282"/>
      <c r="D27" s="283"/>
      <c r="E27" s="283"/>
      <c r="F27" s="283">
        <v>12.4</v>
      </c>
      <c r="H27" s="279"/>
      <c r="I27" s="280"/>
    </row>
    <row r="28" spans="1:9" s="278" customFormat="1" x14ac:dyDescent="0.25">
      <c r="A28" s="275" t="s">
        <v>607</v>
      </c>
      <c r="B28" s="276" t="s">
        <v>608</v>
      </c>
      <c r="C28" s="276" t="s">
        <v>609</v>
      </c>
      <c r="D28" s="277">
        <v>10</v>
      </c>
      <c r="E28" s="277">
        <v>0.32</v>
      </c>
      <c r="F28" s="277">
        <v>3.2</v>
      </c>
      <c r="H28" s="279"/>
      <c r="I28" s="280"/>
    </row>
    <row r="29" spans="1:9" s="278" customFormat="1" x14ac:dyDescent="0.25">
      <c r="A29" s="275" t="s">
        <v>610</v>
      </c>
      <c r="B29" s="276" t="s">
        <v>611</v>
      </c>
      <c r="C29" s="276" t="s">
        <v>609</v>
      </c>
      <c r="D29" s="277">
        <v>10</v>
      </c>
      <c r="E29" s="277">
        <v>0.92</v>
      </c>
      <c r="F29" s="277">
        <v>9.1999999999999993</v>
      </c>
      <c r="H29" s="279"/>
      <c r="I29" s="280"/>
    </row>
    <row r="30" spans="1:9" s="278" customFormat="1" x14ac:dyDescent="0.25">
      <c r="A30" s="281" t="s">
        <v>612</v>
      </c>
      <c r="B30" s="282" t="s">
        <v>578</v>
      </c>
      <c r="C30" s="282"/>
      <c r="D30" s="283"/>
      <c r="E30" s="283"/>
      <c r="F30" s="283">
        <v>70.7</v>
      </c>
      <c r="H30" s="279"/>
      <c r="I30" s="280"/>
    </row>
    <row r="31" spans="1:9" x14ac:dyDescent="0.25">
      <c r="A31" s="275" t="s">
        <v>613</v>
      </c>
      <c r="B31" s="276" t="s">
        <v>614</v>
      </c>
      <c r="C31" s="276" t="s">
        <v>530</v>
      </c>
      <c r="D31" s="277">
        <v>3.5</v>
      </c>
      <c r="E31" s="277">
        <v>12.6</v>
      </c>
      <c r="F31" s="277">
        <v>44.1</v>
      </c>
    </row>
    <row r="32" spans="1:9" x14ac:dyDescent="0.25">
      <c r="A32" s="275" t="s">
        <v>615</v>
      </c>
      <c r="B32" s="276" t="s">
        <v>616</v>
      </c>
      <c r="C32" s="276" t="s">
        <v>609</v>
      </c>
      <c r="D32" s="277">
        <v>10</v>
      </c>
      <c r="E32" s="277">
        <v>0.95</v>
      </c>
      <c r="F32" s="277">
        <v>9.5</v>
      </c>
    </row>
    <row r="33" spans="1:9" s="278" customFormat="1" x14ac:dyDescent="0.25">
      <c r="A33" s="275" t="s">
        <v>617</v>
      </c>
      <c r="B33" s="276" t="s">
        <v>618</v>
      </c>
      <c r="C33" s="276" t="s">
        <v>530</v>
      </c>
      <c r="D33" s="277">
        <v>1.5</v>
      </c>
      <c r="E33" s="277">
        <v>3.84</v>
      </c>
      <c r="F33" s="277">
        <v>5.76</v>
      </c>
      <c r="H33" s="279"/>
      <c r="I33" s="280"/>
    </row>
    <row r="34" spans="1:9" x14ac:dyDescent="0.25">
      <c r="A34" s="275" t="s">
        <v>619</v>
      </c>
      <c r="B34" s="276" t="s">
        <v>620</v>
      </c>
      <c r="C34" s="276" t="s">
        <v>530</v>
      </c>
      <c r="D34" s="277">
        <v>1.5</v>
      </c>
      <c r="E34" s="277">
        <v>7.56</v>
      </c>
      <c r="F34" s="277">
        <v>11.34</v>
      </c>
    </row>
    <row r="35" spans="1:9" s="278" customFormat="1" x14ac:dyDescent="0.25">
      <c r="A35" s="281" t="s">
        <v>621</v>
      </c>
      <c r="B35" s="282" t="s">
        <v>622</v>
      </c>
      <c r="C35" s="282"/>
      <c r="D35" s="283"/>
      <c r="E35" s="283"/>
      <c r="F35" s="283">
        <v>187.92</v>
      </c>
      <c r="H35" s="279"/>
      <c r="I35" s="280"/>
    </row>
    <row r="36" spans="1:9" s="278" customFormat="1" x14ac:dyDescent="0.25">
      <c r="A36" s="275" t="s">
        <v>623</v>
      </c>
      <c r="B36" s="276" t="s">
        <v>624</v>
      </c>
      <c r="C36" s="276" t="s">
        <v>609</v>
      </c>
      <c r="D36" s="277">
        <v>12</v>
      </c>
      <c r="E36" s="277">
        <v>15.66</v>
      </c>
      <c r="F36" s="277">
        <v>187.92</v>
      </c>
      <c r="H36" s="279"/>
      <c r="I36" s="280"/>
    </row>
    <row r="37" spans="1:9" s="278" customFormat="1" x14ac:dyDescent="0.25">
      <c r="A37" s="281" t="s">
        <v>625</v>
      </c>
      <c r="B37" s="282" t="s">
        <v>626</v>
      </c>
      <c r="C37" s="282"/>
      <c r="D37" s="283"/>
      <c r="E37" s="283"/>
      <c r="F37" s="283">
        <v>80</v>
      </c>
      <c r="H37" s="279"/>
      <c r="I37" s="280"/>
    </row>
    <row r="38" spans="1:9" x14ac:dyDescent="0.25">
      <c r="A38" s="275" t="s">
        <v>627</v>
      </c>
      <c r="B38" s="276" t="s">
        <v>628</v>
      </c>
      <c r="C38" s="276" t="s">
        <v>567</v>
      </c>
      <c r="D38" s="277">
        <v>1</v>
      </c>
      <c r="E38" s="277">
        <v>80</v>
      </c>
      <c r="F38" s="277">
        <v>80</v>
      </c>
      <c r="H38" s="274"/>
    </row>
    <row r="39" spans="1:9" s="278" customFormat="1" x14ac:dyDescent="0.25">
      <c r="A39" s="271" t="s">
        <v>629</v>
      </c>
      <c r="B39" s="272" t="s">
        <v>630</v>
      </c>
      <c r="C39" s="272"/>
      <c r="D39" s="273"/>
      <c r="E39" s="273"/>
      <c r="F39" s="273">
        <v>29054.76</v>
      </c>
      <c r="H39" s="279"/>
      <c r="I39" s="280"/>
    </row>
    <row r="40" spans="1:9" s="278" customFormat="1" x14ac:dyDescent="0.25">
      <c r="A40" s="281" t="s">
        <v>631</v>
      </c>
      <c r="B40" s="282" t="s">
        <v>571</v>
      </c>
      <c r="C40" s="282"/>
      <c r="D40" s="283"/>
      <c r="E40" s="283"/>
      <c r="F40" s="283">
        <v>770.55</v>
      </c>
      <c r="H40" s="279"/>
      <c r="I40" s="280"/>
    </row>
    <row r="41" spans="1:9" x14ac:dyDescent="0.25">
      <c r="A41" s="275" t="s">
        <v>632</v>
      </c>
      <c r="B41" s="276" t="s">
        <v>573</v>
      </c>
      <c r="C41" s="276" t="s">
        <v>574</v>
      </c>
      <c r="D41" s="277">
        <v>300</v>
      </c>
      <c r="E41" s="277">
        <v>0.95</v>
      </c>
      <c r="F41" s="277">
        <v>285</v>
      </c>
    </row>
    <row r="42" spans="1:9" s="278" customFormat="1" x14ac:dyDescent="0.25">
      <c r="A42" s="275" t="s">
        <v>633</v>
      </c>
      <c r="B42" s="276" t="s">
        <v>576</v>
      </c>
      <c r="C42" s="276" t="s">
        <v>574</v>
      </c>
      <c r="D42" s="277">
        <v>195</v>
      </c>
      <c r="E42" s="277">
        <v>2.4900000000000002</v>
      </c>
      <c r="F42" s="277">
        <v>485.55</v>
      </c>
      <c r="H42" s="274"/>
      <c r="I42" s="280"/>
    </row>
    <row r="43" spans="1:9" s="278" customFormat="1" x14ac:dyDescent="0.25">
      <c r="A43" s="281" t="s">
        <v>634</v>
      </c>
      <c r="B43" s="282" t="s">
        <v>578</v>
      </c>
      <c r="C43" s="282"/>
      <c r="D43" s="283"/>
      <c r="E43" s="283"/>
      <c r="F43" s="283">
        <v>15167.76</v>
      </c>
      <c r="H43" s="279"/>
      <c r="I43" s="280"/>
    </row>
    <row r="44" spans="1:9" x14ac:dyDescent="0.25">
      <c r="A44" s="275" t="s">
        <v>635</v>
      </c>
      <c r="B44" s="276" t="s">
        <v>636</v>
      </c>
      <c r="C44" s="276" t="s">
        <v>530</v>
      </c>
      <c r="D44" s="277">
        <v>396</v>
      </c>
      <c r="E44" s="277">
        <v>20</v>
      </c>
      <c r="F44" s="277">
        <v>7920</v>
      </c>
    </row>
    <row r="45" spans="1:9" s="278" customFormat="1" x14ac:dyDescent="0.25">
      <c r="A45" s="275" t="s">
        <v>637</v>
      </c>
      <c r="B45" s="276" t="s">
        <v>638</v>
      </c>
      <c r="C45" s="276" t="s">
        <v>639</v>
      </c>
      <c r="D45" s="277">
        <v>80</v>
      </c>
      <c r="E45" s="277">
        <v>2.99</v>
      </c>
      <c r="F45" s="277">
        <v>239.2</v>
      </c>
      <c r="H45" s="279"/>
      <c r="I45" s="280"/>
    </row>
    <row r="46" spans="1:9" x14ac:dyDescent="0.25">
      <c r="A46" s="275" t="s">
        <v>640</v>
      </c>
      <c r="B46" s="276" t="s">
        <v>641</v>
      </c>
      <c r="C46" s="276" t="s">
        <v>530</v>
      </c>
      <c r="D46" s="277">
        <v>200</v>
      </c>
      <c r="E46" s="277">
        <v>9.16</v>
      </c>
      <c r="F46" s="277">
        <v>1832</v>
      </c>
    </row>
    <row r="47" spans="1:9" x14ac:dyDescent="0.25">
      <c r="A47" s="275" t="s">
        <v>642</v>
      </c>
      <c r="B47" s="276" t="s">
        <v>614</v>
      </c>
      <c r="C47" s="276" t="s">
        <v>530</v>
      </c>
      <c r="D47" s="277">
        <v>14</v>
      </c>
      <c r="E47" s="277">
        <v>12.6</v>
      </c>
      <c r="F47" s="277">
        <v>176.4</v>
      </c>
    </row>
    <row r="48" spans="1:9" x14ac:dyDescent="0.25">
      <c r="A48" s="275" t="s">
        <v>643</v>
      </c>
      <c r="B48" s="276" t="s">
        <v>620</v>
      </c>
      <c r="C48" s="276" t="s">
        <v>530</v>
      </c>
      <c r="D48" s="277">
        <v>38</v>
      </c>
      <c r="E48" s="277">
        <v>7.56</v>
      </c>
      <c r="F48" s="277">
        <v>287.27999999999997</v>
      </c>
    </row>
    <row r="49" spans="1:6" x14ac:dyDescent="0.25">
      <c r="A49" s="275" t="s">
        <v>644</v>
      </c>
      <c r="B49" s="276" t="s">
        <v>645</v>
      </c>
      <c r="C49" s="276" t="s">
        <v>574</v>
      </c>
      <c r="D49" s="277">
        <v>269</v>
      </c>
      <c r="E49" s="277">
        <v>17.52</v>
      </c>
      <c r="F49" s="277">
        <v>4712.88</v>
      </c>
    </row>
    <row r="50" spans="1:6" x14ac:dyDescent="0.25">
      <c r="A50" s="281" t="s">
        <v>646</v>
      </c>
      <c r="B50" s="282" t="s">
        <v>647</v>
      </c>
      <c r="C50" s="282"/>
      <c r="D50" s="283"/>
      <c r="E50" s="283"/>
      <c r="F50" s="283">
        <v>11604.62</v>
      </c>
    </row>
    <row r="51" spans="1:6" x14ac:dyDescent="0.25">
      <c r="A51" s="275" t="s">
        <v>648</v>
      </c>
      <c r="B51" s="276" t="s">
        <v>649</v>
      </c>
      <c r="C51" s="276" t="s">
        <v>574</v>
      </c>
      <c r="D51" s="277">
        <v>211</v>
      </c>
      <c r="E51" s="277">
        <v>11.88</v>
      </c>
      <c r="F51" s="277">
        <v>2506.6799999999998</v>
      </c>
    </row>
    <row r="52" spans="1:6" x14ac:dyDescent="0.25">
      <c r="A52" s="275" t="s">
        <v>650</v>
      </c>
      <c r="B52" s="276" t="s">
        <v>651</v>
      </c>
      <c r="C52" s="276" t="s">
        <v>574</v>
      </c>
      <c r="D52" s="277">
        <v>298</v>
      </c>
      <c r="E52" s="277">
        <v>30.53</v>
      </c>
      <c r="F52" s="277">
        <v>9097.94</v>
      </c>
    </row>
    <row r="53" spans="1:6" x14ac:dyDescent="0.25">
      <c r="A53" s="281" t="s">
        <v>652</v>
      </c>
      <c r="B53" s="282" t="s">
        <v>653</v>
      </c>
      <c r="C53" s="282"/>
      <c r="D53" s="283"/>
      <c r="E53" s="283"/>
      <c r="F53" s="283">
        <v>526.48</v>
      </c>
    </row>
    <row r="54" spans="1:6" x14ac:dyDescent="0.25">
      <c r="A54" s="275" t="s">
        <v>654</v>
      </c>
      <c r="B54" s="276" t="s">
        <v>655</v>
      </c>
      <c r="C54" s="276" t="s">
        <v>567</v>
      </c>
      <c r="D54" s="277">
        <v>1</v>
      </c>
      <c r="E54" s="277">
        <v>526.48</v>
      </c>
      <c r="F54" s="277">
        <v>526.48</v>
      </c>
    </row>
    <row r="55" spans="1:6" x14ac:dyDescent="0.25">
      <c r="A55" s="281" t="s">
        <v>656</v>
      </c>
      <c r="B55" s="282" t="s">
        <v>657</v>
      </c>
      <c r="C55" s="282"/>
      <c r="D55" s="283"/>
      <c r="E55" s="283"/>
      <c r="F55" s="283">
        <v>985.35</v>
      </c>
    </row>
    <row r="56" spans="1:6" x14ac:dyDescent="0.25">
      <c r="A56" s="275" t="s">
        <v>658</v>
      </c>
      <c r="B56" s="276" t="s">
        <v>580</v>
      </c>
      <c r="C56" s="276" t="s">
        <v>530</v>
      </c>
      <c r="D56" s="277">
        <v>1.17</v>
      </c>
      <c r="E56" s="277">
        <v>18.899999999999999</v>
      </c>
      <c r="F56" s="277">
        <v>22.11</v>
      </c>
    </row>
    <row r="57" spans="1:6" x14ac:dyDescent="0.25">
      <c r="A57" s="275" t="s">
        <v>659</v>
      </c>
      <c r="B57" s="276" t="s">
        <v>660</v>
      </c>
      <c r="C57" s="276" t="s">
        <v>609</v>
      </c>
      <c r="D57" s="277">
        <v>64</v>
      </c>
      <c r="E57" s="277">
        <v>14.41</v>
      </c>
      <c r="F57" s="277">
        <v>922.24</v>
      </c>
    </row>
    <row r="58" spans="1:6" x14ac:dyDescent="0.25">
      <c r="A58" s="275" t="s">
        <v>661</v>
      </c>
      <c r="B58" s="276" t="s">
        <v>662</v>
      </c>
      <c r="C58" s="276" t="s">
        <v>564</v>
      </c>
      <c r="D58" s="277">
        <v>1</v>
      </c>
      <c r="E58" s="277">
        <v>41</v>
      </c>
      <c r="F58" s="277">
        <v>41</v>
      </c>
    </row>
    <row r="59" spans="1:6" x14ac:dyDescent="0.25">
      <c r="A59" s="271" t="s">
        <v>663</v>
      </c>
      <c r="B59" s="272" t="s">
        <v>664</v>
      </c>
      <c r="C59" s="272"/>
      <c r="D59" s="273"/>
      <c r="E59" s="273"/>
      <c r="F59" s="273">
        <v>1306.8900000000001</v>
      </c>
    </row>
    <row r="60" spans="1:6" x14ac:dyDescent="0.25">
      <c r="A60" s="281" t="s">
        <v>665</v>
      </c>
      <c r="B60" s="282" t="s">
        <v>571</v>
      </c>
      <c r="C60" s="282"/>
      <c r="D60" s="283"/>
      <c r="E60" s="283"/>
      <c r="F60" s="283">
        <v>5.09</v>
      </c>
    </row>
    <row r="61" spans="1:6" x14ac:dyDescent="0.25">
      <c r="A61" s="275" t="s">
        <v>666</v>
      </c>
      <c r="B61" s="276" t="s">
        <v>576</v>
      </c>
      <c r="C61" s="276" t="s">
        <v>574</v>
      </c>
      <c r="D61" s="277">
        <v>1.28</v>
      </c>
      <c r="E61" s="277">
        <v>2.4900000000000002</v>
      </c>
      <c r="F61" s="277">
        <v>3.19</v>
      </c>
    </row>
    <row r="62" spans="1:6" x14ac:dyDescent="0.25">
      <c r="A62" s="275" t="s">
        <v>667</v>
      </c>
      <c r="B62" s="276" t="s">
        <v>573</v>
      </c>
      <c r="C62" s="276" t="s">
        <v>574</v>
      </c>
      <c r="D62" s="277">
        <v>2</v>
      </c>
      <c r="E62" s="277">
        <v>0.95</v>
      </c>
      <c r="F62" s="277">
        <v>1.9</v>
      </c>
    </row>
    <row r="63" spans="1:6" x14ac:dyDescent="0.25">
      <c r="A63" s="281" t="s">
        <v>668</v>
      </c>
      <c r="B63" s="282" t="s">
        <v>578</v>
      </c>
      <c r="C63" s="282"/>
      <c r="D63" s="283"/>
      <c r="E63" s="283"/>
      <c r="F63" s="283">
        <v>38.78</v>
      </c>
    </row>
    <row r="64" spans="1:6" x14ac:dyDescent="0.25">
      <c r="A64" s="275" t="s">
        <v>669</v>
      </c>
      <c r="B64" s="276" t="s">
        <v>580</v>
      </c>
      <c r="C64" s="276" t="s">
        <v>530</v>
      </c>
      <c r="D64" s="277">
        <v>1.62</v>
      </c>
      <c r="E64" s="277">
        <v>18.899999999999999</v>
      </c>
      <c r="F64" s="277">
        <v>30.62</v>
      </c>
    </row>
    <row r="65" spans="1:9" x14ac:dyDescent="0.25">
      <c r="A65" s="275" t="s">
        <v>670</v>
      </c>
      <c r="B65" s="276" t="s">
        <v>582</v>
      </c>
      <c r="C65" s="276" t="s">
        <v>574</v>
      </c>
      <c r="D65" s="277">
        <v>6.48</v>
      </c>
      <c r="E65" s="277">
        <v>1.26</v>
      </c>
      <c r="F65" s="277">
        <v>8.16</v>
      </c>
    </row>
    <row r="66" spans="1:9" x14ac:dyDescent="0.25">
      <c r="A66" s="281" t="s">
        <v>671</v>
      </c>
      <c r="B66" s="282" t="s">
        <v>584</v>
      </c>
      <c r="C66" s="282"/>
      <c r="D66" s="283"/>
      <c r="E66" s="283"/>
      <c r="F66" s="283">
        <v>218.39</v>
      </c>
    </row>
    <row r="67" spans="1:9" x14ac:dyDescent="0.25">
      <c r="A67" s="275" t="s">
        <v>672</v>
      </c>
      <c r="B67" s="276" t="s">
        <v>586</v>
      </c>
      <c r="C67" s="276" t="s">
        <v>530</v>
      </c>
      <c r="D67" s="277">
        <v>0.22</v>
      </c>
      <c r="E67" s="277">
        <v>426.39</v>
      </c>
      <c r="F67" s="277">
        <v>93.81</v>
      </c>
    </row>
    <row r="68" spans="1:9" x14ac:dyDescent="0.25">
      <c r="A68" s="275" t="s">
        <v>673</v>
      </c>
      <c r="B68" s="276" t="s">
        <v>588</v>
      </c>
      <c r="C68" s="276" t="s">
        <v>574</v>
      </c>
      <c r="D68" s="277">
        <v>5.0599999999999996</v>
      </c>
      <c r="E68" s="277">
        <v>24.62</v>
      </c>
      <c r="F68" s="277">
        <v>124.58</v>
      </c>
      <c r="H68" s="274"/>
    </row>
    <row r="69" spans="1:9" x14ac:dyDescent="0.25">
      <c r="A69" s="281" t="s">
        <v>674</v>
      </c>
      <c r="B69" s="282" t="s">
        <v>593</v>
      </c>
      <c r="C69" s="282"/>
      <c r="D69" s="283"/>
      <c r="E69" s="283"/>
      <c r="F69" s="283">
        <v>111.19</v>
      </c>
    </row>
    <row r="70" spans="1:9" x14ac:dyDescent="0.25">
      <c r="A70" s="275" t="s">
        <v>675</v>
      </c>
      <c r="B70" s="276" t="s">
        <v>597</v>
      </c>
      <c r="C70" s="276" t="s">
        <v>574</v>
      </c>
      <c r="D70" s="277">
        <v>4.4000000000000004</v>
      </c>
      <c r="E70" s="277">
        <v>25.27</v>
      </c>
      <c r="F70" s="277">
        <v>111.19</v>
      </c>
    </row>
    <row r="71" spans="1:9" x14ac:dyDescent="0.25">
      <c r="A71" s="281" t="s">
        <v>676</v>
      </c>
      <c r="B71" s="282" t="s">
        <v>677</v>
      </c>
      <c r="C71" s="282"/>
      <c r="D71" s="283"/>
      <c r="E71" s="283"/>
      <c r="F71" s="283">
        <v>933.44</v>
      </c>
    </row>
    <row r="72" spans="1:9" s="278" customFormat="1" x14ac:dyDescent="0.25">
      <c r="A72" s="275" t="s">
        <v>678</v>
      </c>
      <c r="B72" s="276" t="s">
        <v>679</v>
      </c>
      <c r="C72" s="276" t="s">
        <v>564</v>
      </c>
      <c r="D72" s="277">
        <v>1</v>
      </c>
      <c r="E72" s="277">
        <v>367.32</v>
      </c>
      <c r="F72" s="277">
        <v>367.32</v>
      </c>
      <c r="H72" s="274"/>
      <c r="I72" s="280"/>
    </row>
    <row r="73" spans="1:9" s="278" customFormat="1" x14ac:dyDescent="0.25">
      <c r="A73" s="275" t="s">
        <v>680</v>
      </c>
      <c r="B73" s="276" t="s">
        <v>681</v>
      </c>
      <c r="C73" s="276" t="s">
        <v>564</v>
      </c>
      <c r="D73" s="277">
        <v>1</v>
      </c>
      <c r="E73" s="277">
        <v>347.32</v>
      </c>
      <c r="F73" s="277">
        <v>347.32</v>
      </c>
      <c r="H73" s="274"/>
      <c r="I73" s="280"/>
    </row>
    <row r="74" spans="1:9" x14ac:dyDescent="0.25">
      <c r="A74" s="275" t="s">
        <v>682</v>
      </c>
      <c r="B74" s="276" t="s">
        <v>683</v>
      </c>
      <c r="C74" s="276" t="s">
        <v>564</v>
      </c>
      <c r="D74" s="277">
        <v>2</v>
      </c>
      <c r="E74" s="277">
        <v>109.4</v>
      </c>
      <c r="F74" s="277">
        <v>218.8</v>
      </c>
      <c r="H74" s="274"/>
    </row>
    <row r="75" spans="1:9" s="278" customFormat="1" x14ac:dyDescent="0.25">
      <c r="A75" s="271" t="s">
        <v>684</v>
      </c>
      <c r="B75" s="272" t="s">
        <v>685</v>
      </c>
      <c r="C75" s="272"/>
      <c r="D75" s="273"/>
      <c r="E75" s="273"/>
      <c r="F75" s="273">
        <v>4333.29</v>
      </c>
      <c r="H75" s="279"/>
      <c r="I75" s="280"/>
    </row>
    <row r="76" spans="1:9" s="278" customFormat="1" x14ac:dyDescent="0.25">
      <c r="A76" s="281" t="s">
        <v>686</v>
      </c>
      <c r="B76" s="282" t="s">
        <v>571</v>
      </c>
      <c r="C76" s="282"/>
      <c r="D76" s="283"/>
      <c r="E76" s="283"/>
      <c r="F76" s="283">
        <v>22.16</v>
      </c>
      <c r="H76" s="279"/>
      <c r="I76" s="280"/>
    </row>
    <row r="77" spans="1:9" s="278" customFormat="1" x14ac:dyDescent="0.25">
      <c r="A77" s="275" t="s">
        <v>687</v>
      </c>
      <c r="B77" s="276" t="s">
        <v>573</v>
      </c>
      <c r="C77" s="276" t="s">
        <v>574</v>
      </c>
      <c r="D77" s="277">
        <v>12</v>
      </c>
      <c r="E77" s="277">
        <v>0.95</v>
      </c>
      <c r="F77" s="277">
        <v>11.4</v>
      </c>
      <c r="H77" s="274"/>
      <c r="I77" s="280"/>
    </row>
    <row r="78" spans="1:9" x14ac:dyDescent="0.25">
      <c r="A78" s="275" t="s">
        <v>688</v>
      </c>
      <c r="B78" s="276" t="s">
        <v>576</v>
      </c>
      <c r="C78" s="276" t="s">
        <v>574</v>
      </c>
      <c r="D78" s="277">
        <v>4.32</v>
      </c>
      <c r="E78" s="277">
        <v>2.4900000000000002</v>
      </c>
      <c r="F78" s="277">
        <v>10.76</v>
      </c>
      <c r="H78" s="274"/>
    </row>
    <row r="79" spans="1:9" s="278" customFormat="1" x14ac:dyDescent="0.25">
      <c r="A79" s="281" t="s">
        <v>689</v>
      </c>
      <c r="B79" s="282" t="s">
        <v>578</v>
      </c>
      <c r="C79" s="282"/>
      <c r="D79" s="283"/>
      <c r="E79" s="283"/>
      <c r="F79" s="283">
        <v>65.39</v>
      </c>
      <c r="H79" s="274"/>
      <c r="I79" s="280"/>
    </row>
    <row r="80" spans="1:9" x14ac:dyDescent="0.25">
      <c r="A80" s="275" t="s">
        <v>690</v>
      </c>
      <c r="B80" s="276" t="s">
        <v>580</v>
      </c>
      <c r="C80" s="276" t="s">
        <v>530</v>
      </c>
      <c r="D80" s="277">
        <v>3.46</v>
      </c>
      <c r="E80" s="277">
        <v>18.899999999999999</v>
      </c>
      <c r="F80" s="277">
        <v>65.39</v>
      </c>
      <c r="H80" s="274"/>
    </row>
    <row r="81" spans="1:9" s="278" customFormat="1" x14ac:dyDescent="0.25">
      <c r="A81" s="281" t="s">
        <v>691</v>
      </c>
      <c r="B81" s="282" t="s">
        <v>584</v>
      </c>
      <c r="C81" s="282"/>
      <c r="D81" s="283"/>
      <c r="E81" s="283"/>
      <c r="F81" s="283">
        <v>256.85000000000002</v>
      </c>
      <c r="H81" s="274"/>
      <c r="I81" s="280"/>
    </row>
    <row r="82" spans="1:9" x14ac:dyDescent="0.25">
      <c r="A82" s="275" t="s">
        <v>692</v>
      </c>
      <c r="B82" s="276" t="s">
        <v>586</v>
      </c>
      <c r="C82" s="276" t="s">
        <v>530</v>
      </c>
      <c r="D82" s="277">
        <v>0.51</v>
      </c>
      <c r="E82" s="277">
        <v>426.39</v>
      </c>
      <c r="F82" s="277">
        <v>217.46</v>
      </c>
      <c r="H82" s="274"/>
    </row>
    <row r="83" spans="1:9" x14ac:dyDescent="0.25">
      <c r="A83" s="275" t="s">
        <v>693</v>
      </c>
      <c r="B83" s="276" t="s">
        <v>588</v>
      </c>
      <c r="C83" s="276" t="s">
        <v>574</v>
      </c>
      <c r="D83" s="277">
        <v>1.6</v>
      </c>
      <c r="E83" s="277">
        <v>24.62</v>
      </c>
      <c r="F83" s="277">
        <v>39.39</v>
      </c>
    </row>
    <row r="84" spans="1:9" s="278" customFormat="1" x14ac:dyDescent="0.25">
      <c r="A84" s="281" t="s">
        <v>694</v>
      </c>
      <c r="B84" s="282" t="s">
        <v>695</v>
      </c>
      <c r="C84" s="282"/>
      <c r="D84" s="283"/>
      <c r="E84" s="283"/>
      <c r="F84" s="283">
        <v>3988.89</v>
      </c>
      <c r="H84" s="279"/>
      <c r="I84" s="280"/>
    </row>
    <row r="85" spans="1:9" s="278" customFormat="1" x14ac:dyDescent="0.25">
      <c r="A85" s="275" t="s">
        <v>696</v>
      </c>
      <c r="B85" s="276" t="s">
        <v>697</v>
      </c>
      <c r="C85" s="276" t="s">
        <v>564</v>
      </c>
      <c r="D85" s="277">
        <v>2</v>
      </c>
      <c r="E85" s="277">
        <v>720</v>
      </c>
      <c r="F85" s="277">
        <v>1440</v>
      </c>
      <c r="H85" s="279"/>
      <c r="I85" s="280"/>
    </row>
    <row r="86" spans="1:9" x14ac:dyDescent="0.25">
      <c r="A86" s="275" t="s">
        <v>698</v>
      </c>
      <c r="B86" s="276" t="s">
        <v>699</v>
      </c>
      <c r="C86" s="276" t="s">
        <v>564</v>
      </c>
      <c r="D86" s="277">
        <v>4</v>
      </c>
      <c r="E86" s="277">
        <v>317.36</v>
      </c>
      <c r="F86" s="277">
        <v>1269.44</v>
      </c>
    </row>
    <row r="87" spans="1:9" s="278" customFormat="1" x14ac:dyDescent="0.25">
      <c r="A87" s="275" t="s">
        <v>700</v>
      </c>
      <c r="B87" s="276" t="s">
        <v>701</v>
      </c>
      <c r="C87" s="276" t="s">
        <v>564</v>
      </c>
      <c r="D87" s="277">
        <v>1</v>
      </c>
      <c r="E87" s="277">
        <v>21.9</v>
      </c>
      <c r="F87" s="277">
        <v>21.9</v>
      </c>
      <c r="H87" s="279"/>
      <c r="I87" s="280"/>
    </row>
    <row r="88" spans="1:9" s="278" customFormat="1" x14ac:dyDescent="0.25">
      <c r="A88" s="275" t="s">
        <v>702</v>
      </c>
      <c r="B88" s="276" t="s">
        <v>703</v>
      </c>
      <c r="C88" s="276" t="s">
        <v>564</v>
      </c>
      <c r="D88" s="277">
        <v>1</v>
      </c>
      <c r="E88" s="277">
        <v>254.75</v>
      </c>
      <c r="F88" s="277">
        <v>254.75</v>
      </c>
      <c r="H88" s="279"/>
      <c r="I88" s="280"/>
    </row>
    <row r="89" spans="1:9" s="278" customFormat="1" x14ac:dyDescent="0.25">
      <c r="A89" s="275" t="s">
        <v>704</v>
      </c>
      <c r="B89" s="276" t="s">
        <v>705</v>
      </c>
      <c r="C89" s="276" t="s">
        <v>564</v>
      </c>
      <c r="D89" s="277">
        <v>1</v>
      </c>
      <c r="E89" s="277">
        <v>1002.8</v>
      </c>
      <c r="F89" s="277">
        <v>1002.8</v>
      </c>
      <c r="H89" s="279"/>
      <c r="I89" s="280"/>
    </row>
    <row r="90" spans="1:9" s="278" customFormat="1" x14ac:dyDescent="0.25">
      <c r="A90" s="271" t="s">
        <v>706</v>
      </c>
      <c r="B90" s="272" t="s">
        <v>707</v>
      </c>
      <c r="C90" s="272"/>
      <c r="D90" s="273"/>
      <c r="E90" s="273"/>
      <c r="F90" s="273">
        <v>27836.83</v>
      </c>
      <c r="H90" s="279"/>
      <c r="I90" s="280"/>
    </row>
    <row r="91" spans="1:9" x14ac:dyDescent="0.25">
      <c r="A91" s="281" t="s">
        <v>708</v>
      </c>
      <c r="B91" s="282" t="s">
        <v>571</v>
      </c>
      <c r="C91" s="282"/>
      <c r="D91" s="283"/>
      <c r="E91" s="283"/>
      <c r="F91" s="283">
        <v>1460.34</v>
      </c>
      <c r="H91" s="274"/>
    </row>
    <row r="92" spans="1:9" s="278" customFormat="1" x14ac:dyDescent="0.25">
      <c r="A92" s="275" t="s">
        <v>709</v>
      </c>
      <c r="B92" s="276" t="s">
        <v>608</v>
      </c>
      <c r="C92" s="276" t="s">
        <v>609</v>
      </c>
      <c r="D92" s="277">
        <v>1098</v>
      </c>
      <c r="E92" s="277">
        <v>0.32</v>
      </c>
      <c r="F92" s="277">
        <v>351.36</v>
      </c>
      <c r="H92" s="279"/>
      <c r="I92" s="280"/>
    </row>
    <row r="93" spans="1:9" s="278" customFormat="1" x14ac:dyDescent="0.25">
      <c r="A93" s="275" t="s">
        <v>710</v>
      </c>
      <c r="B93" s="276" t="s">
        <v>711</v>
      </c>
      <c r="C93" s="276" t="s">
        <v>609</v>
      </c>
      <c r="D93" s="277">
        <v>1098</v>
      </c>
      <c r="E93" s="277">
        <v>1.01</v>
      </c>
      <c r="F93" s="277">
        <v>1108.98</v>
      </c>
      <c r="H93" s="279"/>
      <c r="I93" s="280"/>
    </row>
    <row r="94" spans="1:9" x14ac:dyDescent="0.25">
      <c r="A94" s="281" t="s">
        <v>712</v>
      </c>
      <c r="B94" s="282" t="s">
        <v>578</v>
      </c>
      <c r="C94" s="282"/>
      <c r="D94" s="283"/>
      <c r="E94" s="283"/>
      <c r="F94" s="283">
        <v>8348.02</v>
      </c>
    </row>
    <row r="95" spans="1:9" s="278" customFormat="1" x14ac:dyDescent="0.25">
      <c r="A95" s="275" t="s">
        <v>713</v>
      </c>
      <c r="B95" s="276" t="s">
        <v>614</v>
      </c>
      <c r="C95" s="276" t="s">
        <v>530</v>
      </c>
      <c r="D95" s="277">
        <v>179.4</v>
      </c>
      <c r="E95" s="277">
        <v>12.6</v>
      </c>
      <c r="F95" s="277">
        <v>2260.44</v>
      </c>
      <c r="H95" s="279"/>
      <c r="I95" s="280"/>
    </row>
    <row r="96" spans="1:9" x14ac:dyDescent="0.25">
      <c r="A96" s="275" t="s">
        <v>714</v>
      </c>
      <c r="B96" s="276" t="s">
        <v>715</v>
      </c>
      <c r="C96" s="276" t="s">
        <v>530</v>
      </c>
      <c r="D96" s="277">
        <v>150</v>
      </c>
      <c r="E96" s="277">
        <v>20</v>
      </c>
      <c r="F96" s="277">
        <v>3000</v>
      </c>
    </row>
    <row r="97" spans="1:9" s="278" customFormat="1" x14ac:dyDescent="0.25">
      <c r="A97" s="275" t="s">
        <v>716</v>
      </c>
      <c r="B97" s="276" t="s">
        <v>717</v>
      </c>
      <c r="C97" s="276" t="s">
        <v>609</v>
      </c>
      <c r="D97" s="277">
        <v>1098</v>
      </c>
      <c r="E97" s="277">
        <v>0.76</v>
      </c>
      <c r="F97" s="277">
        <v>834.48</v>
      </c>
      <c r="H97" s="279"/>
      <c r="I97" s="280"/>
    </row>
    <row r="98" spans="1:9" s="278" customFormat="1" x14ac:dyDescent="0.25">
      <c r="A98" s="275" t="s">
        <v>718</v>
      </c>
      <c r="B98" s="276" t="s">
        <v>618</v>
      </c>
      <c r="C98" s="276" t="s">
        <v>530</v>
      </c>
      <c r="D98" s="277">
        <v>197.64</v>
      </c>
      <c r="E98" s="277">
        <v>3.84</v>
      </c>
      <c r="F98" s="277">
        <v>758.94</v>
      </c>
      <c r="H98" s="279"/>
      <c r="I98" s="280"/>
    </row>
    <row r="99" spans="1:9" s="278" customFormat="1" x14ac:dyDescent="0.25">
      <c r="A99" s="275" t="s">
        <v>719</v>
      </c>
      <c r="B99" s="276" t="s">
        <v>620</v>
      </c>
      <c r="C99" s="276" t="s">
        <v>530</v>
      </c>
      <c r="D99" s="277">
        <v>197.64</v>
      </c>
      <c r="E99" s="277">
        <v>7.56</v>
      </c>
      <c r="F99" s="277">
        <v>1494.16</v>
      </c>
      <c r="H99" s="279"/>
      <c r="I99" s="280"/>
    </row>
    <row r="100" spans="1:9" s="278" customFormat="1" x14ac:dyDescent="0.25">
      <c r="A100" s="281" t="s">
        <v>720</v>
      </c>
      <c r="B100" s="282" t="s">
        <v>622</v>
      </c>
      <c r="C100" s="282"/>
      <c r="D100" s="283"/>
      <c r="E100" s="283"/>
      <c r="F100" s="283">
        <v>13733.77</v>
      </c>
      <c r="H100" s="279"/>
      <c r="I100" s="280"/>
    </row>
    <row r="101" spans="1:9" s="278" customFormat="1" x14ac:dyDescent="0.25">
      <c r="A101" s="275" t="s">
        <v>721</v>
      </c>
      <c r="B101" s="276" t="s">
        <v>722</v>
      </c>
      <c r="C101" s="276" t="s">
        <v>609</v>
      </c>
      <c r="D101" s="277">
        <v>761</v>
      </c>
      <c r="E101" s="277">
        <v>11.4</v>
      </c>
      <c r="F101" s="277">
        <v>8675.4</v>
      </c>
      <c r="H101" s="279"/>
      <c r="I101" s="280"/>
    </row>
    <row r="102" spans="1:9" s="278" customFormat="1" x14ac:dyDescent="0.25">
      <c r="A102" s="275" t="s">
        <v>723</v>
      </c>
      <c r="B102" s="276" t="s">
        <v>724</v>
      </c>
      <c r="C102" s="276" t="s">
        <v>609</v>
      </c>
      <c r="D102" s="277">
        <v>337</v>
      </c>
      <c r="E102" s="277">
        <v>15.01</v>
      </c>
      <c r="F102" s="277">
        <v>5058.37</v>
      </c>
      <c r="H102" s="279"/>
      <c r="I102" s="280"/>
    </row>
    <row r="103" spans="1:9" x14ac:dyDescent="0.25">
      <c r="A103" s="281" t="s">
        <v>725</v>
      </c>
      <c r="B103" s="282" t="s">
        <v>677</v>
      </c>
      <c r="C103" s="282"/>
      <c r="D103" s="283"/>
      <c r="E103" s="283"/>
      <c r="F103" s="283">
        <v>2120</v>
      </c>
    </row>
    <row r="104" spans="1:9" s="278" customFormat="1" x14ac:dyDescent="0.25">
      <c r="A104" s="275" t="s">
        <v>726</v>
      </c>
      <c r="B104" s="276" t="s">
        <v>727</v>
      </c>
      <c r="C104" s="276" t="s">
        <v>567</v>
      </c>
      <c r="D104" s="277">
        <v>1</v>
      </c>
      <c r="E104" s="277">
        <v>2120</v>
      </c>
      <c r="F104" s="277">
        <v>2120</v>
      </c>
      <c r="H104" s="279"/>
      <c r="I104" s="280"/>
    </row>
    <row r="105" spans="1:9" s="278" customFormat="1" x14ac:dyDescent="0.25">
      <c r="A105" s="281" t="s">
        <v>728</v>
      </c>
      <c r="B105" s="282" t="s">
        <v>729</v>
      </c>
      <c r="C105" s="282"/>
      <c r="D105" s="283"/>
      <c r="E105" s="283"/>
      <c r="F105" s="283">
        <v>669.78</v>
      </c>
      <c r="H105" s="279"/>
      <c r="I105" s="280"/>
    </row>
    <row r="106" spans="1:9" x14ac:dyDescent="0.25">
      <c r="A106" s="275" t="s">
        <v>730</v>
      </c>
      <c r="B106" s="276" t="s">
        <v>731</v>
      </c>
      <c r="C106" s="276" t="s">
        <v>609</v>
      </c>
      <c r="D106" s="277">
        <v>1098</v>
      </c>
      <c r="E106" s="277">
        <v>0.61</v>
      </c>
      <c r="F106" s="277">
        <v>669.78</v>
      </c>
    </row>
    <row r="107" spans="1:9" s="278" customFormat="1" x14ac:dyDescent="0.25">
      <c r="A107" s="281" t="s">
        <v>732</v>
      </c>
      <c r="B107" s="282" t="s">
        <v>733</v>
      </c>
      <c r="C107" s="282"/>
      <c r="D107" s="283"/>
      <c r="E107" s="283"/>
      <c r="F107" s="283">
        <v>1504.92</v>
      </c>
      <c r="H107" s="279"/>
      <c r="I107" s="280"/>
    </row>
    <row r="108" spans="1:9" s="278" customFormat="1" x14ac:dyDescent="0.25">
      <c r="A108" s="275" t="s">
        <v>734</v>
      </c>
      <c r="B108" s="276" t="s">
        <v>735</v>
      </c>
      <c r="C108" s="276" t="s">
        <v>530</v>
      </c>
      <c r="D108" s="277">
        <v>2.4</v>
      </c>
      <c r="E108" s="277">
        <v>338.3</v>
      </c>
      <c r="F108" s="277">
        <v>811.92</v>
      </c>
      <c r="H108" s="279"/>
      <c r="I108" s="280"/>
    </row>
    <row r="109" spans="1:9" s="278" customFormat="1" x14ac:dyDescent="0.25">
      <c r="A109" s="275" t="s">
        <v>736</v>
      </c>
      <c r="B109" s="276" t="s">
        <v>737</v>
      </c>
      <c r="C109" s="276" t="s">
        <v>564</v>
      </c>
      <c r="D109" s="277">
        <v>50</v>
      </c>
      <c r="E109" s="277">
        <v>13.86</v>
      </c>
      <c r="F109" s="277">
        <v>693</v>
      </c>
      <c r="H109" s="279"/>
      <c r="I109" s="280"/>
    </row>
    <row r="110" spans="1:9" s="278" customFormat="1" x14ac:dyDescent="0.25">
      <c r="A110" s="271" t="s">
        <v>738</v>
      </c>
      <c r="B110" s="272" t="s">
        <v>739</v>
      </c>
      <c r="C110" s="272"/>
      <c r="D110" s="273"/>
      <c r="E110" s="273"/>
      <c r="F110" s="273">
        <v>5913.46</v>
      </c>
      <c r="H110" s="279"/>
      <c r="I110" s="280"/>
    </row>
    <row r="111" spans="1:9" x14ac:dyDescent="0.25">
      <c r="A111" s="281" t="s">
        <v>740</v>
      </c>
      <c r="B111" s="282" t="s">
        <v>571</v>
      </c>
      <c r="C111" s="282"/>
      <c r="D111" s="283"/>
      <c r="E111" s="283"/>
      <c r="F111" s="283">
        <v>78</v>
      </c>
    </row>
    <row r="112" spans="1:9" s="278" customFormat="1" x14ac:dyDescent="0.25">
      <c r="A112" s="275" t="s">
        <v>741</v>
      </c>
      <c r="B112" s="276" t="s">
        <v>573</v>
      </c>
      <c r="C112" s="276" t="s">
        <v>574</v>
      </c>
      <c r="D112" s="277">
        <v>10</v>
      </c>
      <c r="E112" s="277">
        <v>0.95</v>
      </c>
      <c r="F112" s="277">
        <v>9.5</v>
      </c>
      <c r="H112" s="279"/>
      <c r="I112" s="280"/>
    </row>
    <row r="113" spans="1:10" s="278" customFormat="1" x14ac:dyDescent="0.25">
      <c r="A113" s="275" t="s">
        <v>742</v>
      </c>
      <c r="B113" s="276" t="s">
        <v>743</v>
      </c>
      <c r="C113" s="276" t="s">
        <v>564</v>
      </c>
      <c r="D113" s="277">
        <v>10</v>
      </c>
      <c r="E113" s="277">
        <v>6.85</v>
      </c>
      <c r="F113" s="277">
        <v>68.5</v>
      </c>
      <c r="H113" s="279"/>
      <c r="I113" s="280"/>
    </row>
    <row r="114" spans="1:10" s="278" customFormat="1" x14ac:dyDescent="0.25">
      <c r="A114" s="281" t="s">
        <v>744</v>
      </c>
      <c r="B114" s="282" t="s">
        <v>578</v>
      </c>
      <c r="C114" s="282"/>
      <c r="D114" s="283"/>
      <c r="E114" s="283"/>
      <c r="F114" s="283">
        <v>115.92</v>
      </c>
      <c r="H114" s="279"/>
      <c r="I114" s="280"/>
      <c r="J114" s="284"/>
    </row>
    <row r="115" spans="1:10" s="278" customFormat="1" x14ac:dyDescent="0.25">
      <c r="A115" s="275" t="s">
        <v>745</v>
      </c>
      <c r="B115" s="276" t="s">
        <v>580</v>
      </c>
      <c r="C115" s="276" t="s">
        <v>530</v>
      </c>
      <c r="D115" s="277">
        <v>5.6</v>
      </c>
      <c r="E115" s="277">
        <v>18.899999999999999</v>
      </c>
      <c r="F115" s="277">
        <v>105.84</v>
      </c>
      <c r="H115" s="279"/>
      <c r="I115" s="280"/>
      <c r="J115" s="284"/>
    </row>
    <row r="116" spans="1:10" s="278" customFormat="1" x14ac:dyDescent="0.25">
      <c r="A116" s="275" t="s">
        <v>746</v>
      </c>
      <c r="B116" s="276" t="s">
        <v>582</v>
      </c>
      <c r="C116" s="276" t="s">
        <v>574</v>
      </c>
      <c r="D116" s="277">
        <v>8</v>
      </c>
      <c r="E116" s="277">
        <v>1.26</v>
      </c>
      <c r="F116" s="277">
        <v>10.08</v>
      </c>
      <c r="H116" s="279"/>
      <c r="I116" s="280"/>
      <c r="J116" s="284"/>
    </row>
    <row r="117" spans="1:10" s="278" customFormat="1" x14ac:dyDescent="0.25">
      <c r="A117" s="281" t="s">
        <v>747</v>
      </c>
      <c r="B117" s="282" t="s">
        <v>748</v>
      </c>
      <c r="C117" s="282"/>
      <c r="D117" s="283"/>
      <c r="E117" s="283"/>
      <c r="F117" s="283">
        <v>493.94</v>
      </c>
      <c r="H117" s="279"/>
      <c r="I117" s="280"/>
      <c r="J117" s="284"/>
    </row>
    <row r="118" spans="1:10" x14ac:dyDescent="0.25">
      <c r="A118" s="275" t="s">
        <v>749</v>
      </c>
      <c r="B118" s="276" t="s">
        <v>588</v>
      </c>
      <c r="C118" s="276" t="s">
        <v>574</v>
      </c>
      <c r="D118" s="277">
        <v>6.9</v>
      </c>
      <c r="E118" s="277">
        <v>24.62</v>
      </c>
      <c r="F118" s="277">
        <v>169.88</v>
      </c>
    </row>
    <row r="119" spans="1:10" s="278" customFormat="1" x14ac:dyDescent="0.25">
      <c r="A119" s="275" t="s">
        <v>750</v>
      </c>
      <c r="B119" s="276" t="s">
        <v>586</v>
      </c>
      <c r="C119" s="276" t="s">
        <v>530</v>
      </c>
      <c r="D119" s="277">
        <v>0.76</v>
      </c>
      <c r="E119" s="277">
        <v>426.39</v>
      </c>
      <c r="F119" s="277">
        <v>324.06</v>
      </c>
      <c r="H119" s="279"/>
      <c r="I119" s="280"/>
    </row>
    <row r="120" spans="1:10" s="278" customFormat="1" x14ac:dyDescent="0.25">
      <c r="A120" s="281" t="s">
        <v>751</v>
      </c>
      <c r="B120" s="282" t="s">
        <v>752</v>
      </c>
      <c r="C120" s="282"/>
      <c r="D120" s="283"/>
      <c r="E120" s="283"/>
      <c r="F120" s="283">
        <v>3173.6</v>
      </c>
      <c r="H120" s="279"/>
      <c r="I120" s="280"/>
    </row>
    <row r="121" spans="1:10" s="278" customFormat="1" x14ac:dyDescent="0.25">
      <c r="A121" s="275" t="s">
        <v>753</v>
      </c>
      <c r="B121" s="276" t="s">
        <v>699</v>
      </c>
      <c r="C121" s="276" t="s">
        <v>564</v>
      </c>
      <c r="D121" s="277">
        <v>10</v>
      </c>
      <c r="E121" s="277">
        <v>317.36</v>
      </c>
      <c r="F121" s="277">
        <v>3173.6</v>
      </c>
      <c r="H121" s="279"/>
      <c r="I121" s="280"/>
      <c r="J121" s="284"/>
    </row>
    <row r="122" spans="1:10" s="278" customFormat="1" x14ac:dyDescent="0.25">
      <c r="A122" s="281" t="s">
        <v>754</v>
      </c>
      <c r="B122" s="282" t="s">
        <v>677</v>
      </c>
      <c r="C122" s="282"/>
      <c r="D122" s="283"/>
      <c r="E122" s="283"/>
      <c r="F122" s="283">
        <v>2052</v>
      </c>
      <c r="H122" s="279"/>
      <c r="I122" s="280"/>
      <c r="J122" s="284"/>
    </row>
    <row r="123" spans="1:10" x14ac:dyDescent="0.25">
      <c r="A123" s="275" t="s">
        <v>755</v>
      </c>
      <c r="B123" s="276" t="s">
        <v>701</v>
      </c>
      <c r="C123" s="276" t="s">
        <v>564</v>
      </c>
      <c r="D123" s="277">
        <v>10</v>
      </c>
      <c r="E123" s="277">
        <v>21.9</v>
      </c>
      <c r="F123" s="277">
        <v>219</v>
      </c>
    </row>
    <row r="124" spans="1:10" x14ac:dyDescent="0.25">
      <c r="A124" s="275" t="s">
        <v>756</v>
      </c>
      <c r="B124" s="276" t="s">
        <v>757</v>
      </c>
      <c r="C124" s="276" t="s">
        <v>564</v>
      </c>
      <c r="D124" s="277">
        <v>10</v>
      </c>
      <c r="E124" s="277">
        <v>48.22</v>
      </c>
      <c r="F124" s="277">
        <v>482.2</v>
      </c>
    </row>
    <row r="125" spans="1:10" s="278" customFormat="1" x14ac:dyDescent="0.25">
      <c r="A125" s="275" t="s">
        <v>758</v>
      </c>
      <c r="B125" s="276" t="s">
        <v>759</v>
      </c>
      <c r="C125" s="276" t="s">
        <v>564</v>
      </c>
      <c r="D125" s="277">
        <v>10</v>
      </c>
      <c r="E125" s="277">
        <v>135.08000000000001</v>
      </c>
      <c r="F125" s="277">
        <v>1350.8</v>
      </c>
      <c r="H125" s="279"/>
      <c r="I125" s="280"/>
    </row>
    <row r="126" spans="1:10" s="278" customFormat="1" x14ac:dyDescent="0.25">
      <c r="A126" s="271" t="s">
        <v>760</v>
      </c>
      <c r="B126" s="272" t="s">
        <v>761</v>
      </c>
      <c r="C126" s="272"/>
      <c r="D126" s="273"/>
      <c r="E126" s="273"/>
      <c r="F126" s="273">
        <v>9514.9599999999991</v>
      </c>
      <c r="H126" s="279"/>
      <c r="I126" s="280"/>
    </row>
    <row r="127" spans="1:10" x14ac:dyDescent="0.25">
      <c r="A127" s="281" t="s">
        <v>762</v>
      </c>
      <c r="B127" s="282" t="s">
        <v>571</v>
      </c>
      <c r="C127" s="282"/>
      <c r="D127" s="283"/>
      <c r="E127" s="283"/>
      <c r="F127" s="283">
        <v>49.81</v>
      </c>
    </row>
    <row r="128" spans="1:10" x14ac:dyDescent="0.25">
      <c r="A128" s="275" t="s">
        <v>763</v>
      </c>
      <c r="B128" s="276" t="s">
        <v>743</v>
      </c>
      <c r="C128" s="276" t="s">
        <v>564</v>
      </c>
      <c r="D128" s="277">
        <v>4</v>
      </c>
      <c r="E128" s="277">
        <v>6.85</v>
      </c>
      <c r="F128" s="277">
        <v>27.4</v>
      </c>
    </row>
    <row r="129" spans="1:9" s="278" customFormat="1" x14ac:dyDescent="0.25">
      <c r="A129" s="275" t="s">
        <v>764</v>
      </c>
      <c r="B129" s="276" t="s">
        <v>576</v>
      </c>
      <c r="C129" s="276" t="s">
        <v>574</v>
      </c>
      <c r="D129" s="277">
        <v>9</v>
      </c>
      <c r="E129" s="277">
        <v>2.4900000000000002</v>
      </c>
      <c r="F129" s="277">
        <v>22.41</v>
      </c>
      <c r="H129" s="279"/>
      <c r="I129" s="280"/>
    </row>
    <row r="130" spans="1:9" x14ac:dyDescent="0.25">
      <c r="A130" s="281" t="s">
        <v>765</v>
      </c>
      <c r="B130" s="282" t="s">
        <v>578</v>
      </c>
      <c r="C130" s="282"/>
      <c r="D130" s="283"/>
      <c r="E130" s="283"/>
      <c r="F130" s="283">
        <v>217.67</v>
      </c>
    </row>
    <row r="131" spans="1:9" s="278" customFormat="1" x14ac:dyDescent="0.25">
      <c r="A131" s="275" t="s">
        <v>766</v>
      </c>
      <c r="B131" s="276" t="s">
        <v>580</v>
      </c>
      <c r="C131" s="276" t="s">
        <v>530</v>
      </c>
      <c r="D131" s="277">
        <v>10.130000000000001</v>
      </c>
      <c r="E131" s="277">
        <v>18.899999999999999</v>
      </c>
      <c r="F131" s="277">
        <v>191.46</v>
      </c>
      <c r="H131" s="279"/>
      <c r="I131" s="280"/>
    </row>
    <row r="132" spans="1:9" s="278" customFormat="1" x14ac:dyDescent="0.25">
      <c r="A132" s="275" t="s">
        <v>767</v>
      </c>
      <c r="B132" s="276" t="s">
        <v>582</v>
      </c>
      <c r="C132" s="276" t="s">
        <v>574</v>
      </c>
      <c r="D132" s="277">
        <v>20.8</v>
      </c>
      <c r="E132" s="277">
        <v>1.26</v>
      </c>
      <c r="F132" s="277">
        <v>26.21</v>
      </c>
      <c r="H132" s="279"/>
      <c r="I132" s="280"/>
    </row>
    <row r="133" spans="1:9" s="278" customFormat="1" x14ac:dyDescent="0.25">
      <c r="A133" s="281" t="s">
        <v>768</v>
      </c>
      <c r="B133" s="282" t="s">
        <v>584</v>
      </c>
      <c r="C133" s="282"/>
      <c r="D133" s="283"/>
      <c r="E133" s="283"/>
      <c r="F133" s="283">
        <v>3412.5</v>
      </c>
      <c r="H133" s="279"/>
      <c r="I133" s="280"/>
    </row>
    <row r="134" spans="1:9" x14ac:dyDescent="0.25">
      <c r="A134" s="275" t="s">
        <v>769</v>
      </c>
      <c r="B134" s="276" t="s">
        <v>770</v>
      </c>
      <c r="C134" s="276" t="s">
        <v>530</v>
      </c>
      <c r="D134" s="277">
        <v>0.34</v>
      </c>
      <c r="E134" s="277">
        <v>300.14999999999998</v>
      </c>
      <c r="F134" s="277">
        <v>102.05</v>
      </c>
    </row>
    <row r="135" spans="1:9" s="278" customFormat="1" x14ac:dyDescent="0.25">
      <c r="A135" s="275" t="s">
        <v>771</v>
      </c>
      <c r="B135" s="276" t="s">
        <v>588</v>
      </c>
      <c r="C135" s="276" t="s">
        <v>574</v>
      </c>
      <c r="D135" s="277">
        <v>40.200000000000003</v>
      </c>
      <c r="E135" s="277">
        <v>24.62</v>
      </c>
      <c r="F135" s="277">
        <v>989.72</v>
      </c>
      <c r="H135" s="279"/>
      <c r="I135" s="280"/>
    </row>
    <row r="136" spans="1:9" x14ac:dyDescent="0.25">
      <c r="A136" s="275" t="s">
        <v>772</v>
      </c>
      <c r="B136" s="276" t="s">
        <v>586</v>
      </c>
      <c r="C136" s="276" t="s">
        <v>530</v>
      </c>
      <c r="D136" s="277">
        <v>0.56999999999999995</v>
      </c>
      <c r="E136" s="277">
        <v>426.39</v>
      </c>
      <c r="F136" s="277">
        <v>243.04</v>
      </c>
    </row>
    <row r="137" spans="1:9" s="285" customFormat="1" x14ac:dyDescent="0.25">
      <c r="A137" s="275" t="s">
        <v>773</v>
      </c>
      <c r="B137" s="276" t="s">
        <v>774</v>
      </c>
      <c r="C137" s="276" t="s">
        <v>530</v>
      </c>
      <c r="D137" s="277">
        <v>2.4300000000000002</v>
      </c>
      <c r="E137" s="277">
        <v>465.93</v>
      </c>
      <c r="F137" s="277">
        <v>1132.21</v>
      </c>
      <c r="H137" s="274"/>
      <c r="I137" s="262"/>
    </row>
    <row r="138" spans="1:9" s="286" customFormat="1" x14ac:dyDescent="0.25">
      <c r="A138" s="275" t="s">
        <v>775</v>
      </c>
      <c r="B138" s="276" t="s">
        <v>590</v>
      </c>
      <c r="C138" s="276" t="s">
        <v>591</v>
      </c>
      <c r="D138" s="277">
        <v>132.41999999999999</v>
      </c>
      <c r="E138" s="277">
        <v>7.14</v>
      </c>
      <c r="F138" s="277">
        <v>945.48</v>
      </c>
      <c r="H138" s="287"/>
      <c r="I138" s="288"/>
    </row>
    <row r="139" spans="1:9" x14ac:dyDescent="0.25">
      <c r="A139" s="281" t="s">
        <v>776</v>
      </c>
      <c r="B139" s="282" t="s">
        <v>593</v>
      </c>
      <c r="C139" s="282"/>
      <c r="D139" s="283"/>
      <c r="E139" s="283"/>
      <c r="F139" s="283">
        <v>1214.22</v>
      </c>
    </row>
    <row r="140" spans="1:9" x14ac:dyDescent="0.25">
      <c r="A140" s="275" t="s">
        <v>777</v>
      </c>
      <c r="B140" s="276" t="s">
        <v>595</v>
      </c>
      <c r="C140" s="276" t="s">
        <v>574</v>
      </c>
      <c r="D140" s="277">
        <v>17.600000000000001</v>
      </c>
      <c r="E140" s="277">
        <v>15.93</v>
      </c>
      <c r="F140" s="277">
        <v>280.37</v>
      </c>
    </row>
    <row r="141" spans="1:9" s="286" customFormat="1" x14ac:dyDescent="0.25">
      <c r="A141" s="275" t="s">
        <v>778</v>
      </c>
      <c r="B141" s="276" t="s">
        <v>597</v>
      </c>
      <c r="C141" s="276" t="s">
        <v>574</v>
      </c>
      <c r="D141" s="277">
        <v>24.64</v>
      </c>
      <c r="E141" s="277">
        <v>25.27</v>
      </c>
      <c r="F141" s="277">
        <v>622.65</v>
      </c>
      <c r="H141" s="287"/>
      <c r="I141" s="288"/>
    </row>
    <row r="142" spans="1:9" x14ac:dyDescent="0.25">
      <c r="A142" s="275" t="s">
        <v>779</v>
      </c>
      <c r="B142" s="276" t="s">
        <v>780</v>
      </c>
      <c r="C142" s="276" t="s">
        <v>574</v>
      </c>
      <c r="D142" s="277">
        <v>24.64</v>
      </c>
      <c r="E142" s="277">
        <v>12.63</v>
      </c>
      <c r="F142" s="277">
        <v>311.2</v>
      </c>
    </row>
    <row r="143" spans="1:9" x14ac:dyDescent="0.25">
      <c r="A143" s="281" t="s">
        <v>781</v>
      </c>
      <c r="B143" s="282" t="s">
        <v>782</v>
      </c>
      <c r="C143" s="282"/>
      <c r="D143" s="283"/>
      <c r="E143" s="283"/>
      <c r="F143" s="283">
        <v>4620.76</v>
      </c>
    </row>
    <row r="144" spans="1:9" s="286" customFormat="1" x14ac:dyDescent="0.25">
      <c r="A144" s="275" t="s">
        <v>783</v>
      </c>
      <c r="B144" s="276" t="s">
        <v>784</v>
      </c>
      <c r="C144" s="276" t="s">
        <v>564</v>
      </c>
      <c r="D144" s="277">
        <v>4</v>
      </c>
      <c r="E144" s="277">
        <v>616.36</v>
      </c>
      <c r="F144" s="277">
        <v>2465.44</v>
      </c>
      <c r="H144" s="287"/>
      <c r="I144" s="288"/>
    </row>
    <row r="145" spans="1:9" x14ac:dyDescent="0.25">
      <c r="A145" s="275" t="s">
        <v>785</v>
      </c>
      <c r="B145" s="276" t="s">
        <v>786</v>
      </c>
      <c r="C145" s="276" t="s">
        <v>564</v>
      </c>
      <c r="D145" s="277">
        <v>4</v>
      </c>
      <c r="E145" s="277">
        <v>180.91</v>
      </c>
      <c r="F145" s="277">
        <v>723.64</v>
      </c>
    </row>
    <row r="146" spans="1:9" s="286" customFormat="1" x14ac:dyDescent="0.25">
      <c r="A146" s="275" t="s">
        <v>787</v>
      </c>
      <c r="B146" s="276" t="s">
        <v>788</v>
      </c>
      <c r="C146" s="276" t="s">
        <v>564</v>
      </c>
      <c r="D146" s="277">
        <v>4</v>
      </c>
      <c r="E146" s="277">
        <v>357.92</v>
      </c>
      <c r="F146" s="277">
        <v>1431.68</v>
      </c>
      <c r="H146" s="287"/>
      <c r="I146" s="288"/>
    </row>
    <row r="147" spans="1:9" x14ac:dyDescent="0.25">
      <c r="A147" s="271" t="s">
        <v>789</v>
      </c>
      <c r="B147" s="272" t="s">
        <v>790</v>
      </c>
      <c r="C147" s="272"/>
      <c r="D147" s="273"/>
      <c r="E147" s="273"/>
      <c r="F147" s="273">
        <v>5731.8</v>
      </c>
    </row>
    <row r="148" spans="1:9" x14ac:dyDescent="0.25">
      <c r="A148" s="281" t="s">
        <v>791</v>
      </c>
      <c r="B148" s="282" t="s">
        <v>571</v>
      </c>
      <c r="C148" s="282"/>
      <c r="D148" s="283"/>
      <c r="E148" s="283"/>
      <c r="F148" s="283">
        <v>47.95</v>
      </c>
    </row>
    <row r="149" spans="1:9" s="278" customFormat="1" x14ac:dyDescent="0.25">
      <c r="A149" s="275" t="s">
        <v>792</v>
      </c>
      <c r="B149" s="276" t="s">
        <v>743</v>
      </c>
      <c r="C149" s="276" t="s">
        <v>564</v>
      </c>
      <c r="D149" s="277">
        <v>7</v>
      </c>
      <c r="E149" s="277">
        <v>6.85</v>
      </c>
      <c r="F149" s="277">
        <v>47.95</v>
      </c>
      <c r="H149" s="279"/>
      <c r="I149" s="280"/>
    </row>
    <row r="150" spans="1:9" s="278" customFormat="1" x14ac:dyDescent="0.25">
      <c r="A150" s="281" t="s">
        <v>793</v>
      </c>
      <c r="B150" s="282" t="s">
        <v>578</v>
      </c>
      <c r="C150" s="282"/>
      <c r="D150" s="283"/>
      <c r="E150" s="283"/>
      <c r="F150" s="283">
        <v>72.2</v>
      </c>
      <c r="H150" s="279"/>
      <c r="I150" s="280"/>
    </row>
    <row r="151" spans="1:9" s="278" customFormat="1" x14ac:dyDescent="0.25">
      <c r="A151" s="275" t="s">
        <v>794</v>
      </c>
      <c r="B151" s="276" t="s">
        <v>580</v>
      </c>
      <c r="C151" s="276" t="s">
        <v>530</v>
      </c>
      <c r="D151" s="277">
        <v>3.82</v>
      </c>
      <c r="E151" s="277">
        <v>18.899999999999999</v>
      </c>
      <c r="F151" s="277">
        <v>72.2</v>
      </c>
      <c r="H151" s="279"/>
      <c r="I151" s="280"/>
    </row>
    <row r="152" spans="1:9" s="278" customFormat="1" x14ac:dyDescent="0.25">
      <c r="A152" s="281" t="s">
        <v>795</v>
      </c>
      <c r="B152" s="282" t="s">
        <v>733</v>
      </c>
      <c r="C152" s="282"/>
      <c r="D152" s="283"/>
      <c r="E152" s="283"/>
      <c r="F152" s="283">
        <v>363.19</v>
      </c>
      <c r="H152" s="279"/>
      <c r="I152" s="280"/>
    </row>
    <row r="153" spans="1:9" x14ac:dyDescent="0.25">
      <c r="A153" s="275" t="s">
        <v>796</v>
      </c>
      <c r="B153" s="276" t="s">
        <v>735</v>
      </c>
      <c r="C153" s="276" t="s">
        <v>530</v>
      </c>
      <c r="D153" s="277">
        <v>0.5</v>
      </c>
      <c r="E153" s="277">
        <v>338.3</v>
      </c>
      <c r="F153" s="277">
        <v>169.15</v>
      </c>
    </row>
    <row r="154" spans="1:9" s="278" customFormat="1" x14ac:dyDescent="0.25">
      <c r="A154" s="275" t="s">
        <v>797</v>
      </c>
      <c r="B154" s="276" t="s">
        <v>737</v>
      </c>
      <c r="C154" s="276" t="s">
        <v>564</v>
      </c>
      <c r="D154" s="277">
        <v>14</v>
      </c>
      <c r="E154" s="277">
        <v>13.86</v>
      </c>
      <c r="F154" s="277">
        <v>194.04</v>
      </c>
      <c r="H154" s="279"/>
      <c r="I154" s="280"/>
    </row>
    <row r="155" spans="1:9" s="278" customFormat="1" x14ac:dyDescent="0.25">
      <c r="A155" s="281" t="s">
        <v>798</v>
      </c>
      <c r="B155" s="282" t="s">
        <v>799</v>
      </c>
      <c r="C155" s="282"/>
      <c r="D155" s="283"/>
      <c r="E155" s="283"/>
      <c r="F155" s="283">
        <v>5248.46</v>
      </c>
      <c r="H155" s="279"/>
      <c r="I155" s="280"/>
    </row>
    <row r="156" spans="1:9" s="278" customFormat="1" x14ac:dyDescent="0.25">
      <c r="A156" s="275" t="s">
        <v>800</v>
      </c>
      <c r="B156" s="276" t="s">
        <v>801</v>
      </c>
      <c r="C156" s="276" t="s">
        <v>564</v>
      </c>
      <c r="D156" s="277">
        <v>7</v>
      </c>
      <c r="E156" s="277">
        <v>640</v>
      </c>
      <c r="F156" s="277">
        <v>4480</v>
      </c>
      <c r="H156" s="279"/>
      <c r="I156" s="280"/>
    </row>
    <row r="157" spans="1:9" x14ac:dyDescent="0.25">
      <c r="A157" s="275" t="s">
        <v>802</v>
      </c>
      <c r="B157" s="276" t="s">
        <v>803</v>
      </c>
      <c r="C157" s="276" t="s">
        <v>564</v>
      </c>
      <c r="D157" s="277">
        <v>7</v>
      </c>
      <c r="E157" s="277">
        <v>109.78</v>
      </c>
      <c r="F157" s="277">
        <v>768.46</v>
      </c>
    </row>
    <row r="158" spans="1:9" s="278" customFormat="1" x14ac:dyDescent="0.25">
      <c r="A158" s="271" t="s">
        <v>804</v>
      </c>
      <c r="B158" s="272" t="s">
        <v>805</v>
      </c>
      <c r="C158" s="272"/>
      <c r="D158" s="273"/>
      <c r="E158" s="273"/>
      <c r="F158" s="273">
        <v>10585.66</v>
      </c>
      <c r="H158" s="279"/>
      <c r="I158" s="280"/>
    </row>
    <row r="159" spans="1:9" s="278" customFormat="1" x14ac:dyDescent="0.25">
      <c r="A159" s="281" t="s">
        <v>806</v>
      </c>
      <c r="B159" s="282" t="s">
        <v>571</v>
      </c>
      <c r="C159" s="282"/>
      <c r="D159" s="283"/>
      <c r="E159" s="283"/>
      <c r="F159" s="283">
        <v>41.1</v>
      </c>
      <c r="H159" s="279"/>
      <c r="I159" s="280"/>
    </row>
    <row r="160" spans="1:9" s="278" customFormat="1" x14ac:dyDescent="0.25">
      <c r="A160" s="275" t="s">
        <v>807</v>
      </c>
      <c r="B160" s="276" t="s">
        <v>743</v>
      </c>
      <c r="C160" s="276" t="s">
        <v>564</v>
      </c>
      <c r="D160" s="277">
        <v>6</v>
      </c>
      <c r="E160" s="277">
        <v>6.85</v>
      </c>
      <c r="F160" s="277">
        <v>41.1</v>
      </c>
      <c r="H160" s="279"/>
      <c r="I160" s="280"/>
    </row>
    <row r="161" spans="1:10" x14ac:dyDescent="0.25">
      <c r="A161" s="281" t="s">
        <v>808</v>
      </c>
      <c r="B161" s="282" t="s">
        <v>578</v>
      </c>
      <c r="C161" s="282"/>
      <c r="D161" s="283"/>
      <c r="E161" s="283"/>
      <c r="F161" s="283">
        <v>79.569999999999993</v>
      </c>
      <c r="J161" s="289"/>
    </row>
    <row r="162" spans="1:10" x14ac:dyDescent="0.25">
      <c r="A162" s="275" t="s">
        <v>809</v>
      </c>
      <c r="B162" s="276" t="s">
        <v>580</v>
      </c>
      <c r="C162" s="276" t="s">
        <v>530</v>
      </c>
      <c r="D162" s="277">
        <v>4.21</v>
      </c>
      <c r="E162" s="277">
        <v>18.899999999999999</v>
      </c>
      <c r="F162" s="277">
        <v>79.569999999999993</v>
      </c>
    </row>
    <row r="163" spans="1:10" s="278" customFormat="1" x14ac:dyDescent="0.25">
      <c r="A163" s="281" t="s">
        <v>810</v>
      </c>
      <c r="B163" s="282" t="s">
        <v>584</v>
      </c>
      <c r="C163" s="282"/>
      <c r="D163" s="283"/>
      <c r="E163" s="283"/>
      <c r="F163" s="283">
        <v>311.79000000000002</v>
      </c>
      <c r="H163" s="279"/>
      <c r="I163" s="280"/>
      <c r="J163" s="284"/>
    </row>
    <row r="164" spans="1:10" s="278" customFormat="1" x14ac:dyDescent="0.25">
      <c r="A164" s="275" t="s">
        <v>811</v>
      </c>
      <c r="B164" s="276" t="s">
        <v>735</v>
      </c>
      <c r="C164" s="276" t="s">
        <v>530</v>
      </c>
      <c r="D164" s="277">
        <v>0.43</v>
      </c>
      <c r="E164" s="277">
        <v>338.3</v>
      </c>
      <c r="F164" s="277">
        <v>145.47</v>
      </c>
      <c r="H164" s="279"/>
      <c r="I164" s="280"/>
      <c r="J164" s="284"/>
    </row>
    <row r="165" spans="1:10" x14ac:dyDescent="0.25">
      <c r="A165" s="275" t="s">
        <v>812</v>
      </c>
      <c r="B165" s="276" t="s">
        <v>737</v>
      </c>
      <c r="C165" s="276" t="s">
        <v>564</v>
      </c>
      <c r="D165" s="277">
        <v>12</v>
      </c>
      <c r="E165" s="277">
        <v>13.86</v>
      </c>
      <c r="F165" s="277">
        <v>166.32</v>
      </c>
    </row>
    <row r="166" spans="1:10" s="278" customFormat="1" x14ac:dyDescent="0.25">
      <c r="A166" s="281" t="s">
        <v>813</v>
      </c>
      <c r="B166" s="282" t="s">
        <v>799</v>
      </c>
      <c r="C166" s="282"/>
      <c r="D166" s="283"/>
      <c r="E166" s="283"/>
      <c r="F166" s="283">
        <v>10153.200000000001</v>
      </c>
      <c r="H166" s="279"/>
      <c r="I166" s="280"/>
      <c r="J166" s="284"/>
    </row>
    <row r="167" spans="1:10" s="278" customFormat="1" x14ac:dyDescent="0.25">
      <c r="A167" s="275" t="s">
        <v>814</v>
      </c>
      <c r="B167" s="276" t="s">
        <v>815</v>
      </c>
      <c r="C167" s="276" t="s">
        <v>564</v>
      </c>
      <c r="D167" s="277">
        <v>6</v>
      </c>
      <c r="E167" s="277">
        <v>412.2</v>
      </c>
      <c r="F167" s="277">
        <v>2473.1999999999998</v>
      </c>
      <c r="H167" s="279"/>
      <c r="I167" s="280"/>
      <c r="J167" s="284"/>
    </row>
    <row r="168" spans="1:10" x14ac:dyDescent="0.25">
      <c r="A168" s="275" t="s">
        <v>816</v>
      </c>
      <c r="B168" s="276" t="s">
        <v>801</v>
      </c>
      <c r="C168" s="276" t="s">
        <v>564</v>
      </c>
      <c r="D168" s="277">
        <v>2</v>
      </c>
      <c r="E168" s="277">
        <v>1280</v>
      </c>
      <c r="F168" s="277">
        <v>2560</v>
      </c>
    </row>
    <row r="169" spans="1:10" s="278" customFormat="1" x14ac:dyDescent="0.25">
      <c r="A169" s="275" t="s">
        <v>817</v>
      </c>
      <c r="B169" s="276" t="s">
        <v>818</v>
      </c>
      <c r="C169" s="276" t="s">
        <v>564</v>
      </c>
      <c r="D169" s="277">
        <v>4</v>
      </c>
      <c r="E169" s="277">
        <v>1280</v>
      </c>
      <c r="F169" s="277">
        <v>5120</v>
      </c>
      <c r="H169" s="279"/>
      <c r="I169" s="280"/>
      <c r="J169" s="284"/>
    </row>
    <row r="170" spans="1:10" x14ac:dyDescent="0.25">
      <c r="A170" s="271" t="s">
        <v>819</v>
      </c>
      <c r="B170" s="272" t="s">
        <v>820</v>
      </c>
      <c r="C170" s="272"/>
      <c r="D170" s="273"/>
      <c r="E170" s="273"/>
      <c r="F170" s="273">
        <v>1721.38</v>
      </c>
      <c r="J170" s="289"/>
    </row>
    <row r="171" spans="1:10" s="278" customFormat="1" x14ac:dyDescent="0.25">
      <c r="A171" s="281" t="s">
        <v>821</v>
      </c>
      <c r="B171" s="282" t="s">
        <v>571</v>
      </c>
      <c r="C171" s="282"/>
      <c r="D171" s="283"/>
      <c r="E171" s="283"/>
      <c r="F171" s="283">
        <v>34.25</v>
      </c>
      <c r="H171" s="279"/>
      <c r="I171" s="280"/>
    </row>
    <row r="172" spans="1:10" s="278" customFormat="1" x14ac:dyDescent="0.25">
      <c r="A172" s="275" t="s">
        <v>822</v>
      </c>
      <c r="B172" s="276" t="s">
        <v>743</v>
      </c>
      <c r="C172" s="276" t="s">
        <v>564</v>
      </c>
      <c r="D172" s="277">
        <v>5</v>
      </c>
      <c r="E172" s="277">
        <v>6.85</v>
      </c>
      <c r="F172" s="277">
        <v>34.25</v>
      </c>
      <c r="H172" s="279"/>
      <c r="I172" s="280"/>
    </row>
    <row r="173" spans="1:10" s="278" customFormat="1" x14ac:dyDescent="0.25">
      <c r="A173" s="281" t="s">
        <v>823</v>
      </c>
      <c r="B173" s="282" t="s">
        <v>578</v>
      </c>
      <c r="C173" s="282"/>
      <c r="D173" s="283"/>
      <c r="E173" s="283"/>
      <c r="F173" s="283">
        <v>66.34</v>
      </c>
      <c r="H173" s="279"/>
      <c r="I173" s="280"/>
    </row>
    <row r="174" spans="1:10" x14ac:dyDescent="0.25">
      <c r="A174" s="275" t="s">
        <v>824</v>
      </c>
      <c r="B174" s="276" t="s">
        <v>580</v>
      </c>
      <c r="C174" s="276" t="s">
        <v>530</v>
      </c>
      <c r="D174" s="277">
        <v>3.51</v>
      </c>
      <c r="E174" s="277">
        <v>18.899999999999999</v>
      </c>
      <c r="F174" s="277">
        <v>66.34</v>
      </c>
    </row>
    <row r="175" spans="1:10" x14ac:dyDescent="0.25">
      <c r="A175" s="281" t="s">
        <v>825</v>
      </c>
      <c r="B175" s="282" t="s">
        <v>584</v>
      </c>
      <c r="C175" s="282"/>
      <c r="D175" s="283"/>
      <c r="E175" s="283"/>
      <c r="F175" s="283">
        <v>260.39</v>
      </c>
    </row>
    <row r="176" spans="1:10" s="278" customFormat="1" x14ac:dyDescent="0.25">
      <c r="A176" s="275" t="s">
        <v>826</v>
      </c>
      <c r="B176" s="276" t="s">
        <v>735</v>
      </c>
      <c r="C176" s="276" t="s">
        <v>530</v>
      </c>
      <c r="D176" s="277">
        <v>0.36</v>
      </c>
      <c r="E176" s="277">
        <v>338.3</v>
      </c>
      <c r="F176" s="277">
        <v>121.79</v>
      </c>
      <c r="H176" s="279"/>
      <c r="I176" s="280"/>
    </row>
    <row r="177" spans="1:12" s="278" customFormat="1" x14ac:dyDescent="0.25">
      <c r="A177" s="275" t="s">
        <v>827</v>
      </c>
      <c r="B177" s="276" t="s">
        <v>737</v>
      </c>
      <c r="C177" s="276" t="s">
        <v>564</v>
      </c>
      <c r="D177" s="277">
        <v>10</v>
      </c>
      <c r="E177" s="277">
        <v>13.86</v>
      </c>
      <c r="F177" s="277">
        <v>138.6</v>
      </c>
      <c r="H177" s="279"/>
      <c r="I177" s="280"/>
      <c r="L177" s="284"/>
    </row>
    <row r="178" spans="1:12" x14ac:dyDescent="0.25">
      <c r="A178" s="281" t="s">
        <v>828</v>
      </c>
      <c r="B178" s="282" t="s">
        <v>799</v>
      </c>
      <c r="C178" s="282"/>
      <c r="D178" s="283"/>
      <c r="E178" s="283"/>
      <c r="F178" s="283">
        <v>1360.4</v>
      </c>
    </row>
    <row r="179" spans="1:12" s="278" customFormat="1" x14ac:dyDescent="0.25">
      <c r="A179" s="275" t="s">
        <v>829</v>
      </c>
      <c r="B179" s="276" t="s">
        <v>830</v>
      </c>
      <c r="C179" s="276" t="s">
        <v>564</v>
      </c>
      <c r="D179" s="277">
        <v>5</v>
      </c>
      <c r="E179" s="277">
        <v>120</v>
      </c>
      <c r="F179" s="277">
        <v>600</v>
      </c>
      <c r="H179" s="279"/>
      <c r="I179" s="280"/>
    </row>
    <row r="180" spans="1:12" s="278" customFormat="1" x14ac:dyDescent="0.25">
      <c r="A180" s="275" t="s">
        <v>831</v>
      </c>
      <c r="B180" s="276" t="s">
        <v>832</v>
      </c>
      <c r="C180" s="276" t="s">
        <v>564</v>
      </c>
      <c r="D180" s="277">
        <v>5</v>
      </c>
      <c r="E180" s="277">
        <v>152.08000000000001</v>
      </c>
      <c r="F180" s="277">
        <v>760.4</v>
      </c>
      <c r="H180" s="279"/>
      <c r="I180" s="280"/>
    </row>
    <row r="181" spans="1:12" x14ac:dyDescent="0.25">
      <c r="A181" s="271" t="s">
        <v>833</v>
      </c>
      <c r="B181" s="272" t="s">
        <v>834</v>
      </c>
      <c r="C181" s="272"/>
      <c r="D181" s="273"/>
      <c r="E181" s="273"/>
      <c r="F181" s="273">
        <v>978.49</v>
      </c>
    </row>
    <row r="182" spans="1:12" s="278" customFormat="1" x14ac:dyDescent="0.25">
      <c r="A182" s="281" t="s">
        <v>835</v>
      </c>
      <c r="B182" s="282" t="s">
        <v>571</v>
      </c>
      <c r="C182" s="282"/>
      <c r="D182" s="283"/>
      <c r="E182" s="283"/>
      <c r="F182" s="283">
        <v>34.25</v>
      </c>
      <c r="H182" s="279"/>
      <c r="I182" s="280"/>
    </row>
    <row r="183" spans="1:12" x14ac:dyDescent="0.25">
      <c r="A183" s="275" t="s">
        <v>836</v>
      </c>
      <c r="B183" s="276" t="s">
        <v>743</v>
      </c>
      <c r="C183" s="276" t="s">
        <v>564</v>
      </c>
      <c r="D183" s="277">
        <v>5</v>
      </c>
      <c r="E183" s="277">
        <v>6.85</v>
      </c>
      <c r="F183" s="277">
        <v>34.25</v>
      </c>
    </row>
    <row r="184" spans="1:12" s="278" customFormat="1" x14ac:dyDescent="0.25">
      <c r="A184" s="281" t="s">
        <v>837</v>
      </c>
      <c r="B184" s="282" t="s">
        <v>578</v>
      </c>
      <c r="C184" s="282"/>
      <c r="D184" s="283"/>
      <c r="E184" s="283"/>
      <c r="F184" s="283">
        <v>7.94</v>
      </c>
      <c r="H184" s="274"/>
      <c r="I184" s="280"/>
    </row>
    <row r="185" spans="1:12" x14ac:dyDescent="0.25">
      <c r="A185" s="275" t="s">
        <v>838</v>
      </c>
      <c r="B185" s="276" t="s">
        <v>580</v>
      </c>
      <c r="C185" s="276" t="s">
        <v>530</v>
      </c>
      <c r="D185" s="277">
        <v>0.42</v>
      </c>
      <c r="E185" s="277">
        <v>18.899999999999999</v>
      </c>
      <c r="F185" s="277">
        <v>7.94</v>
      </c>
      <c r="H185" s="274"/>
    </row>
    <row r="186" spans="1:12" s="278" customFormat="1" x14ac:dyDescent="0.25">
      <c r="A186" s="281" t="s">
        <v>839</v>
      </c>
      <c r="B186" s="282" t="s">
        <v>584</v>
      </c>
      <c r="C186" s="282"/>
      <c r="D186" s="283"/>
      <c r="E186" s="283"/>
      <c r="F186" s="283">
        <v>69.45</v>
      </c>
      <c r="H186" s="274"/>
      <c r="I186" s="280"/>
    </row>
    <row r="187" spans="1:12" x14ac:dyDescent="0.25">
      <c r="A187" s="275" t="s">
        <v>840</v>
      </c>
      <c r="B187" s="276" t="s">
        <v>588</v>
      </c>
      <c r="C187" s="276" t="s">
        <v>574</v>
      </c>
      <c r="D187" s="277">
        <v>0.36</v>
      </c>
      <c r="E187" s="277">
        <v>24.62</v>
      </c>
      <c r="F187" s="277">
        <v>8.86</v>
      </c>
    </row>
    <row r="188" spans="1:12" x14ac:dyDescent="0.25">
      <c r="A188" s="275" t="s">
        <v>841</v>
      </c>
      <c r="B188" s="276" t="s">
        <v>842</v>
      </c>
      <c r="C188" s="276" t="s">
        <v>530</v>
      </c>
      <c r="D188" s="277">
        <v>0.15</v>
      </c>
      <c r="E188" s="277">
        <v>403.93</v>
      </c>
      <c r="F188" s="277">
        <v>60.59</v>
      </c>
      <c r="H188" s="274"/>
      <c r="J188" s="289"/>
      <c r="K188" s="289"/>
    </row>
    <row r="189" spans="1:12" s="278" customFormat="1" x14ac:dyDescent="0.25">
      <c r="A189" s="281" t="s">
        <v>843</v>
      </c>
      <c r="B189" s="282" t="s">
        <v>844</v>
      </c>
      <c r="C189" s="282"/>
      <c r="D189" s="283"/>
      <c r="E189" s="283"/>
      <c r="F189" s="283">
        <v>866.85</v>
      </c>
      <c r="H189" s="279"/>
      <c r="I189" s="280"/>
      <c r="K189" s="284"/>
    </row>
    <row r="190" spans="1:12" s="278" customFormat="1" x14ac:dyDescent="0.25">
      <c r="A190" s="275" t="s">
        <v>845</v>
      </c>
      <c r="B190" s="276" t="s">
        <v>701</v>
      </c>
      <c r="C190" s="276" t="s">
        <v>564</v>
      </c>
      <c r="D190" s="277">
        <v>5</v>
      </c>
      <c r="E190" s="277">
        <v>21.9</v>
      </c>
      <c r="F190" s="277">
        <v>109.5</v>
      </c>
      <c r="H190" s="279"/>
      <c r="I190" s="280"/>
      <c r="K190" s="284"/>
    </row>
    <row r="191" spans="1:12" x14ac:dyDescent="0.25">
      <c r="A191" s="275" t="s">
        <v>846</v>
      </c>
      <c r="B191" s="276" t="s">
        <v>847</v>
      </c>
      <c r="C191" s="276" t="s">
        <v>564</v>
      </c>
      <c r="D191" s="277">
        <v>5</v>
      </c>
      <c r="E191" s="277">
        <v>114.75</v>
      </c>
      <c r="F191" s="277">
        <v>573.75</v>
      </c>
      <c r="H191" s="274"/>
    </row>
    <row r="192" spans="1:12" s="278" customFormat="1" x14ac:dyDescent="0.25">
      <c r="A192" s="275" t="s">
        <v>848</v>
      </c>
      <c r="B192" s="276" t="s">
        <v>849</v>
      </c>
      <c r="C192" s="276" t="s">
        <v>564</v>
      </c>
      <c r="D192" s="277">
        <v>5</v>
      </c>
      <c r="E192" s="277">
        <v>36.72</v>
      </c>
      <c r="F192" s="277">
        <v>183.6</v>
      </c>
      <c r="H192" s="279"/>
      <c r="I192" s="280"/>
    </row>
    <row r="193" spans="1:9" s="278" customFormat="1" x14ac:dyDescent="0.25">
      <c r="A193" s="271" t="s">
        <v>850</v>
      </c>
      <c r="B193" s="272" t="s">
        <v>851</v>
      </c>
      <c r="C193" s="272"/>
      <c r="D193" s="273"/>
      <c r="E193" s="273"/>
      <c r="F193" s="273">
        <v>56148.63</v>
      </c>
      <c r="H193" s="279"/>
      <c r="I193" s="280"/>
    </row>
    <row r="194" spans="1:9" x14ac:dyDescent="0.25">
      <c r="A194" s="281" t="s">
        <v>852</v>
      </c>
      <c r="B194" s="282" t="s">
        <v>571</v>
      </c>
      <c r="C194" s="282"/>
      <c r="D194" s="283"/>
      <c r="E194" s="283"/>
      <c r="F194" s="283">
        <v>3799.81</v>
      </c>
    </row>
    <row r="195" spans="1:9" x14ac:dyDescent="0.25">
      <c r="A195" s="275" t="s">
        <v>853</v>
      </c>
      <c r="B195" s="276" t="s">
        <v>608</v>
      </c>
      <c r="C195" s="276" t="s">
        <v>609</v>
      </c>
      <c r="D195" s="277">
        <v>2857</v>
      </c>
      <c r="E195" s="277">
        <v>0.32</v>
      </c>
      <c r="F195" s="277">
        <v>914.24</v>
      </c>
    </row>
    <row r="196" spans="1:9" x14ac:dyDescent="0.25">
      <c r="A196" s="275" t="s">
        <v>854</v>
      </c>
      <c r="B196" s="276" t="s">
        <v>711</v>
      </c>
      <c r="C196" s="276" t="s">
        <v>609</v>
      </c>
      <c r="D196" s="277">
        <v>2857</v>
      </c>
      <c r="E196" s="277">
        <v>1.01</v>
      </c>
      <c r="F196" s="277">
        <v>2885.57</v>
      </c>
    </row>
    <row r="197" spans="1:9" x14ac:dyDescent="0.25">
      <c r="A197" s="281" t="s">
        <v>855</v>
      </c>
      <c r="B197" s="282" t="s">
        <v>578</v>
      </c>
      <c r="C197" s="282"/>
      <c r="D197" s="283"/>
      <c r="E197" s="283"/>
      <c r="F197" s="283">
        <v>20076.25</v>
      </c>
    </row>
    <row r="198" spans="1:9" x14ac:dyDescent="0.25">
      <c r="A198" s="275" t="s">
        <v>856</v>
      </c>
      <c r="B198" s="276" t="s">
        <v>614</v>
      </c>
      <c r="C198" s="276" t="s">
        <v>530</v>
      </c>
      <c r="D198" s="277">
        <v>557.1</v>
      </c>
      <c r="E198" s="277">
        <v>12.6</v>
      </c>
      <c r="F198" s="277">
        <v>7019.46</v>
      </c>
    </row>
    <row r="199" spans="1:9" x14ac:dyDescent="0.25">
      <c r="A199" s="275" t="s">
        <v>857</v>
      </c>
      <c r="B199" s="276" t="s">
        <v>715</v>
      </c>
      <c r="C199" s="276" t="s">
        <v>530</v>
      </c>
      <c r="D199" s="277">
        <v>300</v>
      </c>
      <c r="E199" s="277">
        <v>20</v>
      </c>
      <c r="F199" s="277">
        <v>6000</v>
      </c>
    </row>
    <row r="200" spans="1:9" x14ac:dyDescent="0.25">
      <c r="A200" s="275" t="s">
        <v>858</v>
      </c>
      <c r="B200" s="276" t="s">
        <v>717</v>
      </c>
      <c r="C200" s="276" t="s">
        <v>609</v>
      </c>
      <c r="D200" s="277">
        <v>2857</v>
      </c>
      <c r="E200" s="277">
        <v>0.76</v>
      </c>
      <c r="F200" s="277">
        <v>2171.3200000000002</v>
      </c>
    </row>
    <row r="201" spans="1:9" x14ac:dyDescent="0.25">
      <c r="A201" s="275" t="s">
        <v>859</v>
      </c>
      <c r="B201" s="276" t="s">
        <v>618</v>
      </c>
      <c r="C201" s="276" t="s">
        <v>530</v>
      </c>
      <c r="D201" s="277">
        <v>428.55</v>
      </c>
      <c r="E201" s="277">
        <v>3.84</v>
      </c>
      <c r="F201" s="277">
        <v>1645.63</v>
      </c>
    </row>
    <row r="202" spans="1:9" x14ac:dyDescent="0.25">
      <c r="A202" s="275" t="s">
        <v>860</v>
      </c>
      <c r="B202" s="276" t="s">
        <v>620</v>
      </c>
      <c r="C202" s="276" t="s">
        <v>530</v>
      </c>
      <c r="D202" s="277">
        <v>428.55</v>
      </c>
      <c r="E202" s="277">
        <v>7.56</v>
      </c>
      <c r="F202" s="277">
        <v>3239.84</v>
      </c>
    </row>
    <row r="203" spans="1:9" x14ac:dyDescent="0.25">
      <c r="A203" s="281" t="s">
        <v>861</v>
      </c>
      <c r="B203" s="282" t="s">
        <v>622</v>
      </c>
      <c r="C203" s="282"/>
      <c r="D203" s="283"/>
      <c r="E203" s="283"/>
      <c r="F203" s="283">
        <v>27486.09</v>
      </c>
    </row>
    <row r="204" spans="1:9" x14ac:dyDescent="0.25">
      <c r="A204" s="275" t="s">
        <v>862</v>
      </c>
      <c r="B204" s="276" t="s">
        <v>722</v>
      </c>
      <c r="C204" s="276" t="s">
        <v>609</v>
      </c>
      <c r="D204" s="277">
        <v>345</v>
      </c>
      <c r="E204" s="277">
        <v>11.4</v>
      </c>
      <c r="F204" s="277">
        <v>3933</v>
      </c>
    </row>
    <row r="205" spans="1:9" x14ac:dyDescent="0.25">
      <c r="A205" s="275" t="s">
        <v>863</v>
      </c>
      <c r="B205" s="276" t="s">
        <v>724</v>
      </c>
      <c r="C205" s="276" t="s">
        <v>609</v>
      </c>
      <c r="D205" s="277">
        <v>460</v>
      </c>
      <c r="E205" s="277">
        <v>15.01</v>
      </c>
      <c r="F205" s="277">
        <v>6904.6</v>
      </c>
    </row>
    <row r="206" spans="1:9" x14ac:dyDescent="0.25">
      <c r="A206" s="275" t="s">
        <v>864</v>
      </c>
      <c r="B206" s="276" t="s">
        <v>865</v>
      </c>
      <c r="C206" s="276" t="s">
        <v>609</v>
      </c>
      <c r="D206" s="277">
        <v>599</v>
      </c>
      <c r="E206" s="277">
        <v>7.8</v>
      </c>
      <c r="F206" s="277">
        <v>4672.2</v>
      </c>
    </row>
    <row r="207" spans="1:9" x14ac:dyDescent="0.25">
      <c r="A207" s="275" t="s">
        <v>866</v>
      </c>
      <c r="B207" s="276" t="s">
        <v>867</v>
      </c>
      <c r="C207" s="276" t="s">
        <v>609</v>
      </c>
      <c r="D207" s="277">
        <v>413</v>
      </c>
      <c r="E207" s="277">
        <v>9.1300000000000008</v>
      </c>
      <c r="F207" s="277">
        <v>3770.69</v>
      </c>
    </row>
    <row r="208" spans="1:9" x14ac:dyDescent="0.25">
      <c r="A208" s="275" t="s">
        <v>868</v>
      </c>
      <c r="B208" s="276" t="s">
        <v>869</v>
      </c>
      <c r="C208" s="276" t="s">
        <v>609</v>
      </c>
      <c r="D208" s="277">
        <v>1040</v>
      </c>
      <c r="E208" s="277">
        <v>7.89</v>
      </c>
      <c r="F208" s="277">
        <v>8205.6</v>
      </c>
    </row>
    <row r="209" spans="1:6" x14ac:dyDescent="0.25">
      <c r="A209" s="281" t="s">
        <v>870</v>
      </c>
      <c r="B209" s="282" t="s">
        <v>677</v>
      </c>
      <c r="C209" s="282"/>
      <c r="D209" s="283"/>
      <c r="E209" s="283"/>
      <c r="F209" s="283">
        <v>1894</v>
      </c>
    </row>
    <row r="210" spans="1:6" x14ac:dyDescent="0.25">
      <c r="A210" s="275" t="s">
        <v>871</v>
      </c>
      <c r="B210" s="276" t="s">
        <v>727</v>
      </c>
      <c r="C210" s="276" t="s">
        <v>567</v>
      </c>
      <c r="D210" s="277">
        <v>1</v>
      </c>
      <c r="E210" s="277">
        <v>1310</v>
      </c>
      <c r="F210" s="277">
        <v>1310</v>
      </c>
    </row>
    <row r="211" spans="1:6" x14ac:dyDescent="0.25">
      <c r="A211" s="275" t="s">
        <v>872</v>
      </c>
      <c r="B211" s="276" t="s">
        <v>873</v>
      </c>
      <c r="C211" s="276" t="s">
        <v>567</v>
      </c>
      <c r="D211" s="277">
        <v>1</v>
      </c>
      <c r="E211" s="277">
        <v>488</v>
      </c>
      <c r="F211" s="277">
        <v>488</v>
      </c>
    </row>
    <row r="212" spans="1:6" x14ac:dyDescent="0.25">
      <c r="A212" s="275" t="s">
        <v>874</v>
      </c>
      <c r="B212" s="276" t="s">
        <v>875</v>
      </c>
      <c r="C212" s="276" t="s">
        <v>567</v>
      </c>
      <c r="D212" s="277">
        <v>1</v>
      </c>
      <c r="E212" s="277">
        <v>96</v>
      </c>
      <c r="F212" s="277">
        <v>96</v>
      </c>
    </row>
    <row r="213" spans="1:6" x14ac:dyDescent="0.25">
      <c r="A213" s="281" t="s">
        <v>876</v>
      </c>
      <c r="B213" s="282" t="s">
        <v>729</v>
      </c>
      <c r="C213" s="282"/>
      <c r="D213" s="283"/>
      <c r="E213" s="283"/>
      <c r="F213" s="283">
        <v>1742.77</v>
      </c>
    </row>
    <row r="214" spans="1:6" x14ac:dyDescent="0.25">
      <c r="A214" s="275" t="s">
        <v>877</v>
      </c>
      <c r="B214" s="276" t="s">
        <v>731</v>
      </c>
      <c r="C214" s="276" t="s">
        <v>609</v>
      </c>
      <c r="D214" s="277">
        <v>2857</v>
      </c>
      <c r="E214" s="277">
        <v>0.61</v>
      </c>
      <c r="F214" s="277">
        <v>1742.77</v>
      </c>
    </row>
    <row r="215" spans="1:6" x14ac:dyDescent="0.25">
      <c r="A215" s="281" t="s">
        <v>878</v>
      </c>
      <c r="B215" s="282" t="s">
        <v>733</v>
      </c>
      <c r="C215" s="282"/>
      <c r="D215" s="283"/>
      <c r="E215" s="283"/>
      <c r="F215" s="283">
        <v>1149.71</v>
      </c>
    </row>
    <row r="216" spans="1:6" x14ac:dyDescent="0.25">
      <c r="A216" s="275" t="s">
        <v>879</v>
      </c>
      <c r="B216" s="276" t="s">
        <v>735</v>
      </c>
      <c r="C216" s="276" t="s">
        <v>530</v>
      </c>
      <c r="D216" s="277">
        <v>1.35</v>
      </c>
      <c r="E216" s="277">
        <v>338.3</v>
      </c>
      <c r="F216" s="277">
        <v>456.71</v>
      </c>
    </row>
    <row r="217" spans="1:6" x14ac:dyDescent="0.25">
      <c r="A217" s="275" t="s">
        <v>880</v>
      </c>
      <c r="B217" s="276" t="s">
        <v>737</v>
      </c>
      <c r="C217" s="276" t="s">
        <v>564</v>
      </c>
      <c r="D217" s="277">
        <v>50</v>
      </c>
      <c r="E217" s="277">
        <v>13.86</v>
      </c>
      <c r="F217" s="277">
        <v>693</v>
      </c>
    </row>
    <row r="218" spans="1:6" x14ac:dyDescent="0.25">
      <c r="A218" s="271" t="s">
        <v>881</v>
      </c>
      <c r="B218" s="272" t="s">
        <v>882</v>
      </c>
      <c r="C218" s="272"/>
      <c r="D218" s="273"/>
      <c r="E218" s="273"/>
      <c r="F218" s="273">
        <v>5492.29</v>
      </c>
    </row>
    <row r="219" spans="1:6" x14ac:dyDescent="0.25">
      <c r="A219" s="281" t="s">
        <v>883</v>
      </c>
      <c r="B219" s="282" t="s">
        <v>571</v>
      </c>
      <c r="C219" s="282"/>
      <c r="D219" s="283"/>
      <c r="E219" s="283"/>
      <c r="F219" s="283">
        <v>78</v>
      </c>
    </row>
    <row r="220" spans="1:6" x14ac:dyDescent="0.25">
      <c r="A220" s="275" t="s">
        <v>884</v>
      </c>
      <c r="B220" s="276" t="s">
        <v>573</v>
      </c>
      <c r="C220" s="276" t="s">
        <v>574</v>
      </c>
      <c r="D220" s="277">
        <v>10</v>
      </c>
      <c r="E220" s="277">
        <v>0.95</v>
      </c>
      <c r="F220" s="277">
        <v>9.5</v>
      </c>
    </row>
    <row r="221" spans="1:6" x14ac:dyDescent="0.25">
      <c r="A221" s="275" t="s">
        <v>885</v>
      </c>
      <c r="B221" s="276" t="s">
        <v>743</v>
      </c>
      <c r="C221" s="276" t="s">
        <v>564</v>
      </c>
      <c r="D221" s="277">
        <v>10</v>
      </c>
      <c r="E221" s="277">
        <v>6.85</v>
      </c>
      <c r="F221" s="277">
        <v>68.5</v>
      </c>
    </row>
    <row r="222" spans="1:6" x14ac:dyDescent="0.25">
      <c r="A222" s="281" t="s">
        <v>886</v>
      </c>
      <c r="B222" s="282" t="s">
        <v>578</v>
      </c>
      <c r="C222" s="282"/>
      <c r="D222" s="283"/>
      <c r="E222" s="283"/>
      <c r="F222" s="283">
        <v>92.73</v>
      </c>
    </row>
    <row r="223" spans="1:6" x14ac:dyDescent="0.25">
      <c r="A223" s="275" t="s">
        <v>887</v>
      </c>
      <c r="B223" s="276" t="s">
        <v>580</v>
      </c>
      <c r="C223" s="276" t="s">
        <v>530</v>
      </c>
      <c r="D223" s="277">
        <v>4.4800000000000004</v>
      </c>
      <c r="E223" s="277">
        <v>18.899999999999999</v>
      </c>
      <c r="F223" s="277">
        <v>84.67</v>
      </c>
    </row>
    <row r="224" spans="1:6" x14ac:dyDescent="0.25">
      <c r="A224" s="275" t="s">
        <v>888</v>
      </c>
      <c r="B224" s="276" t="s">
        <v>582</v>
      </c>
      <c r="C224" s="276" t="s">
        <v>574</v>
      </c>
      <c r="D224" s="277">
        <v>6.4</v>
      </c>
      <c r="E224" s="277">
        <v>1.26</v>
      </c>
      <c r="F224" s="277">
        <v>8.06</v>
      </c>
    </row>
    <row r="225" spans="1:6" x14ac:dyDescent="0.25">
      <c r="A225" s="281" t="s">
        <v>889</v>
      </c>
      <c r="B225" s="282" t="s">
        <v>748</v>
      </c>
      <c r="C225" s="282"/>
      <c r="D225" s="283"/>
      <c r="E225" s="283"/>
      <c r="F225" s="283">
        <v>464.09</v>
      </c>
    </row>
    <row r="226" spans="1:6" x14ac:dyDescent="0.25">
      <c r="A226" s="275" t="s">
        <v>890</v>
      </c>
      <c r="B226" s="276" t="s">
        <v>588</v>
      </c>
      <c r="C226" s="276" t="s">
        <v>574</v>
      </c>
      <c r="D226" s="277">
        <v>6.9</v>
      </c>
      <c r="E226" s="277">
        <v>24.62</v>
      </c>
      <c r="F226" s="277">
        <v>169.88</v>
      </c>
    </row>
    <row r="227" spans="1:6" x14ac:dyDescent="0.25">
      <c r="A227" s="275" t="s">
        <v>891</v>
      </c>
      <c r="B227" s="276" t="s">
        <v>586</v>
      </c>
      <c r="C227" s="276" t="s">
        <v>530</v>
      </c>
      <c r="D227" s="277">
        <v>0.69</v>
      </c>
      <c r="E227" s="277">
        <v>426.39</v>
      </c>
      <c r="F227" s="277">
        <v>294.20999999999998</v>
      </c>
    </row>
    <row r="228" spans="1:6" x14ac:dyDescent="0.25">
      <c r="A228" s="281" t="s">
        <v>892</v>
      </c>
      <c r="B228" s="282" t="s">
        <v>752</v>
      </c>
      <c r="C228" s="282"/>
      <c r="D228" s="283"/>
      <c r="E228" s="283"/>
      <c r="F228" s="283">
        <v>2813.6</v>
      </c>
    </row>
    <row r="229" spans="1:6" x14ac:dyDescent="0.25">
      <c r="A229" s="275" t="s">
        <v>893</v>
      </c>
      <c r="B229" s="276" t="s">
        <v>699</v>
      </c>
      <c r="C229" s="276" t="s">
        <v>564</v>
      </c>
      <c r="D229" s="277">
        <v>7</v>
      </c>
      <c r="E229" s="277">
        <v>317.36</v>
      </c>
      <c r="F229" s="277">
        <v>2221.52</v>
      </c>
    </row>
    <row r="230" spans="1:6" x14ac:dyDescent="0.25">
      <c r="A230" s="275" t="s">
        <v>894</v>
      </c>
      <c r="B230" s="276" t="s">
        <v>895</v>
      </c>
      <c r="C230" s="276" t="s">
        <v>564</v>
      </c>
      <c r="D230" s="277">
        <v>3</v>
      </c>
      <c r="E230" s="277">
        <v>197.36</v>
      </c>
      <c r="F230" s="277">
        <v>592.08000000000004</v>
      </c>
    </row>
    <row r="231" spans="1:6" x14ac:dyDescent="0.25">
      <c r="A231" s="281" t="s">
        <v>896</v>
      </c>
      <c r="B231" s="282" t="s">
        <v>677</v>
      </c>
      <c r="C231" s="282"/>
      <c r="D231" s="283"/>
      <c r="E231" s="283"/>
      <c r="F231" s="283">
        <v>2043.87</v>
      </c>
    </row>
    <row r="232" spans="1:6" x14ac:dyDescent="0.25">
      <c r="A232" s="275" t="s">
        <v>897</v>
      </c>
      <c r="B232" s="276" t="s">
        <v>701</v>
      </c>
      <c r="C232" s="276" t="s">
        <v>564</v>
      </c>
      <c r="D232" s="277">
        <v>7</v>
      </c>
      <c r="E232" s="277">
        <v>21.9</v>
      </c>
      <c r="F232" s="277">
        <v>153.30000000000001</v>
      </c>
    </row>
    <row r="233" spans="1:6" x14ac:dyDescent="0.25">
      <c r="A233" s="275" t="s">
        <v>898</v>
      </c>
      <c r="B233" s="276" t="s">
        <v>899</v>
      </c>
      <c r="C233" s="276" t="s">
        <v>564</v>
      </c>
      <c r="D233" s="277">
        <v>3</v>
      </c>
      <c r="E233" s="277">
        <v>19.190000000000001</v>
      </c>
      <c r="F233" s="277">
        <v>57.57</v>
      </c>
    </row>
    <row r="234" spans="1:6" x14ac:dyDescent="0.25">
      <c r="A234" s="275" t="s">
        <v>900</v>
      </c>
      <c r="B234" s="276" t="s">
        <v>757</v>
      </c>
      <c r="C234" s="276" t="s">
        <v>564</v>
      </c>
      <c r="D234" s="277">
        <v>10</v>
      </c>
      <c r="E234" s="277">
        <v>48.22</v>
      </c>
      <c r="F234" s="277">
        <v>482.2</v>
      </c>
    </row>
    <row r="235" spans="1:6" x14ac:dyDescent="0.25">
      <c r="A235" s="275" t="s">
        <v>901</v>
      </c>
      <c r="B235" s="276" t="s">
        <v>759</v>
      </c>
      <c r="C235" s="276" t="s">
        <v>564</v>
      </c>
      <c r="D235" s="277">
        <v>10</v>
      </c>
      <c r="E235" s="277">
        <v>135.08000000000001</v>
      </c>
      <c r="F235" s="277">
        <v>1350.8</v>
      </c>
    </row>
    <row r="236" spans="1:6" x14ac:dyDescent="0.25">
      <c r="A236" s="271" t="s">
        <v>902</v>
      </c>
      <c r="B236" s="272" t="s">
        <v>903</v>
      </c>
      <c r="C236" s="272"/>
      <c r="D236" s="273"/>
      <c r="E236" s="273"/>
      <c r="F236" s="273">
        <v>1408.68</v>
      </c>
    </row>
    <row r="237" spans="1:6" x14ac:dyDescent="0.25">
      <c r="A237" s="281" t="s">
        <v>904</v>
      </c>
      <c r="B237" s="282" t="s">
        <v>571</v>
      </c>
      <c r="C237" s="282"/>
      <c r="D237" s="283"/>
      <c r="E237" s="283"/>
      <c r="F237" s="283">
        <v>150.69999999999999</v>
      </c>
    </row>
    <row r="238" spans="1:6" x14ac:dyDescent="0.25">
      <c r="A238" s="275" t="s">
        <v>905</v>
      </c>
      <c r="B238" s="276" t="s">
        <v>743</v>
      </c>
      <c r="C238" s="276" t="s">
        <v>564</v>
      </c>
      <c r="D238" s="277">
        <v>22</v>
      </c>
      <c r="E238" s="277">
        <v>6.85</v>
      </c>
      <c r="F238" s="277">
        <v>150.69999999999999</v>
      </c>
    </row>
    <row r="239" spans="1:6" x14ac:dyDescent="0.25">
      <c r="A239" s="281" t="s">
        <v>906</v>
      </c>
      <c r="B239" s="282" t="s">
        <v>578</v>
      </c>
      <c r="C239" s="282"/>
      <c r="D239" s="283"/>
      <c r="E239" s="283"/>
      <c r="F239" s="283">
        <v>41.58</v>
      </c>
    </row>
    <row r="240" spans="1:6" x14ac:dyDescent="0.25">
      <c r="A240" s="275" t="s">
        <v>907</v>
      </c>
      <c r="B240" s="276" t="s">
        <v>580</v>
      </c>
      <c r="C240" s="276" t="s">
        <v>530</v>
      </c>
      <c r="D240" s="277">
        <v>2.2000000000000002</v>
      </c>
      <c r="E240" s="277">
        <v>18.899999999999999</v>
      </c>
      <c r="F240" s="277">
        <v>41.58</v>
      </c>
    </row>
    <row r="241" spans="1:6" x14ac:dyDescent="0.25">
      <c r="A241" s="281" t="s">
        <v>908</v>
      </c>
      <c r="B241" s="282" t="s">
        <v>584</v>
      </c>
      <c r="C241" s="282"/>
      <c r="D241" s="283"/>
      <c r="E241" s="283"/>
      <c r="F241" s="283">
        <v>642.41999999999996</v>
      </c>
    </row>
    <row r="242" spans="1:6" x14ac:dyDescent="0.25">
      <c r="A242" s="275" t="s">
        <v>909</v>
      </c>
      <c r="B242" s="276" t="s">
        <v>588</v>
      </c>
      <c r="C242" s="276" t="s">
        <v>574</v>
      </c>
      <c r="D242" s="277">
        <v>10.16</v>
      </c>
      <c r="E242" s="277">
        <v>24.62</v>
      </c>
      <c r="F242" s="277">
        <v>250.14</v>
      </c>
    </row>
    <row r="243" spans="1:6" x14ac:dyDescent="0.25">
      <c r="A243" s="275" t="s">
        <v>910</v>
      </c>
      <c r="B243" s="276" t="s">
        <v>586</v>
      </c>
      <c r="C243" s="276" t="s">
        <v>530</v>
      </c>
      <c r="D243" s="277">
        <v>0.92</v>
      </c>
      <c r="E243" s="277">
        <v>426.39</v>
      </c>
      <c r="F243" s="277">
        <v>392.28</v>
      </c>
    </row>
    <row r="244" spans="1:6" x14ac:dyDescent="0.25">
      <c r="A244" s="281" t="s">
        <v>911</v>
      </c>
      <c r="B244" s="282" t="s">
        <v>912</v>
      </c>
      <c r="C244" s="282"/>
      <c r="D244" s="283"/>
      <c r="E244" s="283"/>
      <c r="F244" s="283">
        <v>573.98</v>
      </c>
    </row>
    <row r="245" spans="1:6" x14ac:dyDescent="0.25">
      <c r="A245" s="275" t="s">
        <v>913</v>
      </c>
      <c r="B245" s="276" t="s">
        <v>914</v>
      </c>
      <c r="C245" s="276" t="s">
        <v>564</v>
      </c>
      <c r="D245" s="277">
        <v>22</v>
      </c>
      <c r="E245" s="277">
        <v>26.09</v>
      </c>
      <c r="F245" s="277">
        <v>573.98</v>
      </c>
    </row>
    <row r="246" spans="1:6" x14ac:dyDescent="0.25">
      <c r="A246" s="271" t="s">
        <v>915</v>
      </c>
      <c r="B246" s="272" t="s">
        <v>916</v>
      </c>
      <c r="C246" s="272"/>
      <c r="D246" s="273"/>
      <c r="E246" s="273"/>
      <c r="F246" s="273">
        <v>2996.1</v>
      </c>
    </row>
    <row r="247" spans="1:6" x14ac:dyDescent="0.25">
      <c r="A247" s="281" t="s">
        <v>917</v>
      </c>
      <c r="B247" s="282" t="s">
        <v>571</v>
      </c>
      <c r="C247" s="282"/>
      <c r="D247" s="283"/>
      <c r="E247" s="283"/>
      <c r="F247" s="283">
        <v>184.95</v>
      </c>
    </row>
    <row r="248" spans="1:6" x14ac:dyDescent="0.25">
      <c r="A248" s="275" t="s">
        <v>918</v>
      </c>
      <c r="B248" s="276" t="s">
        <v>743</v>
      </c>
      <c r="C248" s="276" t="s">
        <v>564</v>
      </c>
      <c r="D248" s="277">
        <v>27</v>
      </c>
      <c r="E248" s="277">
        <v>6.85</v>
      </c>
      <c r="F248" s="277">
        <v>184.95</v>
      </c>
    </row>
    <row r="249" spans="1:6" x14ac:dyDescent="0.25">
      <c r="A249" s="281" t="s">
        <v>919</v>
      </c>
      <c r="B249" s="282" t="s">
        <v>584</v>
      </c>
      <c r="C249" s="282"/>
      <c r="D249" s="283"/>
      <c r="E249" s="283"/>
      <c r="F249" s="283">
        <v>1106.8499999999999</v>
      </c>
    </row>
    <row r="250" spans="1:6" x14ac:dyDescent="0.25">
      <c r="A250" s="275" t="s">
        <v>920</v>
      </c>
      <c r="B250" s="276" t="s">
        <v>588</v>
      </c>
      <c r="C250" s="276" t="s">
        <v>574</v>
      </c>
      <c r="D250" s="277">
        <v>22.68</v>
      </c>
      <c r="E250" s="277">
        <v>24.62</v>
      </c>
      <c r="F250" s="277">
        <v>558.38</v>
      </c>
    </row>
    <row r="251" spans="1:6" x14ac:dyDescent="0.25">
      <c r="A251" s="275" t="s">
        <v>921</v>
      </c>
      <c r="B251" s="276" t="s">
        <v>922</v>
      </c>
      <c r="C251" s="276" t="s">
        <v>530</v>
      </c>
      <c r="D251" s="277">
        <v>1.1299999999999999</v>
      </c>
      <c r="E251" s="277">
        <v>362.8</v>
      </c>
      <c r="F251" s="277">
        <v>409.96</v>
      </c>
    </row>
    <row r="252" spans="1:6" x14ac:dyDescent="0.25">
      <c r="A252" s="275" t="s">
        <v>923</v>
      </c>
      <c r="B252" s="276" t="s">
        <v>924</v>
      </c>
      <c r="C252" s="276" t="s">
        <v>564</v>
      </c>
      <c r="D252" s="277">
        <v>27</v>
      </c>
      <c r="E252" s="277">
        <v>5.13</v>
      </c>
      <c r="F252" s="277">
        <v>138.51</v>
      </c>
    </row>
    <row r="253" spans="1:6" x14ac:dyDescent="0.25">
      <c r="A253" s="281" t="s">
        <v>925</v>
      </c>
      <c r="B253" s="282" t="s">
        <v>926</v>
      </c>
      <c r="C253" s="282"/>
      <c r="D253" s="283"/>
      <c r="E253" s="283"/>
      <c r="F253" s="283">
        <v>1704.3</v>
      </c>
    </row>
    <row r="254" spans="1:6" x14ac:dyDescent="0.25">
      <c r="A254" s="275" t="s">
        <v>927</v>
      </c>
      <c r="B254" s="276" t="s">
        <v>701</v>
      </c>
      <c r="C254" s="276" t="s">
        <v>564</v>
      </c>
      <c r="D254" s="277">
        <v>6</v>
      </c>
      <c r="E254" s="277">
        <v>21.9</v>
      </c>
      <c r="F254" s="277">
        <v>131.4</v>
      </c>
    </row>
    <row r="255" spans="1:6" x14ac:dyDescent="0.25">
      <c r="A255" s="275" t="s">
        <v>928</v>
      </c>
      <c r="B255" s="276" t="s">
        <v>899</v>
      </c>
      <c r="C255" s="276" t="s">
        <v>564</v>
      </c>
      <c r="D255" s="277">
        <v>12</v>
      </c>
      <c r="E255" s="277">
        <v>19.190000000000001</v>
      </c>
      <c r="F255" s="277">
        <v>230.28</v>
      </c>
    </row>
    <row r="256" spans="1:6" x14ac:dyDescent="0.25">
      <c r="A256" s="275" t="s">
        <v>929</v>
      </c>
      <c r="B256" s="276" t="s">
        <v>930</v>
      </c>
      <c r="C256" s="276" t="s">
        <v>564</v>
      </c>
      <c r="D256" s="277">
        <v>9</v>
      </c>
      <c r="E256" s="277">
        <v>18.2</v>
      </c>
      <c r="F256" s="277">
        <v>163.80000000000001</v>
      </c>
    </row>
    <row r="257" spans="1:7" x14ac:dyDescent="0.25">
      <c r="A257" s="275" t="s">
        <v>931</v>
      </c>
      <c r="B257" s="276" t="s">
        <v>932</v>
      </c>
      <c r="C257" s="276" t="s">
        <v>564</v>
      </c>
      <c r="D257" s="277">
        <v>27</v>
      </c>
      <c r="E257" s="277">
        <v>43.66</v>
      </c>
      <c r="F257" s="277">
        <v>1178.82</v>
      </c>
    </row>
    <row r="258" spans="1:7" x14ac:dyDescent="0.25">
      <c r="A258" s="271" t="s">
        <v>933</v>
      </c>
      <c r="B258" s="272" t="s">
        <v>934</v>
      </c>
      <c r="C258" s="272"/>
      <c r="D258" s="273"/>
      <c r="E258" s="273"/>
      <c r="F258" s="273">
        <v>3531.16</v>
      </c>
    </row>
    <row r="259" spans="1:7" x14ac:dyDescent="0.25">
      <c r="A259" s="281" t="s">
        <v>935</v>
      </c>
      <c r="B259" s="282" t="s">
        <v>571</v>
      </c>
      <c r="C259" s="282"/>
      <c r="D259" s="283"/>
      <c r="E259" s="283"/>
      <c r="F259" s="283">
        <v>164.4</v>
      </c>
    </row>
    <row r="260" spans="1:7" x14ac:dyDescent="0.25">
      <c r="A260" s="275" t="s">
        <v>936</v>
      </c>
      <c r="B260" s="276" t="s">
        <v>743</v>
      </c>
      <c r="C260" s="276" t="s">
        <v>564</v>
      </c>
      <c r="D260" s="277">
        <v>24</v>
      </c>
      <c r="E260" s="277">
        <v>6.85</v>
      </c>
      <c r="F260" s="277">
        <v>164.4</v>
      </c>
    </row>
    <row r="261" spans="1:7" x14ac:dyDescent="0.25">
      <c r="A261" s="281" t="s">
        <v>937</v>
      </c>
      <c r="B261" s="282" t="s">
        <v>584</v>
      </c>
      <c r="C261" s="282"/>
      <c r="D261" s="283"/>
      <c r="E261" s="283"/>
      <c r="F261" s="283">
        <v>998.27</v>
      </c>
    </row>
    <row r="262" spans="1:7" x14ac:dyDescent="0.25">
      <c r="A262" s="275" t="s">
        <v>938</v>
      </c>
      <c r="B262" s="276" t="s">
        <v>588</v>
      </c>
      <c r="C262" s="276" t="s">
        <v>574</v>
      </c>
      <c r="D262" s="277">
        <v>20.16</v>
      </c>
      <c r="E262" s="277">
        <v>24.62</v>
      </c>
      <c r="F262" s="277">
        <v>496.34</v>
      </c>
    </row>
    <row r="263" spans="1:7" x14ac:dyDescent="0.25">
      <c r="A263" s="275" t="s">
        <v>939</v>
      </c>
      <c r="B263" s="276" t="s">
        <v>922</v>
      </c>
      <c r="C263" s="276" t="s">
        <v>530</v>
      </c>
      <c r="D263" s="277">
        <v>1.03</v>
      </c>
      <c r="E263" s="277">
        <v>362.8</v>
      </c>
      <c r="F263" s="277">
        <v>373.68</v>
      </c>
    </row>
    <row r="264" spans="1:7" x14ac:dyDescent="0.25">
      <c r="A264" s="275" t="s">
        <v>940</v>
      </c>
      <c r="B264" s="276" t="s">
        <v>924</v>
      </c>
      <c r="C264" s="276" t="s">
        <v>564</v>
      </c>
      <c r="D264" s="277">
        <v>25</v>
      </c>
      <c r="E264" s="277">
        <v>5.13</v>
      </c>
      <c r="F264" s="277">
        <v>128.25</v>
      </c>
    </row>
    <row r="265" spans="1:7" x14ac:dyDescent="0.25">
      <c r="A265" s="281" t="s">
        <v>941</v>
      </c>
      <c r="B265" s="282" t="s">
        <v>926</v>
      </c>
      <c r="C265" s="282"/>
      <c r="D265" s="283"/>
      <c r="E265" s="283"/>
      <c r="F265" s="283">
        <v>2368.4899999999998</v>
      </c>
    </row>
    <row r="266" spans="1:7" x14ac:dyDescent="0.25">
      <c r="A266" s="275" t="s">
        <v>942</v>
      </c>
      <c r="B266" s="276" t="s">
        <v>943</v>
      </c>
      <c r="C266" s="276" t="s">
        <v>564</v>
      </c>
      <c r="D266" s="277">
        <v>19</v>
      </c>
      <c r="E266" s="277">
        <v>15</v>
      </c>
      <c r="F266" s="277">
        <v>285</v>
      </c>
    </row>
    <row r="267" spans="1:7" x14ac:dyDescent="0.25">
      <c r="A267" s="275" t="s">
        <v>944</v>
      </c>
      <c r="B267" s="276" t="s">
        <v>945</v>
      </c>
      <c r="C267" s="276" t="s">
        <v>564</v>
      </c>
      <c r="D267" s="277">
        <v>4</v>
      </c>
      <c r="E267" s="277">
        <v>15</v>
      </c>
      <c r="F267" s="277">
        <v>60</v>
      </c>
    </row>
    <row r="268" spans="1:7" x14ac:dyDescent="0.25">
      <c r="A268" s="275" t="s">
        <v>946</v>
      </c>
      <c r="B268" s="276" t="s">
        <v>947</v>
      </c>
      <c r="C268" s="276" t="s">
        <v>564</v>
      </c>
      <c r="D268" s="277">
        <v>1</v>
      </c>
      <c r="E268" s="277">
        <v>13.49</v>
      </c>
      <c r="F268" s="277">
        <v>13.49</v>
      </c>
    </row>
    <row r="269" spans="1:7" x14ac:dyDescent="0.25">
      <c r="A269" s="275" t="s">
        <v>948</v>
      </c>
      <c r="B269" s="276" t="s">
        <v>949</v>
      </c>
      <c r="C269" s="276" t="s">
        <v>564</v>
      </c>
      <c r="D269" s="277">
        <v>24</v>
      </c>
      <c r="E269" s="277">
        <v>83.75</v>
      </c>
      <c r="F269" s="277">
        <v>2010</v>
      </c>
    </row>
    <row r="270" spans="1:7" x14ac:dyDescent="0.25">
      <c r="A270" s="271" t="s">
        <v>950</v>
      </c>
      <c r="B270" s="272" t="s">
        <v>951</v>
      </c>
      <c r="C270" s="272"/>
      <c r="D270" s="273"/>
      <c r="E270" s="273"/>
      <c r="F270" s="273">
        <f>+F271</f>
        <v>4865</v>
      </c>
      <c r="G270" s="290"/>
    </row>
    <row r="271" spans="1:7" x14ac:dyDescent="0.25">
      <c r="A271" s="281" t="s">
        <v>952</v>
      </c>
      <c r="B271" s="282" t="s">
        <v>953</v>
      </c>
      <c r="C271" s="282"/>
      <c r="D271" s="283"/>
      <c r="E271" s="283"/>
      <c r="F271" s="283">
        <f>SUM(F272:F274)</f>
        <v>4865</v>
      </c>
    </row>
    <row r="272" spans="1:7" x14ac:dyDescent="0.25">
      <c r="A272" s="275" t="s">
        <v>954</v>
      </c>
      <c r="B272" s="276" t="s">
        <v>955</v>
      </c>
      <c r="C272" s="276" t="s">
        <v>609</v>
      </c>
      <c r="D272" s="277">
        <v>500</v>
      </c>
      <c r="E272" s="277">
        <v>1.73</v>
      </c>
      <c r="F272" s="277">
        <f>+D272*E272</f>
        <v>865</v>
      </c>
    </row>
    <row r="273" spans="1:13" x14ac:dyDescent="0.25">
      <c r="A273" s="275" t="s">
        <v>956</v>
      </c>
      <c r="B273" s="276" t="s">
        <v>957</v>
      </c>
      <c r="C273" s="276" t="s">
        <v>564</v>
      </c>
      <c r="D273" s="277">
        <v>40</v>
      </c>
      <c r="E273" s="277">
        <v>50</v>
      </c>
      <c r="F273" s="277">
        <f>+D273*E273</f>
        <v>2000</v>
      </c>
    </row>
    <row r="274" spans="1:13" x14ac:dyDescent="0.25">
      <c r="A274" s="275" t="s">
        <v>958</v>
      </c>
      <c r="B274" s="276" t="s">
        <v>959</v>
      </c>
      <c r="C274" s="276" t="s">
        <v>564</v>
      </c>
      <c r="D274" s="277">
        <v>40</v>
      </c>
      <c r="E274" s="277">
        <v>50</v>
      </c>
      <c r="F274" s="277">
        <f>+D274*E274</f>
        <v>2000</v>
      </c>
    </row>
    <row r="275" spans="1:13" x14ac:dyDescent="0.25">
      <c r="A275" s="271" t="s">
        <v>960</v>
      </c>
      <c r="B275" s="272" t="s">
        <v>961</v>
      </c>
      <c r="C275" s="272"/>
      <c r="D275" s="273"/>
      <c r="E275" s="273"/>
      <c r="F275" s="273">
        <f>+F276</f>
        <v>34821.399999999994</v>
      </c>
    </row>
    <row r="276" spans="1:13" x14ac:dyDescent="0.25">
      <c r="A276" s="281" t="s">
        <v>962</v>
      </c>
      <c r="B276" s="282" t="s">
        <v>963</v>
      </c>
      <c r="C276" s="282"/>
      <c r="D276" s="283"/>
      <c r="E276" s="283"/>
      <c r="F276" s="283">
        <f>SUM(F277:F279)</f>
        <v>34821.399999999994</v>
      </c>
    </row>
    <row r="277" spans="1:13" x14ac:dyDescent="0.25">
      <c r="A277" s="275" t="s">
        <v>964</v>
      </c>
      <c r="B277" s="276" t="s">
        <v>965</v>
      </c>
      <c r="C277" s="276" t="s">
        <v>609</v>
      </c>
      <c r="D277" s="277">
        <v>18000</v>
      </c>
      <c r="E277" s="277">
        <v>0.73</v>
      </c>
      <c r="F277" s="277">
        <f>+E277*D277</f>
        <v>13140</v>
      </c>
    </row>
    <row r="278" spans="1:13" x14ac:dyDescent="0.25">
      <c r="A278" s="275" t="s">
        <v>966</v>
      </c>
      <c r="B278" s="276" t="s">
        <v>967</v>
      </c>
      <c r="C278" s="276" t="s">
        <v>564</v>
      </c>
      <c r="D278" s="277">
        <v>496</v>
      </c>
      <c r="E278" s="277">
        <v>6</v>
      </c>
      <c r="F278" s="277">
        <f>+E278*D278</f>
        <v>2976</v>
      </c>
    </row>
    <row r="279" spans="1:13" x14ac:dyDescent="0.25">
      <c r="A279" s="275" t="s">
        <v>968</v>
      </c>
      <c r="B279" s="276" t="s">
        <v>969</v>
      </c>
      <c r="C279" s="276" t="s">
        <v>564</v>
      </c>
      <c r="D279" s="277">
        <v>4310</v>
      </c>
      <c r="E279" s="277">
        <v>4.34</v>
      </c>
      <c r="F279" s="277">
        <f>+E279*D279</f>
        <v>18705.399999999998</v>
      </c>
    </row>
    <row r="280" spans="1:13" x14ac:dyDescent="0.25">
      <c r="A280" s="271" t="s">
        <v>970</v>
      </c>
      <c r="B280" s="272" t="s">
        <v>971</v>
      </c>
      <c r="C280" s="272"/>
      <c r="D280" s="273"/>
      <c r="E280" s="273"/>
      <c r="F280" s="273">
        <f>+F281+F284+F286+F289</f>
        <v>6734.48</v>
      </c>
    </row>
    <row r="281" spans="1:13" x14ac:dyDescent="0.25">
      <c r="A281" s="281" t="s">
        <v>972</v>
      </c>
      <c r="B281" s="282" t="s">
        <v>571</v>
      </c>
      <c r="C281" s="282"/>
      <c r="D281" s="283"/>
      <c r="E281" s="283"/>
      <c r="F281" s="283">
        <f>+F282+F283</f>
        <v>123.36</v>
      </c>
      <c r="J281" s="291"/>
      <c r="K281" s="291"/>
      <c r="M281" s="291"/>
    </row>
    <row r="282" spans="1:13" x14ac:dyDescent="0.25">
      <c r="A282" s="275" t="s">
        <v>973</v>
      </c>
      <c r="B282" s="276" t="s">
        <v>573</v>
      </c>
      <c r="C282" s="276" t="s">
        <v>574</v>
      </c>
      <c r="D282" s="277">
        <v>16</v>
      </c>
      <c r="E282" s="277">
        <v>0.86</v>
      </c>
      <c r="F282" s="277">
        <f>+E282*D282</f>
        <v>13.76</v>
      </c>
    </row>
    <row r="283" spans="1:13" x14ac:dyDescent="0.25">
      <c r="A283" s="275" t="s">
        <v>974</v>
      </c>
      <c r="B283" s="276" t="s">
        <v>743</v>
      </c>
      <c r="C283" s="276" t="s">
        <v>564</v>
      </c>
      <c r="D283" s="277">
        <v>16</v>
      </c>
      <c r="E283" s="277">
        <v>6.85</v>
      </c>
      <c r="F283" s="277">
        <f>+E283*D283</f>
        <v>109.6</v>
      </c>
    </row>
    <row r="284" spans="1:13" x14ac:dyDescent="0.25">
      <c r="A284" s="281" t="s">
        <v>975</v>
      </c>
      <c r="B284" s="282" t="s">
        <v>578</v>
      </c>
      <c r="C284" s="282"/>
      <c r="D284" s="283"/>
      <c r="E284" s="283"/>
      <c r="F284" s="283">
        <v>72.58</v>
      </c>
    </row>
    <row r="285" spans="1:13" x14ac:dyDescent="0.25">
      <c r="A285" s="275" t="s">
        <v>976</v>
      </c>
      <c r="B285" s="276" t="s">
        <v>580</v>
      </c>
      <c r="C285" s="276" t="s">
        <v>530</v>
      </c>
      <c r="D285" s="277">
        <v>3.84</v>
      </c>
      <c r="E285" s="277">
        <v>18.899999999999999</v>
      </c>
      <c r="F285" s="277">
        <v>72.58</v>
      </c>
    </row>
    <row r="286" spans="1:13" x14ac:dyDescent="0.25">
      <c r="A286" s="281" t="s">
        <v>977</v>
      </c>
      <c r="B286" s="282" t="s">
        <v>748</v>
      </c>
      <c r="C286" s="282"/>
      <c r="D286" s="283"/>
      <c r="E286" s="283"/>
      <c r="F286" s="283">
        <v>832.56</v>
      </c>
    </row>
    <row r="287" spans="1:13" x14ac:dyDescent="0.25">
      <c r="A287" s="275" t="s">
        <v>978</v>
      </c>
      <c r="B287" s="276" t="s">
        <v>735</v>
      </c>
      <c r="C287" s="276" t="s">
        <v>530</v>
      </c>
      <c r="D287" s="277">
        <v>1.1499999999999999</v>
      </c>
      <c r="E287" s="277">
        <v>338.3</v>
      </c>
      <c r="F287" s="277">
        <v>389.04</v>
      </c>
    </row>
    <row r="288" spans="1:13" x14ac:dyDescent="0.25">
      <c r="A288" s="275" t="s">
        <v>979</v>
      </c>
      <c r="B288" s="276" t="s">
        <v>737</v>
      </c>
      <c r="C288" s="276" t="s">
        <v>564</v>
      </c>
      <c r="D288" s="277">
        <v>32</v>
      </c>
      <c r="E288" s="277">
        <v>13.86</v>
      </c>
      <c r="F288" s="277">
        <v>443.52</v>
      </c>
    </row>
    <row r="289" spans="1:6" x14ac:dyDescent="0.25">
      <c r="A289" s="281" t="s">
        <v>980</v>
      </c>
      <c r="B289" s="282" t="s">
        <v>981</v>
      </c>
      <c r="C289" s="282"/>
      <c r="D289" s="283"/>
      <c r="E289" s="283"/>
      <c r="F289" s="283">
        <v>5705.98</v>
      </c>
    </row>
    <row r="290" spans="1:6" x14ac:dyDescent="0.25">
      <c r="A290" s="275" t="s">
        <v>982</v>
      </c>
      <c r="B290" s="276" t="s">
        <v>983</v>
      </c>
      <c r="C290" s="276" t="s">
        <v>564</v>
      </c>
      <c r="D290" s="277">
        <v>3</v>
      </c>
      <c r="E290" s="277">
        <v>550.41999999999996</v>
      </c>
      <c r="F290" s="277">
        <v>1651.26</v>
      </c>
    </row>
    <row r="291" spans="1:6" x14ac:dyDescent="0.25">
      <c r="A291" s="275" t="s">
        <v>984</v>
      </c>
      <c r="B291" s="276" t="s">
        <v>985</v>
      </c>
      <c r="C291" s="276" t="s">
        <v>564</v>
      </c>
      <c r="D291" s="277">
        <v>9</v>
      </c>
      <c r="E291" s="277">
        <v>213.6</v>
      </c>
      <c r="F291" s="277">
        <v>1922.4</v>
      </c>
    </row>
    <row r="292" spans="1:6" x14ac:dyDescent="0.25">
      <c r="A292" s="275" t="s">
        <v>986</v>
      </c>
      <c r="B292" s="276" t="s">
        <v>987</v>
      </c>
      <c r="C292" s="276" t="s">
        <v>564</v>
      </c>
      <c r="D292" s="277">
        <v>4</v>
      </c>
      <c r="E292" s="277">
        <v>186.11</v>
      </c>
      <c r="F292" s="277">
        <v>744.44</v>
      </c>
    </row>
    <row r="293" spans="1:6" x14ac:dyDescent="0.25">
      <c r="A293" s="275" t="s">
        <v>988</v>
      </c>
      <c r="B293" s="276" t="s">
        <v>989</v>
      </c>
      <c r="C293" s="276" t="s">
        <v>564</v>
      </c>
      <c r="D293" s="277">
        <v>1</v>
      </c>
      <c r="E293" s="277">
        <v>302.35000000000002</v>
      </c>
      <c r="F293" s="277">
        <v>302.35000000000002</v>
      </c>
    </row>
    <row r="294" spans="1:6" x14ac:dyDescent="0.25">
      <c r="A294" s="275" t="s">
        <v>990</v>
      </c>
      <c r="B294" s="276" t="s">
        <v>701</v>
      </c>
      <c r="C294" s="276" t="s">
        <v>564</v>
      </c>
      <c r="D294" s="277">
        <v>3</v>
      </c>
      <c r="E294" s="277">
        <v>21.9</v>
      </c>
      <c r="F294" s="277">
        <v>65.7</v>
      </c>
    </row>
    <row r="295" spans="1:6" x14ac:dyDescent="0.25">
      <c r="A295" s="275" t="s">
        <v>991</v>
      </c>
      <c r="B295" s="276" t="s">
        <v>899</v>
      </c>
      <c r="C295" s="276" t="s">
        <v>564</v>
      </c>
      <c r="D295" s="277">
        <v>9</v>
      </c>
      <c r="E295" s="277">
        <v>19.190000000000001</v>
      </c>
      <c r="F295" s="277">
        <v>172.71</v>
      </c>
    </row>
    <row r="296" spans="1:6" x14ac:dyDescent="0.25">
      <c r="A296" s="275" t="s">
        <v>992</v>
      </c>
      <c r="B296" s="276" t="s">
        <v>993</v>
      </c>
      <c r="C296" s="276" t="s">
        <v>564</v>
      </c>
      <c r="D296" s="277">
        <v>4</v>
      </c>
      <c r="E296" s="277">
        <v>18.899999999999999</v>
      </c>
      <c r="F296" s="277">
        <v>75.599999999999994</v>
      </c>
    </row>
    <row r="297" spans="1:6" x14ac:dyDescent="0.25">
      <c r="A297" s="275" t="s">
        <v>994</v>
      </c>
      <c r="B297" s="276" t="s">
        <v>757</v>
      </c>
      <c r="C297" s="276" t="s">
        <v>564</v>
      </c>
      <c r="D297" s="277">
        <v>16</v>
      </c>
      <c r="E297" s="277">
        <v>48.22</v>
      </c>
      <c r="F297" s="277">
        <v>771.52</v>
      </c>
    </row>
    <row r="298" spans="1:6" x14ac:dyDescent="0.25">
      <c r="A298" s="271" t="s">
        <v>995</v>
      </c>
      <c r="B298" s="272" t="s">
        <v>996</v>
      </c>
      <c r="C298" s="272"/>
      <c r="D298" s="273"/>
      <c r="E298" s="273"/>
      <c r="F298" s="273">
        <f>SUM(F299:F300)</f>
        <v>5840.86</v>
      </c>
    </row>
    <row r="299" spans="1:6" x14ac:dyDescent="0.25">
      <c r="A299" s="275" t="s">
        <v>997</v>
      </c>
      <c r="B299" s="276" t="s">
        <v>998</v>
      </c>
      <c r="C299" s="276" t="s">
        <v>567</v>
      </c>
      <c r="D299" s="277">
        <v>1</v>
      </c>
      <c r="E299" s="277">
        <v>4000</v>
      </c>
      <c r="F299" s="277">
        <f>+E299*D299</f>
        <v>4000</v>
      </c>
    </row>
    <row r="300" spans="1:6" x14ac:dyDescent="0.25">
      <c r="A300" s="275" t="s">
        <v>999</v>
      </c>
      <c r="B300" s="276" t="s">
        <v>1000</v>
      </c>
      <c r="C300" s="276" t="s">
        <v>567</v>
      </c>
      <c r="D300" s="277">
        <v>1</v>
      </c>
      <c r="E300" s="277">
        <v>1840.86</v>
      </c>
      <c r="F300" s="277">
        <f>+E300*D300</f>
        <v>1840.86</v>
      </c>
    </row>
    <row r="301" spans="1:6" x14ac:dyDescent="0.25">
      <c r="A301" s="271" t="s">
        <v>1001</v>
      </c>
      <c r="B301" s="272" t="s">
        <v>1002</v>
      </c>
      <c r="C301" s="272"/>
      <c r="D301" s="273"/>
      <c r="E301" s="273"/>
      <c r="F301" s="273">
        <f>+F302</f>
        <v>2478</v>
      </c>
    </row>
    <row r="302" spans="1:6" x14ac:dyDescent="0.25">
      <c r="A302" s="275" t="s">
        <v>1003</v>
      </c>
      <c r="B302" s="276" t="s">
        <v>1002</v>
      </c>
      <c r="C302" s="276" t="s">
        <v>567</v>
      </c>
      <c r="D302" s="277">
        <v>1</v>
      </c>
      <c r="E302" s="277">
        <v>2478</v>
      </c>
      <c r="F302" s="277">
        <f>+E302*D302</f>
        <v>2478</v>
      </c>
    </row>
    <row r="303" spans="1:6" x14ac:dyDescent="0.25">
      <c r="A303" s="271" t="s">
        <v>1004</v>
      </c>
      <c r="B303" s="272" t="s">
        <v>1005</v>
      </c>
      <c r="C303" s="272"/>
      <c r="D303" s="273"/>
      <c r="E303" s="273"/>
      <c r="F303" s="273">
        <f>+F304</f>
        <v>1180</v>
      </c>
    </row>
    <row r="304" spans="1:6" x14ac:dyDescent="0.25">
      <c r="A304" s="275" t="s">
        <v>1006</v>
      </c>
      <c r="B304" s="276" t="s">
        <v>1007</v>
      </c>
      <c r="C304" s="276" t="s">
        <v>567</v>
      </c>
      <c r="D304" s="277">
        <v>1</v>
      </c>
      <c r="E304" s="277">
        <v>1180</v>
      </c>
      <c r="F304" s="277">
        <f>+E304*D304</f>
        <v>1180</v>
      </c>
    </row>
    <row r="305" spans="1:10" ht="14.25" thickBot="1" x14ac:dyDescent="0.25">
      <c r="A305" s="292"/>
      <c r="B305" s="293" t="s">
        <v>356</v>
      </c>
      <c r="C305" s="294"/>
      <c r="D305" s="295"/>
      <c r="E305" s="295"/>
      <c r="F305" s="296">
        <f>+F303+F301+F298+F280+F275+F270+F258+F246+F236+F218+F193+F181+F170+F158+F147+F126+F110+F90+F75+F59+F39+F26+F9+F6</f>
        <v>225740.35999999996</v>
      </c>
      <c r="H305" s="297"/>
      <c r="I305" s="298"/>
      <c r="J305" s="289"/>
    </row>
    <row r="306" spans="1:10" ht="14.25" customHeight="1" thickBot="1" x14ac:dyDescent="0.25">
      <c r="A306" s="292"/>
      <c r="B306" s="1118" t="s">
        <v>1008</v>
      </c>
      <c r="C306" s="1119"/>
      <c r="D306" s="1119"/>
      <c r="E306" s="1120"/>
      <c r="F306" s="299">
        <f>+F305*0</f>
        <v>0</v>
      </c>
    </row>
    <row r="307" spans="1:10" ht="14.25" thickBot="1" x14ac:dyDescent="0.25">
      <c r="A307" s="292"/>
      <c r="B307" s="1118" t="s">
        <v>1009</v>
      </c>
      <c r="C307" s="1119"/>
      <c r="D307" s="1119"/>
      <c r="E307" s="1120"/>
      <c r="F307" s="299">
        <v>8850</v>
      </c>
    </row>
    <row r="308" spans="1:10" ht="14.25" thickBot="1" x14ac:dyDescent="0.25">
      <c r="A308" s="292"/>
      <c r="B308" s="1118" t="s">
        <v>1010</v>
      </c>
      <c r="C308" s="1119"/>
      <c r="D308" s="1119"/>
      <c r="E308" s="1120"/>
      <c r="F308" s="299">
        <v>7658.2</v>
      </c>
    </row>
    <row r="309" spans="1:10" ht="14.25" thickBot="1" x14ac:dyDescent="0.25">
      <c r="A309" s="292"/>
      <c r="B309" s="1118" t="s">
        <v>1011</v>
      </c>
      <c r="C309" s="1119"/>
      <c r="D309" s="1119"/>
      <c r="E309" s="1120"/>
      <c r="F309" s="300">
        <f>+E310</f>
        <v>8000</v>
      </c>
    </row>
    <row r="310" spans="1:10" ht="14.25" thickBot="1" x14ac:dyDescent="0.25">
      <c r="A310" s="292"/>
      <c r="B310" s="301" t="s">
        <v>1012</v>
      </c>
      <c r="C310" s="302" t="s">
        <v>567</v>
      </c>
      <c r="D310" s="303">
        <v>1</v>
      </c>
      <c r="E310" s="304">
        <v>8000</v>
      </c>
      <c r="F310" s="305"/>
    </row>
    <row r="311" spans="1:10" ht="14.25" thickBot="1" x14ac:dyDescent="0.25">
      <c r="A311" s="292"/>
      <c r="B311" s="306" t="s">
        <v>1013</v>
      </c>
      <c r="C311" s="307"/>
      <c r="D311" s="308"/>
      <c r="E311" s="308"/>
      <c r="F311" s="305">
        <f>SUM(F305:F309)</f>
        <v>250248.55999999997</v>
      </c>
    </row>
    <row r="312" spans="1:10" ht="14.25" thickBot="1" x14ac:dyDescent="0.25">
      <c r="A312" s="292"/>
      <c r="B312" s="1121" t="s">
        <v>1014</v>
      </c>
      <c r="C312" s="1122"/>
      <c r="D312" s="1122"/>
      <c r="E312" s="1122"/>
      <c r="F312" s="1123"/>
    </row>
    <row r="313" spans="1:10" ht="14.25" thickBot="1" x14ac:dyDescent="0.25">
      <c r="A313" s="292"/>
      <c r="B313" s="306" t="s">
        <v>1015</v>
      </c>
      <c r="C313" s="309" t="s">
        <v>1016</v>
      </c>
      <c r="D313" s="310"/>
      <c r="E313" s="310"/>
      <c r="F313" s="311">
        <f>F311/14.75</f>
        <v>16966.004067796606</v>
      </c>
    </row>
  </sheetData>
  <mergeCells count="8">
    <mergeCell ref="B309:E309"/>
    <mergeCell ref="B312:F312"/>
    <mergeCell ref="A1:F1"/>
    <mergeCell ref="B2:F2"/>
    <mergeCell ref="B4:F4"/>
    <mergeCell ref="B306:E306"/>
    <mergeCell ref="B307:E307"/>
    <mergeCell ref="B308:E30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6</vt:i4>
      </vt:variant>
    </vt:vector>
  </HeadingPairs>
  <TitlesOfParts>
    <vt:vector size="20" baseType="lpstr">
      <vt:lpstr>Ficha Mejoramiento Sist Riego</vt:lpstr>
      <vt:lpstr>Kc</vt:lpstr>
      <vt:lpstr>Ficha Automática</vt:lpstr>
      <vt:lpstr>Balance</vt:lpstr>
      <vt:lpstr>Demanda</vt:lpstr>
      <vt:lpstr>Oferta</vt:lpstr>
      <vt:lpstr>1. Identificación</vt:lpstr>
      <vt:lpstr>2. Balance Hídrico</vt:lpstr>
      <vt:lpstr>3. Costos</vt:lpstr>
      <vt:lpstr>4. Beneficios</vt:lpstr>
      <vt:lpstr>5. Sostenibilidad</vt:lpstr>
      <vt:lpstr>Selección de Datos</vt:lpstr>
      <vt:lpstr>Datos</vt:lpstr>
      <vt:lpstr>Ppto Ref</vt:lpstr>
      <vt:lpstr>'1. Identificación'!Área_de_impresión</vt:lpstr>
      <vt:lpstr>'2. Balance Hídrico'!Área_de_impresión</vt:lpstr>
      <vt:lpstr>'3. Costos'!Área_de_impresión</vt:lpstr>
      <vt:lpstr>'5. Sostenibilidad'!Área_de_impresión</vt:lpstr>
      <vt:lpstr>Demanda!Área_de_impresión</vt:lpstr>
      <vt:lpstr>'Ficha Mejoramiento Sist Riego'!Área_de_impresión</vt:lpstr>
    </vt:vector>
  </TitlesOfParts>
  <Company>DGPM - MEF</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Moreno</dc:creator>
  <cp:lastModifiedBy>Klever Vladimir Caceres Cayllahua</cp:lastModifiedBy>
  <cp:lastPrinted>2017-11-24T21:18:09Z</cp:lastPrinted>
  <dcterms:created xsi:type="dcterms:W3CDTF">2001-06-25T17:21:54Z</dcterms:created>
  <dcterms:modified xsi:type="dcterms:W3CDTF">2018-02-13T21:36:03Z</dcterms:modified>
</cp:coreProperties>
</file>