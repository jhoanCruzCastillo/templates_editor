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defaultThemeVersion="166925"/>
  <mc:AlternateContent xmlns:mc="http://schemas.openxmlformats.org/markup-compatibility/2006">
    <mc:Choice Requires="x15">
      <x15ac:absPath xmlns:x15ac="http://schemas.microsoft.com/office/spreadsheetml/2010/11/ac" url="F:\DOCUMENTOS 05-01-2024\"/>
    </mc:Choice>
  </mc:AlternateContent>
  <xr:revisionPtr revIDLastSave="0" documentId="8_{458639D8-9F14-41C4-8387-443A894D4809}" xr6:coauthVersionLast="47" xr6:coauthVersionMax="47" xr10:uidLastSave="{00000000-0000-0000-0000-000000000000}"/>
  <bookViews>
    <workbookView xWindow="-120" yWindow="-120" windowWidth="29040" windowHeight="15840" firstSheet="2" activeTab="5" xr2:uid="{00000000-000D-0000-FFFF-FFFF00000000}"/>
  </bookViews>
  <sheets>
    <sheet name="Listas" sheetId="19" state="hidden" r:id="rId1"/>
    <sheet name="Infraestructura" sheetId="22" state="hidden" r:id="rId2"/>
    <sheet name="Datos Generales" sheetId="1" r:id="rId3"/>
    <sheet name="Territorio" sheetId="2" r:id="rId4"/>
    <sheet name="Unidad Productora" sheetId="3" r:id="rId5"/>
    <sheet name="Involucrados" sheetId="4" r:id="rId6"/>
    <sheet name="Problema-Objetivo" sheetId="5" r:id="rId7"/>
    <sheet name="Horizonte" sheetId="6" r:id="rId8"/>
    <sheet name="Brecha" sheetId="7" r:id="rId9"/>
    <sheet name="Análisis Técnico" sheetId="8" r:id="rId10"/>
    <sheet name="CostosAlt1" sheetId="9" r:id="rId11"/>
    <sheet name="CostosAlt2" sheetId="23" r:id="rId12"/>
    <sheet name="CostosAlt3" sheetId="24" r:id="rId13"/>
    <sheet name="Evaluación Social Alt1" sheetId="10" r:id="rId14"/>
    <sheet name="Evaluación Social Alt2" sheetId="25" r:id="rId15"/>
    <sheet name="Evaluación Social Alt3" sheetId="26" r:id="rId16"/>
    <sheet name="Sostenibilidad" sheetId="11" r:id="rId17"/>
    <sheet name="Gestión" sheetId="12" r:id="rId18"/>
    <sheet name="Impacto ambiental" sheetId="13" r:id="rId19"/>
    <sheet name="Marco Lógico" sheetId="14" r:id="rId20"/>
    <sheet name="Conclusiones" sheetId="15" r:id="rId21"/>
    <sheet name="Firmas" sheetId="16" r:id="rId22"/>
    <sheet name="Anexos" sheetId="17" r:id="rId23"/>
    <sheet name="UBIGEO" sheetId="20" state="hidden" r:id="rId24"/>
  </sheets>
  <definedNames>
    <definedName name="AccionSobreActivo">Listas!$AC$3:$AC$6</definedName>
    <definedName name="AccionSobreActivo2">Listas!$AC$7:$AC$8</definedName>
    <definedName name="AccionSobreActivo3">Listas!$AC$9</definedName>
    <definedName name="AnalisisTecnico">Listas!$Y$3:$Y$4</definedName>
    <definedName name="_xlnm.Print_Area" localSheetId="9">'Análisis Técnico'!$B$1:$N$140</definedName>
    <definedName name="_xlnm.Print_Area" localSheetId="22">Anexos!$B$1:$P$16</definedName>
    <definedName name="_xlnm.Print_Area" localSheetId="8">Brecha!$B$1:$N$58</definedName>
    <definedName name="_xlnm.Print_Area" localSheetId="20">Conclusiones!$A$1:$N$9</definedName>
    <definedName name="_xlnm.Print_Area" localSheetId="10">CostosAlt1!$B$1:$S$174</definedName>
    <definedName name="_xlnm.Print_Area" localSheetId="11">CostosAlt2!$B$1:$S$174</definedName>
    <definedName name="_xlnm.Print_Area" localSheetId="12">CostosAlt3!$B$1:$S$173</definedName>
    <definedName name="_xlnm.Print_Area" localSheetId="2">'Datos Generales'!$A$1:$U$56</definedName>
    <definedName name="_xlnm.Print_Area" localSheetId="13">'Evaluación Social Alt1'!$B$1:$M$80</definedName>
    <definedName name="_xlnm.Print_Area" localSheetId="14">'Evaluación Social Alt2'!$B$1:$M$80</definedName>
    <definedName name="_xlnm.Print_Area" localSheetId="15">'Evaluación Social Alt3'!$B$1:$M$80</definedName>
    <definedName name="_xlnm.Print_Area" localSheetId="21">Firmas!$A$1:$Q$21</definedName>
    <definedName name="_xlnm.Print_Area" localSheetId="17">Gestión!$B$1:$Q$64</definedName>
    <definedName name="_xlnm.Print_Area" localSheetId="7">Horizonte!$A$1:$M$47</definedName>
    <definedName name="_xlnm.Print_Area" localSheetId="18">'Impacto ambiental'!$A$1:$J$17</definedName>
    <definedName name="_xlnm.Print_Area" localSheetId="5">Involucrados!$B$1:$P$44</definedName>
    <definedName name="_xlnm.Print_Area" localSheetId="19">'Marco Lógico'!$B$1:$N$26</definedName>
    <definedName name="_xlnm.Print_Area" localSheetId="6">'Problema-Objetivo'!$B$1:$N$68</definedName>
    <definedName name="_xlnm.Print_Area" localSheetId="16">Sostenibilidad!$B$1:$N$26</definedName>
    <definedName name="_xlnm.Print_Area" localSheetId="3">Territorio!$A$1:$W$83</definedName>
    <definedName name="_xlnm.Print_Area" localSheetId="4">'Unidad Productora'!$A$1:$AA$145</definedName>
    <definedName name="AreaMinimaCIAI">Infraestructura!$AT$42:$AV$49</definedName>
    <definedName name="CD_calidad1">Listas!$H$17:$H$19</definedName>
    <definedName name="CD_calidad2">Listas!$H$20</definedName>
    <definedName name="CD_cobertura1">Listas!$H$21:$H$23</definedName>
    <definedName name="CD_cobertura2">Listas!$H$24</definedName>
    <definedName name="CI_calidad1.1">Listas!$M$17:$M$20</definedName>
    <definedName name="CI_calidad1.2">Listas!$M$21:$M$23</definedName>
    <definedName name="CI_calidad1.3">Listas!$M$24:$M$26</definedName>
    <definedName name="CI_calidad2.1">Listas!$M$27:$M$29</definedName>
    <definedName name="CI_cobertura1.1">Listas!$M$30:$M$33</definedName>
    <definedName name="CI_cobertura1.2">Listas!$M$34:$M$36</definedName>
    <definedName name="CI_cobertura1.3">Listas!$M$37:$M$39</definedName>
    <definedName name="CI_cobertura2.1">Listas!$M$40:$M$42</definedName>
    <definedName name="CumplimientoCondiciones">Listas!$W$3:$W$4</definedName>
    <definedName name="EstadoActual">Listas!$L$3:$L$6</definedName>
    <definedName name="ExposicionFragilidad">Listas!$AA$3:$AA$5</definedName>
    <definedName name="FactorProduccion">Listas!$AI$3:$AI$6</definedName>
    <definedName name="FuenteFinanciamiento">Listas!$AO$3:$AO$7</definedName>
    <definedName name="Impacto">Listas!$D$3:$D$7</definedName>
    <definedName name="Involucrados">Listas!$S$3:$S$6</definedName>
    <definedName name="MuroContencion">Listas!$N$3:$N$4</definedName>
    <definedName name="Naturaleza">Listas!$H$3:$H$6</definedName>
    <definedName name="NivelGobierno">Listas!$J$3:$J$5</definedName>
    <definedName name="Optimizar">Listas!$U$3:$U$5</definedName>
    <definedName name="PC_calidad">Listas!$F$17:$F$18</definedName>
    <definedName name="PC_cobertura">Listas!$F$19:$F$20</definedName>
    <definedName name="Probabilidad">Listas!$E$3:$E$7</definedName>
    <definedName name="Problematica">Listas!$D$16:$L$24</definedName>
    <definedName name="SaneamientoConProyecto">Listas!$AK$3:$AK$9</definedName>
    <definedName name="Si_No">Listas!$G$3:$G$4</definedName>
    <definedName name="SituacionSaneamientoLegal">Listas!$AE$3:$AE$8</definedName>
    <definedName name="TamañoCIAI">Infraestructura!$AQ$38:$AY$40</definedName>
    <definedName name="TipoCIAI">Listas!$P$3:$Q$10</definedName>
    <definedName name="TipoEjecucion">Listas!$AM$3:$AM$7</definedName>
    <definedName name="Titularidad">Listas!$AG$3:$AG$4</definedName>
    <definedName name="UBIGEO">UBIGEO!$A$3:$D$1876</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173" i="24" l="1"/>
  <c r="S173" i="23"/>
  <c r="L33" i="9"/>
  <c r="K33" i="9"/>
  <c r="J33" i="9"/>
  <c r="I33" i="9"/>
  <c r="H33" i="9"/>
  <c r="G33" i="9"/>
  <c r="F33" i="9"/>
  <c r="D33" i="9"/>
  <c r="B33" i="9"/>
  <c r="L33" i="23"/>
  <c r="K33" i="23"/>
  <c r="J33" i="23"/>
  <c r="I33" i="23"/>
  <c r="H33" i="23"/>
  <c r="G33" i="23"/>
  <c r="F33" i="23"/>
  <c r="D33" i="23"/>
  <c r="B33" i="23"/>
  <c r="L33" i="24"/>
  <c r="K33" i="24"/>
  <c r="J33" i="24"/>
  <c r="I33" i="24"/>
  <c r="H33" i="24"/>
  <c r="G33" i="24"/>
  <c r="F33" i="24"/>
  <c r="D33" i="24"/>
  <c r="B33" i="24"/>
  <c r="E67" i="8"/>
  <c r="E132" i="8" s="1"/>
  <c r="E33" i="23" s="1"/>
  <c r="E66" i="8"/>
  <c r="N33" i="5"/>
  <c r="E33" i="9" l="1"/>
  <c r="E33" i="24"/>
  <c r="R173" i="24"/>
  <c r="Q173" i="24"/>
  <c r="P173" i="24"/>
  <c r="O173" i="24"/>
  <c r="N173" i="24"/>
  <c r="M173" i="24"/>
  <c r="L173" i="24"/>
  <c r="L152" i="24"/>
  <c r="B152" i="24"/>
  <c r="L151" i="24"/>
  <c r="B151" i="24"/>
  <c r="L150" i="24"/>
  <c r="B150" i="24"/>
  <c r="L149" i="24"/>
  <c r="B149" i="24"/>
  <c r="L148" i="24"/>
  <c r="B148" i="24"/>
  <c r="K146" i="24"/>
  <c r="J146" i="24"/>
  <c r="I146" i="24"/>
  <c r="H146" i="24"/>
  <c r="G146" i="24"/>
  <c r="F146" i="24"/>
  <c r="E146" i="24"/>
  <c r="D146" i="24"/>
  <c r="Q143" i="24"/>
  <c r="K173" i="24" s="1"/>
  <c r="Q141" i="24"/>
  <c r="Q139" i="24"/>
  <c r="Q137" i="24"/>
  <c r="F126" i="24"/>
  <c r="P121" i="24"/>
  <c r="G121" i="24"/>
  <c r="F121" i="24"/>
  <c r="P120" i="24"/>
  <c r="G120" i="24"/>
  <c r="F120" i="24"/>
  <c r="P119" i="24"/>
  <c r="G119" i="24"/>
  <c r="F119" i="24"/>
  <c r="P118" i="24"/>
  <c r="G118" i="24"/>
  <c r="F118" i="24"/>
  <c r="P117" i="24"/>
  <c r="G117" i="24"/>
  <c r="F117" i="24"/>
  <c r="G116" i="24"/>
  <c r="F116" i="24"/>
  <c r="P114" i="24"/>
  <c r="G114" i="24"/>
  <c r="F114" i="24"/>
  <c r="P113" i="24"/>
  <c r="G113" i="24"/>
  <c r="F113" i="24"/>
  <c r="P112" i="24"/>
  <c r="G112" i="24"/>
  <c r="F112" i="24"/>
  <c r="P111" i="24"/>
  <c r="G111" i="24"/>
  <c r="F111" i="24"/>
  <c r="P110" i="24"/>
  <c r="G110" i="24"/>
  <c r="F110" i="24"/>
  <c r="P109" i="24"/>
  <c r="G109" i="24"/>
  <c r="F109" i="24"/>
  <c r="P108" i="24"/>
  <c r="G108" i="24"/>
  <c r="F108" i="24"/>
  <c r="P107" i="24"/>
  <c r="G107" i="24"/>
  <c r="F107" i="24"/>
  <c r="P106" i="24"/>
  <c r="G106" i="24"/>
  <c r="F106" i="24"/>
  <c r="P105" i="24"/>
  <c r="G105" i="24"/>
  <c r="F105" i="24"/>
  <c r="G104" i="24"/>
  <c r="F104" i="24"/>
  <c r="G97" i="24"/>
  <c r="E76" i="24"/>
  <c r="B62" i="24"/>
  <c r="B61" i="24"/>
  <c r="B60" i="24"/>
  <c r="B59" i="24"/>
  <c r="B58" i="24"/>
  <c r="B57" i="24"/>
  <c r="B56" i="24"/>
  <c r="B55" i="24"/>
  <c r="B54" i="24"/>
  <c r="B53" i="24"/>
  <c r="B52" i="24"/>
  <c r="B51" i="24"/>
  <c r="B50" i="24"/>
  <c r="B49" i="24"/>
  <c r="B48" i="24"/>
  <c r="B47" i="24"/>
  <c r="B44" i="24"/>
  <c r="B42" i="24"/>
  <c r="L40" i="24"/>
  <c r="S171" i="24" s="1"/>
  <c r="K40" i="24"/>
  <c r="J40" i="24"/>
  <c r="I171" i="24" s="1"/>
  <c r="I40" i="24"/>
  <c r="H40" i="24"/>
  <c r="G40" i="24"/>
  <c r="F40" i="24"/>
  <c r="D40" i="24"/>
  <c r="B40" i="24"/>
  <c r="L32" i="24"/>
  <c r="S169" i="24" s="1"/>
  <c r="K32" i="24"/>
  <c r="J32" i="24"/>
  <c r="I169" i="24" s="1"/>
  <c r="I32" i="24"/>
  <c r="H32" i="24"/>
  <c r="G32" i="24"/>
  <c r="F32" i="24"/>
  <c r="D32" i="24"/>
  <c r="B32" i="24"/>
  <c r="L25" i="24"/>
  <c r="S167" i="24" s="1"/>
  <c r="K25" i="24"/>
  <c r="J25" i="24"/>
  <c r="I167" i="24" s="1"/>
  <c r="I25" i="24"/>
  <c r="H25" i="24"/>
  <c r="G25" i="24"/>
  <c r="F25" i="24"/>
  <c r="D25" i="24"/>
  <c r="B25" i="24"/>
  <c r="B23" i="24"/>
  <c r="B30" i="24" s="1"/>
  <c r="B38" i="24" s="1"/>
  <c r="M19" i="24"/>
  <c r="O19" i="24" s="1"/>
  <c r="K19" i="24"/>
  <c r="J19" i="24"/>
  <c r="I19" i="24"/>
  <c r="H19" i="24"/>
  <c r="G19" i="24"/>
  <c r="F19" i="24"/>
  <c r="D19" i="24"/>
  <c r="B19" i="24"/>
  <c r="M18" i="24"/>
  <c r="O18" i="24" s="1"/>
  <c r="L18" i="24"/>
  <c r="K18" i="24"/>
  <c r="J18" i="24"/>
  <c r="I18" i="24"/>
  <c r="H18" i="24"/>
  <c r="G18" i="24"/>
  <c r="F18" i="24"/>
  <c r="D18" i="24"/>
  <c r="B18" i="24"/>
  <c r="M17" i="24"/>
  <c r="O17" i="24" s="1"/>
  <c r="L17" i="24"/>
  <c r="K17" i="24"/>
  <c r="J17" i="24"/>
  <c r="I17" i="24"/>
  <c r="H17" i="24"/>
  <c r="G17" i="24"/>
  <c r="F17" i="24"/>
  <c r="D17" i="24"/>
  <c r="B17" i="24"/>
  <c r="M16" i="24"/>
  <c r="O16" i="24" s="1"/>
  <c r="L16" i="24"/>
  <c r="K16" i="24"/>
  <c r="J16" i="24"/>
  <c r="I16" i="24"/>
  <c r="H16" i="24"/>
  <c r="G16" i="24"/>
  <c r="F16" i="24"/>
  <c r="D16" i="24"/>
  <c r="B16" i="24"/>
  <c r="M15" i="24"/>
  <c r="O15" i="24" s="1"/>
  <c r="L15" i="24"/>
  <c r="K15" i="24"/>
  <c r="J15" i="24"/>
  <c r="I15" i="24"/>
  <c r="H15" i="24"/>
  <c r="G15" i="24"/>
  <c r="F15" i="24"/>
  <c r="D15" i="24"/>
  <c r="B15" i="24"/>
  <c r="M14" i="24"/>
  <c r="O14" i="24" s="1"/>
  <c r="L14" i="24"/>
  <c r="K14" i="24"/>
  <c r="J14" i="24"/>
  <c r="I14" i="24"/>
  <c r="H14" i="24"/>
  <c r="G14" i="24"/>
  <c r="F14" i="24"/>
  <c r="D14" i="24"/>
  <c r="B14" i="24"/>
  <c r="M13" i="24"/>
  <c r="O13" i="24" s="1"/>
  <c r="L13" i="24"/>
  <c r="K13" i="24"/>
  <c r="J13" i="24"/>
  <c r="I13" i="24"/>
  <c r="H13" i="24"/>
  <c r="G13" i="24"/>
  <c r="F13" i="24"/>
  <c r="D13" i="24"/>
  <c r="B13" i="24"/>
  <c r="M12" i="24"/>
  <c r="O12" i="24" s="1"/>
  <c r="L12" i="24"/>
  <c r="K12" i="24"/>
  <c r="J12" i="24"/>
  <c r="I12" i="24"/>
  <c r="H12" i="24"/>
  <c r="G12" i="24"/>
  <c r="F12" i="24"/>
  <c r="D12" i="24"/>
  <c r="B12" i="24"/>
  <c r="M11" i="24"/>
  <c r="L11" i="24"/>
  <c r="K11" i="24"/>
  <c r="J11" i="24"/>
  <c r="I11" i="24"/>
  <c r="H11" i="24"/>
  <c r="G11" i="24"/>
  <c r="F11" i="24"/>
  <c r="D11" i="24"/>
  <c r="B11" i="24"/>
  <c r="R173" i="23"/>
  <c r="Q173" i="23"/>
  <c r="P173" i="23"/>
  <c r="O173" i="23"/>
  <c r="N173" i="23"/>
  <c r="M173" i="23"/>
  <c r="L173" i="23"/>
  <c r="L152" i="23"/>
  <c r="B152" i="23"/>
  <c r="L151" i="23"/>
  <c r="B151" i="23"/>
  <c r="L150" i="23"/>
  <c r="B150" i="23"/>
  <c r="L149" i="23"/>
  <c r="B149" i="23"/>
  <c r="L148" i="23"/>
  <c r="B148" i="23"/>
  <c r="K146" i="23"/>
  <c r="J146" i="23"/>
  <c r="I146" i="23"/>
  <c r="H146" i="23"/>
  <c r="G146" i="23"/>
  <c r="F146" i="23"/>
  <c r="E146" i="23"/>
  <c r="D146" i="23"/>
  <c r="Q143" i="23"/>
  <c r="K173" i="23" s="1"/>
  <c r="Q141" i="23"/>
  <c r="Q139" i="23"/>
  <c r="Q137" i="23"/>
  <c r="F126" i="23"/>
  <c r="P121" i="23"/>
  <c r="G121" i="23"/>
  <c r="F121" i="23"/>
  <c r="P120" i="23"/>
  <c r="G120" i="23"/>
  <c r="F120" i="23"/>
  <c r="P119" i="23"/>
  <c r="G119" i="23"/>
  <c r="F119" i="23"/>
  <c r="P118" i="23"/>
  <c r="G118" i="23"/>
  <c r="F118" i="23"/>
  <c r="P117" i="23"/>
  <c r="G117" i="23"/>
  <c r="F117" i="23"/>
  <c r="G116" i="23"/>
  <c r="F116" i="23"/>
  <c r="P114" i="23"/>
  <c r="G114" i="23"/>
  <c r="F114" i="23"/>
  <c r="P113" i="23"/>
  <c r="G113" i="23"/>
  <c r="F113" i="23"/>
  <c r="P112" i="23"/>
  <c r="G112" i="23"/>
  <c r="F112" i="23"/>
  <c r="P111" i="23"/>
  <c r="G111" i="23"/>
  <c r="F111" i="23"/>
  <c r="P110" i="23"/>
  <c r="G110" i="23"/>
  <c r="F110" i="23"/>
  <c r="P109" i="23"/>
  <c r="G109" i="23"/>
  <c r="F109" i="23"/>
  <c r="P108" i="23"/>
  <c r="G108" i="23"/>
  <c r="F108" i="23"/>
  <c r="P107" i="23"/>
  <c r="G107" i="23"/>
  <c r="F107" i="23"/>
  <c r="P106" i="23"/>
  <c r="G106" i="23"/>
  <c r="F106" i="23"/>
  <c r="P105" i="23"/>
  <c r="G105" i="23"/>
  <c r="F105" i="23"/>
  <c r="G104" i="23"/>
  <c r="F104" i="23"/>
  <c r="G97" i="23"/>
  <c r="E76" i="23"/>
  <c r="B62" i="23"/>
  <c r="B61" i="23"/>
  <c r="B60" i="23"/>
  <c r="B59" i="23"/>
  <c r="B58" i="23"/>
  <c r="B57" i="23"/>
  <c r="B56" i="23"/>
  <c r="B55" i="23"/>
  <c r="B54" i="23"/>
  <c r="B53" i="23"/>
  <c r="B52" i="23"/>
  <c r="B51" i="23"/>
  <c r="B50" i="23"/>
  <c r="B49" i="23"/>
  <c r="B48" i="23"/>
  <c r="B47" i="23"/>
  <c r="B44" i="23"/>
  <c r="B42" i="23"/>
  <c r="L40" i="23"/>
  <c r="S171" i="23" s="1"/>
  <c r="K40" i="23"/>
  <c r="J40" i="23"/>
  <c r="I171" i="23" s="1"/>
  <c r="I40" i="23"/>
  <c r="H40" i="23"/>
  <c r="G40" i="23"/>
  <c r="F40" i="23"/>
  <c r="D40" i="23"/>
  <c r="B40" i="23"/>
  <c r="L32" i="23"/>
  <c r="K32" i="23"/>
  <c r="J32" i="23"/>
  <c r="I169" i="23" s="1"/>
  <c r="I32" i="23"/>
  <c r="H32" i="23"/>
  <c r="G32" i="23"/>
  <c r="F32" i="23"/>
  <c r="D32" i="23"/>
  <c r="B32" i="23"/>
  <c r="L25" i="23"/>
  <c r="S167" i="23" s="1"/>
  <c r="K25" i="23"/>
  <c r="J25" i="23"/>
  <c r="I167" i="23" s="1"/>
  <c r="I25" i="23"/>
  <c r="H25" i="23"/>
  <c r="G25" i="23"/>
  <c r="F25" i="23"/>
  <c r="D25" i="23"/>
  <c r="B25" i="23"/>
  <c r="B23" i="23"/>
  <c r="B30" i="23" s="1"/>
  <c r="B38" i="23" s="1"/>
  <c r="M19" i="23"/>
  <c r="O19" i="23" s="1"/>
  <c r="K19" i="23"/>
  <c r="J19" i="23"/>
  <c r="I19" i="23"/>
  <c r="H19" i="23"/>
  <c r="G19" i="23"/>
  <c r="F19" i="23"/>
  <c r="D19" i="23"/>
  <c r="B19" i="23"/>
  <c r="M18" i="23"/>
  <c r="O18" i="23" s="1"/>
  <c r="L18" i="23"/>
  <c r="K18" i="23"/>
  <c r="J18" i="23"/>
  <c r="I18" i="23"/>
  <c r="H18" i="23"/>
  <c r="G18" i="23"/>
  <c r="F18" i="23"/>
  <c r="D18" i="23"/>
  <c r="B18" i="23"/>
  <c r="M17" i="23"/>
  <c r="O17" i="23" s="1"/>
  <c r="L17" i="23"/>
  <c r="K17" i="23"/>
  <c r="J17" i="23"/>
  <c r="I17" i="23"/>
  <c r="H17" i="23"/>
  <c r="G17" i="23"/>
  <c r="F17" i="23"/>
  <c r="D17" i="23"/>
  <c r="B17" i="23"/>
  <c r="M16" i="23"/>
  <c r="O16" i="23" s="1"/>
  <c r="L16" i="23"/>
  <c r="K16" i="23"/>
  <c r="J16" i="23"/>
  <c r="I16" i="23"/>
  <c r="H16" i="23"/>
  <c r="G16" i="23"/>
  <c r="F16" i="23"/>
  <c r="D16" i="23"/>
  <c r="B16" i="23"/>
  <c r="M15" i="23"/>
  <c r="O15" i="23" s="1"/>
  <c r="L15" i="23"/>
  <c r="K15" i="23"/>
  <c r="J15" i="23"/>
  <c r="I15" i="23"/>
  <c r="H15" i="23"/>
  <c r="G15" i="23"/>
  <c r="F15" i="23"/>
  <c r="D15" i="23"/>
  <c r="B15" i="23"/>
  <c r="M14" i="23"/>
  <c r="O14" i="23" s="1"/>
  <c r="L14" i="23"/>
  <c r="K14" i="23"/>
  <c r="J14" i="23"/>
  <c r="I14" i="23"/>
  <c r="H14" i="23"/>
  <c r="G14" i="23"/>
  <c r="F14" i="23"/>
  <c r="D14" i="23"/>
  <c r="B14" i="23"/>
  <c r="M13" i="23"/>
  <c r="O13" i="23" s="1"/>
  <c r="L13" i="23"/>
  <c r="K13" i="23"/>
  <c r="J13" i="23"/>
  <c r="I13" i="23"/>
  <c r="H13" i="23"/>
  <c r="G13" i="23"/>
  <c r="F13" i="23"/>
  <c r="D13" i="23"/>
  <c r="B13" i="23"/>
  <c r="M12" i="23"/>
  <c r="O12" i="23" s="1"/>
  <c r="L12" i="23"/>
  <c r="K12" i="23"/>
  <c r="J12" i="23"/>
  <c r="I12" i="23"/>
  <c r="H12" i="23"/>
  <c r="G12" i="23"/>
  <c r="F12" i="23"/>
  <c r="D12" i="23"/>
  <c r="B12" i="23"/>
  <c r="M11" i="23"/>
  <c r="L11" i="23"/>
  <c r="K11" i="23"/>
  <c r="J11" i="23"/>
  <c r="I11" i="23"/>
  <c r="H11" i="23"/>
  <c r="G11" i="23"/>
  <c r="F11" i="23"/>
  <c r="D11" i="23"/>
  <c r="B11" i="23"/>
  <c r="F31" i="6"/>
  <c r="E31" i="6"/>
  <c r="F33" i="6"/>
  <c r="E33" i="6"/>
  <c r="G31" i="26"/>
  <c r="G32" i="26" s="1"/>
  <c r="G33" i="26" s="1"/>
  <c r="G34" i="26" s="1"/>
  <c r="G35" i="26" s="1"/>
  <c r="G28" i="26"/>
  <c r="G26" i="26"/>
  <c r="G24" i="26"/>
  <c r="G22" i="26"/>
  <c r="G31" i="25"/>
  <c r="G32" i="25" s="1"/>
  <c r="G33" i="25" s="1"/>
  <c r="G34" i="25" s="1"/>
  <c r="G35" i="25" s="1"/>
  <c r="G28" i="25"/>
  <c r="G26" i="25"/>
  <c r="G24" i="25"/>
  <c r="G22" i="25"/>
  <c r="G31" i="10"/>
  <c r="G32" i="10" s="1"/>
  <c r="G33" i="10" s="1"/>
  <c r="G34" i="10" s="1"/>
  <c r="G35" i="10" s="1"/>
  <c r="G28" i="10"/>
  <c r="G26" i="10"/>
  <c r="G24" i="10"/>
  <c r="G22" i="10"/>
  <c r="D13" i="7"/>
  <c r="E13" i="7" s="1"/>
  <c r="F84" i="23" s="1"/>
  <c r="L9" i="6"/>
  <c r="N8" i="5"/>
  <c r="I23" i="4"/>
  <c r="I24" i="4"/>
  <c r="I25" i="4"/>
  <c r="I26" i="4"/>
  <c r="I27" i="4"/>
  <c r="I28" i="4"/>
  <c r="I29" i="4"/>
  <c r="I30" i="4"/>
  <c r="I31" i="4"/>
  <c r="I22" i="4"/>
  <c r="J10" i="4"/>
  <c r="J11" i="4"/>
  <c r="J12" i="4"/>
  <c r="J9" i="4"/>
  <c r="O18" i="2"/>
  <c r="K18" i="2"/>
  <c r="G18" i="2"/>
  <c r="O7" i="2"/>
  <c r="R32" i="2" s="1"/>
  <c r="K7" i="2"/>
  <c r="G7" i="2"/>
  <c r="G31" i="6" l="1"/>
  <c r="P122" i="24"/>
  <c r="P122" i="23"/>
  <c r="L153" i="23"/>
  <c r="S169" i="23"/>
  <c r="S165" i="24"/>
  <c r="O11" i="23"/>
  <c r="M64" i="23" s="1"/>
  <c r="S165" i="23"/>
  <c r="R171" i="24"/>
  <c r="N171" i="24"/>
  <c r="R170" i="24"/>
  <c r="N170" i="24"/>
  <c r="R169" i="24"/>
  <c r="N169" i="24"/>
  <c r="R168" i="24"/>
  <c r="N168" i="24"/>
  <c r="R167" i="24"/>
  <c r="N167" i="24"/>
  <c r="R166" i="24"/>
  <c r="N166" i="24"/>
  <c r="R165" i="24"/>
  <c r="N165" i="24"/>
  <c r="K171" i="24"/>
  <c r="O169" i="24"/>
  <c r="K168" i="24"/>
  <c r="O166" i="24"/>
  <c r="K165" i="24"/>
  <c r="Q171" i="24"/>
  <c r="M171" i="24"/>
  <c r="Q170" i="24"/>
  <c r="M170" i="24"/>
  <c r="Q169" i="24"/>
  <c r="M169" i="24"/>
  <c r="Q168" i="24"/>
  <c r="M168" i="24"/>
  <c r="Q167" i="24"/>
  <c r="M167" i="24"/>
  <c r="Q166" i="24"/>
  <c r="M166" i="24"/>
  <c r="Q165" i="24"/>
  <c r="M165" i="24"/>
  <c r="O170" i="24"/>
  <c r="O168" i="24"/>
  <c r="K167" i="24"/>
  <c r="O165" i="24"/>
  <c r="P171" i="24"/>
  <c r="L171" i="24"/>
  <c r="P170" i="24"/>
  <c r="L170" i="24"/>
  <c r="P169" i="24"/>
  <c r="L169" i="24"/>
  <c r="P168" i="24"/>
  <c r="L168" i="24"/>
  <c r="P167" i="24"/>
  <c r="L167" i="24"/>
  <c r="P166" i="24"/>
  <c r="L166" i="24"/>
  <c r="P165" i="24"/>
  <c r="L165" i="24"/>
  <c r="O171" i="24"/>
  <c r="K170" i="24"/>
  <c r="K169" i="24"/>
  <c r="O167" i="24"/>
  <c r="K166" i="24"/>
  <c r="L153" i="24"/>
  <c r="R171" i="23"/>
  <c r="N171" i="23"/>
  <c r="R170" i="23"/>
  <c r="N170" i="23"/>
  <c r="R169" i="23"/>
  <c r="N169" i="23"/>
  <c r="R168" i="23"/>
  <c r="N168" i="23"/>
  <c r="R167" i="23"/>
  <c r="N167" i="23"/>
  <c r="R166" i="23"/>
  <c r="N166" i="23"/>
  <c r="R165" i="23"/>
  <c r="N165" i="23"/>
  <c r="Q171" i="23"/>
  <c r="M171" i="23"/>
  <c r="Q170" i="23"/>
  <c r="M170" i="23"/>
  <c r="Q169" i="23"/>
  <c r="M169" i="23"/>
  <c r="Q168" i="23"/>
  <c r="M168" i="23"/>
  <c r="Q167" i="23"/>
  <c r="M167" i="23"/>
  <c r="Q166" i="23"/>
  <c r="M166" i="23"/>
  <c r="Q165" i="23"/>
  <c r="M165" i="23"/>
  <c r="P171" i="23"/>
  <c r="L171" i="23"/>
  <c r="P170" i="23"/>
  <c r="L170" i="23"/>
  <c r="P169" i="23"/>
  <c r="L169" i="23"/>
  <c r="P168" i="23"/>
  <c r="L168" i="23"/>
  <c r="P167" i="23"/>
  <c r="L167" i="23"/>
  <c r="P166" i="23"/>
  <c r="L166" i="23"/>
  <c r="P165" i="23"/>
  <c r="L165" i="23"/>
  <c r="O171" i="23"/>
  <c r="K171" i="23"/>
  <c r="O170" i="23"/>
  <c r="K170" i="23"/>
  <c r="O169" i="23"/>
  <c r="K169" i="23"/>
  <c r="O168" i="23"/>
  <c r="K168" i="23"/>
  <c r="O167" i="23"/>
  <c r="K167" i="23"/>
  <c r="O166" i="23"/>
  <c r="K166" i="23"/>
  <c r="O165" i="23"/>
  <c r="K165" i="23"/>
  <c r="O11" i="24"/>
  <c r="M64" i="24" s="1"/>
  <c r="G33" i="6"/>
  <c r="F84" i="24"/>
  <c r="E32" i="6"/>
  <c r="F32" i="6"/>
  <c r="F13" i="7"/>
  <c r="R28" i="2"/>
  <c r="G71" i="23" l="1"/>
  <c r="G73" i="23"/>
  <c r="G70" i="23"/>
  <c r="G74" i="23"/>
  <c r="G72" i="23"/>
  <c r="G74" i="24"/>
  <c r="G73" i="24"/>
  <c r="G72" i="24"/>
  <c r="G71" i="24"/>
  <c r="G70" i="24"/>
  <c r="Q135" i="23"/>
  <c r="Q144" i="23" s="1"/>
  <c r="L154" i="23" s="1"/>
  <c r="Q135" i="24"/>
  <c r="Q144" i="24" s="1"/>
  <c r="L154" i="24" s="1"/>
  <c r="G84" i="24"/>
  <c r="G84" i="23"/>
  <c r="E78" i="24"/>
  <c r="E78" i="23"/>
  <c r="E34" i="6"/>
  <c r="G13" i="7"/>
  <c r="H84" i="24" l="1"/>
  <c r="H84" i="23"/>
  <c r="F34" i="6"/>
  <c r="G34" i="6" s="1"/>
  <c r="H13" i="7"/>
  <c r="I84" i="23" l="1"/>
  <c r="I84" i="24"/>
  <c r="I13" i="7"/>
  <c r="J84" i="23" l="1"/>
  <c r="J84" i="24"/>
  <c r="J13" i="7"/>
  <c r="K84" i="24" l="1"/>
  <c r="K84" i="23"/>
  <c r="K13" i="7"/>
  <c r="L84" i="24" l="1"/>
  <c r="L84" i="23"/>
  <c r="L13" i="7"/>
  <c r="M84" i="23" l="1"/>
  <c r="M84" i="24"/>
  <c r="M13" i="7"/>
  <c r="N84" i="23" l="1"/>
  <c r="N84" i="24"/>
  <c r="N13" i="7"/>
  <c r="O84" i="24" l="1"/>
  <c r="O84" i="23"/>
  <c r="I23" i="6"/>
  <c r="L13" i="6"/>
  <c r="F65" i="5"/>
  <c r="L173" i="9" l="1"/>
  <c r="M173" i="9"/>
  <c r="N173" i="9"/>
  <c r="O173" i="9"/>
  <c r="P173" i="9"/>
  <c r="Q173" i="9"/>
  <c r="R173" i="9"/>
  <c r="K173" i="9"/>
  <c r="Q143" i="9"/>
  <c r="S173" i="9"/>
  <c r="I21" i="6"/>
  <c r="Q137" i="9"/>
  <c r="Q139" i="9"/>
  <c r="E131" i="8"/>
  <c r="E124" i="8"/>
  <c r="L148" i="9"/>
  <c r="P109" i="9"/>
  <c r="L40" i="9"/>
  <c r="L32" i="9"/>
  <c r="L25" i="9"/>
  <c r="S167" i="9" s="1"/>
  <c r="B17" i="9"/>
  <c r="D17" i="9"/>
  <c r="F17" i="9"/>
  <c r="G17" i="9"/>
  <c r="H17" i="9"/>
  <c r="I17" i="9"/>
  <c r="J17" i="9"/>
  <c r="K17" i="9"/>
  <c r="L17" i="9"/>
  <c r="M17" i="9"/>
  <c r="O17" i="9" s="1"/>
  <c r="B21" i="26"/>
  <c r="B47" i="26"/>
  <c r="B46" i="26"/>
  <c r="B45" i="26"/>
  <c r="B44" i="26"/>
  <c r="B30" i="26"/>
  <c r="B47" i="25"/>
  <c r="B46" i="25"/>
  <c r="B45" i="25"/>
  <c r="B44" i="25"/>
  <c r="B30" i="25"/>
  <c r="B29" i="25"/>
  <c r="B27" i="25"/>
  <c r="B25" i="25"/>
  <c r="B23" i="25"/>
  <c r="B21" i="25"/>
  <c r="J56" i="26"/>
  <c r="J56" i="25"/>
  <c r="F35" i="26"/>
  <c r="B35" i="26"/>
  <c r="F34" i="26"/>
  <c r="B34" i="26"/>
  <c r="F33" i="26"/>
  <c r="B33" i="26"/>
  <c r="F32" i="26"/>
  <c r="B32" i="26"/>
  <c r="B31" i="26"/>
  <c r="F35" i="25"/>
  <c r="H35" i="25" s="1"/>
  <c r="B35" i="25"/>
  <c r="F34" i="25"/>
  <c r="H34" i="25" s="1"/>
  <c r="B34" i="25"/>
  <c r="F33" i="25"/>
  <c r="B33" i="25"/>
  <c r="F32" i="25"/>
  <c r="H32" i="25" s="1"/>
  <c r="B32" i="25"/>
  <c r="B31" i="25"/>
  <c r="F22" i="25"/>
  <c r="BE12" i="22"/>
  <c r="AR26" i="22"/>
  <c r="BM8" i="22"/>
  <c r="BN8" i="22" s="1"/>
  <c r="BO8" i="22" s="1"/>
  <c r="BP8" i="22" s="1"/>
  <c r="BQ8" i="22" s="1"/>
  <c r="BR8" i="22" s="1"/>
  <c r="BS8" i="22" s="1"/>
  <c r="BM7" i="22"/>
  <c r="BN7" i="22" s="1"/>
  <c r="BO7" i="22" s="1"/>
  <c r="BM2" i="22"/>
  <c r="BN2" i="22"/>
  <c r="BO2" i="22"/>
  <c r="BP2" i="22"/>
  <c r="BQ2" i="22"/>
  <c r="BR2" i="22"/>
  <c r="BS2" i="22"/>
  <c r="BL2" i="22"/>
  <c r="BL4" i="22"/>
  <c r="BL7" i="22"/>
  <c r="BL8" i="22"/>
  <c r="BJ4" i="22"/>
  <c r="BJ5" i="22"/>
  <c r="BJ6" i="22"/>
  <c r="BJ7" i="22"/>
  <c r="BJ8" i="22"/>
  <c r="BJ9" i="22"/>
  <c r="BJ10" i="22"/>
  <c r="BJ11" i="22"/>
  <c r="BJ3" i="22"/>
  <c r="B23" i="9"/>
  <c r="B122" i="8"/>
  <c r="E117" i="8"/>
  <c r="E118" i="8"/>
  <c r="E116" i="8"/>
  <c r="E111" i="8"/>
  <c r="E112" i="8"/>
  <c r="E113" i="8"/>
  <c r="E114" i="8"/>
  <c r="E115" i="8"/>
  <c r="E110" i="8"/>
  <c r="J39" i="8"/>
  <c r="S169" i="9" l="1"/>
  <c r="E25" i="24"/>
  <c r="E25" i="23"/>
  <c r="E11" i="24"/>
  <c r="E11" i="23"/>
  <c r="E18" i="24"/>
  <c r="E18" i="23"/>
  <c r="E12" i="24"/>
  <c r="E12" i="23"/>
  <c r="E32" i="24"/>
  <c r="E32" i="23"/>
  <c r="E15" i="24"/>
  <c r="E15" i="23"/>
  <c r="E17" i="9"/>
  <c r="E17" i="24"/>
  <c r="E17" i="23"/>
  <c r="E13" i="24"/>
  <c r="E13" i="23"/>
  <c r="E16" i="24"/>
  <c r="E16" i="23"/>
  <c r="E14" i="24"/>
  <c r="E14" i="23"/>
  <c r="E19" i="24"/>
  <c r="E19" i="23"/>
  <c r="H33" i="25"/>
  <c r="H33" i="26"/>
  <c r="F28" i="25"/>
  <c r="H28" i="25" s="1"/>
  <c r="G56" i="25"/>
  <c r="K56" i="25"/>
  <c r="F28" i="26"/>
  <c r="H28" i="26" s="1"/>
  <c r="G56" i="26"/>
  <c r="K56" i="26"/>
  <c r="F26" i="25"/>
  <c r="H26" i="25" s="1"/>
  <c r="F31" i="25"/>
  <c r="H31" i="25" s="1"/>
  <c r="D56" i="25"/>
  <c r="H56" i="25"/>
  <c r="L56" i="25"/>
  <c r="F26" i="26"/>
  <c r="H26" i="26" s="1"/>
  <c r="F31" i="26"/>
  <c r="H31" i="26" s="1"/>
  <c r="D56" i="26"/>
  <c r="H56" i="26"/>
  <c r="L56" i="26"/>
  <c r="H35" i="26"/>
  <c r="F24" i="25"/>
  <c r="H24" i="25" s="1"/>
  <c r="E56" i="25"/>
  <c r="I56" i="25"/>
  <c r="M56" i="25"/>
  <c r="F24" i="26"/>
  <c r="H24" i="26" s="1"/>
  <c r="E56" i="26"/>
  <c r="I56" i="26"/>
  <c r="M56" i="26"/>
  <c r="F30" i="25"/>
  <c r="H30" i="25" s="1"/>
  <c r="F56" i="25"/>
  <c r="F30" i="26"/>
  <c r="H30" i="26" s="1"/>
  <c r="F56" i="26"/>
  <c r="F22" i="26"/>
  <c r="H32" i="26"/>
  <c r="H34" i="26"/>
  <c r="H22" i="25"/>
  <c r="M55" i="25" s="1"/>
  <c r="BP7" i="22"/>
  <c r="AR4" i="22"/>
  <c r="BL3" i="22" s="1"/>
  <c r="AS4" i="22"/>
  <c r="BM3" i="22" s="1"/>
  <c r="AT4" i="22"/>
  <c r="BN3" i="22" s="1"/>
  <c r="AU4" i="22"/>
  <c r="BO3" i="22" s="1"/>
  <c r="AV4" i="22"/>
  <c r="BP3" i="22" s="1"/>
  <c r="AW4" i="22"/>
  <c r="BQ3" i="22" s="1"/>
  <c r="AX4" i="22"/>
  <c r="BR3" i="22" s="1"/>
  <c r="AY4" i="22"/>
  <c r="BS3" i="22" s="1"/>
  <c r="L11" i="6"/>
  <c r="F36" i="26" l="1"/>
  <c r="H36" i="25"/>
  <c r="C55" i="25" s="1"/>
  <c r="C58" i="25" s="1"/>
  <c r="F36" i="25"/>
  <c r="H22" i="26"/>
  <c r="BQ7" i="22"/>
  <c r="H111" i="3"/>
  <c r="H112" i="3"/>
  <c r="H113" i="3"/>
  <c r="H114" i="3"/>
  <c r="H115" i="3"/>
  <c r="H96" i="3"/>
  <c r="H97" i="3"/>
  <c r="H98" i="3"/>
  <c r="H99" i="3"/>
  <c r="H100" i="3"/>
  <c r="H101" i="3"/>
  <c r="H102" i="3"/>
  <c r="H103" i="3"/>
  <c r="H104" i="3"/>
  <c r="J85" i="3"/>
  <c r="H119" i="23" l="1"/>
  <c r="H119" i="24"/>
  <c r="H117" i="23"/>
  <c r="H117" i="24"/>
  <c r="H118" i="23"/>
  <c r="H118" i="24"/>
  <c r="H121" i="23"/>
  <c r="H121" i="24"/>
  <c r="H120" i="23"/>
  <c r="H120" i="24"/>
  <c r="H113" i="24"/>
  <c r="H113" i="23"/>
  <c r="H111" i="24"/>
  <c r="H111" i="23"/>
  <c r="H107" i="24"/>
  <c r="H107" i="23"/>
  <c r="H114" i="24"/>
  <c r="H114" i="23"/>
  <c r="H110" i="24"/>
  <c r="H110" i="23"/>
  <c r="H106" i="24"/>
  <c r="H106" i="23"/>
  <c r="H109" i="24"/>
  <c r="H109" i="23"/>
  <c r="H112" i="24"/>
  <c r="H112" i="23"/>
  <c r="H108" i="24"/>
  <c r="H108" i="23"/>
  <c r="H36" i="26"/>
  <c r="C55" i="26" s="1"/>
  <c r="C58" i="26" s="1"/>
  <c r="M55" i="26"/>
  <c r="BR7" i="22"/>
  <c r="H110" i="3"/>
  <c r="J66" i="3"/>
  <c r="O22" i="2"/>
  <c r="K22" i="2"/>
  <c r="G22" i="2"/>
  <c r="O21" i="2"/>
  <c r="K21" i="2"/>
  <c r="G21" i="2"/>
  <c r="O20" i="2"/>
  <c r="K20" i="2"/>
  <c r="G20" i="2"/>
  <c r="O19" i="2"/>
  <c r="K19" i="2"/>
  <c r="G19" i="2"/>
  <c r="G8" i="2"/>
  <c r="K8" i="2"/>
  <c r="O8" i="2"/>
  <c r="G9" i="2"/>
  <c r="K9" i="2"/>
  <c r="O9" i="2"/>
  <c r="G10" i="2"/>
  <c r="K10" i="2"/>
  <c r="O10" i="2"/>
  <c r="G11" i="2"/>
  <c r="K11" i="2"/>
  <c r="O11" i="2"/>
  <c r="F46" i="25" l="1"/>
  <c r="F46" i="26"/>
  <c r="F47" i="26"/>
  <c r="F47" i="25"/>
  <c r="BS7" i="22"/>
  <c r="H95" i="3"/>
  <c r="H105" i="24" l="1"/>
  <c r="H122" i="24" s="1"/>
  <c r="H105" i="23"/>
  <c r="H122" i="23" s="1"/>
  <c r="H94" i="3"/>
  <c r="J78" i="3"/>
  <c r="J76" i="3"/>
  <c r="J74" i="3"/>
  <c r="J70" i="3"/>
  <c r="B40" i="9"/>
  <c r="B32" i="9"/>
  <c r="B25" i="9"/>
  <c r="B11" i="9"/>
  <c r="B12" i="9"/>
  <c r="B13" i="9"/>
  <c r="B14" i="9"/>
  <c r="B15" i="9"/>
  <c r="B16" i="9"/>
  <c r="B18" i="9"/>
  <c r="B19" i="9"/>
  <c r="Z24" i="11"/>
  <c r="Y24" i="11"/>
  <c r="X24" i="11"/>
  <c r="L24" i="11"/>
  <c r="Z23" i="11"/>
  <c r="Y23" i="11"/>
  <c r="X23" i="11"/>
  <c r="L23" i="11"/>
  <c r="Z22" i="11"/>
  <c r="Y22" i="11"/>
  <c r="X22" i="11"/>
  <c r="L22" i="11"/>
  <c r="Z21" i="11"/>
  <c r="Y21" i="11"/>
  <c r="X21" i="11"/>
  <c r="L21" i="11"/>
  <c r="Z20" i="11"/>
  <c r="Y20" i="11"/>
  <c r="X20" i="11"/>
  <c r="L20" i="11"/>
  <c r="Z19" i="11"/>
  <c r="Y19" i="11"/>
  <c r="X19" i="11"/>
  <c r="L19" i="11"/>
  <c r="Z18" i="11"/>
  <c r="Y18" i="11"/>
  <c r="X18" i="11"/>
  <c r="L18" i="11"/>
  <c r="Z17" i="11"/>
  <c r="Y17" i="11"/>
  <c r="X17" i="11"/>
  <c r="L17" i="11"/>
  <c r="B47" i="10"/>
  <c r="B44" i="10"/>
  <c r="B46" i="10"/>
  <c r="B45" i="10"/>
  <c r="G46" i="10"/>
  <c r="G46" i="25" s="1"/>
  <c r="G46" i="26" s="1"/>
  <c r="H46" i="26" s="1"/>
  <c r="G47" i="10"/>
  <c r="G47" i="25" s="1"/>
  <c r="G47" i="26" s="1"/>
  <c r="H47" i="26" s="1"/>
  <c r="B23" i="10"/>
  <c r="B25" i="10"/>
  <c r="B27" i="10"/>
  <c r="B29" i="10"/>
  <c r="B30" i="10"/>
  <c r="B21" i="10"/>
  <c r="S171" i="9"/>
  <c r="H15" i="14"/>
  <c r="H14" i="14"/>
  <c r="E146" i="9"/>
  <c r="F146" i="9"/>
  <c r="G146" i="9"/>
  <c r="H146" i="9"/>
  <c r="I146" i="9"/>
  <c r="J146" i="9"/>
  <c r="K146" i="9"/>
  <c r="D146" i="9"/>
  <c r="L149" i="9"/>
  <c r="L150" i="9"/>
  <c r="L151" i="9"/>
  <c r="L152" i="9"/>
  <c r="F31" i="10"/>
  <c r="B149" i="9"/>
  <c r="B32" i="10" s="1"/>
  <c r="B150" i="9"/>
  <c r="B33" i="10" s="1"/>
  <c r="B151" i="9"/>
  <c r="B34" i="10" s="1"/>
  <c r="B152" i="9"/>
  <c r="B35" i="10" s="1"/>
  <c r="B148" i="9"/>
  <c r="B31" i="10" s="1"/>
  <c r="F126" i="9"/>
  <c r="H26" i="14"/>
  <c r="Q141" i="9"/>
  <c r="W21" i="11" l="1"/>
  <c r="M21" i="11"/>
  <c r="W20" i="11"/>
  <c r="M20" i="11"/>
  <c r="W22" i="11"/>
  <c r="M22" i="11"/>
  <c r="W24" i="11"/>
  <c r="M24" i="11"/>
  <c r="U23" i="11"/>
  <c r="M23" i="11"/>
  <c r="W19" i="11"/>
  <c r="M19" i="11"/>
  <c r="H46" i="25"/>
  <c r="H16" i="14"/>
  <c r="U17" i="11"/>
  <c r="M17" i="11"/>
  <c r="U18" i="11"/>
  <c r="M18" i="11"/>
  <c r="H47" i="25"/>
  <c r="F34" i="10"/>
  <c r="H34" i="10" s="1"/>
  <c r="H23" i="14"/>
  <c r="F33" i="10"/>
  <c r="H33" i="10" s="1"/>
  <c r="F35" i="10"/>
  <c r="H35" i="10" s="1"/>
  <c r="H21" i="14"/>
  <c r="H25" i="14"/>
  <c r="F32" i="10"/>
  <c r="H32" i="10" s="1"/>
  <c r="F45" i="26"/>
  <c r="F45" i="25"/>
  <c r="F28" i="10"/>
  <c r="H28" i="10" s="1"/>
  <c r="F26" i="10"/>
  <c r="H26" i="10" s="1"/>
  <c r="F30" i="10"/>
  <c r="H30" i="10" s="1"/>
  <c r="F24" i="10"/>
  <c r="H24" i="10" s="1"/>
  <c r="W18" i="11"/>
  <c r="V18" i="11" s="1"/>
  <c r="U21" i="11"/>
  <c r="V21" i="11" s="1"/>
  <c r="U24" i="11"/>
  <c r="V24" i="11" s="1"/>
  <c r="U20" i="11"/>
  <c r="V20" i="11" s="1"/>
  <c r="W17" i="11"/>
  <c r="W23" i="11"/>
  <c r="V23" i="11" s="1"/>
  <c r="U19" i="11"/>
  <c r="U22" i="11"/>
  <c r="E56" i="10"/>
  <c r="M56" i="10"/>
  <c r="I56" i="10"/>
  <c r="L56" i="10"/>
  <c r="H56" i="10"/>
  <c r="K56" i="10"/>
  <c r="G56" i="10"/>
  <c r="D56" i="10"/>
  <c r="J56" i="10"/>
  <c r="F56" i="10"/>
  <c r="G45" i="10"/>
  <c r="G45" i="25" s="1"/>
  <c r="G45" i="26" s="1"/>
  <c r="H31" i="10"/>
  <c r="L153" i="9"/>
  <c r="F120" i="9"/>
  <c r="G120" i="9"/>
  <c r="H120" i="9"/>
  <c r="F121" i="9"/>
  <c r="G121" i="9"/>
  <c r="H121" i="9"/>
  <c r="H119" i="9"/>
  <c r="G119" i="9"/>
  <c r="F119" i="9"/>
  <c r="H118" i="9"/>
  <c r="G118" i="9"/>
  <c r="F118" i="9"/>
  <c r="H117" i="9"/>
  <c r="G117" i="9"/>
  <c r="F117" i="9"/>
  <c r="G116" i="9"/>
  <c r="F116" i="9"/>
  <c r="H114" i="9"/>
  <c r="G114" i="9"/>
  <c r="F114" i="9"/>
  <c r="H113" i="9"/>
  <c r="G113" i="9"/>
  <c r="F113" i="9"/>
  <c r="H112" i="9"/>
  <c r="G112" i="9"/>
  <c r="F112" i="9"/>
  <c r="H111" i="9"/>
  <c r="G111" i="9"/>
  <c r="F111" i="9"/>
  <c r="H110" i="9"/>
  <c r="G110" i="9"/>
  <c r="F110" i="9"/>
  <c r="H109" i="9"/>
  <c r="G109" i="9"/>
  <c r="F109" i="9"/>
  <c r="H108" i="9"/>
  <c r="G108" i="9"/>
  <c r="F108" i="9"/>
  <c r="H107" i="9"/>
  <c r="G107" i="9"/>
  <c r="F107" i="9"/>
  <c r="H106" i="9"/>
  <c r="G106" i="9"/>
  <c r="F106" i="9"/>
  <c r="H105" i="9"/>
  <c r="G105" i="9"/>
  <c r="F105" i="9"/>
  <c r="G104" i="9"/>
  <c r="F104" i="9"/>
  <c r="G97" i="9"/>
  <c r="E76" i="9"/>
  <c r="B62" i="9"/>
  <c r="B57" i="9"/>
  <c r="B58" i="9"/>
  <c r="B59" i="9"/>
  <c r="B60" i="9"/>
  <c r="B61" i="9"/>
  <c r="B48" i="9"/>
  <c r="B49" i="9"/>
  <c r="B50" i="9"/>
  <c r="B51" i="9"/>
  <c r="B52" i="9"/>
  <c r="B53" i="9"/>
  <c r="B54" i="9"/>
  <c r="B55" i="9"/>
  <c r="B56" i="9"/>
  <c r="B47" i="9"/>
  <c r="B44" i="9"/>
  <c r="B42" i="9"/>
  <c r="M19" i="9"/>
  <c r="O19" i="9" s="1"/>
  <c r="K19" i="9"/>
  <c r="J19" i="9"/>
  <c r="M18" i="9"/>
  <c r="O18" i="9" s="1"/>
  <c r="L18" i="9"/>
  <c r="K18" i="9"/>
  <c r="J18" i="9"/>
  <c r="L16" i="9"/>
  <c r="K16" i="9"/>
  <c r="J16" i="9"/>
  <c r="L15" i="9"/>
  <c r="K15" i="9"/>
  <c r="J15" i="9"/>
  <c r="M14" i="9"/>
  <c r="O14" i="9" s="1"/>
  <c r="L14" i="9"/>
  <c r="K14" i="9"/>
  <c r="J14" i="9"/>
  <c r="L13" i="9"/>
  <c r="K13" i="9"/>
  <c r="J13" i="9"/>
  <c r="L12" i="9"/>
  <c r="K12" i="9"/>
  <c r="J12" i="9"/>
  <c r="L11" i="9"/>
  <c r="K11" i="9"/>
  <c r="J11" i="9"/>
  <c r="K40" i="9"/>
  <c r="J40" i="9"/>
  <c r="I171" i="9" s="1"/>
  <c r="I40" i="9"/>
  <c r="H40" i="9"/>
  <c r="G40" i="9"/>
  <c r="F40" i="9"/>
  <c r="D40" i="9"/>
  <c r="K32" i="9"/>
  <c r="J32" i="9"/>
  <c r="I32" i="9"/>
  <c r="H32" i="9"/>
  <c r="G32" i="9"/>
  <c r="F32" i="9"/>
  <c r="D32" i="9"/>
  <c r="K25" i="9"/>
  <c r="J25" i="9"/>
  <c r="I167" i="9" s="1"/>
  <c r="I25" i="9"/>
  <c r="H25" i="9"/>
  <c r="G25" i="9"/>
  <c r="F25" i="9"/>
  <c r="I19" i="9"/>
  <c r="H19" i="9"/>
  <c r="G19" i="9"/>
  <c r="F19" i="9"/>
  <c r="D19" i="9"/>
  <c r="I18" i="9"/>
  <c r="H18" i="9"/>
  <c r="G18" i="9"/>
  <c r="F18" i="9"/>
  <c r="D18" i="9"/>
  <c r="I16" i="9"/>
  <c r="H16" i="9"/>
  <c r="G16" i="9"/>
  <c r="F16" i="9"/>
  <c r="D16" i="9"/>
  <c r="I15" i="9"/>
  <c r="H15" i="9"/>
  <c r="G15" i="9"/>
  <c r="F15" i="9"/>
  <c r="D15" i="9"/>
  <c r="I14" i="9"/>
  <c r="H14" i="9"/>
  <c r="G14" i="9"/>
  <c r="F14" i="9"/>
  <c r="D14" i="9"/>
  <c r="I13" i="9"/>
  <c r="H13" i="9"/>
  <c r="G13" i="9"/>
  <c r="F13" i="9"/>
  <c r="D13" i="9"/>
  <c r="I12" i="9"/>
  <c r="H12" i="9"/>
  <c r="G12" i="9"/>
  <c r="F12" i="9"/>
  <c r="D12" i="9"/>
  <c r="I11" i="9"/>
  <c r="H11" i="9"/>
  <c r="G11" i="9"/>
  <c r="F11" i="9"/>
  <c r="D11" i="9"/>
  <c r="B30" i="9"/>
  <c r="B38" i="9" s="1"/>
  <c r="E138" i="8"/>
  <c r="B129" i="8"/>
  <c r="B136" i="8" s="1"/>
  <c r="F77" i="8"/>
  <c r="F78" i="8"/>
  <c r="F79" i="8"/>
  <c r="F80" i="8"/>
  <c r="F81" i="8"/>
  <c r="F82" i="8"/>
  <c r="F83" i="8"/>
  <c r="F84" i="8"/>
  <c r="F85" i="8"/>
  <c r="F86" i="8"/>
  <c r="F87" i="8"/>
  <c r="F88" i="8"/>
  <c r="F89" i="8"/>
  <c r="F90" i="8"/>
  <c r="F91" i="8"/>
  <c r="F76" i="8"/>
  <c r="E91" i="8"/>
  <c r="D91" i="8"/>
  <c r="E90" i="8"/>
  <c r="D90" i="8"/>
  <c r="E89" i="8"/>
  <c r="D89" i="8"/>
  <c r="E88" i="8"/>
  <c r="D88" i="8"/>
  <c r="E87" i="8"/>
  <c r="D87" i="8"/>
  <c r="E86" i="8"/>
  <c r="D86" i="8"/>
  <c r="E85" i="8"/>
  <c r="D85" i="8"/>
  <c r="E84" i="8"/>
  <c r="D84" i="8"/>
  <c r="E83" i="8"/>
  <c r="D83" i="8"/>
  <c r="E82" i="8"/>
  <c r="D82" i="8"/>
  <c r="E81" i="8"/>
  <c r="D81" i="8"/>
  <c r="E80" i="8"/>
  <c r="D80" i="8"/>
  <c r="E79" i="8"/>
  <c r="D79" i="8"/>
  <c r="E78" i="8"/>
  <c r="D78" i="8"/>
  <c r="E77" i="8"/>
  <c r="D77" i="8"/>
  <c r="E76" i="8"/>
  <c r="D76" i="8"/>
  <c r="V17" i="11" l="1"/>
  <c r="I169" i="9"/>
  <c r="P120" i="9"/>
  <c r="P108" i="9"/>
  <c r="R171" i="9"/>
  <c r="N171" i="9"/>
  <c r="R169" i="9"/>
  <c r="N169" i="9"/>
  <c r="R167" i="9"/>
  <c r="N167" i="9"/>
  <c r="Q171" i="9"/>
  <c r="M171" i="9"/>
  <c r="Q169" i="9"/>
  <c r="M169" i="9"/>
  <c r="Q167" i="9"/>
  <c r="M167" i="9"/>
  <c r="P171" i="9"/>
  <c r="L171" i="9"/>
  <c r="P169" i="9"/>
  <c r="L169" i="9"/>
  <c r="P167" i="9"/>
  <c r="L167" i="9"/>
  <c r="O171" i="9"/>
  <c r="K171" i="9"/>
  <c r="O169" i="9"/>
  <c r="K169" i="9"/>
  <c r="O167" i="9"/>
  <c r="K167" i="9"/>
  <c r="E40" i="24"/>
  <c r="E40" i="23"/>
  <c r="P121" i="9"/>
  <c r="P114" i="9"/>
  <c r="P119" i="9"/>
  <c r="P107" i="9"/>
  <c r="P111" i="9"/>
  <c r="P110" i="9"/>
  <c r="H122" i="9"/>
  <c r="P106" i="9"/>
  <c r="P118" i="9"/>
  <c r="P105" i="9"/>
  <c r="P113" i="9"/>
  <c r="P117" i="9"/>
  <c r="P112" i="9"/>
  <c r="D25" i="9"/>
  <c r="E32" i="9"/>
  <c r="F48" i="25"/>
  <c r="H45" i="25"/>
  <c r="H48" i="25" s="1"/>
  <c r="D57" i="25" s="1"/>
  <c r="E25" i="9"/>
  <c r="E40" i="9"/>
  <c r="F48" i="26"/>
  <c r="H45" i="26"/>
  <c r="H48" i="26" s="1"/>
  <c r="D57" i="26" s="1"/>
  <c r="E15" i="9"/>
  <c r="E18" i="9"/>
  <c r="E13" i="9"/>
  <c r="E16" i="9"/>
  <c r="E12" i="9"/>
  <c r="E19" i="9"/>
  <c r="E14" i="9"/>
  <c r="E11" i="9"/>
  <c r="W25" i="11"/>
  <c r="V22" i="11"/>
  <c r="V19" i="11"/>
  <c r="U25" i="11"/>
  <c r="B21" i="8"/>
  <c r="I21" i="8"/>
  <c r="I44" i="8"/>
  <c r="K44" i="8"/>
  <c r="AQ40" i="22"/>
  <c r="D49" i="7"/>
  <c r="E49" i="7" s="1"/>
  <c r="F49" i="7" s="1"/>
  <c r="G49" i="7" s="1"/>
  <c r="H49" i="7" s="1"/>
  <c r="I49" i="7" s="1"/>
  <c r="J49" i="7" s="1"/>
  <c r="K49" i="7" s="1"/>
  <c r="L49" i="7" s="1"/>
  <c r="M49" i="7" s="1"/>
  <c r="N49" i="7" s="1"/>
  <c r="N57" i="7" s="1"/>
  <c r="B30" i="7"/>
  <c r="B29" i="7"/>
  <c r="B56" i="7" s="1"/>
  <c r="D16" i="7"/>
  <c r="E16" i="7" s="1"/>
  <c r="F16" i="7" s="1"/>
  <c r="G16" i="7" s="1"/>
  <c r="H16" i="7" s="1"/>
  <c r="I16" i="7" s="1"/>
  <c r="J16" i="7" s="1"/>
  <c r="K16" i="7" s="1"/>
  <c r="L16" i="7" s="1"/>
  <c r="M16" i="7" s="1"/>
  <c r="N16" i="7" s="1"/>
  <c r="D17" i="7"/>
  <c r="E17" i="7" s="1"/>
  <c r="F17" i="7" s="1"/>
  <c r="G17" i="7" s="1"/>
  <c r="H17" i="7" s="1"/>
  <c r="I17" i="7" s="1"/>
  <c r="J17" i="7" s="1"/>
  <c r="K17" i="7" s="1"/>
  <c r="L17" i="7" s="1"/>
  <c r="M17" i="7" s="1"/>
  <c r="N17" i="7" s="1"/>
  <c r="D18" i="7"/>
  <c r="E18" i="7" s="1"/>
  <c r="F18" i="7" s="1"/>
  <c r="G18" i="7" s="1"/>
  <c r="H18" i="7" s="1"/>
  <c r="I18" i="7" s="1"/>
  <c r="J18" i="7" s="1"/>
  <c r="K18" i="7" s="1"/>
  <c r="L18" i="7" s="1"/>
  <c r="M18" i="7" s="1"/>
  <c r="N18" i="7" s="1"/>
  <c r="D19" i="7"/>
  <c r="E19" i="7" s="1"/>
  <c r="F19" i="7" s="1"/>
  <c r="G19" i="7" s="1"/>
  <c r="H19" i="7" s="1"/>
  <c r="I19" i="7" s="1"/>
  <c r="J19" i="7" s="1"/>
  <c r="K19" i="7" s="1"/>
  <c r="L19" i="7" s="1"/>
  <c r="M19" i="7" s="1"/>
  <c r="N19" i="7" s="1"/>
  <c r="N30" i="7" s="1"/>
  <c r="B12" i="4"/>
  <c r="B9" i="4"/>
  <c r="B10" i="4"/>
  <c r="B11" i="4"/>
  <c r="B8" i="4"/>
  <c r="D15" i="7"/>
  <c r="E15" i="7" s="1"/>
  <c r="F15" i="7" s="1"/>
  <c r="G15" i="7" s="1"/>
  <c r="H15" i="7" s="1"/>
  <c r="I15" i="7" s="1"/>
  <c r="J15" i="7" s="1"/>
  <c r="K15" i="7" s="1"/>
  <c r="L15" i="7" s="1"/>
  <c r="M15" i="7" s="1"/>
  <c r="N15" i="7" s="1"/>
  <c r="H29" i="6"/>
  <c r="F35" i="6" s="1"/>
  <c r="E35" i="6"/>
  <c r="G35" i="6" l="1"/>
  <c r="F46" i="10"/>
  <c r="H46" i="10" s="1"/>
  <c r="P122" i="9"/>
  <c r="E57" i="26"/>
  <c r="D58" i="26"/>
  <c r="C53" i="26"/>
  <c r="C53" i="25"/>
  <c r="E57" i="25"/>
  <c r="D58" i="25"/>
  <c r="N29" i="7"/>
  <c r="N31" i="7" s="1"/>
  <c r="C53" i="10"/>
  <c r="D56" i="7"/>
  <c r="G11" i="8"/>
  <c r="V25" i="11"/>
  <c r="F98" i="8"/>
  <c r="F99" i="8" s="1"/>
  <c r="F100" i="8" s="1"/>
  <c r="E57" i="7"/>
  <c r="F57" i="7"/>
  <c r="M57" i="7"/>
  <c r="J57" i="7"/>
  <c r="I57" i="7"/>
  <c r="L57" i="7"/>
  <c r="H57" i="7"/>
  <c r="D57" i="7"/>
  <c r="K57" i="7"/>
  <c r="G57" i="7"/>
  <c r="D29" i="7"/>
  <c r="K30" i="7"/>
  <c r="G30" i="7"/>
  <c r="D27" i="7"/>
  <c r="D47" i="7" s="1"/>
  <c r="D54" i="7" s="1"/>
  <c r="D30" i="7"/>
  <c r="H30" i="7"/>
  <c r="L30" i="7"/>
  <c r="E30" i="7"/>
  <c r="I30" i="7"/>
  <c r="M30" i="7"/>
  <c r="F30" i="7"/>
  <c r="J30" i="7"/>
  <c r="G32" i="6"/>
  <c r="F45" i="10"/>
  <c r="B143" i="3"/>
  <c r="B91" i="8" s="1"/>
  <c r="B142" i="3"/>
  <c r="B90" i="8" s="1"/>
  <c r="B129" i="3"/>
  <c r="B77" i="8" s="1"/>
  <c r="B130" i="3"/>
  <c r="B78" i="8" s="1"/>
  <c r="B131" i="3"/>
  <c r="B79" i="8" s="1"/>
  <c r="B132" i="3"/>
  <c r="B80" i="8" s="1"/>
  <c r="B133" i="3"/>
  <c r="B81" i="8" s="1"/>
  <c r="B134" i="3"/>
  <c r="B82" i="8" s="1"/>
  <c r="B135" i="3"/>
  <c r="B83" i="8" s="1"/>
  <c r="B136" i="3"/>
  <c r="B84" i="8" s="1"/>
  <c r="B137" i="3"/>
  <c r="B85" i="8" s="1"/>
  <c r="B138" i="3"/>
  <c r="B86" i="8" s="1"/>
  <c r="B139" i="3"/>
  <c r="B87" i="8" s="1"/>
  <c r="B140" i="3"/>
  <c r="B88" i="8" s="1"/>
  <c r="B141" i="3"/>
  <c r="B89" i="8" s="1"/>
  <c r="B128" i="3"/>
  <c r="B76" i="8" s="1"/>
  <c r="AX14" i="22"/>
  <c r="AV16" i="22"/>
  <c r="BP4" i="22" s="1"/>
  <c r="AT8" i="22"/>
  <c r="AS25" i="22"/>
  <c r="AT25" i="22"/>
  <c r="AU25" i="22"/>
  <c r="AV25" i="22"/>
  <c r="AW25" i="22"/>
  <c r="AX25" i="22"/>
  <c r="AY25" i="22"/>
  <c r="AS26" i="22"/>
  <c r="AT26" i="22"/>
  <c r="AU26" i="22"/>
  <c r="AV26" i="22"/>
  <c r="AW26" i="22"/>
  <c r="AX26" i="22"/>
  <c r="AY26" i="22"/>
  <c r="AS27" i="22"/>
  <c r="AT27" i="22"/>
  <c r="AU27" i="22"/>
  <c r="AV27" i="22"/>
  <c r="AW27" i="22"/>
  <c r="AX27" i="22"/>
  <c r="AY27" i="22"/>
  <c r="AS28" i="22"/>
  <c r="AT28" i="22"/>
  <c r="AU28" i="22"/>
  <c r="AV28" i="22"/>
  <c r="AW28" i="22"/>
  <c r="AX28" i="22"/>
  <c r="AY28" i="22"/>
  <c r="AS29" i="22"/>
  <c r="AT29" i="22"/>
  <c r="AU29" i="22"/>
  <c r="AV29" i="22"/>
  <c r="AW29" i="22"/>
  <c r="AX29" i="22"/>
  <c r="AY29" i="22"/>
  <c r="AS30" i="22"/>
  <c r="AT30" i="22"/>
  <c r="AU30" i="22"/>
  <c r="AV30" i="22"/>
  <c r="AW30" i="22"/>
  <c r="AX30" i="22"/>
  <c r="AY30" i="22"/>
  <c r="AS5" i="22"/>
  <c r="AT5" i="22"/>
  <c r="AU5" i="22"/>
  <c r="AV5" i="22"/>
  <c r="AW5" i="22"/>
  <c r="AX5" i="22"/>
  <c r="AY5" i="22"/>
  <c r="AS6" i="22"/>
  <c r="AT6" i="22"/>
  <c r="AU6" i="22"/>
  <c r="AV6" i="22"/>
  <c r="AW6" i="22"/>
  <c r="AX6" i="22"/>
  <c r="AY6" i="22"/>
  <c r="AT7" i="22"/>
  <c r="AU7" i="22"/>
  <c r="AV7" i="22"/>
  <c r="AW7" i="22"/>
  <c r="AX7" i="22"/>
  <c r="AY7" i="22"/>
  <c r="AU8" i="22"/>
  <c r="AV8" i="22"/>
  <c r="AW8" i="22"/>
  <c r="AX8" i="22"/>
  <c r="AY8" i="22"/>
  <c r="AT9" i="22"/>
  <c r="AU9" i="22"/>
  <c r="AV9" i="22"/>
  <c r="AW9" i="22"/>
  <c r="AX9" i="22"/>
  <c r="AY9" i="22"/>
  <c r="AV10" i="22"/>
  <c r="AW10" i="22"/>
  <c r="AX10" i="22"/>
  <c r="AY10" i="22"/>
  <c r="AV11" i="22"/>
  <c r="AW11" i="22"/>
  <c r="AX11" i="22"/>
  <c r="AY11" i="22"/>
  <c r="AV12" i="22"/>
  <c r="AW12" i="22"/>
  <c r="AX12" i="22"/>
  <c r="AY12" i="22"/>
  <c r="AX13" i="22"/>
  <c r="AY13" i="22"/>
  <c r="AY14" i="22"/>
  <c r="AX15" i="22"/>
  <c r="AY15" i="22"/>
  <c r="AS16" i="22"/>
  <c r="BM4" i="22" s="1"/>
  <c r="AT16" i="22"/>
  <c r="BN4" i="22" s="1"/>
  <c r="AU16" i="22"/>
  <c r="BO4" i="22" s="1"/>
  <c r="AW16" i="22"/>
  <c r="BQ4" i="22" s="1"/>
  <c r="AX16" i="22"/>
  <c r="BR4" i="22" s="1"/>
  <c r="AY16" i="22"/>
  <c r="BS4" i="22" s="1"/>
  <c r="AS17" i="22"/>
  <c r="AT17" i="22"/>
  <c r="AU17" i="22"/>
  <c r="AV17" i="22"/>
  <c r="AW17" i="22"/>
  <c r="AX17" i="22"/>
  <c r="AY17" i="22"/>
  <c r="AS18" i="22"/>
  <c r="AT18" i="22"/>
  <c r="AU18" i="22"/>
  <c r="AV18" i="22"/>
  <c r="AW18" i="22"/>
  <c r="AX18" i="22"/>
  <c r="AY18" i="22"/>
  <c r="AS19" i="22"/>
  <c r="AT19" i="22"/>
  <c r="AU19" i="22"/>
  <c r="AV19" i="22"/>
  <c r="AW19" i="22"/>
  <c r="AX19" i="22"/>
  <c r="AY19" i="22"/>
  <c r="AS20" i="22"/>
  <c r="AT20" i="22"/>
  <c r="AU20" i="22"/>
  <c r="AV20" i="22"/>
  <c r="AW20" i="22"/>
  <c r="AX20" i="22"/>
  <c r="AY20" i="22"/>
  <c r="AS21" i="22"/>
  <c r="AT21" i="22"/>
  <c r="AU21" i="22"/>
  <c r="AV21" i="22"/>
  <c r="AW21" i="22"/>
  <c r="AX21" i="22"/>
  <c r="AY21" i="22"/>
  <c r="AS22" i="22"/>
  <c r="AT22" i="22"/>
  <c r="AU22" i="22"/>
  <c r="AV22" i="22"/>
  <c r="AW22" i="22"/>
  <c r="AX22" i="22"/>
  <c r="AY22" i="22"/>
  <c r="AS23" i="22"/>
  <c r="AT23" i="22"/>
  <c r="AU23" i="22"/>
  <c r="AV23" i="22"/>
  <c r="AW23" i="22"/>
  <c r="AX23" i="22"/>
  <c r="AY23" i="22"/>
  <c r="AS24" i="22"/>
  <c r="BM5" i="22" s="1"/>
  <c r="AT24" i="22"/>
  <c r="BN5" i="22" s="1"/>
  <c r="AU24" i="22"/>
  <c r="BO5" i="22" s="1"/>
  <c r="AV24" i="22"/>
  <c r="BP5" i="22" s="1"/>
  <c r="AW24" i="22"/>
  <c r="BQ5" i="22" s="1"/>
  <c r="AX24" i="22"/>
  <c r="BR5" i="22" s="1"/>
  <c r="AY24" i="22"/>
  <c r="BS5" i="22" s="1"/>
  <c r="AR24" i="22"/>
  <c r="BL5" i="22" s="1"/>
  <c r="AR23" i="22"/>
  <c r="AR22" i="22"/>
  <c r="AR21" i="22"/>
  <c r="AR20" i="22"/>
  <c r="AR19" i="22"/>
  <c r="AR18" i="22"/>
  <c r="AR17" i="22"/>
  <c r="AR6" i="22"/>
  <c r="AR5" i="22"/>
  <c r="AR25" i="22"/>
  <c r="AR27" i="22"/>
  <c r="AR28" i="22"/>
  <c r="AR29" i="22"/>
  <c r="AR30" i="22"/>
  <c r="F44" i="1"/>
  <c r="BL11" i="22" l="1"/>
  <c r="D31" i="7"/>
  <c r="H11" i="8"/>
  <c r="F47" i="10"/>
  <c r="H47" i="10" s="1"/>
  <c r="BQ6" i="22"/>
  <c r="BM6" i="22"/>
  <c r="BS11" i="22"/>
  <c r="BO11" i="22"/>
  <c r="E27" i="7"/>
  <c r="E47" i="7" s="1"/>
  <c r="E54" i="7" s="1"/>
  <c r="D53" i="25"/>
  <c r="D53" i="26"/>
  <c r="BL6" i="22"/>
  <c r="BP6" i="22"/>
  <c r="BR11" i="22"/>
  <c r="BN11" i="22"/>
  <c r="BS6" i="22"/>
  <c r="BO6" i="22"/>
  <c r="BQ11" i="22"/>
  <c r="BM11" i="22"/>
  <c r="BR6" i="22"/>
  <c r="BN6" i="22"/>
  <c r="BP11" i="22"/>
  <c r="F57" i="25"/>
  <c r="E58" i="25"/>
  <c r="F57" i="26"/>
  <c r="E58" i="26"/>
  <c r="I29" i="7"/>
  <c r="I31" i="7" s="1"/>
  <c r="M56" i="7"/>
  <c r="M58" i="7" s="1"/>
  <c r="L29" i="7"/>
  <c r="L31" i="7" s="1"/>
  <c r="E29" i="7"/>
  <c r="E31" i="7" s="1"/>
  <c r="E56" i="7"/>
  <c r="E58" i="7" s="1"/>
  <c r="H56" i="7"/>
  <c r="H58" i="7" s="1"/>
  <c r="I56" i="7"/>
  <c r="I58" i="7" s="1"/>
  <c r="L56" i="7"/>
  <c r="L58" i="7" s="1"/>
  <c r="K56" i="7"/>
  <c r="K58" i="7" s="1"/>
  <c r="M29" i="7"/>
  <c r="M31" i="7" s="1"/>
  <c r="F29" i="7"/>
  <c r="F31" i="7" s="1"/>
  <c r="K29" i="7"/>
  <c r="K31" i="7" s="1"/>
  <c r="G29" i="7"/>
  <c r="G31" i="7" s="1"/>
  <c r="F56" i="7"/>
  <c r="F58" i="7" s="1"/>
  <c r="G56" i="7"/>
  <c r="G58" i="7" s="1"/>
  <c r="H29" i="7"/>
  <c r="H31" i="7" s="1"/>
  <c r="J29" i="7"/>
  <c r="J31" i="7" s="1"/>
  <c r="N56" i="7"/>
  <c r="N58" i="7" s="1"/>
  <c r="J56" i="7"/>
  <c r="J58" i="7" s="1"/>
  <c r="H45" i="10"/>
  <c r="D58" i="7"/>
  <c r="D53" i="10"/>
  <c r="F84" i="9"/>
  <c r="J68" i="3"/>
  <c r="L11" i="8" l="1"/>
  <c r="J114" i="8" s="1"/>
  <c r="H12" i="8"/>
  <c r="D98" i="8" s="1"/>
  <c r="D99" i="8" s="1"/>
  <c r="D100" i="8" s="1"/>
  <c r="J11" i="8"/>
  <c r="K11" i="8" s="1"/>
  <c r="M15" i="9"/>
  <c r="O15" i="9" s="1"/>
  <c r="M11" i="9"/>
  <c r="M12" i="9"/>
  <c r="O12" i="9" s="1"/>
  <c r="M16" i="9"/>
  <c r="O16" i="9" s="1"/>
  <c r="M13" i="9"/>
  <c r="O13" i="9" s="1"/>
  <c r="H48" i="10"/>
  <c r="D57" i="10" s="1"/>
  <c r="E57" i="10" s="1"/>
  <c r="F48" i="10"/>
  <c r="G57" i="26"/>
  <c r="F58" i="26"/>
  <c r="G57" i="25"/>
  <c r="F58" i="25"/>
  <c r="E53" i="25"/>
  <c r="E53" i="26"/>
  <c r="E53" i="10"/>
  <c r="G84" i="9"/>
  <c r="F27" i="7"/>
  <c r="F47" i="7" s="1"/>
  <c r="F54" i="7" s="1"/>
  <c r="J64" i="3"/>
  <c r="J62" i="3"/>
  <c r="J60" i="3"/>
  <c r="J113" i="8" l="1"/>
  <c r="J110" i="8"/>
  <c r="J112" i="8"/>
  <c r="J115" i="8"/>
  <c r="J111" i="8"/>
  <c r="J118" i="8"/>
  <c r="D58" i="10"/>
  <c r="O11" i="9"/>
  <c r="M64" i="9" s="1"/>
  <c r="S165" i="9"/>
  <c r="F53" i="26"/>
  <c r="F53" i="25"/>
  <c r="H57" i="26"/>
  <c r="G58" i="26"/>
  <c r="H57" i="25"/>
  <c r="G58" i="25"/>
  <c r="F57" i="10"/>
  <c r="E58" i="10"/>
  <c r="F53" i="10"/>
  <c r="H84" i="9"/>
  <c r="G27" i="7"/>
  <c r="G47" i="7" s="1"/>
  <c r="G54" i="7" s="1"/>
  <c r="M49" i="1"/>
  <c r="H13" i="14" l="1"/>
  <c r="Q135" i="9"/>
  <c r="I57" i="25"/>
  <c r="H58" i="25"/>
  <c r="I57" i="26"/>
  <c r="H58" i="26"/>
  <c r="G53" i="26"/>
  <c r="G53" i="25"/>
  <c r="G53" i="10"/>
  <c r="I84" i="9"/>
  <c r="H27" i="7"/>
  <c r="H47" i="7" s="1"/>
  <c r="H54" i="7" s="1"/>
  <c r="G57" i="10"/>
  <c r="F58" i="10"/>
  <c r="R53" i="1"/>
  <c r="J53" i="1"/>
  <c r="M165" i="9" l="1"/>
  <c r="K165" i="9"/>
  <c r="L165" i="9"/>
  <c r="R165" i="9"/>
  <c r="G71" i="9"/>
  <c r="G70" i="9"/>
  <c r="G74" i="9"/>
  <c r="G72" i="9"/>
  <c r="G73" i="9"/>
  <c r="H19" i="14"/>
  <c r="F22" i="10"/>
  <c r="Q144" i="9"/>
  <c r="L154" i="9" s="1"/>
  <c r="E78" i="9"/>
  <c r="J57" i="26"/>
  <c r="I58" i="26"/>
  <c r="H53" i="25"/>
  <c r="H53" i="26"/>
  <c r="J57" i="25"/>
  <c r="I58" i="25"/>
  <c r="H57" i="10"/>
  <c r="G58" i="10"/>
  <c r="H53" i="10"/>
  <c r="J84" i="9"/>
  <c r="I27" i="7"/>
  <c r="I47" i="7" s="1"/>
  <c r="I54" i="7" s="1"/>
  <c r="M33" i="5"/>
  <c r="C46" i="5"/>
  <c r="C45" i="5"/>
  <c r="C44" i="5"/>
  <c r="C40" i="5"/>
  <c r="C51" i="19"/>
  <c r="C50" i="19"/>
  <c r="C49" i="19"/>
  <c r="C48" i="19"/>
  <c r="D51" i="19"/>
  <c r="D48" i="19"/>
  <c r="J20" i="3"/>
  <c r="H20" i="3"/>
  <c r="E44" i="8" s="1"/>
  <c r="E20" i="3"/>
  <c r="C44" i="8" s="1"/>
  <c r="N165" i="9" l="1"/>
  <c r="D28" i="24"/>
  <c r="B139" i="24" s="1"/>
  <c r="B169" i="24" s="1"/>
  <c r="D28" i="23"/>
  <c r="B139" i="23" s="1"/>
  <c r="B169" i="23" s="1"/>
  <c r="D36" i="23"/>
  <c r="B141" i="23" s="1"/>
  <c r="B171" i="23" s="1"/>
  <c r="D36" i="24"/>
  <c r="B141" i="24" s="1"/>
  <c r="B171" i="24" s="1"/>
  <c r="D6" i="24"/>
  <c r="B135" i="24" s="1"/>
  <c r="B165" i="24" s="1"/>
  <c r="D6" i="23"/>
  <c r="B135" i="23" s="1"/>
  <c r="B165" i="23" s="1"/>
  <c r="D21" i="24"/>
  <c r="B137" i="24" s="1"/>
  <c r="B167" i="24" s="1"/>
  <c r="D21" i="23"/>
  <c r="B137" i="23" s="1"/>
  <c r="B167" i="23" s="1"/>
  <c r="H22" i="10"/>
  <c r="F36" i="10"/>
  <c r="I53" i="25"/>
  <c r="I53" i="26"/>
  <c r="K57" i="25"/>
  <c r="J58" i="25"/>
  <c r="K57" i="26"/>
  <c r="J58" i="26"/>
  <c r="D21" i="19"/>
  <c r="J21" i="19"/>
  <c r="D20" i="19"/>
  <c r="J20" i="19"/>
  <c r="J19" i="19"/>
  <c r="J18" i="19"/>
  <c r="J17" i="19"/>
  <c r="D17" i="19"/>
  <c r="B8" i="5" s="1"/>
  <c r="D19" i="19"/>
  <c r="D18" i="19"/>
  <c r="I53" i="10"/>
  <c r="K84" i="9"/>
  <c r="J27" i="7"/>
  <c r="J47" i="7" s="1"/>
  <c r="J54" i="7" s="1"/>
  <c r="G44" i="8"/>
  <c r="B9" i="14"/>
  <c r="I57" i="10"/>
  <c r="H58" i="10"/>
  <c r="D21" i="9"/>
  <c r="D120" i="8"/>
  <c r="D28" i="9"/>
  <c r="D127" i="8"/>
  <c r="D134" i="8"/>
  <c r="D36" i="9"/>
  <c r="D105" i="8"/>
  <c r="D6" i="9"/>
  <c r="K44" i="1"/>
  <c r="N53" i="1"/>
  <c r="O165" i="9" l="1"/>
  <c r="B25" i="26"/>
  <c r="B29" i="26"/>
  <c r="B23" i="26"/>
  <c r="B27" i="26"/>
  <c r="M55" i="10"/>
  <c r="H36" i="10"/>
  <c r="C55" i="10" s="1"/>
  <c r="C58" i="10" s="1"/>
  <c r="B22" i="26"/>
  <c r="J53" i="26"/>
  <c r="J53" i="25"/>
  <c r="B26" i="25"/>
  <c r="B22" i="25"/>
  <c r="L57" i="26"/>
  <c r="K58" i="26"/>
  <c r="B24" i="26"/>
  <c r="B28" i="26"/>
  <c r="B26" i="26"/>
  <c r="B24" i="25"/>
  <c r="B28" i="25"/>
  <c r="L57" i="25"/>
  <c r="K58" i="25"/>
  <c r="F8" i="5"/>
  <c r="J8" i="5" s="1"/>
  <c r="D44" i="19"/>
  <c r="B16" i="14"/>
  <c r="B141" i="9"/>
  <c r="J57" i="10"/>
  <c r="I58" i="10"/>
  <c r="B137" i="9"/>
  <c r="B14" i="14"/>
  <c r="B139" i="9"/>
  <c r="B15" i="14"/>
  <c r="B135" i="9"/>
  <c r="B13" i="14"/>
  <c r="J53" i="10"/>
  <c r="L84" i="9"/>
  <c r="K27" i="7"/>
  <c r="K47" i="7" s="1"/>
  <c r="K54" i="7" s="1"/>
  <c r="Q165" i="9" l="1"/>
  <c r="P165" i="9"/>
  <c r="K53" i="26"/>
  <c r="K53" i="25"/>
  <c r="M57" i="25"/>
  <c r="M58" i="25" s="1"/>
  <c r="L58" i="25"/>
  <c r="M57" i="26"/>
  <c r="M58" i="26" s="1"/>
  <c r="L58" i="26"/>
  <c r="B53" i="1"/>
  <c r="B33" i="5"/>
  <c r="B11" i="14" s="1"/>
  <c r="B167" i="9"/>
  <c r="B24" i="10"/>
  <c r="K57" i="10"/>
  <c r="J58" i="10"/>
  <c r="B171" i="9"/>
  <c r="B28" i="10"/>
  <c r="B169" i="9"/>
  <c r="B26" i="10"/>
  <c r="K53" i="10"/>
  <c r="M84" i="9"/>
  <c r="L27" i="7"/>
  <c r="L47" i="7" s="1"/>
  <c r="L54" i="7" s="1"/>
  <c r="B165" i="9"/>
  <c r="B22" i="10"/>
  <c r="F64" i="25" l="1"/>
  <c r="F65" i="25" s="1"/>
  <c r="G79" i="25"/>
  <c r="J78" i="25"/>
  <c r="H76" i="25"/>
  <c r="G75" i="25"/>
  <c r="J74" i="25"/>
  <c r="F74" i="25"/>
  <c r="J79" i="25"/>
  <c r="I78" i="25"/>
  <c r="E78" i="25"/>
  <c r="H77" i="25"/>
  <c r="F75" i="25"/>
  <c r="E74" i="25"/>
  <c r="H73" i="25"/>
  <c r="D73" i="25"/>
  <c r="H78" i="25"/>
  <c r="G77" i="25"/>
  <c r="J76" i="25"/>
  <c r="F76" i="25"/>
  <c r="D74" i="25"/>
  <c r="D75" i="25"/>
  <c r="H79" i="25"/>
  <c r="D79" i="25"/>
  <c r="E76" i="25"/>
  <c r="G74" i="25"/>
  <c r="F73" i="25"/>
  <c r="F64" i="26"/>
  <c r="L53" i="25"/>
  <c r="L53" i="26"/>
  <c r="J33" i="5"/>
  <c r="L57" i="10"/>
  <c r="K58" i="10"/>
  <c r="L53" i="10"/>
  <c r="N84" i="9"/>
  <c r="M27" i="7"/>
  <c r="M47" i="7" s="1"/>
  <c r="M54" i="7" s="1"/>
  <c r="F33" i="5"/>
  <c r="H75" i="25" l="1"/>
  <c r="G73" i="25"/>
  <c r="D78" i="25"/>
  <c r="I74" i="25"/>
  <c r="F79" i="25"/>
  <c r="D76" i="25"/>
  <c r="I76" i="25"/>
  <c r="H74" i="25"/>
  <c r="E79" i="25"/>
  <c r="J75" i="25"/>
  <c r="J73" i="25"/>
  <c r="E77" i="25"/>
  <c r="F77" i="25"/>
  <c r="E75" i="25"/>
  <c r="I79" i="25"/>
  <c r="G76" i="25"/>
  <c r="E73" i="25"/>
  <c r="I77" i="25"/>
  <c r="J77" i="25"/>
  <c r="I75" i="25"/>
  <c r="G78" i="25"/>
  <c r="D77" i="25"/>
  <c r="I73" i="25"/>
  <c r="F78" i="25"/>
  <c r="F65" i="26"/>
  <c r="J79" i="26"/>
  <c r="F79" i="26"/>
  <c r="I78" i="26"/>
  <c r="E78" i="26"/>
  <c r="H77" i="26"/>
  <c r="D77" i="26"/>
  <c r="G76" i="26"/>
  <c r="J75" i="26"/>
  <c r="F75" i="26"/>
  <c r="I74" i="26"/>
  <c r="E74" i="26"/>
  <c r="H73" i="26"/>
  <c r="D73" i="26"/>
  <c r="I79" i="26"/>
  <c r="E79" i="26"/>
  <c r="H78" i="26"/>
  <c r="D78" i="26"/>
  <c r="G77" i="26"/>
  <c r="J76" i="26"/>
  <c r="F76" i="26"/>
  <c r="I75" i="26"/>
  <c r="E75" i="26"/>
  <c r="H74" i="26"/>
  <c r="D74" i="26"/>
  <c r="G73" i="26"/>
  <c r="H79" i="26"/>
  <c r="D79" i="26"/>
  <c r="G78" i="26"/>
  <c r="J77" i="26"/>
  <c r="F77" i="26"/>
  <c r="I76" i="26"/>
  <c r="E76" i="26"/>
  <c r="H75" i="26"/>
  <c r="D75" i="26"/>
  <c r="G74" i="26"/>
  <c r="J73" i="26"/>
  <c r="F73" i="26"/>
  <c r="G79" i="26"/>
  <c r="J78" i="26"/>
  <c r="F78" i="26"/>
  <c r="I77" i="26"/>
  <c r="E77" i="26"/>
  <c r="H76" i="26"/>
  <c r="D76" i="26"/>
  <c r="G75" i="26"/>
  <c r="J74" i="26"/>
  <c r="F74" i="26"/>
  <c r="I73" i="26"/>
  <c r="E73" i="26"/>
  <c r="M53" i="25"/>
  <c r="M53" i="26"/>
  <c r="N27" i="7"/>
  <c r="N47" i="7" s="1"/>
  <c r="N54" i="7" s="1"/>
  <c r="M53" i="10"/>
  <c r="O84" i="9"/>
  <c r="M57" i="10"/>
  <c r="M58" i="10" s="1"/>
  <c r="L58" i="10"/>
  <c r="F64" i="10" l="1"/>
  <c r="G79" i="10" l="1"/>
  <c r="J78" i="10"/>
  <c r="F78" i="10"/>
  <c r="I77" i="10"/>
  <c r="E77" i="10"/>
  <c r="H76" i="10"/>
  <c r="J75" i="10"/>
  <c r="F75" i="10"/>
  <c r="I74" i="10"/>
  <c r="E74" i="10"/>
  <c r="H73" i="10"/>
  <c r="G76" i="10"/>
  <c r="J77" i="10"/>
  <c r="D76" i="10"/>
  <c r="F74" i="10"/>
  <c r="J79" i="10"/>
  <c r="F79" i="10"/>
  <c r="I78" i="10"/>
  <c r="E78" i="10"/>
  <c r="H77" i="10"/>
  <c r="D77" i="10"/>
  <c r="F76" i="10"/>
  <c r="I75" i="10"/>
  <c r="E75" i="10"/>
  <c r="H74" i="10"/>
  <c r="D74" i="10"/>
  <c r="G73" i="10"/>
  <c r="F65" i="10"/>
  <c r="D73" i="10"/>
  <c r="I79" i="10"/>
  <c r="E79" i="10"/>
  <c r="H78" i="10"/>
  <c r="D78" i="10"/>
  <c r="G77" i="10"/>
  <c r="J76" i="10"/>
  <c r="E76" i="10"/>
  <c r="H75" i="10"/>
  <c r="D75" i="10"/>
  <c r="G74" i="10"/>
  <c r="J73" i="10"/>
  <c r="F73" i="10"/>
  <c r="G78" i="10"/>
  <c r="I76" i="10"/>
  <c r="J74" i="10"/>
  <c r="E73" i="10"/>
  <c r="H79" i="10"/>
  <c r="D79" i="10"/>
  <c r="F77" i="10"/>
  <c r="G75" i="10"/>
  <c r="I73" i="10"/>
</calcChain>
</file>

<file path=xl/sharedStrings.xml><?xml version="1.0" encoding="utf-8"?>
<sst xmlns="http://schemas.openxmlformats.org/spreadsheetml/2006/main" count="9520" uniqueCount="4555">
  <si>
    <t>SECCIÓN N°01: DATOS GENERALES DEL PROYECTO</t>
  </si>
  <si>
    <t>UNIDAD FORMULADORA  (UF)</t>
  </si>
  <si>
    <t>Nivel de gobierno :</t>
  </si>
  <si>
    <t>Entidad :</t>
  </si>
  <si>
    <t>Responsable de la UF</t>
  </si>
  <si>
    <t>Función</t>
  </si>
  <si>
    <t>División funcional</t>
  </si>
  <si>
    <t>Grupo funcional</t>
  </si>
  <si>
    <t>Sector responsable</t>
  </si>
  <si>
    <t>Tipología de proyecto</t>
  </si>
  <si>
    <t>Naturaleza de intervención</t>
  </si>
  <si>
    <t>Objeto de intervención</t>
  </si>
  <si>
    <t>Localización</t>
  </si>
  <si>
    <t>Servicios públicos con brecha identificada y priorizada</t>
  </si>
  <si>
    <t>Nombre del Indicador de brecha de acceso a servicios</t>
  </si>
  <si>
    <t>Unidad de medida</t>
  </si>
  <si>
    <t>Espacio geográfico</t>
  </si>
  <si>
    <t>Año</t>
  </si>
  <si>
    <t>Valor</t>
  </si>
  <si>
    <t>Contribución del Cierre de Brecha (Valor)</t>
  </si>
  <si>
    <t>Valor:</t>
  </si>
  <si>
    <t>2.01 Localización del área de estudio del proyecto</t>
  </si>
  <si>
    <t xml:space="preserve">N° </t>
  </si>
  <si>
    <t>Departamento</t>
  </si>
  <si>
    <t>Provincia</t>
  </si>
  <si>
    <t>Distrito</t>
  </si>
  <si>
    <t>Localidad/Centro poblado</t>
  </si>
  <si>
    <t>Ubigeo</t>
  </si>
  <si>
    <t>Fuente de información:</t>
  </si>
  <si>
    <t>Descripción</t>
  </si>
  <si>
    <t>Altitud</t>
  </si>
  <si>
    <t>Humedad</t>
  </si>
  <si>
    <t>Servicio público</t>
  </si>
  <si>
    <t>2.05 Identificar los peligros que pueden ocurrir en el área de estudio</t>
  </si>
  <si>
    <t>Peligros</t>
  </si>
  <si>
    <t>¿Existen antecedentes de ocurrencia en el área de estudio?</t>
  </si>
  <si>
    <t>¿Existe información que indique futuros cambios en las características del peligro o los nuevos peligros?</t>
  </si>
  <si>
    <t>Sí / No</t>
  </si>
  <si>
    <t>Características (Intensidad, frecuencia, área de impacto, otros)</t>
  </si>
  <si>
    <t>Sí/No</t>
  </si>
  <si>
    <t>Características de los cambios o los nuevos peligros</t>
  </si>
  <si>
    <t>Inundaciones</t>
  </si>
  <si>
    <t>Movimientos en masa</t>
  </si>
  <si>
    <t>Lluvias intensas</t>
  </si>
  <si>
    <t>Helada</t>
  </si>
  <si>
    <t>Nevadas</t>
  </si>
  <si>
    <t>Friaje</t>
  </si>
  <si>
    <t>Sismos</t>
  </si>
  <si>
    <t>Sequías</t>
  </si>
  <si>
    <t>Vulcanismo</t>
  </si>
  <si>
    <t>Tsunamis</t>
  </si>
  <si>
    <t>Incendios forestales</t>
  </si>
  <si>
    <t>Erosión</t>
  </si>
  <si>
    <t>Vientos fuertes</t>
  </si>
  <si>
    <t>Incendios urbanos</t>
  </si>
  <si>
    <t>Radiación solar</t>
  </si>
  <si>
    <t>Otros</t>
  </si>
  <si>
    <t>SECCIÓN N°03: DIAGNÓSTICO DE LA UNIDAD PRODUCTORA</t>
  </si>
  <si>
    <t>3.01 Nombre de la Unidad Productora:</t>
  </si>
  <si>
    <t>3.03 Localización geográfica de la Unidad Productora</t>
  </si>
  <si>
    <t>3.04 Diagnóstico de procesos de la Unidad Productora</t>
  </si>
  <si>
    <t>N°</t>
  </si>
  <si>
    <t>Descripción ¿En qué consiste el proceso?</t>
  </si>
  <si>
    <t>Situación actual</t>
  </si>
  <si>
    <t>3.05 Diagnóstico de los activos de la UP</t>
  </si>
  <si>
    <t>Tipo de Factor productivo</t>
  </si>
  <si>
    <t>Infraestructura</t>
  </si>
  <si>
    <t>…</t>
  </si>
  <si>
    <t>Equipamiento</t>
  </si>
  <si>
    <t>Sí</t>
  </si>
  <si>
    <t>No</t>
  </si>
  <si>
    <t>Servicios</t>
  </si>
  <si>
    <t>Unidad de Medida</t>
  </si>
  <si>
    <t>Año -5</t>
  </si>
  <si>
    <t>Año -4</t>
  </si>
  <si>
    <t>Año -3</t>
  </si>
  <si>
    <t>Año -2</t>
  </si>
  <si>
    <t>Año -1</t>
  </si>
  <si>
    <t>Bajo</t>
  </si>
  <si>
    <t>Medio</t>
  </si>
  <si>
    <t>Alto</t>
  </si>
  <si>
    <t>SECCIÓN N°04: DIAGNÓSTICO DE LOS INVOLUCRADOS</t>
  </si>
  <si>
    <t>4.01 Descripción de la población afectada</t>
  </si>
  <si>
    <t>4.02 Caracterización de la población afectada</t>
  </si>
  <si>
    <t>Variables /indicadores</t>
  </si>
  <si>
    <t>Categorías</t>
  </si>
  <si>
    <t>Edad</t>
  </si>
  <si>
    <t>Género</t>
  </si>
  <si>
    <t>4.03 Matriz de involucrados</t>
  </si>
  <si>
    <t>Posición (Cooperante, Beneficiario, Oponente, Perjudicado)</t>
  </si>
  <si>
    <t>Intereses o expectativas</t>
  </si>
  <si>
    <t>SECCIÓN N° 05: PROBLEMA/OBJETIVO</t>
  </si>
  <si>
    <t>Descripción del problema central</t>
  </si>
  <si>
    <t xml:space="preserve">Indicador </t>
  </si>
  <si>
    <t>Descripción del indicador</t>
  </si>
  <si>
    <t>UM</t>
  </si>
  <si>
    <t>Causas Directas (CD)</t>
  </si>
  <si>
    <t>Sustento (evidencias)</t>
  </si>
  <si>
    <t>Causas indirectas (CI)</t>
  </si>
  <si>
    <t>Efectos Directos (ED)</t>
  </si>
  <si>
    <t>Descripción del objetivo central</t>
  </si>
  <si>
    <t xml:space="preserve">Indicador* </t>
  </si>
  <si>
    <t>Descripción del indicador*</t>
  </si>
  <si>
    <t>UM*</t>
  </si>
  <si>
    <t>Valor*</t>
  </si>
  <si>
    <t>* Esta información proviene de la información registrada en la tabla 1.04</t>
  </si>
  <si>
    <t>Medios fundamentales</t>
  </si>
  <si>
    <t>Medios fundamentales (componentes)</t>
  </si>
  <si>
    <t>Acciones</t>
  </si>
  <si>
    <t>Fines directos (FD)</t>
  </si>
  <si>
    <t>Fines Indirectos (FI)</t>
  </si>
  <si>
    <t>Alternativa 1</t>
  </si>
  <si>
    <t>Tipo de población</t>
  </si>
  <si>
    <t>Año 1</t>
  </si>
  <si>
    <t>Año 2</t>
  </si>
  <si>
    <t>Año 3</t>
  </si>
  <si>
    <t>Servicio</t>
  </si>
  <si>
    <t>7.04 Estimación de la oferta optimizada (sin proyecto)</t>
  </si>
  <si>
    <t>Año 10</t>
  </si>
  <si>
    <t>SECCIÓN N°08: ANÁLISIS TÉCNICO</t>
  </si>
  <si>
    <t>8.01 ANÁLISIS DE TAMAÑO (¿Cuánto producir?)</t>
  </si>
  <si>
    <t>8.02 ANÁLISIS DE LOCALIZACIÓN (¿Dónde producir?)</t>
  </si>
  <si>
    <t>8.03 ANÁLISIS DE TECNOLOGÍA (¿Cómo producir?)</t>
  </si>
  <si>
    <t>Descripción del proceso de producción del servicio (con proyecto)</t>
  </si>
  <si>
    <t>Intangibles</t>
  </si>
  <si>
    <t>8.04 IDENTIFICACIÓN DE MEDIDAS DE REDUCCIÓN DEL RIESGO DE DESASTRES</t>
  </si>
  <si>
    <t>8.05 RESUMEN DE LAS ALTERNATIVAS TÉCNICAS</t>
  </si>
  <si>
    <t>Alternativas técnicas</t>
  </si>
  <si>
    <t xml:space="preserve">Tamaño </t>
  </si>
  <si>
    <t xml:space="preserve">Localización </t>
  </si>
  <si>
    <t>Acción sobre el activo</t>
  </si>
  <si>
    <t>Tipo de factor productivo</t>
  </si>
  <si>
    <t>Unidad Física</t>
  </si>
  <si>
    <t>Dimensión física</t>
  </si>
  <si>
    <t>Unidad de 
medida</t>
  </si>
  <si>
    <t>Cantidad</t>
  </si>
  <si>
    <t>m2</t>
  </si>
  <si>
    <t>Mobiliario</t>
  </si>
  <si>
    <t>9.01 Costo de ejecución física de las acciones</t>
  </si>
  <si>
    <t>Costo unitario</t>
  </si>
  <si>
    <t xml:space="preserve">Activos </t>
  </si>
  <si>
    <t>Componente 1:</t>
  </si>
  <si>
    <t>Componente 2</t>
  </si>
  <si>
    <t>Medidas de reducción del riesgo de desastre y mitigación ambiental</t>
  </si>
  <si>
    <t>Otros costos</t>
  </si>
  <si>
    <t>Costos a precios de mercado</t>
  </si>
  <si>
    <t>Gestión del proyecto</t>
  </si>
  <si>
    <t>Expediente técnico o documento equivalente</t>
  </si>
  <si>
    <t>Supervisión</t>
  </si>
  <si>
    <t>Liquidación</t>
  </si>
  <si>
    <t>Subtotal de otros costos de inversión</t>
  </si>
  <si>
    <t>Costo Total de inversión</t>
  </si>
  <si>
    <t>9.02 Costos de reinversión</t>
  </si>
  <si>
    <t>Activos</t>
  </si>
  <si>
    <t>AÑOS (Soles)</t>
  </si>
  <si>
    <t>9.03 Costos de operación y mantenimiento con y sin proyecto</t>
  </si>
  <si>
    <t xml:space="preserve">Fecha prevista de inicio de operaciones:  (mes / año): </t>
  </si>
  <si>
    <t>Horizonte de funcionamiento (años)</t>
  </si>
  <si>
    <t>9.04 Cronograma de inversión de metas financieras</t>
  </si>
  <si>
    <t>Fecha prevista de inicio de ejecución:</t>
  </si>
  <si>
    <t>(mes y año)</t>
  </si>
  <si>
    <t>Tipo de periodo</t>
  </si>
  <si>
    <t>Número de periodos</t>
  </si>
  <si>
    <t>(valor)</t>
  </si>
  <si>
    <t>Costo estimado de inversión a precios de mercado (Soles)</t>
  </si>
  <si>
    <t>Sub total :</t>
  </si>
  <si>
    <t>A</t>
  </si>
  <si>
    <t>Costos a precio de mercado</t>
  </si>
  <si>
    <t>B</t>
  </si>
  <si>
    <t>Costo total de inversión:</t>
  </si>
  <si>
    <t>9.05 Cronograma de metas físicas</t>
  </si>
  <si>
    <t>Unidad de medida representativa</t>
  </si>
  <si>
    <t>Total Meta Física</t>
  </si>
  <si>
    <t>10.01 BENEFICIOS SOCIALES</t>
  </si>
  <si>
    <t>Años</t>
  </si>
  <si>
    <t>10.02 COSTOS SOCIALES</t>
  </si>
  <si>
    <t xml:space="preserve">Costo a precios sociales </t>
  </si>
  <si>
    <t>Total</t>
  </si>
  <si>
    <t>Costos de operación incremental</t>
  </si>
  <si>
    <t>1. Costos de inversión</t>
  </si>
  <si>
    <t>2. Costos de reinversión</t>
  </si>
  <si>
    <t>Total Costos</t>
  </si>
  <si>
    <t>10.04 INDICADORES DE RENTABILIDAD SOCIAL</t>
  </si>
  <si>
    <t>Tipo</t>
  </si>
  <si>
    <t>Criterio de elección**</t>
  </si>
  <si>
    <t>Valor Actual de los Costos (VAC)</t>
  </si>
  <si>
    <t>Costo por beneficiario directo</t>
  </si>
  <si>
    <t>10.05 ANÁLISIS DE SENSIBILIDAD</t>
  </si>
  <si>
    <t>ANALISIS DE SENSIBILIDAD BIDIMENSIONAL</t>
  </si>
  <si>
    <t>ICE / VAN</t>
  </si>
  <si>
    <t>Variación % del total de beneficiarios</t>
  </si>
  <si>
    <t>Ítem</t>
  </si>
  <si>
    <t>Descripción de los arreglos institucionales para la fase de Funcionamiento</t>
  </si>
  <si>
    <t>Descripción del riesgo</t>
  </si>
  <si>
    <t>12.01 Plan de implementación</t>
  </si>
  <si>
    <t>Actividades del Plan de Implementación</t>
  </si>
  <si>
    <t xml:space="preserve">Fecha </t>
  </si>
  <si>
    <t>Órgano
Responsable</t>
  </si>
  <si>
    <t>Inicio</t>
  </si>
  <si>
    <t>Fin</t>
  </si>
  <si>
    <t>Expediente Técnico (ET) o Estudio Definitivo (ED)</t>
  </si>
  <si>
    <t xml:space="preserve">Ejecución </t>
  </si>
  <si>
    <t>12.02 Modalidad de ejecución de proyecto</t>
  </si>
  <si>
    <t>Tipo de ejecución</t>
  </si>
  <si>
    <t>Marcar</t>
  </si>
  <si>
    <t>Administración directa</t>
  </si>
  <si>
    <t>Administración indirecta – por contrata</t>
  </si>
  <si>
    <t>Administración indirecta – Asociación Público Privado (APP)</t>
  </si>
  <si>
    <t>Administración indirecta – Núcleo Ejecutor</t>
  </si>
  <si>
    <t>Administración indirecta – Ley 29230 (Obras por Impuestos)</t>
  </si>
  <si>
    <t>12.03 Requerimientos institucionales y normativos en la fase de Ejecución y fase de Funcionamiento</t>
  </si>
  <si>
    <t>Estado situacional</t>
  </si>
  <si>
    <t>Factibilidad de servicios de agua, desagüe y electricidad</t>
  </si>
  <si>
    <t>Certificado de parámetros urbanísticos</t>
  </si>
  <si>
    <t>12.05 Fuente de financiamiento</t>
  </si>
  <si>
    <t>Fuente de Financiamiento</t>
  </si>
  <si>
    <t>Recursos ordinarios</t>
  </si>
  <si>
    <t>Recursos directamente recaudados</t>
  </si>
  <si>
    <t>Recursos por operaciones oficiales de crédito</t>
  </si>
  <si>
    <t>Donaciones y transferencias</t>
  </si>
  <si>
    <t>Recursos determinados</t>
  </si>
  <si>
    <t>13.01 Impacto ambiental</t>
  </si>
  <si>
    <t>IMPACTOS NEGATIVOS</t>
  </si>
  <si>
    <t>MEDIDAS DE MITIGACIÓN</t>
  </si>
  <si>
    <t>COSTO (S/)</t>
  </si>
  <si>
    <t>Durante la Ejecución</t>
  </si>
  <si>
    <t>Durante el Funcionamiento</t>
  </si>
  <si>
    <t>14.01 RESUMEN DEL PROYECTO: MATRIZ DEL MARCO LÓGICO</t>
  </si>
  <si>
    <t>Nivel de objetivo</t>
  </si>
  <si>
    <t>Medios de verificación</t>
  </si>
  <si>
    <t>Supuestos</t>
  </si>
  <si>
    <t>Propósito</t>
  </si>
  <si>
    <t>Componentes</t>
  </si>
  <si>
    <t>SECCIÓN N°15: CONCLUSIONES Y RECOMENDACIONES</t>
  </si>
  <si>
    <t>15.01 CONCLUSIONES Y RECOMENDACIONES</t>
  </si>
  <si>
    <t>SECCIÓN N°16: FIRMAS</t>
  </si>
  <si>
    <t>16.01 FIRMAS</t>
  </si>
  <si>
    <t>Preparado o supervisado por:</t>
  </si>
  <si>
    <t>…………………………………………………………………………….</t>
  </si>
  <si>
    <t>Fecha:</t>
  </si>
  <si>
    <t>Especialista de la UF o Responsable de la UF</t>
  </si>
  <si>
    <t>Declarado viable por:</t>
  </si>
  <si>
    <t>SECCIÓN N°17: ANEXOS</t>
  </si>
  <si>
    <t>17.01 ANEXOS</t>
  </si>
  <si>
    <t xml:space="preserve">Nro. </t>
  </si>
  <si>
    <t>Descripción del anexo</t>
  </si>
  <si>
    <t>Probabilidad</t>
  </si>
  <si>
    <t>Impacto</t>
  </si>
  <si>
    <t>Estimación de riesgo</t>
  </si>
  <si>
    <t>Saneamiento físico legal o arreglo institucional</t>
  </si>
  <si>
    <t>Ubicación de activos de la UP</t>
  </si>
  <si>
    <t>Impactos ambientales del PI</t>
  </si>
  <si>
    <t>Organización y experiencia de la UEI</t>
  </si>
  <si>
    <t>Modalidad de ejecución del proyecto de inversión</t>
  </si>
  <si>
    <t>Exposición a peligros naturales, socionaturales o antrópicos</t>
  </si>
  <si>
    <t>Ubicación en zonas arqueológicas o declaradas como patrimonio cultural</t>
  </si>
  <si>
    <t>Identificación de interferencias</t>
  </si>
  <si>
    <t>C</t>
  </si>
  <si>
    <t>D</t>
  </si>
  <si>
    <t>E</t>
  </si>
  <si>
    <t>F</t>
  </si>
  <si>
    <t>G</t>
  </si>
  <si>
    <t>H</t>
  </si>
  <si>
    <t>Debe ser llenado por la Unidad Formuladora, al culminar la formulación y evaluación del proyecto</t>
  </si>
  <si>
    <t>Para el inicio de la ejecución del proyecto de inversión de CIAI, aún no se tendrá resuelto el saneamiento físico legal o arreglo institucional (que corresponda) y se tendrá libre disponibilidad del terreno donde se ejecutará el proyecto de inversión</t>
  </si>
  <si>
    <t>El proyecto de inversión de CIAI, durante la fase de ejecución o funcionamiento, generará importantes impactos negativos en el medio ambiente o conflictos sociales</t>
  </si>
  <si>
    <t>La Unidad Ejecutora de Inversiones propuesta como responsable de la fase de ejecución del proyecto de inversión de CIAI no cuenta con experiencia en la ejecución de inversiones de esta tipología</t>
  </si>
  <si>
    <t>Se propondrá ejecutar el proyecto de inversión de CIAI bajo la modalidad de núcleos ejecutores</t>
  </si>
  <si>
    <t>Uno o varios activos del CIAI, en la situación con proyecto, se encontrarán expuestos a peligros naturales, socio-naturales o antrópicos</t>
  </si>
  <si>
    <t>Uno o varios de los activos del CIAI, en la situación con proyecto, se encontrarán ubicados en zonas arqueológicas o declaradas como patrimonio cultural</t>
  </si>
  <si>
    <t>En la ubicación del CIAI o de algunos de sus activos se presentarán interferencias (redes de agua, alcantarillado, gas, telefonía o similar), al momento de su ejecución</t>
  </si>
  <si>
    <t>010101</t>
  </si>
  <si>
    <t>Chachapoyas</t>
  </si>
  <si>
    <t>Amazonas</t>
  </si>
  <si>
    <t>010102</t>
  </si>
  <si>
    <t>Asuncion</t>
  </si>
  <si>
    <t>010103</t>
  </si>
  <si>
    <t>Balsas</t>
  </si>
  <si>
    <t>010104</t>
  </si>
  <si>
    <t>Cheto</t>
  </si>
  <si>
    <t>010105</t>
  </si>
  <si>
    <t>Chiliquin</t>
  </si>
  <si>
    <t>010106</t>
  </si>
  <si>
    <t>Chuquibamba</t>
  </si>
  <si>
    <t>010107</t>
  </si>
  <si>
    <t>Granada</t>
  </si>
  <si>
    <t>010108</t>
  </si>
  <si>
    <t>Huancas</t>
  </si>
  <si>
    <t>010109</t>
  </si>
  <si>
    <t>La Jalca</t>
  </si>
  <si>
    <t>010110</t>
  </si>
  <si>
    <t>Leimebamba</t>
  </si>
  <si>
    <t>010111</t>
  </si>
  <si>
    <t>Levanto</t>
  </si>
  <si>
    <t>010112</t>
  </si>
  <si>
    <t>Magdalena</t>
  </si>
  <si>
    <t>010113</t>
  </si>
  <si>
    <t>Mariscal Castilla</t>
  </si>
  <si>
    <t>010114</t>
  </si>
  <si>
    <t>Molinopampa</t>
  </si>
  <si>
    <t>010115</t>
  </si>
  <si>
    <t>Montevideo</t>
  </si>
  <si>
    <t>010116</t>
  </si>
  <si>
    <t>Olleros</t>
  </si>
  <si>
    <t>010117</t>
  </si>
  <si>
    <t>Quinjalca</t>
  </si>
  <si>
    <t>010118</t>
  </si>
  <si>
    <t>San Francisco de Daguas</t>
  </si>
  <si>
    <t>010119</t>
  </si>
  <si>
    <t>San Isidro de Maino</t>
  </si>
  <si>
    <t>010120</t>
  </si>
  <si>
    <t>Soloco</t>
  </si>
  <si>
    <t>010121</t>
  </si>
  <si>
    <t>Sonche</t>
  </si>
  <si>
    <t>010201</t>
  </si>
  <si>
    <t>Bagua</t>
  </si>
  <si>
    <t>010202</t>
  </si>
  <si>
    <t>Aramango</t>
  </si>
  <si>
    <t>010203</t>
  </si>
  <si>
    <t>Copallin</t>
  </si>
  <si>
    <t>010204</t>
  </si>
  <si>
    <t>El Parco</t>
  </si>
  <si>
    <t>010205</t>
  </si>
  <si>
    <t>Imaza</t>
  </si>
  <si>
    <t>010206</t>
  </si>
  <si>
    <t>La Peca</t>
  </si>
  <si>
    <t>010301</t>
  </si>
  <si>
    <t>Jumbilla</t>
  </si>
  <si>
    <t>Bongara</t>
  </si>
  <si>
    <t>010302</t>
  </si>
  <si>
    <t>Chisquilla</t>
  </si>
  <si>
    <t>010303</t>
  </si>
  <si>
    <t>Churuja</t>
  </si>
  <si>
    <t>010304</t>
  </si>
  <si>
    <t>Corosha</t>
  </si>
  <si>
    <t>010305</t>
  </si>
  <si>
    <t>Cuispes</t>
  </si>
  <si>
    <t>010306</t>
  </si>
  <si>
    <t>Florida</t>
  </si>
  <si>
    <t>010307</t>
  </si>
  <si>
    <t>Jazan</t>
  </si>
  <si>
    <t>010308</t>
  </si>
  <si>
    <t>Recta</t>
  </si>
  <si>
    <t>010309</t>
  </si>
  <si>
    <t>San Carlos</t>
  </si>
  <si>
    <t>010310</t>
  </si>
  <si>
    <t>Shipasbamba</t>
  </si>
  <si>
    <t>010311</t>
  </si>
  <si>
    <t>Valera</t>
  </si>
  <si>
    <t>010312</t>
  </si>
  <si>
    <t>Yambrasbamba</t>
  </si>
  <si>
    <t>010401</t>
  </si>
  <si>
    <t>Nieva</t>
  </si>
  <si>
    <t>Condorcanqui</t>
  </si>
  <si>
    <t>010402</t>
  </si>
  <si>
    <t>El Cenepa</t>
  </si>
  <si>
    <t>010403</t>
  </si>
  <si>
    <t>Rio Santiago</t>
  </si>
  <si>
    <t>010501</t>
  </si>
  <si>
    <t>Lamud</t>
  </si>
  <si>
    <t>Luya</t>
  </si>
  <si>
    <t>010502</t>
  </si>
  <si>
    <t>Camporredondo</t>
  </si>
  <si>
    <t>010503</t>
  </si>
  <si>
    <t>Cocabamba</t>
  </si>
  <si>
    <t>010504</t>
  </si>
  <si>
    <t>Colcamar</t>
  </si>
  <si>
    <t>010505</t>
  </si>
  <si>
    <t>Conila</t>
  </si>
  <si>
    <t>010506</t>
  </si>
  <si>
    <t>Inguilpata</t>
  </si>
  <si>
    <t>010507</t>
  </si>
  <si>
    <t>Longuita</t>
  </si>
  <si>
    <t>010508</t>
  </si>
  <si>
    <t>Lonya Chico</t>
  </si>
  <si>
    <t>010509</t>
  </si>
  <si>
    <t>010510</t>
  </si>
  <si>
    <t>Luya Viejo</t>
  </si>
  <si>
    <t>010511</t>
  </si>
  <si>
    <t>Maria</t>
  </si>
  <si>
    <t>010512</t>
  </si>
  <si>
    <t>Ocalli</t>
  </si>
  <si>
    <t>010513</t>
  </si>
  <si>
    <t>Ocumal</t>
  </si>
  <si>
    <t>010514</t>
  </si>
  <si>
    <t>Pisuquia</t>
  </si>
  <si>
    <t>010515</t>
  </si>
  <si>
    <t>Providencia</t>
  </si>
  <si>
    <t>010516</t>
  </si>
  <si>
    <t>San Cristobal</t>
  </si>
  <si>
    <t>010517</t>
  </si>
  <si>
    <t>San Francisco del Yeso</t>
  </si>
  <si>
    <t>010518</t>
  </si>
  <si>
    <t>San Jeronimo</t>
  </si>
  <si>
    <t>010519</t>
  </si>
  <si>
    <t>San Juan de Lopecancha</t>
  </si>
  <si>
    <t>010520</t>
  </si>
  <si>
    <t>Santa Catalina</t>
  </si>
  <si>
    <t>010521</t>
  </si>
  <si>
    <t>Santo Tomas</t>
  </si>
  <si>
    <t>010522</t>
  </si>
  <si>
    <t>Tingo</t>
  </si>
  <si>
    <t>010523</t>
  </si>
  <si>
    <t>Trita</t>
  </si>
  <si>
    <t>010601</t>
  </si>
  <si>
    <t>San Nicolas</t>
  </si>
  <si>
    <t>Rodriguez de Mendoza</t>
  </si>
  <si>
    <t>010602</t>
  </si>
  <si>
    <t>Chirimoto</t>
  </si>
  <si>
    <t>010603</t>
  </si>
  <si>
    <t>Cochamal</t>
  </si>
  <si>
    <t>010604</t>
  </si>
  <si>
    <t>Huambo</t>
  </si>
  <si>
    <t>010605</t>
  </si>
  <si>
    <t>Limabamba</t>
  </si>
  <si>
    <t>010606</t>
  </si>
  <si>
    <t>Longar</t>
  </si>
  <si>
    <t>010607</t>
  </si>
  <si>
    <t>Mariscal Benavides</t>
  </si>
  <si>
    <t>010608</t>
  </si>
  <si>
    <t>Milpuc</t>
  </si>
  <si>
    <t>010609</t>
  </si>
  <si>
    <t>Omia</t>
  </si>
  <si>
    <t>010610</t>
  </si>
  <si>
    <t>Santa Rosa</t>
  </si>
  <si>
    <t>010611</t>
  </si>
  <si>
    <t>Totora</t>
  </si>
  <si>
    <t>010612</t>
  </si>
  <si>
    <t>Vista Alegre</t>
  </si>
  <si>
    <t>010701</t>
  </si>
  <si>
    <t>Bagua Grande</t>
  </si>
  <si>
    <t>Utcubamba</t>
  </si>
  <si>
    <t>010702</t>
  </si>
  <si>
    <t>Cajaruro</t>
  </si>
  <si>
    <t>010703</t>
  </si>
  <si>
    <t>Cumba</t>
  </si>
  <si>
    <t>010704</t>
  </si>
  <si>
    <t>El Milagro</t>
  </si>
  <si>
    <t>010705</t>
  </si>
  <si>
    <t>Jamalca</t>
  </si>
  <si>
    <t>010706</t>
  </si>
  <si>
    <t>Lonya Grande</t>
  </si>
  <si>
    <t>010707</t>
  </si>
  <si>
    <t>Yamon</t>
  </si>
  <si>
    <t>020101</t>
  </si>
  <si>
    <t>Huaraz</t>
  </si>
  <si>
    <t>Ancash</t>
  </si>
  <si>
    <t>020102</t>
  </si>
  <si>
    <t>Cochabamba</t>
  </si>
  <si>
    <t>020103</t>
  </si>
  <si>
    <t>Colcabamba</t>
  </si>
  <si>
    <t>020104</t>
  </si>
  <si>
    <t>Huanchay</t>
  </si>
  <si>
    <t>020105</t>
  </si>
  <si>
    <t>Independencia</t>
  </si>
  <si>
    <t>020106</t>
  </si>
  <si>
    <t>Jangas</t>
  </si>
  <si>
    <t>020107</t>
  </si>
  <si>
    <t>La Libertad</t>
  </si>
  <si>
    <t>020108</t>
  </si>
  <si>
    <t>020109</t>
  </si>
  <si>
    <t>Pampas</t>
  </si>
  <si>
    <t>020110</t>
  </si>
  <si>
    <t>Pariacoto</t>
  </si>
  <si>
    <t>020111</t>
  </si>
  <si>
    <t>Pira</t>
  </si>
  <si>
    <t>020112</t>
  </si>
  <si>
    <t>Tarica</t>
  </si>
  <si>
    <t>020201</t>
  </si>
  <si>
    <t>Aija</t>
  </si>
  <si>
    <t>020202</t>
  </si>
  <si>
    <t>Coris</t>
  </si>
  <si>
    <t>020203</t>
  </si>
  <si>
    <t>Huacllan</t>
  </si>
  <si>
    <t>020204</t>
  </si>
  <si>
    <t>La Merced</t>
  </si>
  <si>
    <t>020205</t>
  </si>
  <si>
    <t>Succha</t>
  </si>
  <si>
    <t>020301</t>
  </si>
  <si>
    <t>Llamellin</t>
  </si>
  <si>
    <t>Antonio Raymondi</t>
  </si>
  <si>
    <t>020302</t>
  </si>
  <si>
    <t>Aczo</t>
  </si>
  <si>
    <t>020303</t>
  </si>
  <si>
    <t>Chaccho</t>
  </si>
  <si>
    <t>020304</t>
  </si>
  <si>
    <t>Chingas</t>
  </si>
  <si>
    <t>020305</t>
  </si>
  <si>
    <t>Mirgas</t>
  </si>
  <si>
    <t>020306</t>
  </si>
  <si>
    <t>San Juan de Rontoy</t>
  </si>
  <si>
    <t>020401</t>
  </si>
  <si>
    <t>Chacas</t>
  </si>
  <si>
    <t>020402</t>
  </si>
  <si>
    <t>Acochaca</t>
  </si>
  <si>
    <t>020501</t>
  </si>
  <si>
    <t>Chiquian</t>
  </si>
  <si>
    <t>Bolognesi</t>
  </si>
  <si>
    <t>020502</t>
  </si>
  <si>
    <t>Abelardo Pardo Lezameta</t>
  </si>
  <si>
    <t>020503</t>
  </si>
  <si>
    <t>020504</t>
  </si>
  <si>
    <t>Aquia</t>
  </si>
  <si>
    <t>020505</t>
  </si>
  <si>
    <t>Cajacay</t>
  </si>
  <si>
    <t>020506</t>
  </si>
  <si>
    <t>Canis</t>
  </si>
  <si>
    <t>020507</t>
  </si>
  <si>
    <t>Colquioc</t>
  </si>
  <si>
    <t>020508</t>
  </si>
  <si>
    <t>Huallanca</t>
  </si>
  <si>
    <t>020509</t>
  </si>
  <si>
    <t>Huasta</t>
  </si>
  <si>
    <t>020510</t>
  </si>
  <si>
    <t>Huayllacayan</t>
  </si>
  <si>
    <t>020511</t>
  </si>
  <si>
    <t>La Primavera</t>
  </si>
  <si>
    <t>020512</t>
  </si>
  <si>
    <t>Mangas</t>
  </si>
  <si>
    <t>020513</t>
  </si>
  <si>
    <t>Pacllon</t>
  </si>
  <si>
    <t>020514</t>
  </si>
  <si>
    <t>San Miguel de Corpanqui</t>
  </si>
  <si>
    <t>020515</t>
  </si>
  <si>
    <t>Ticllos</t>
  </si>
  <si>
    <t>020601</t>
  </si>
  <si>
    <t>Carhuaz</t>
  </si>
  <si>
    <t>020602</t>
  </si>
  <si>
    <t>Acopampa</t>
  </si>
  <si>
    <t>020603</t>
  </si>
  <si>
    <t>Amashca</t>
  </si>
  <si>
    <t>020604</t>
  </si>
  <si>
    <t>Anta</t>
  </si>
  <si>
    <t>020605</t>
  </si>
  <si>
    <t>Ataquero</t>
  </si>
  <si>
    <t>020606</t>
  </si>
  <si>
    <t>Marcara</t>
  </si>
  <si>
    <t>020607</t>
  </si>
  <si>
    <t>Pariahuanca</t>
  </si>
  <si>
    <t>020608</t>
  </si>
  <si>
    <t>San Miguel de Aco</t>
  </si>
  <si>
    <t>020609</t>
  </si>
  <si>
    <t>Shilla</t>
  </si>
  <si>
    <t>020610</t>
  </si>
  <si>
    <t>Tinco</t>
  </si>
  <si>
    <t>020611</t>
  </si>
  <si>
    <t>Yungar</t>
  </si>
  <si>
    <t>020701</t>
  </si>
  <si>
    <t>San Luis</t>
  </si>
  <si>
    <t>Carlos Fermin Fitzca</t>
  </si>
  <si>
    <t>020702</t>
  </si>
  <si>
    <t>020703</t>
  </si>
  <si>
    <t>Yauya</t>
  </si>
  <si>
    <t>020801</t>
  </si>
  <si>
    <t>Casma</t>
  </si>
  <si>
    <t>020802</t>
  </si>
  <si>
    <t>Buena Vista Alta</t>
  </si>
  <si>
    <t>020803</t>
  </si>
  <si>
    <t>Comandante Noel</t>
  </si>
  <si>
    <t>020804</t>
  </si>
  <si>
    <t>Yautan</t>
  </si>
  <si>
    <t>020901</t>
  </si>
  <si>
    <t>Corongo</t>
  </si>
  <si>
    <t>020902</t>
  </si>
  <si>
    <t>Aco</t>
  </si>
  <si>
    <t>020903</t>
  </si>
  <si>
    <t>Bambas</t>
  </si>
  <si>
    <t>020904</t>
  </si>
  <si>
    <t>Cusca</t>
  </si>
  <si>
    <t>020905</t>
  </si>
  <si>
    <t>La Pampa</t>
  </si>
  <si>
    <t>020906</t>
  </si>
  <si>
    <t>Yanac</t>
  </si>
  <si>
    <t>020907</t>
  </si>
  <si>
    <t>Yupan</t>
  </si>
  <si>
    <t>021001</t>
  </si>
  <si>
    <t>Huari</t>
  </si>
  <si>
    <t>021002</t>
  </si>
  <si>
    <t>Anra</t>
  </si>
  <si>
    <t>021003</t>
  </si>
  <si>
    <t>Cajay</t>
  </si>
  <si>
    <t>021004</t>
  </si>
  <si>
    <t>Chavin de Huantar</t>
  </si>
  <si>
    <t>021005</t>
  </si>
  <si>
    <t>Huacachi</t>
  </si>
  <si>
    <t>021006</t>
  </si>
  <si>
    <t>Huacchis</t>
  </si>
  <si>
    <t>021007</t>
  </si>
  <si>
    <t>Huachis</t>
  </si>
  <si>
    <t>021008</t>
  </si>
  <si>
    <t>Huantar</t>
  </si>
  <si>
    <t>021009</t>
  </si>
  <si>
    <t>Masin</t>
  </si>
  <si>
    <t>021010</t>
  </si>
  <si>
    <t>Paucas</t>
  </si>
  <si>
    <t>021011</t>
  </si>
  <si>
    <t>Ponto</t>
  </si>
  <si>
    <t>021012</t>
  </si>
  <si>
    <t>Rahuapampa</t>
  </si>
  <si>
    <t>021013</t>
  </si>
  <si>
    <t>Rapayan</t>
  </si>
  <si>
    <t>021014</t>
  </si>
  <si>
    <t>San Marcos</t>
  </si>
  <si>
    <t>021015</t>
  </si>
  <si>
    <t>San Pedro de Chana</t>
  </si>
  <si>
    <t>021016</t>
  </si>
  <si>
    <t>Uco</t>
  </si>
  <si>
    <t>021101</t>
  </si>
  <si>
    <t>Huarmey</t>
  </si>
  <si>
    <t>021102</t>
  </si>
  <si>
    <t>Cochapeti</t>
  </si>
  <si>
    <t>021103</t>
  </si>
  <si>
    <t>Culebras</t>
  </si>
  <si>
    <t>021104</t>
  </si>
  <si>
    <t>Huayan</t>
  </si>
  <si>
    <t>021105</t>
  </si>
  <si>
    <t>Malvas</t>
  </si>
  <si>
    <t>021201</t>
  </si>
  <si>
    <t>Caraz</t>
  </si>
  <si>
    <t>Huaylas</t>
  </si>
  <si>
    <t>021202</t>
  </si>
  <si>
    <t>021203</t>
  </si>
  <si>
    <t>Huata</t>
  </si>
  <si>
    <t>021204</t>
  </si>
  <si>
    <t>021205</t>
  </si>
  <si>
    <t>Mato</t>
  </si>
  <si>
    <t>021206</t>
  </si>
  <si>
    <t>Pamparomas</t>
  </si>
  <si>
    <t>021207</t>
  </si>
  <si>
    <t>Pueblo Libre</t>
  </si>
  <si>
    <t>021208</t>
  </si>
  <si>
    <t>Santa Cruz</t>
  </si>
  <si>
    <t>021209</t>
  </si>
  <si>
    <t>Santo Toribio</t>
  </si>
  <si>
    <t>021210</t>
  </si>
  <si>
    <t>Yuracmarca</t>
  </si>
  <si>
    <t>021301</t>
  </si>
  <si>
    <t>Piscobamba</t>
  </si>
  <si>
    <t>Mariscal Luzuriaga</t>
  </si>
  <si>
    <t>021302</t>
  </si>
  <si>
    <t>Casca</t>
  </si>
  <si>
    <t>021303</t>
  </si>
  <si>
    <t>Eleazar Guzman Barron</t>
  </si>
  <si>
    <t>021304</t>
  </si>
  <si>
    <t>Fidel Olivas Escudero</t>
  </si>
  <si>
    <t>021305</t>
  </si>
  <si>
    <t>Llama</t>
  </si>
  <si>
    <t>021306</t>
  </si>
  <si>
    <t>Llumpa</t>
  </si>
  <si>
    <t>021307</t>
  </si>
  <si>
    <t>Lucma</t>
  </si>
  <si>
    <t>021308</t>
  </si>
  <si>
    <t>Musga</t>
  </si>
  <si>
    <t>021401</t>
  </si>
  <si>
    <t>Ocros</t>
  </si>
  <si>
    <t>021402</t>
  </si>
  <si>
    <t>Acas</t>
  </si>
  <si>
    <t>021403</t>
  </si>
  <si>
    <t>Cajamarquilla</t>
  </si>
  <si>
    <t>021404</t>
  </si>
  <si>
    <t>Carhuapampa</t>
  </si>
  <si>
    <t>021405</t>
  </si>
  <si>
    <t>Cochas</t>
  </si>
  <si>
    <t>021406</t>
  </si>
  <si>
    <t>Congas</t>
  </si>
  <si>
    <t>021407</t>
  </si>
  <si>
    <t>Llipa</t>
  </si>
  <si>
    <t>021408</t>
  </si>
  <si>
    <t>San Cristobal de Rajan</t>
  </si>
  <si>
    <t>021409</t>
  </si>
  <si>
    <t>San Pedro</t>
  </si>
  <si>
    <t>021410</t>
  </si>
  <si>
    <t>Santiago de Chilcas</t>
  </si>
  <si>
    <t>021501</t>
  </si>
  <si>
    <t>Cabana</t>
  </si>
  <si>
    <t>Pallasca</t>
  </si>
  <si>
    <t>021502</t>
  </si>
  <si>
    <t>021503</t>
  </si>
  <si>
    <t>Conchucos</t>
  </si>
  <si>
    <t>021504</t>
  </si>
  <si>
    <t>Huacaschuque</t>
  </si>
  <si>
    <t>021505</t>
  </si>
  <si>
    <t>Huandoval</t>
  </si>
  <si>
    <t>021506</t>
  </si>
  <si>
    <t>Lacabamba</t>
  </si>
  <si>
    <t>021507</t>
  </si>
  <si>
    <t>Llapo</t>
  </si>
  <si>
    <t>021508</t>
  </si>
  <si>
    <t>021509</t>
  </si>
  <si>
    <t>021510</t>
  </si>
  <si>
    <t>021511</t>
  </si>
  <si>
    <t>Tauca</t>
  </si>
  <si>
    <t>021601</t>
  </si>
  <si>
    <t>Pomabamba</t>
  </si>
  <si>
    <t>021602</t>
  </si>
  <si>
    <t>Huayllan</t>
  </si>
  <si>
    <t>021603</t>
  </si>
  <si>
    <t>Parobamba</t>
  </si>
  <si>
    <t>021604</t>
  </si>
  <si>
    <t>Quinuabamba</t>
  </si>
  <si>
    <t>021701</t>
  </si>
  <si>
    <t>Recuay</t>
  </si>
  <si>
    <t>021702</t>
  </si>
  <si>
    <t>Catac</t>
  </si>
  <si>
    <t>021703</t>
  </si>
  <si>
    <t>Cotaparaco</t>
  </si>
  <si>
    <t>021704</t>
  </si>
  <si>
    <t>Huayllapampa</t>
  </si>
  <si>
    <t>021705</t>
  </si>
  <si>
    <t>Llacllin</t>
  </si>
  <si>
    <t>021706</t>
  </si>
  <si>
    <t>Marca</t>
  </si>
  <si>
    <t>021707</t>
  </si>
  <si>
    <t>Pampas Chico</t>
  </si>
  <si>
    <t>021708</t>
  </si>
  <si>
    <t>Pararin</t>
  </si>
  <si>
    <t>021709</t>
  </si>
  <si>
    <t>Tapacocha</t>
  </si>
  <si>
    <t>021710</t>
  </si>
  <si>
    <t>Ticapampa</t>
  </si>
  <si>
    <t>021801</t>
  </si>
  <si>
    <t>Chimbote</t>
  </si>
  <si>
    <t>Santa</t>
  </si>
  <si>
    <t>021802</t>
  </si>
  <si>
    <t>Caceres del Peru</t>
  </si>
  <si>
    <t>021803</t>
  </si>
  <si>
    <t>Coishco</t>
  </si>
  <si>
    <t>021804</t>
  </si>
  <si>
    <t>Macate</t>
  </si>
  <si>
    <t>021805</t>
  </si>
  <si>
    <t>Moro</t>
  </si>
  <si>
    <t>021806</t>
  </si>
  <si>
    <t>Nepeña</t>
  </si>
  <si>
    <t>021807</t>
  </si>
  <si>
    <t>Samanco</t>
  </si>
  <si>
    <t>021808</t>
  </si>
  <si>
    <t>021809</t>
  </si>
  <si>
    <t>Nuevo Chimbote</t>
  </si>
  <si>
    <t>021901</t>
  </si>
  <si>
    <t>Sihuas</t>
  </si>
  <si>
    <t>021902</t>
  </si>
  <si>
    <t>Acobamba</t>
  </si>
  <si>
    <t>021903</t>
  </si>
  <si>
    <t>Alfonso Ugarte</t>
  </si>
  <si>
    <t>021904</t>
  </si>
  <si>
    <t>Cashapampa</t>
  </si>
  <si>
    <t>021905</t>
  </si>
  <si>
    <t>Chingalpo</t>
  </si>
  <si>
    <t>021906</t>
  </si>
  <si>
    <t>Huayllabamba</t>
  </si>
  <si>
    <t>021907</t>
  </si>
  <si>
    <t>Quiches</t>
  </si>
  <si>
    <t>021908</t>
  </si>
  <si>
    <t>Ragash</t>
  </si>
  <si>
    <t>021909</t>
  </si>
  <si>
    <t>San Juan</t>
  </si>
  <si>
    <t>021910</t>
  </si>
  <si>
    <t>Sicsibamba</t>
  </si>
  <si>
    <t>022001</t>
  </si>
  <si>
    <t>Yungay</t>
  </si>
  <si>
    <t>022002</t>
  </si>
  <si>
    <t>Cascapara</t>
  </si>
  <si>
    <t>022003</t>
  </si>
  <si>
    <t>Mancos</t>
  </si>
  <si>
    <t>022004</t>
  </si>
  <si>
    <t>Matacoto</t>
  </si>
  <si>
    <t>022005</t>
  </si>
  <si>
    <t>Quillo</t>
  </si>
  <si>
    <t>022006</t>
  </si>
  <si>
    <t>Ranrahirca</t>
  </si>
  <si>
    <t>022007</t>
  </si>
  <si>
    <t>Shupluy</t>
  </si>
  <si>
    <t>022008</t>
  </si>
  <si>
    <t>Yanama</t>
  </si>
  <si>
    <t>030101</t>
  </si>
  <si>
    <t>Abancay</t>
  </si>
  <si>
    <t>Apurimac</t>
  </si>
  <si>
    <t>030102</t>
  </si>
  <si>
    <t>Chacoche</t>
  </si>
  <si>
    <t>030103</t>
  </si>
  <si>
    <t>Circa</t>
  </si>
  <si>
    <t>030104</t>
  </si>
  <si>
    <t>Curahuasi</t>
  </si>
  <si>
    <t>030105</t>
  </si>
  <si>
    <t>Huanipaca</t>
  </si>
  <si>
    <t>030106</t>
  </si>
  <si>
    <t>Lambrama</t>
  </si>
  <si>
    <t>030107</t>
  </si>
  <si>
    <t>Pichirhua</t>
  </si>
  <si>
    <t>030108</t>
  </si>
  <si>
    <t>San Pedro de Cachora</t>
  </si>
  <si>
    <t>030109</t>
  </si>
  <si>
    <t>Tamburco</t>
  </si>
  <si>
    <t>030201</t>
  </si>
  <si>
    <t>Andahuaylas</t>
  </si>
  <si>
    <t>030202</t>
  </si>
  <si>
    <t>Andarapa</t>
  </si>
  <si>
    <t>030203</t>
  </si>
  <si>
    <t>Chiara</t>
  </si>
  <si>
    <t>030204</t>
  </si>
  <si>
    <t>Huancarama</t>
  </si>
  <si>
    <t>030205</t>
  </si>
  <si>
    <t>Huancaray</t>
  </si>
  <si>
    <t>030206</t>
  </si>
  <si>
    <t>Huayana</t>
  </si>
  <si>
    <t>030207</t>
  </si>
  <si>
    <t>Kishuara</t>
  </si>
  <si>
    <t>030208</t>
  </si>
  <si>
    <t>Pacobamba</t>
  </si>
  <si>
    <t>030209</t>
  </si>
  <si>
    <t>Pacucha</t>
  </si>
  <si>
    <t>030210</t>
  </si>
  <si>
    <t>Pampachiri</t>
  </si>
  <si>
    <t>030211</t>
  </si>
  <si>
    <t>Pomacocha</t>
  </si>
  <si>
    <t>030212</t>
  </si>
  <si>
    <t>San Antonio de Cachi</t>
  </si>
  <si>
    <t>030213</t>
  </si>
  <si>
    <t>030214</t>
  </si>
  <si>
    <t>San Miguel de Chaccrampa</t>
  </si>
  <si>
    <t>030215</t>
  </si>
  <si>
    <t>Santa Maria de Chicmo</t>
  </si>
  <si>
    <t>030216</t>
  </si>
  <si>
    <t>Talavera</t>
  </si>
  <si>
    <t>030217</t>
  </si>
  <si>
    <t>Tumay Huaraca</t>
  </si>
  <si>
    <t>030218</t>
  </si>
  <si>
    <t>Turpo</t>
  </si>
  <si>
    <t>030219</t>
  </si>
  <si>
    <t>Kaquiabamba</t>
  </si>
  <si>
    <t>030220</t>
  </si>
  <si>
    <t>José María Arguedas</t>
  </si>
  <si>
    <t>030301</t>
  </si>
  <si>
    <t>Antabamba</t>
  </si>
  <si>
    <t>030302</t>
  </si>
  <si>
    <t>El Oro</t>
  </si>
  <si>
    <t>030303</t>
  </si>
  <si>
    <t>Huaquirca</t>
  </si>
  <si>
    <t>030304</t>
  </si>
  <si>
    <t>Juan Espinoza Medrano</t>
  </si>
  <si>
    <t>030305</t>
  </si>
  <si>
    <t>Oropesa</t>
  </si>
  <si>
    <t>030306</t>
  </si>
  <si>
    <t>Pachaconas</t>
  </si>
  <si>
    <t>030307</t>
  </si>
  <si>
    <t>Sabaino</t>
  </si>
  <si>
    <t>030401</t>
  </si>
  <si>
    <t>Chalhuanca</t>
  </si>
  <si>
    <t>Aymaraes</t>
  </si>
  <si>
    <t>030402</t>
  </si>
  <si>
    <t>Capaya</t>
  </si>
  <si>
    <t>030403</t>
  </si>
  <si>
    <t>Caraybamba</t>
  </si>
  <si>
    <t>030404</t>
  </si>
  <si>
    <t>Chapimarca</t>
  </si>
  <si>
    <t>030405</t>
  </si>
  <si>
    <t>030406</t>
  </si>
  <si>
    <t>Cotaruse</t>
  </si>
  <si>
    <t>030407</t>
  </si>
  <si>
    <t>Huayllo</t>
  </si>
  <si>
    <t>030408</t>
  </si>
  <si>
    <t>Justo Apu Sahuaraura</t>
  </si>
  <si>
    <t>030409</t>
  </si>
  <si>
    <t>Lucre</t>
  </si>
  <si>
    <t>030410</t>
  </si>
  <si>
    <t>Pocohuanca</t>
  </si>
  <si>
    <t>030411</t>
  </si>
  <si>
    <t>San Juan de Chacña</t>
  </si>
  <si>
    <t>030412</t>
  </si>
  <si>
    <t>Sañayca</t>
  </si>
  <si>
    <t>030413</t>
  </si>
  <si>
    <t>Soraya</t>
  </si>
  <si>
    <t>030414</t>
  </si>
  <si>
    <t>Tapairihua</t>
  </si>
  <si>
    <t>030415</t>
  </si>
  <si>
    <t>Tintay</t>
  </si>
  <si>
    <t>030416</t>
  </si>
  <si>
    <t>Toraya</t>
  </si>
  <si>
    <t>030417</t>
  </si>
  <si>
    <t>Yanaca</t>
  </si>
  <si>
    <t>030501</t>
  </si>
  <si>
    <t>Tambobamba</t>
  </si>
  <si>
    <t>Cotabambas</t>
  </si>
  <si>
    <t>030502</t>
  </si>
  <si>
    <t>030503</t>
  </si>
  <si>
    <t>Coyllurqui</t>
  </si>
  <si>
    <t>030504</t>
  </si>
  <si>
    <t>Haquira</t>
  </si>
  <si>
    <t>030505</t>
  </si>
  <si>
    <t>Mara</t>
  </si>
  <si>
    <t>030506</t>
  </si>
  <si>
    <t>Challhuahuacho</t>
  </si>
  <si>
    <t>030601</t>
  </si>
  <si>
    <t>Chincheros</t>
  </si>
  <si>
    <t>030602</t>
  </si>
  <si>
    <t>Anco_Huallo</t>
  </si>
  <si>
    <t>030603</t>
  </si>
  <si>
    <t>Cocharcas</t>
  </si>
  <si>
    <t>030604</t>
  </si>
  <si>
    <t>Huaccana</t>
  </si>
  <si>
    <t>030605</t>
  </si>
  <si>
    <t>Ocobamba</t>
  </si>
  <si>
    <t>030606</t>
  </si>
  <si>
    <t>Ongoy</t>
  </si>
  <si>
    <t>030607</t>
  </si>
  <si>
    <t>Uranmarca</t>
  </si>
  <si>
    <t>030608</t>
  </si>
  <si>
    <t>Ranracancha</t>
  </si>
  <si>
    <t>030609</t>
  </si>
  <si>
    <t>Rocchacc</t>
  </si>
  <si>
    <t>030610</t>
  </si>
  <si>
    <t>El Porvenir</t>
  </si>
  <si>
    <t>030611</t>
  </si>
  <si>
    <t>Los Chankas</t>
  </si>
  <si>
    <t>030701</t>
  </si>
  <si>
    <t>Chuquibambilla</t>
  </si>
  <si>
    <t>Grau</t>
  </si>
  <si>
    <t>030702</t>
  </si>
  <si>
    <t>Curpahuasi</t>
  </si>
  <si>
    <t>030703</t>
  </si>
  <si>
    <t>Gamarra</t>
  </si>
  <si>
    <t>030704</t>
  </si>
  <si>
    <t>Huayllati</t>
  </si>
  <si>
    <t>030705</t>
  </si>
  <si>
    <t>Mamara</t>
  </si>
  <si>
    <t>030706</t>
  </si>
  <si>
    <t>Micaela Bastidas</t>
  </si>
  <si>
    <t>030707</t>
  </si>
  <si>
    <t>Pataypampa</t>
  </si>
  <si>
    <t>030708</t>
  </si>
  <si>
    <t>Progreso</t>
  </si>
  <si>
    <t>030709</t>
  </si>
  <si>
    <t>San Antonio</t>
  </si>
  <si>
    <t>030710</t>
  </si>
  <si>
    <t>030711</t>
  </si>
  <si>
    <t>Turpay</t>
  </si>
  <si>
    <t>030712</t>
  </si>
  <si>
    <t>Vilcabamba</t>
  </si>
  <si>
    <t>030713</t>
  </si>
  <si>
    <t>Virundo</t>
  </si>
  <si>
    <t>030714</t>
  </si>
  <si>
    <t>Curasco</t>
  </si>
  <si>
    <t>040101</t>
  </si>
  <si>
    <t>Arequipa</t>
  </si>
  <si>
    <t>040102</t>
  </si>
  <si>
    <t>Alto Selva Alegre</t>
  </si>
  <si>
    <t>040103</t>
  </si>
  <si>
    <t>Cayma</t>
  </si>
  <si>
    <t>040104</t>
  </si>
  <si>
    <t>Cerro Colorado</t>
  </si>
  <si>
    <t>040105</t>
  </si>
  <si>
    <t>Characato</t>
  </si>
  <si>
    <t>040106</t>
  </si>
  <si>
    <t>Chiguata</t>
  </si>
  <si>
    <t>040107</t>
  </si>
  <si>
    <t>Jacobo Hunter</t>
  </si>
  <si>
    <t>040108</t>
  </si>
  <si>
    <t>La Joya</t>
  </si>
  <si>
    <t>040109</t>
  </si>
  <si>
    <t>Mariano Melgar</t>
  </si>
  <si>
    <t>040110</t>
  </si>
  <si>
    <t>Miraflores</t>
  </si>
  <si>
    <t>040111</t>
  </si>
  <si>
    <t>Mollebaya</t>
  </si>
  <si>
    <t>040112</t>
  </si>
  <si>
    <t>Paucarpata</t>
  </si>
  <si>
    <t>040113</t>
  </si>
  <si>
    <t>Pocsi</t>
  </si>
  <si>
    <t>040114</t>
  </si>
  <si>
    <t>Polobaya</t>
  </si>
  <si>
    <t>040115</t>
  </si>
  <si>
    <t>Quequeña</t>
  </si>
  <si>
    <t>040116</t>
  </si>
  <si>
    <t>Sabandia</t>
  </si>
  <si>
    <t>040117</t>
  </si>
  <si>
    <t>Sachaca</t>
  </si>
  <si>
    <t>040118</t>
  </si>
  <si>
    <t>San Juan de Siguas</t>
  </si>
  <si>
    <t>040119</t>
  </si>
  <si>
    <t>San Juan de Tarucani</t>
  </si>
  <si>
    <t>040120</t>
  </si>
  <si>
    <t>Santa Isabel de Siguas</t>
  </si>
  <si>
    <t>040121</t>
  </si>
  <si>
    <t>Santa Rita de Siguas</t>
  </si>
  <si>
    <t>040122</t>
  </si>
  <si>
    <t>Socabaya</t>
  </si>
  <si>
    <t>040123</t>
  </si>
  <si>
    <t>Tiabaya</t>
  </si>
  <si>
    <t>040124</t>
  </si>
  <si>
    <t>Uchumayo</t>
  </si>
  <si>
    <t>040125</t>
  </si>
  <si>
    <t>Vitor</t>
  </si>
  <si>
    <t>040126</t>
  </si>
  <si>
    <t>Yanahuara</t>
  </si>
  <si>
    <t>040127</t>
  </si>
  <si>
    <t>Yarabamba</t>
  </si>
  <si>
    <t>040128</t>
  </si>
  <si>
    <t>Yura</t>
  </si>
  <si>
    <t>040129</t>
  </si>
  <si>
    <t>Jose Luis Bustamante y Rivero</t>
  </si>
  <si>
    <t>040201</t>
  </si>
  <si>
    <t>Camana</t>
  </si>
  <si>
    <t>040202</t>
  </si>
  <si>
    <t>Jose Maria Quimper</t>
  </si>
  <si>
    <t>040203</t>
  </si>
  <si>
    <t>Mariano Nicolas Valcarcel</t>
  </si>
  <si>
    <t>040204</t>
  </si>
  <si>
    <t>Mariscal Caceres</t>
  </si>
  <si>
    <t>040205</t>
  </si>
  <si>
    <t>Nicolas de Pierola</t>
  </si>
  <si>
    <t>040206</t>
  </si>
  <si>
    <t>Ocoña</t>
  </si>
  <si>
    <t>040207</t>
  </si>
  <si>
    <t>Quilca</t>
  </si>
  <si>
    <t>040208</t>
  </si>
  <si>
    <t>Samuel Pastor</t>
  </si>
  <si>
    <t>040301</t>
  </si>
  <si>
    <t>Caraveli</t>
  </si>
  <si>
    <t>040302</t>
  </si>
  <si>
    <t>Acari</t>
  </si>
  <si>
    <t>040303</t>
  </si>
  <si>
    <t>Atico</t>
  </si>
  <si>
    <t>040304</t>
  </si>
  <si>
    <t>Atiquipa</t>
  </si>
  <si>
    <t>040305</t>
  </si>
  <si>
    <t>Bella Union</t>
  </si>
  <si>
    <t>040306</t>
  </si>
  <si>
    <t>Cahuacho</t>
  </si>
  <si>
    <t>040307</t>
  </si>
  <si>
    <t>Chala</t>
  </si>
  <si>
    <t>040308</t>
  </si>
  <si>
    <t>Chaparra</t>
  </si>
  <si>
    <t>040309</t>
  </si>
  <si>
    <t>Huanuhuanu</t>
  </si>
  <si>
    <t>040310</t>
  </si>
  <si>
    <t>Jaqui</t>
  </si>
  <si>
    <t>040311</t>
  </si>
  <si>
    <t>Lomas</t>
  </si>
  <si>
    <t>040312</t>
  </si>
  <si>
    <t>Quicacha</t>
  </si>
  <si>
    <t>040313</t>
  </si>
  <si>
    <t>Yauca</t>
  </si>
  <si>
    <t>040401</t>
  </si>
  <si>
    <t>Aplao</t>
  </si>
  <si>
    <t>Castilla</t>
  </si>
  <si>
    <t>040402</t>
  </si>
  <si>
    <t>Andagua</t>
  </si>
  <si>
    <t>040403</t>
  </si>
  <si>
    <t>Ayo</t>
  </si>
  <si>
    <t>040404</t>
  </si>
  <si>
    <t>Chachas</t>
  </si>
  <si>
    <t>040405</t>
  </si>
  <si>
    <t>Chilcaymarca</t>
  </si>
  <si>
    <t>040406</t>
  </si>
  <si>
    <t>Choco</t>
  </si>
  <si>
    <t>040407</t>
  </si>
  <si>
    <t>Huancarqui</t>
  </si>
  <si>
    <t>040408</t>
  </si>
  <si>
    <t>Machaguay</t>
  </si>
  <si>
    <t>040409</t>
  </si>
  <si>
    <t>Orcopampa</t>
  </si>
  <si>
    <t>040410</t>
  </si>
  <si>
    <t>Pampacolca</t>
  </si>
  <si>
    <t>040411</t>
  </si>
  <si>
    <t>Tipan</t>
  </si>
  <si>
    <t>040412</t>
  </si>
  <si>
    <t>Uñon</t>
  </si>
  <si>
    <t>040413</t>
  </si>
  <si>
    <t>Uraca</t>
  </si>
  <si>
    <t>040414</t>
  </si>
  <si>
    <t>Viraco</t>
  </si>
  <si>
    <t>040501</t>
  </si>
  <si>
    <t>Chivay</t>
  </si>
  <si>
    <t>Caylloma</t>
  </si>
  <si>
    <t>040502</t>
  </si>
  <si>
    <t>Achoma</t>
  </si>
  <si>
    <t>040503</t>
  </si>
  <si>
    <t>Cabanaconde</t>
  </si>
  <si>
    <t>040504</t>
  </si>
  <si>
    <t>Callalli</t>
  </si>
  <si>
    <t>040505</t>
  </si>
  <si>
    <t>040506</t>
  </si>
  <si>
    <t>Coporaque</t>
  </si>
  <si>
    <t>040507</t>
  </si>
  <si>
    <t>040508</t>
  </si>
  <si>
    <t>Huanca</t>
  </si>
  <si>
    <t>040509</t>
  </si>
  <si>
    <t>Ichupampa</t>
  </si>
  <si>
    <t>040510</t>
  </si>
  <si>
    <t>Lari</t>
  </si>
  <si>
    <t>040511</t>
  </si>
  <si>
    <t>Lluta</t>
  </si>
  <si>
    <t>040512</t>
  </si>
  <si>
    <t>Maca</t>
  </si>
  <si>
    <t>040513</t>
  </si>
  <si>
    <t>Madrigal</t>
  </si>
  <si>
    <t>040514</t>
  </si>
  <si>
    <t>San Antonio de Chuca</t>
  </si>
  <si>
    <t>040515</t>
  </si>
  <si>
    <t>Sibayo</t>
  </si>
  <si>
    <t>040516</t>
  </si>
  <si>
    <t>Tapay</t>
  </si>
  <si>
    <t>040517</t>
  </si>
  <si>
    <t>Tisco</t>
  </si>
  <si>
    <t>040518</t>
  </si>
  <si>
    <t>Tuti</t>
  </si>
  <si>
    <t>040519</t>
  </si>
  <si>
    <t>Yanque</t>
  </si>
  <si>
    <t>040520</t>
  </si>
  <si>
    <t>Majes</t>
  </si>
  <si>
    <t>040601</t>
  </si>
  <si>
    <t>Condesuyos</t>
  </si>
  <si>
    <t>040602</t>
  </si>
  <si>
    <t>Andaray</t>
  </si>
  <si>
    <t>040603</t>
  </si>
  <si>
    <t>Cayarani</t>
  </si>
  <si>
    <t>040604</t>
  </si>
  <si>
    <t>Chichas</t>
  </si>
  <si>
    <t>040605</t>
  </si>
  <si>
    <t>Iray</t>
  </si>
  <si>
    <t>040606</t>
  </si>
  <si>
    <t>Rio Grande</t>
  </si>
  <si>
    <t>040607</t>
  </si>
  <si>
    <t>Salamanca</t>
  </si>
  <si>
    <t>040608</t>
  </si>
  <si>
    <t>Yanaquihua</t>
  </si>
  <si>
    <t>040701</t>
  </si>
  <si>
    <t>Mollendo</t>
  </si>
  <si>
    <t>Islay</t>
  </si>
  <si>
    <t>040702</t>
  </si>
  <si>
    <t>Cocachacra</t>
  </si>
  <si>
    <t>040703</t>
  </si>
  <si>
    <t>Dean Valdivia</t>
  </si>
  <si>
    <t>040704</t>
  </si>
  <si>
    <t>040705</t>
  </si>
  <si>
    <t>Mejia</t>
  </si>
  <si>
    <t>040706</t>
  </si>
  <si>
    <t>Punta de Bombon</t>
  </si>
  <si>
    <t>040801</t>
  </si>
  <si>
    <t>Cotahuasi</t>
  </si>
  <si>
    <t>La Union</t>
  </si>
  <si>
    <t>040802</t>
  </si>
  <si>
    <t>Alca</t>
  </si>
  <si>
    <t>040803</t>
  </si>
  <si>
    <t>Charcana</t>
  </si>
  <si>
    <t>040804</t>
  </si>
  <si>
    <t>Huaynacotas</t>
  </si>
  <si>
    <t>040805</t>
  </si>
  <si>
    <t>Pampamarca</t>
  </si>
  <si>
    <t>040806</t>
  </si>
  <si>
    <t>Puyca</t>
  </si>
  <si>
    <t>040807</t>
  </si>
  <si>
    <t>Quechualla</t>
  </si>
  <si>
    <t>040808</t>
  </si>
  <si>
    <t>Sayla</t>
  </si>
  <si>
    <t>040809</t>
  </si>
  <si>
    <t>Tauria</t>
  </si>
  <si>
    <t>040810</t>
  </si>
  <si>
    <t>Tomepampa</t>
  </si>
  <si>
    <t>040811</t>
  </si>
  <si>
    <t>Toro</t>
  </si>
  <si>
    <t>050101</t>
  </si>
  <si>
    <t>Ayacucho</t>
  </si>
  <si>
    <t>Huamanga</t>
  </si>
  <si>
    <t>050102</t>
  </si>
  <si>
    <t>Acocro</t>
  </si>
  <si>
    <t>050103</t>
  </si>
  <si>
    <t>Acos Vinchos</t>
  </si>
  <si>
    <t>050104</t>
  </si>
  <si>
    <t>Carmen Alto</t>
  </si>
  <si>
    <t>050105</t>
  </si>
  <si>
    <t>050106</t>
  </si>
  <si>
    <t>050107</t>
  </si>
  <si>
    <t>Pacaycasa</t>
  </si>
  <si>
    <t>050108</t>
  </si>
  <si>
    <t>Quinua</t>
  </si>
  <si>
    <t>050109</t>
  </si>
  <si>
    <t>San Jose de Ticllas</t>
  </si>
  <si>
    <t>050110</t>
  </si>
  <si>
    <t>San Juan Bautista</t>
  </si>
  <si>
    <t>050111</t>
  </si>
  <si>
    <t>Santiago de Pischa</t>
  </si>
  <si>
    <t>050112</t>
  </si>
  <si>
    <t>Socos</t>
  </si>
  <si>
    <t>050113</t>
  </si>
  <si>
    <t>Tambillo</t>
  </si>
  <si>
    <t>050114</t>
  </si>
  <si>
    <t>Vinchos</t>
  </si>
  <si>
    <t>050115</t>
  </si>
  <si>
    <t>Jesus Nazareno</t>
  </si>
  <si>
    <t>050116</t>
  </si>
  <si>
    <t>Andrés Avelino Cáceres Dorregaray</t>
  </si>
  <si>
    <t>050201</t>
  </si>
  <si>
    <t>Cangallo</t>
  </si>
  <si>
    <t>050202</t>
  </si>
  <si>
    <t>Chuschi</t>
  </si>
  <si>
    <t>050203</t>
  </si>
  <si>
    <t>Los Morochucos</t>
  </si>
  <si>
    <t>050204</t>
  </si>
  <si>
    <t>Maria Parado de Bellido</t>
  </si>
  <si>
    <t>050205</t>
  </si>
  <si>
    <t>Paras</t>
  </si>
  <si>
    <t>050206</t>
  </si>
  <si>
    <t>Totos</t>
  </si>
  <si>
    <t>050301</t>
  </si>
  <si>
    <t>Sancos</t>
  </si>
  <si>
    <t>Huanca Sancos</t>
  </si>
  <si>
    <t>050302</t>
  </si>
  <si>
    <t>Carapo</t>
  </si>
  <si>
    <t>050303</t>
  </si>
  <si>
    <t>Sacsamarca</t>
  </si>
  <si>
    <t>050304</t>
  </si>
  <si>
    <t>Santiago de Lucanamarca</t>
  </si>
  <si>
    <t>050401</t>
  </si>
  <si>
    <t>Huanta</t>
  </si>
  <si>
    <t>050402</t>
  </si>
  <si>
    <t>Ayahuanco</t>
  </si>
  <si>
    <t>050403</t>
  </si>
  <si>
    <t>Huamanguilla</t>
  </si>
  <si>
    <t>050404</t>
  </si>
  <si>
    <t>Iguain</t>
  </si>
  <si>
    <t>050405</t>
  </si>
  <si>
    <t>Luricocha</t>
  </si>
  <si>
    <t>050406</t>
  </si>
  <si>
    <t>Santillana</t>
  </si>
  <si>
    <t>050407</t>
  </si>
  <si>
    <t>Sivia</t>
  </si>
  <si>
    <t>050408</t>
  </si>
  <si>
    <t>Llochegua</t>
  </si>
  <si>
    <t>050409</t>
  </si>
  <si>
    <t>Canayre</t>
  </si>
  <si>
    <t>050410</t>
  </si>
  <si>
    <t>Uchuraccay</t>
  </si>
  <si>
    <t>050411</t>
  </si>
  <si>
    <t>Pucacolpa</t>
  </si>
  <si>
    <t>050412</t>
  </si>
  <si>
    <t>Chaca</t>
  </si>
  <si>
    <t>050501</t>
  </si>
  <si>
    <t>San Miguel</t>
  </si>
  <si>
    <t>La Mar</t>
  </si>
  <si>
    <t>050502</t>
  </si>
  <si>
    <t>Anco</t>
  </si>
  <si>
    <t>050503</t>
  </si>
  <si>
    <t>Ayna</t>
  </si>
  <si>
    <t>050504</t>
  </si>
  <si>
    <t>Chilcas</t>
  </si>
  <si>
    <t>050505</t>
  </si>
  <si>
    <t>Chungui</t>
  </si>
  <si>
    <t>050506</t>
  </si>
  <si>
    <t>Luis Carranza</t>
  </si>
  <si>
    <t>050507</t>
  </si>
  <si>
    <t>050508</t>
  </si>
  <si>
    <t>Tambo</t>
  </si>
  <si>
    <t>050509</t>
  </si>
  <si>
    <t>Samugari</t>
  </si>
  <si>
    <t>050510</t>
  </si>
  <si>
    <t>Anchihuay</t>
  </si>
  <si>
    <t>050511</t>
  </si>
  <si>
    <t>Oronccoy</t>
  </si>
  <si>
    <t>050601</t>
  </si>
  <si>
    <t>Puquio</t>
  </si>
  <si>
    <t>Lucanas</t>
  </si>
  <si>
    <t>050602</t>
  </si>
  <si>
    <t>Aucara</t>
  </si>
  <si>
    <t>050603</t>
  </si>
  <si>
    <t>050604</t>
  </si>
  <si>
    <t>Carmen Salcedo</t>
  </si>
  <si>
    <t>050605</t>
  </si>
  <si>
    <t>Chaviña</t>
  </si>
  <si>
    <t>050606</t>
  </si>
  <si>
    <t>Chipao</t>
  </si>
  <si>
    <t>050607</t>
  </si>
  <si>
    <t>Huac-Huas</t>
  </si>
  <si>
    <t>050608</t>
  </si>
  <si>
    <t>Laramate</t>
  </si>
  <si>
    <t>050609</t>
  </si>
  <si>
    <t>Leoncio Prado</t>
  </si>
  <si>
    <t>050610</t>
  </si>
  <si>
    <t>Llauta</t>
  </si>
  <si>
    <t>050611</t>
  </si>
  <si>
    <t>050612</t>
  </si>
  <si>
    <t>Ocaña</t>
  </si>
  <si>
    <t>050613</t>
  </si>
  <si>
    <t>Otoca</t>
  </si>
  <si>
    <t>050614</t>
  </si>
  <si>
    <t>Saisa</t>
  </si>
  <si>
    <t>050615</t>
  </si>
  <si>
    <t>050616</t>
  </si>
  <si>
    <t>050617</t>
  </si>
  <si>
    <t>050618</t>
  </si>
  <si>
    <t>San Pedro de Palco</t>
  </si>
  <si>
    <t>050619</t>
  </si>
  <si>
    <t>050620</t>
  </si>
  <si>
    <t>Santa Ana de Huaycahuacho</t>
  </si>
  <si>
    <t>050621</t>
  </si>
  <si>
    <t>Santa Lucia</t>
  </si>
  <si>
    <t>050701</t>
  </si>
  <si>
    <t>Coracora</t>
  </si>
  <si>
    <t>Parinacochas</t>
  </si>
  <si>
    <t>050702</t>
  </si>
  <si>
    <t>Chumpi</t>
  </si>
  <si>
    <t>050703</t>
  </si>
  <si>
    <t>Coronel Castañeda</t>
  </si>
  <si>
    <t>050704</t>
  </si>
  <si>
    <t>Pacapausa</t>
  </si>
  <si>
    <t>050705</t>
  </si>
  <si>
    <t>Pullo</t>
  </si>
  <si>
    <t>050706</t>
  </si>
  <si>
    <t>Puyusca</t>
  </si>
  <si>
    <t>050707</t>
  </si>
  <si>
    <t>San Francisco de Ravacayco</t>
  </si>
  <si>
    <t>050708</t>
  </si>
  <si>
    <t>Upahuacho</t>
  </si>
  <si>
    <t>050801</t>
  </si>
  <si>
    <t>Pausa</t>
  </si>
  <si>
    <t>Paucar del Sara Sara</t>
  </si>
  <si>
    <t>050802</t>
  </si>
  <si>
    <t>Colta</t>
  </si>
  <si>
    <t>050803</t>
  </si>
  <si>
    <t>Corculla</t>
  </si>
  <si>
    <t>050804</t>
  </si>
  <si>
    <t>Lampa</t>
  </si>
  <si>
    <t>050805</t>
  </si>
  <si>
    <t>Marcabamba</t>
  </si>
  <si>
    <t>050806</t>
  </si>
  <si>
    <t>Oyolo</t>
  </si>
  <si>
    <t>050807</t>
  </si>
  <si>
    <t>Pararca</t>
  </si>
  <si>
    <t>050808</t>
  </si>
  <si>
    <t>San Javier de Alpabamba</t>
  </si>
  <si>
    <t>050809</t>
  </si>
  <si>
    <t>San Jose de Ushua</t>
  </si>
  <si>
    <t>050810</t>
  </si>
  <si>
    <t>Sara Sara</t>
  </si>
  <si>
    <t>050901</t>
  </si>
  <si>
    <t>Querobamba</t>
  </si>
  <si>
    <t>Sucre</t>
  </si>
  <si>
    <t>050902</t>
  </si>
  <si>
    <t>Belen</t>
  </si>
  <si>
    <t>050903</t>
  </si>
  <si>
    <t>Chalcos</t>
  </si>
  <si>
    <t>050904</t>
  </si>
  <si>
    <t>Chilcayoc</t>
  </si>
  <si>
    <t>050905</t>
  </si>
  <si>
    <t>Huacaña</t>
  </si>
  <si>
    <t>050906</t>
  </si>
  <si>
    <t>Morcolla</t>
  </si>
  <si>
    <t>050907</t>
  </si>
  <si>
    <t>Paico</t>
  </si>
  <si>
    <t>050908</t>
  </si>
  <si>
    <t>San Pedro de Larcay</t>
  </si>
  <si>
    <t>050909</t>
  </si>
  <si>
    <t>San Salvador de Quije</t>
  </si>
  <si>
    <t>050910</t>
  </si>
  <si>
    <t>Santiago de Paucaray</t>
  </si>
  <si>
    <t>050911</t>
  </si>
  <si>
    <t>Soras</t>
  </si>
  <si>
    <t>051001</t>
  </si>
  <si>
    <t>Huancapi</t>
  </si>
  <si>
    <t>Victor Fajardo</t>
  </si>
  <si>
    <t>051002</t>
  </si>
  <si>
    <t>Alcamenca</t>
  </si>
  <si>
    <t>051003</t>
  </si>
  <si>
    <t>Apongo</t>
  </si>
  <si>
    <t>051004</t>
  </si>
  <si>
    <t>Asquipata</t>
  </si>
  <si>
    <t>051005</t>
  </si>
  <si>
    <t>Canaria</t>
  </si>
  <si>
    <t>051006</t>
  </si>
  <si>
    <t>Cayara</t>
  </si>
  <si>
    <t>051007</t>
  </si>
  <si>
    <t>Colca</t>
  </si>
  <si>
    <t>051008</t>
  </si>
  <si>
    <t>Huamanquiquia</t>
  </si>
  <si>
    <t>051009</t>
  </si>
  <si>
    <t>Huancaraylla</t>
  </si>
  <si>
    <t>051010</t>
  </si>
  <si>
    <t>Huaya</t>
  </si>
  <si>
    <t>051011</t>
  </si>
  <si>
    <t>Sarhua</t>
  </si>
  <si>
    <t>051012</t>
  </si>
  <si>
    <t>Vilcanchos</t>
  </si>
  <si>
    <t>051101</t>
  </si>
  <si>
    <t>Vilcas Huaman</t>
  </si>
  <si>
    <t>051102</t>
  </si>
  <si>
    <t>Accomarca</t>
  </si>
  <si>
    <t>051103</t>
  </si>
  <si>
    <t>Carhuanca</t>
  </si>
  <si>
    <t>051104</t>
  </si>
  <si>
    <t>Concepcion</t>
  </si>
  <si>
    <t>051105</t>
  </si>
  <si>
    <t>Huambalpa</t>
  </si>
  <si>
    <t>051106</t>
  </si>
  <si>
    <t>051107</t>
  </si>
  <si>
    <t>Saurama</t>
  </si>
  <si>
    <t>051108</t>
  </si>
  <si>
    <t>Vischongo</t>
  </si>
  <si>
    <t>060101</t>
  </si>
  <si>
    <t>Cajamarca</t>
  </si>
  <si>
    <t>060102</t>
  </si>
  <si>
    <t>060103</t>
  </si>
  <si>
    <t>Chetilla</t>
  </si>
  <si>
    <t>060104</t>
  </si>
  <si>
    <t>Cospan</t>
  </si>
  <si>
    <t>060105</t>
  </si>
  <si>
    <t>Encañada</t>
  </si>
  <si>
    <t>060106</t>
  </si>
  <si>
    <t>Jesus</t>
  </si>
  <si>
    <t>060107</t>
  </si>
  <si>
    <t>Llacanora</t>
  </si>
  <si>
    <t>060108</t>
  </si>
  <si>
    <t>Los Baños del Inca</t>
  </si>
  <si>
    <t>060109</t>
  </si>
  <si>
    <t>060110</t>
  </si>
  <si>
    <t>Matara</t>
  </si>
  <si>
    <t>060111</t>
  </si>
  <si>
    <t>Namora</t>
  </si>
  <si>
    <t>060112</t>
  </si>
  <si>
    <t>060201</t>
  </si>
  <si>
    <t>Cajabamba</t>
  </si>
  <si>
    <t>060202</t>
  </si>
  <si>
    <t>Cachachi</t>
  </si>
  <si>
    <t>060203</t>
  </si>
  <si>
    <t>Condebamba</t>
  </si>
  <si>
    <t>060204</t>
  </si>
  <si>
    <t>Sitacocha</t>
  </si>
  <si>
    <t>060301</t>
  </si>
  <si>
    <t>Celendin</t>
  </si>
  <si>
    <t>060302</t>
  </si>
  <si>
    <t>Chumuch</t>
  </si>
  <si>
    <t>060303</t>
  </si>
  <si>
    <t>Cortegana</t>
  </si>
  <si>
    <t>060304</t>
  </si>
  <si>
    <t>Huasmin</t>
  </si>
  <si>
    <t>060305</t>
  </si>
  <si>
    <t>Jorge Chavez</t>
  </si>
  <si>
    <t>060306</t>
  </si>
  <si>
    <t>Jose Galvez</t>
  </si>
  <si>
    <t>060307</t>
  </si>
  <si>
    <t>Miguel Iglesias</t>
  </si>
  <si>
    <t>060308</t>
  </si>
  <si>
    <t>Oxamarca</t>
  </si>
  <si>
    <t>060309</t>
  </si>
  <si>
    <t>Sorochuco</t>
  </si>
  <si>
    <t>060310</t>
  </si>
  <si>
    <t>060311</t>
  </si>
  <si>
    <t>Utco</t>
  </si>
  <si>
    <t>060312</t>
  </si>
  <si>
    <t>La Libertad de Pallan</t>
  </si>
  <si>
    <t>060401</t>
  </si>
  <si>
    <t>Chota</t>
  </si>
  <si>
    <t>060402</t>
  </si>
  <si>
    <t>Anguia</t>
  </si>
  <si>
    <t>060403</t>
  </si>
  <si>
    <t>Chadin</t>
  </si>
  <si>
    <t>060404</t>
  </si>
  <si>
    <t>Chiguirip</t>
  </si>
  <si>
    <t>060405</t>
  </si>
  <si>
    <t>Chimban</t>
  </si>
  <si>
    <t>060406</t>
  </si>
  <si>
    <t>Choropampa</t>
  </si>
  <si>
    <t>060407</t>
  </si>
  <si>
    <t>060408</t>
  </si>
  <si>
    <t>Conchan</t>
  </si>
  <si>
    <t>060409</t>
  </si>
  <si>
    <t>Huambos</t>
  </si>
  <si>
    <t>060410</t>
  </si>
  <si>
    <t>Lajas</t>
  </si>
  <si>
    <t>060411</t>
  </si>
  <si>
    <t>060412</t>
  </si>
  <si>
    <t>Miracosta</t>
  </si>
  <si>
    <t>060413</t>
  </si>
  <si>
    <t>Paccha</t>
  </si>
  <si>
    <t>060414</t>
  </si>
  <si>
    <t>Pion</t>
  </si>
  <si>
    <t>060415</t>
  </si>
  <si>
    <t>Querocoto</t>
  </si>
  <si>
    <t>060416</t>
  </si>
  <si>
    <t>San Juan de Licupis</t>
  </si>
  <si>
    <t>060417</t>
  </si>
  <si>
    <t>Tacabamba</t>
  </si>
  <si>
    <t>060418</t>
  </si>
  <si>
    <t>Tocmoche</t>
  </si>
  <si>
    <t>060419</t>
  </si>
  <si>
    <t>Chalamarca</t>
  </si>
  <si>
    <t>060501</t>
  </si>
  <si>
    <t>Contumaza</t>
  </si>
  <si>
    <t>060502</t>
  </si>
  <si>
    <t>Chilete</t>
  </si>
  <si>
    <t>060503</t>
  </si>
  <si>
    <t>Cupisnique</t>
  </si>
  <si>
    <t>060504</t>
  </si>
  <si>
    <t>Guzmango</t>
  </si>
  <si>
    <t>060505</t>
  </si>
  <si>
    <t>San Benito</t>
  </si>
  <si>
    <t>060506</t>
  </si>
  <si>
    <t>Santa Cruz de Toled</t>
  </si>
  <si>
    <t>060507</t>
  </si>
  <si>
    <t>Tantarica</t>
  </si>
  <si>
    <t>060508</t>
  </si>
  <si>
    <t>Yonan</t>
  </si>
  <si>
    <t>060601</t>
  </si>
  <si>
    <t>Cutervo</t>
  </si>
  <si>
    <t>060602</t>
  </si>
  <si>
    <t>Callayuc</t>
  </si>
  <si>
    <t>060603</t>
  </si>
  <si>
    <t>Choros</t>
  </si>
  <si>
    <t>060604</t>
  </si>
  <si>
    <t>Cujillo</t>
  </si>
  <si>
    <t>060605</t>
  </si>
  <si>
    <t>La Ramada</t>
  </si>
  <si>
    <t>060606</t>
  </si>
  <si>
    <t>Pimpingos</t>
  </si>
  <si>
    <t>060607</t>
  </si>
  <si>
    <t>Querocotillo</t>
  </si>
  <si>
    <t>060608</t>
  </si>
  <si>
    <t>San Andres de Cutervo</t>
  </si>
  <si>
    <t>060609</t>
  </si>
  <si>
    <t>San Juan de Cutervo</t>
  </si>
  <si>
    <t>060610</t>
  </si>
  <si>
    <t>San Luis de Lucma</t>
  </si>
  <si>
    <t>060611</t>
  </si>
  <si>
    <t>060612</t>
  </si>
  <si>
    <t>Santo Domingo de La Capilla</t>
  </si>
  <si>
    <t>060613</t>
  </si>
  <si>
    <t>060614</t>
  </si>
  <si>
    <t>Socota</t>
  </si>
  <si>
    <t>060615</t>
  </si>
  <si>
    <t>Toribio Casanova</t>
  </si>
  <si>
    <t>060701</t>
  </si>
  <si>
    <t>Bambamarca</t>
  </si>
  <si>
    <t>Hualgayoc</t>
  </si>
  <si>
    <t>060702</t>
  </si>
  <si>
    <t>Chugur</t>
  </si>
  <si>
    <t>060703</t>
  </si>
  <si>
    <t>060801</t>
  </si>
  <si>
    <t>Jaen</t>
  </si>
  <si>
    <t>060802</t>
  </si>
  <si>
    <t>Bellavista</t>
  </si>
  <si>
    <t>060803</t>
  </si>
  <si>
    <t>Chontali</t>
  </si>
  <si>
    <t>060804</t>
  </si>
  <si>
    <t>Colasay</t>
  </si>
  <si>
    <t>060805</t>
  </si>
  <si>
    <t>Huabal</t>
  </si>
  <si>
    <t>060806</t>
  </si>
  <si>
    <t>Las Pirias</t>
  </si>
  <si>
    <t>060807</t>
  </si>
  <si>
    <t>Pomahuaca</t>
  </si>
  <si>
    <t>060808</t>
  </si>
  <si>
    <t>Pucara</t>
  </si>
  <si>
    <t>060809</t>
  </si>
  <si>
    <t>Sallique</t>
  </si>
  <si>
    <t>060810</t>
  </si>
  <si>
    <t>San Felipe</t>
  </si>
  <si>
    <t>060811</t>
  </si>
  <si>
    <t>San Jose del Alto</t>
  </si>
  <si>
    <t>060812</t>
  </si>
  <si>
    <t>060901</t>
  </si>
  <si>
    <t>San Ignacio</t>
  </si>
  <si>
    <t>060902</t>
  </si>
  <si>
    <t>Chirinos</t>
  </si>
  <si>
    <t>060903</t>
  </si>
  <si>
    <t>Huarango</t>
  </si>
  <si>
    <t>060904</t>
  </si>
  <si>
    <t>La Coipa</t>
  </si>
  <si>
    <t>060905</t>
  </si>
  <si>
    <t>Namballe</t>
  </si>
  <si>
    <t>060906</t>
  </si>
  <si>
    <t>San Jose de Lourdes</t>
  </si>
  <si>
    <t>060907</t>
  </si>
  <si>
    <t>Tabaconas</t>
  </si>
  <si>
    <t>061001</t>
  </si>
  <si>
    <t>Pedro Galvez</t>
  </si>
  <si>
    <t>061002</t>
  </si>
  <si>
    <t>Chancay</t>
  </si>
  <si>
    <t>061003</t>
  </si>
  <si>
    <t>Eduardo Villanueva</t>
  </si>
  <si>
    <t>061004</t>
  </si>
  <si>
    <t>Gregorio Pita</t>
  </si>
  <si>
    <t>061005</t>
  </si>
  <si>
    <t>Ichocan</t>
  </si>
  <si>
    <t>061006</t>
  </si>
  <si>
    <t>Jose Manuel Quiroz</t>
  </si>
  <si>
    <t>061007</t>
  </si>
  <si>
    <t>Jose Sabogal</t>
  </si>
  <si>
    <t>061101</t>
  </si>
  <si>
    <t>061102</t>
  </si>
  <si>
    <t>Bolivar</t>
  </si>
  <si>
    <t>061103</t>
  </si>
  <si>
    <t>Calquis</t>
  </si>
  <si>
    <t>061104</t>
  </si>
  <si>
    <t>Catilluc</t>
  </si>
  <si>
    <t>061105</t>
  </si>
  <si>
    <t>El Prado</t>
  </si>
  <si>
    <t>061106</t>
  </si>
  <si>
    <t>La Florida</t>
  </si>
  <si>
    <t>061107</t>
  </si>
  <si>
    <t>Llapa</t>
  </si>
  <si>
    <t>061108</t>
  </si>
  <si>
    <t>Nanchoc</t>
  </si>
  <si>
    <t>061109</t>
  </si>
  <si>
    <t>Niepos</t>
  </si>
  <si>
    <t>061110</t>
  </si>
  <si>
    <t>San Gregorio</t>
  </si>
  <si>
    <t>061111</t>
  </si>
  <si>
    <t>San Silvestre de Cochan</t>
  </si>
  <si>
    <t>061112</t>
  </si>
  <si>
    <t>Tongod</t>
  </si>
  <si>
    <t>061113</t>
  </si>
  <si>
    <t>Union Agua Blanca</t>
  </si>
  <si>
    <t>061201</t>
  </si>
  <si>
    <t>San Pablo</t>
  </si>
  <si>
    <t>061202</t>
  </si>
  <si>
    <t>San Bernardino</t>
  </si>
  <si>
    <t>061203</t>
  </si>
  <si>
    <t>061204</t>
  </si>
  <si>
    <t>Tumbaden</t>
  </si>
  <si>
    <t>061301</t>
  </si>
  <si>
    <t>061302</t>
  </si>
  <si>
    <t>Andabamba</t>
  </si>
  <si>
    <t>061303</t>
  </si>
  <si>
    <t>Catache</t>
  </si>
  <si>
    <t>061304</t>
  </si>
  <si>
    <t>Chancaybaños</t>
  </si>
  <si>
    <t>061305</t>
  </si>
  <si>
    <t>La Esperanza</t>
  </si>
  <si>
    <t>061306</t>
  </si>
  <si>
    <t>Ninabamba</t>
  </si>
  <si>
    <t>061307</t>
  </si>
  <si>
    <t>Pulan</t>
  </si>
  <si>
    <t>061308</t>
  </si>
  <si>
    <t>Saucepampa</t>
  </si>
  <si>
    <t>061309</t>
  </si>
  <si>
    <t>Sexi</t>
  </si>
  <si>
    <t>061310</t>
  </si>
  <si>
    <t>Uticyacu</t>
  </si>
  <si>
    <t>061311</t>
  </si>
  <si>
    <t>Yauyucan</t>
  </si>
  <si>
    <t>070101</t>
  </si>
  <si>
    <t>Callao</t>
  </si>
  <si>
    <t>070102</t>
  </si>
  <si>
    <t>070103</t>
  </si>
  <si>
    <t>Carmen de La Legua</t>
  </si>
  <si>
    <t>070104</t>
  </si>
  <si>
    <t>La Perla</t>
  </si>
  <si>
    <t>070105</t>
  </si>
  <si>
    <t>La Punta</t>
  </si>
  <si>
    <t>070106</t>
  </si>
  <si>
    <t>Ventanilla</t>
  </si>
  <si>
    <t>070107</t>
  </si>
  <si>
    <t>Mi Peru</t>
  </si>
  <si>
    <t>080101</t>
  </si>
  <si>
    <t>Cusco</t>
  </si>
  <si>
    <t>080102</t>
  </si>
  <si>
    <t>Ccorca</t>
  </si>
  <si>
    <t>080103</t>
  </si>
  <si>
    <t>Poroy</t>
  </si>
  <si>
    <t>080104</t>
  </si>
  <si>
    <t>080105</t>
  </si>
  <si>
    <t>San Sebastian</t>
  </si>
  <si>
    <t>080106</t>
  </si>
  <si>
    <t>Santiago</t>
  </si>
  <si>
    <t>080107</t>
  </si>
  <si>
    <t>Saylla</t>
  </si>
  <si>
    <t>080108</t>
  </si>
  <si>
    <t>Wanchaq</t>
  </si>
  <si>
    <t>080201</t>
  </si>
  <si>
    <t>Acomayo</t>
  </si>
  <si>
    <t>080202</t>
  </si>
  <si>
    <t>Acopia</t>
  </si>
  <si>
    <t>080203</t>
  </si>
  <si>
    <t>Acos</t>
  </si>
  <si>
    <t>080204</t>
  </si>
  <si>
    <t>Mosoc Llacta</t>
  </si>
  <si>
    <t>080205</t>
  </si>
  <si>
    <t>Pomacanchi</t>
  </si>
  <si>
    <t>080206</t>
  </si>
  <si>
    <t>Rondocan</t>
  </si>
  <si>
    <t>080207</t>
  </si>
  <si>
    <t>Sangarara</t>
  </si>
  <si>
    <t>080301</t>
  </si>
  <si>
    <t>080302</t>
  </si>
  <si>
    <t>Ancahuasi</t>
  </si>
  <si>
    <t>080303</t>
  </si>
  <si>
    <t>Cachimayo</t>
  </si>
  <si>
    <t>080304</t>
  </si>
  <si>
    <t>Chinchaypujio</t>
  </si>
  <si>
    <t>080305</t>
  </si>
  <si>
    <t>Huarocondo</t>
  </si>
  <si>
    <t>080306</t>
  </si>
  <si>
    <t>Limatambo</t>
  </si>
  <si>
    <t>080307</t>
  </si>
  <si>
    <t>Mollepata</t>
  </si>
  <si>
    <t>080308</t>
  </si>
  <si>
    <t>Pucyura</t>
  </si>
  <si>
    <t>080309</t>
  </si>
  <si>
    <t>Zurite</t>
  </si>
  <si>
    <t>080401</t>
  </si>
  <si>
    <t>Calca</t>
  </si>
  <si>
    <t>080402</t>
  </si>
  <si>
    <t>Coya</t>
  </si>
  <si>
    <t>080403</t>
  </si>
  <si>
    <t>Lamay</t>
  </si>
  <si>
    <t>080404</t>
  </si>
  <si>
    <t>Lares</t>
  </si>
  <si>
    <t>080405</t>
  </si>
  <si>
    <t>Pisac</t>
  </si>
  <si>
    <t>080406</t>
  </si>
  <si>
    <t>San Salvador</t>
  </si>
  <si>
    <t>080407</t>
  </si>
  <si>
    <t>Taray</t>
  </si>
  <si>
    <t>080408</t>
  </si>
  <si>
    <t>Yanatile</t>
  </si>
  <si>
    <t>080501</t>
  </si>
  <si>
    <t>Yanaoca</t>
  </si>
  <si>
    <t>Canas</t>
  </si>
  <si>
    <t>080502</t>
  </si>
  <si>
    <t>Checca</t>
  </si>
  <si>
    <t>080503</t>
  </si>
  <si>
    <t>Kunturkanki</t>
  </si>
  <si>
    <t>080504</t>
  </si>
  <si>
    <t>Langui</t>
  </si>
  <si>
    <t>080505</t>
  </si>
  <si>
    <t>Layo</t>
  </si>
  <si>
    <t>080506</t>
  </si>
  <si>
    <t>080507</t>
  </si>
  <si>
    <t>Quehue</t>
  </si>
  <si>
    <t>080508</t>
  </si>
  <si>
    <t>Tupac Amaru</t>
  </si>
  <si>
    <t>080601</t>
  </si>
  <si>
    <t>Sicuani</t>
  </si>
  <si>
    <t>Canchis</t>
  </si>
  <si>
    <t>080602</t>
  </si>
  <si>
    <t>Checacupe</t>
  </si>
  <si>
    <t>080603</t>
  </si>
  <si>
    <t>Combapata</t>
  </si>
  <si>
    <t>080604</t>
  </si>
  <si>
    <t>Marangani</t>
  </si>
  <si>
    <t>080605</t>
  </si>
  <si>
    <t>Pitumarca</t>
  </si>
  <si>
    <t>080606</t>
  </si>
  <si>
    <t>080607</t>
  </si>
  <si>
    <t>080608</t>
  </si>
  <si>
    <t>Tinta</t>
  </si>
  <si>
    <t>080701</t>
  </si>
  <si>
    <t>Chumbivilcas</t>
  </si>
  <si>
    <t>080702</t>
  </si>
  <si>
    <t>Capacmarca</t>
  </si>
  <si>
    <t>080703</t>
  </si>
  <si>
    <t>Chamaca</t>
  </si>
  <si>
    <t>080704</t>
  </si>
  <si>
    <t>Colquemarca</t>
  </si>
  <si>
    <t>080705</t>
  </si>
  <si>
    <t>Livitaca</t>
  </si>
  <si>
    <t>080706</t>
  </si>
  <si>
    <t>Llusco</t>
  </si>
  <si>
    <t>080707</t>
  </si>
  <si>
    <t>Quiñota</t>
  </si>
  <si>
    <t>080708</t>
  </si>
  <si>
    <t>Velille</t>
  </si>
  <si>
    <t>080801</t>
  </si>
  <si>
    <t>Espinar</t>
  </si>
  <si>
    <t>080802</t>
  </si>
  <si>
    <t>Condoroma</t>
  </si>
  <si>
    <t>080803</t>
  </si>
  <si>
    <t>080804</t>
  </si>
  <si>
    <t>Ocoruro</t>
  </si>
  <si>
    <t>080805</t>
  </si>
  <si>
    <t>Pallpata</t>
  </si>
  <si>
    <t>080806</t>
  </si>
  <si>
    <t>Pichigua</t>
  </si>
  <si>
    <t>080807</t>
  </si>
  <si>
    <t>Suyckutambo</t>
  </si>
  <si>
    <t>080808</t>
  </si>
  <si>
    <t>Alto Pichigua</t>
  </si>
  <si>
    <t>080901</t>
  </si>
  <si>
    <t>Santa Ana</t>
  </si>
  <si>
    <t>La Convencion</t>
  </si>
  <si>
    <t>080902</t>
  </si>
  <si>
    <t>Echarate</t>
  </si>
  <si>
    <t>080903</t>
  </si>
  <si>
    <t>Huayopata</t>
  </si>
  <si>
    <t>080904</t>
  </si>
  <si>
    <t>Maranura</t>
  </si>
  <si>
    <t>080905</t>
  </si>
  <si>
    <t>080906</t>
  </si>
  <si>
    <t>Quellouno</t>
  </si>
  <si>
    <t>080907</t>
  </si>
  <si>
    <t>Kimbiri</t>
  </si>
  <si>
    <t>080908</t>
  </si>
  <si>
    <t>Santa Teresa</t>
  </si>
  <si>
    <t>080909</t>
  </si>
  <si>
    <t>080910</t>
  </si>
  <si>
    <t>Pichari</t>
  </si>
  <si>
    <t>080911</t>
  </si>
  <si>
    <t>Inkawasi</t>
  </si>
  <si>
    <t>080912</t>
  </si>
  <si>
    <t>Villa Virgen</t>
  </si>
  <si>
    <t>080913</t>
  </si>
  <si>
    <t>Villa Kintiarina</t>
  </si>
  <si>
    <t>080914</t>
  </si>
  <si>
    <t>Megantoni</t>
  </si>
  <si>
    <t>081001</t>
  </si>
  <si>
    <t>Paruro</t>
  </si>
  <si>
    <t>081002</t>
  </si>
  <si>
    <t>Accha</t>
  </si>
  <si>
    <t>081003</t>
  </si>
  <si>
    <t>Ccapi</t>
  </si>
  <si>
    <t>081004</t>
  </si>
  <si>
    <t>Colcha</t>
  </si>
  <si>
    <t>081005</t>
  </si>
  <si>
    <t>Huanoquite</t>
  </si>
  <si>
    <t>081006</t>
  </si>
  <si>
    <t>Omacha</t>
  </si>
  <si>
    <t>081007</t>
  </si>
  <si>
    <t>Paccaritambo</t>
  </si>
  <si>
    <t>081008</t>
  </si>
  <si>
    <t>Pillpinto</t>
  </si>
  <si>
    <t>081009</t>
  </si>
  <si>
    <t>Yaurisque</t>
  </si>
  <si>
    <t>081101</t>
  </si>
  <si>
    <t>Paucartambo</t>
  </si>
  <si>
    <t>081102</t>
  </si>
  <si>
    <t>Caicay</t>
  </si>
  <si>
    <t>081103</t>
  </si>
  <si>
    <t>Challabamba</t>
  </si>
  <si>
    <t>081104</t>
  </si>
  <si>
    <t>Colquepata</t>
  </si>
  <si>
    <t>081105</t>
  </si>
  <si>
    <t>Huancarani</t>
  </si>
  <si>
    <t>081106</t>
  </si>
  <si>
    <t>Kosñipata</t>
  </si>
  <si>
    <t>081201</t>
  </si>
  <si>
    <t>Urcos</t>
  </si>
  <si>
    <t>Quispicanchi</t>
  </si>
  <si>
    <t>081202</t>
  </si>
  <si>
    <t>Andahuaylillas</t>
  </si>
  <si>
    <t>081203</t>
  </si>
  <si>
    <t>Camanti</t>
  </si>
  <si>
    <t>081204</t>
  </si>
  <si>
    <t>Ccarhuayo</t>
  </si>
  <si>
    <t>081205</t>
  </si>
  <si>
    <t>Ccatca</t>
  </si>
  <si>
    <t>081206</t>
  </si>
  <si>
    <t>Cusipata</t>
  </si>
  <si>
    <t>081207</t>
  </si>
  <si>
    <t>Huaro</t>
  </si>
  <si>
    <t>081208</t>
  </si>
  <si>
    <t>081209</t>
  </si>
  <si>
    <t>Marcapata</t>
  </si>
  <si>
    <t>081210</t>
  </si>
  <si>
    <t>Ocongate</t>
  </si>
  <si>
    <t>081211</t>
  </si>
  <si>
    <t>081212</t>
  </si>
  <si>
    <t>Quiquijana</t>
  </si>
  <si>
    <t>081301</t>
  </si>
  <si>
    <t>Urubamba</t>
  </si>
  <si>
    <t>081302</t>
  </si>
  <si>
    <t>Chinchero</t>
  </si>
  <si>
    <t>081303</t>
  </si>
  <si>
    <t>081304</t>
  </si>
  <si>
    <t>Machupicchu</t>
  </si>
  <si>
    <t>081305</t>
  </si>
  <si>
    <t>Maras</t>
  </si>
  <si>
    <t>081306</t>
  </si>
  <si>
    <t>Ollantaytambo</t>
  </si>
  <si>
    <t>081307</t>
  </si>
  <si>
    <t>Yucay</t>
  </si>
  <si>
    <t>090101</t>
  </si>
  <si>
    <t>Huancavelica</t>
  </si>
  <si>
    <t>090102</t>
  </si>
  <si>
    <t>Acobambilla</t>
  </si>
  <si>
    <t>090103</t>
  </si>
  <si>
    <t>Acoria</t>
  </si>
  <si>
    <t>090104</t>
  </si>
  <si>
    <t>Conayca</t>
  </si>
  <si>
    <t>090105</t>
  </si>
  <si>
    <t>Cuenca</t>
  </si>
  <si>
    <t>090106</t>
  </si>
  <si>
    <t>Huachocolpa</t>
  </si>
  <si>
    <t>090107</t>
  </si>
  <si>
    <t>Huayllahuara</t>
  </si>
  <si>
    <t>090108</t>
  </si>
  <si>
    <t>Izcuchaca</t>
  </si>
  <si>
    <t>090109</t>
  </si>
  <si>
    <t>Laria</t>
  </si>
  <si>
    <t>090110</t>
  </si>
  <si>
    <t>Manta</t>
  </si>
  <si>
    <t>090111</t>
  </si>
  <si>
    <t>090112</t>
  </si>
  <si>
    <t>Moya</t>
  </si>
  <si>
    <t>090113</t>
  </si>
  <si>
    <t>Nuevo Occoro</t>
  </si>
  <si>
    <t>090114</t>
  </si>
  <si>
    <t>Palca</t>
  </si>
  <si>
    <t>090115</t>
  </si>
  <si>
    <t>Pilchaca</t>
  </si>
  <si>
    <t>090116</t>
  </si>
  <si>
    <t>Vilca</t>
  </si>
  <si>
    <t>090117</t>
  </si>
  <si>
    <t>Yauli</t>
  </si>
  <si>
    <t>090118</t>
  </si>
  <si>
    <t>Ascension</t>
  </si>
  <si>
    <t>090119</t>
  </si>
  <si>
    <t>Huando</t>
  </si>
  <si>
    <t>090201</t>
  </si>
  <si>
    <t>090202</t>
  </si>
  <si>
    <t>090203</t>
  </si>
  <si>
    <t>090204</t>
  </si>
  <si>
    <t>Caja</t>
  </si>
  <si>
    <t>090205</t>
  </si>
  <si>
    <t>Marcas</t>
  </si>
  <si>
    <t>090206</t>
  </si>
  <si>
    <t>Paucara</t>
  </si>
  <si>
    <t>090207</t>
  </si>
  <si>
    <t>090208</t>
  </si>
  <si>
    <t>Rosario</t>
  </si>
  <si>
    <t>090301</t>
  </si>
  <si>
    <t>Lircay</t>
  </si>
  <si>
    <t>Angaraes</t>
  </si>
  <si>
    <t>090302</t>
  </si>
  <si>
    <t>Anchonga</t>
  </si>
  <si>
    <t>090303</t>
  </si>
  <si>
    <t>Callanmarca</t>
  </si>
  <si>
    <t>090304</t>
  </si>
  <si>
    <t>Ccochaccasa</t>
  </si>
  <si>
    <t>090305</t>
  </si>
  <si>
    <t>Chincho</t>
  </si>
  <si>
    <t>090306</t>
  </si>
  <si>
    <t>Congalla</t>
  </si>
  <si>
    <t>090307</t>
  </si>
  <si>
    <t>Huanca-Huanca</t>
  </si>
  <si>
    <t>090308</t>
  </si>
  <si>
    <t>Huayllay Grande</t>
  </si>
  <si>
    <t>090309</t>
  </si>
  <si>
    <t>Julcamarca</t>
  </si>
  <si>
    <t>090310</t>
  </si>
  <si>
    <t>San Antonio de Antaparco</t>
  </si>
  <si>
    <t>090311</t>
  </si>
  <si>
    <t>Santo Tomas de Pata</t>
  </si>
  <si>
    <t>090312</t>
  </si>
  <si>
    <t>Secclla</t>
  </si>
  <si>
    <t>090401</t>
  </si>
  <si>
    <t>Castrovirreyna</t>
  </si>
  <si>
    <t>090402</t>
  </si>
  <si>
    <t>Arma</t>
  </si>
  <si>
    <t>090403</t>
  </si>
  <si>
    <t>Aurahua</t>
  </si>
  <si>
    <t>090404</t>
  </si>
  <si>
    <t>Capillas</t>
  </si>
  <si>
    <t>090405</t>
  </si>
  <si>
    <t>Chupamarca</t>
  </si>
  <si>
    <t>090406</t>
  </si>
  <si>
    <t>Cocas</t>
  </si>
  <si>
    <t>090407</t>
  </si>
  <si>
    <t>Huachos</t>
  </si>
  <si>
    <t>090408</t>
  </si>
  <si>
    <t>Huamatambo</t>
  </si>
  <si>
    <t>090409</t>
  </si>
  <si>
    <t>Mollepampa</t>
  </si>
  <si>
    <t>090410</t>
  </si>
  <si>
    <t>090411</t>
  </si>
  <si>
    <t>090412</t>
  </si>
  <si>
    <t>Tantara</t>
  </si>
  <si>
    <t>090413</t>
  </si>
  <si>
    <t>Ticrapo</t>
  </si>
  <si>
    <t>090501</t>
  </si>
  <si>
    <t>Churcampa</t>
  </si>
  <si>
    <t>090502</t>
  </si>
  <si>
    <t>090503</t>
  </si>
  <si>
    <t>Chinchihuasi</t>
  </si>
  <si>
    <t>090504</t>
  </si>
  <si>
    <t>El Carmen</t>
  </si>
  <si>
    <t>090505</t>
  </si>
  <si>
    <t>090506</t>
  </si>
  <si>
    <t>Locroja</t>
  </si>
  <si>
    <t>090507</t>
  </si>
  <si>
    <t>Paucarbamba</t>
  </si>
  <si>
    <t>090508</t>
  </si>
  <si>
    <t>San Miguel de Mayocc</t>
  </si>
  <si>
    <t>090509</t>
  </si>
  <si>
    <t>San Pedro de Coris</t>
  </si>
  <si>
    <t>090510</t>
  </si>
  <si>
    <t>Pachamarca</t>
  </si>
  <si>
    <t>090511</t>
  </si>
  <si>
    <t>Cosme</t>
  </si>
  <si>
    <t>090601</t>
  </si>
  <si>
    <t>Huaytara</t>
  </si>
  <si>
    <t>090602</t>
  </si>
  <si>
    <t>Ayavi</t>
  </si>
  <si>
    <t>090603</t>
  </si>
  <si>
    <t>Cordova</t>
  </si>
  <si>
    <t>090604</t>
  </si>
  <si>
    <t>Huayacundo Arma</t>
  </si>
  <si>
    <t>090605</t>
  </si>
  <si>
    <t>Laramarca</t>
  </si>
  <si>
    <t>090606</t>
  </si>
  <si>
    <t>Ocoyo</t>
  </si>
  <si>
    <t>090607</t>
  </si>
  <si>
    <t>Pilpichaca</t>
  </si>
  <si>
    <t>090608</t>
  </si>
  <si>
    <t>Querco</t>
  </si>
  <si>
    <t>090609</t>
  </si>
  <si>
    <t>Quito-Arma</t>
  </si>
  <si>
    <t>090610</t>
  </si>
  <si>
    <t>San Antonio de Cusicancha</t>
  </si>
  <si>
    <t>090611</t>
  </si>
  <si>
    <t>San Francisco de Sangayaico</t>
  </si>
  <si>
    <t>090612</t>
  </si>
  <si>
    <t>San Isidro</t>
  </si>
  <si>
    <t>090613</t>
  </si>
  <si>
    <t>Santiago de Chocorvos</t>
  </si>
  <si>
    <t>090614</t>
  </si>
  <si>
    <t>Santiago de Quirahuara</t>
  </si>
  <si>
    <t>090615</t>
  </si>
  <si>
    <t>Santo Domingo de Capillas</t>
  </si>
  <si>
    <t>090616</t>
  </si>
  <si>
    <t>090701</t>
  </si>
  <si>
    <t>Tayacaja</t>
  </si>
  <si>
    <t>090702</t>
  </si>
  <si>
    <t>Acostambo</t>
  </si>
  <si>
    <t>090703</t>
  </si>
  <si>
    <t>Acraquia</t>
  </si>
  <si>
    <t>090704</t>
  </si>
  <si>
    <t>Ahuaycha</t>
  </si>
  <si>
    <t>090705</t>
  </si>
  <si>
    <t>090706</t>
  </si>
  <si>
    <t>Daniel Hernandez</t>
  </si>
  <si>
    <t>090707</t>
  </si>
  <si>
    <t>090709</t>
  </si>
  <si>
    <t>Huaribamba</t>
  </si>
  <si>
    <t>090710</t>
  </si>
  <si>
    <t>Ñahuimpuquio</t>
  </si>
  <si>
    <t>090711</t>
  </si>
  <si>
    <t>Pazos</t>
  </si>
  <si>
    <t>090713</t>
  </si>
  <si>
    <t>Quishuar</t>
  </si>
  <si>
    <t>090714</t>
  </si>
  <si>
    <t>Salcabamba</t>
  </si>
  <si>
    <t>090715</t>
  </si>
  <si>
    <t>Salcahuasi</t>
  </si>
  <si>
    <t>090716</t>
  </si>
  <si>
    <t>San Marcos de Rocchac</t>
  </si>
  <si>
    <t>090717</t>
  </si>
  <si>
    <t>Surcubamba</t>
  </si>
  <si>
    <t>090718</t>
  </si>
  <si>
    <t>Tintay Puncu</t>
  </si>
  <si>
    <t>090719</t>
  </si>
  <si>
    <t>Quichuas</t>
  </si>
  <si>
    <t>090720</t>
  </si>
  <si>
    <t>Andaymarca</t>
  </si>
  <si>
    <t>090721</t>
  </si>
  <si>
    <t>Roble</t>
  </si>
  <si>
    <t>090722</t>
  </si>
  <si>
    <t>Pichos</t>
  </si>
  <si>
    <t>090723</t>
  </si>
  <si>
    <t>Santiago de Túcuma</t>
  </si>
  <si>
    <t>100101</t>
  </si>
  <si>
    <t>Huanuco</t>
  </si>
  <si>
    <t>100102</t>
  </si>
  <si>
    <t>Amarilis</t>
  </si>
  <si>
    <t>100103</t>
  </si>
  <si>
    <t>Chinchao</t>
  </si>
  <si>
    <t>100104</t>
  </si>
  <si>
    <t>Churubamba</t>
  </si>
  <si>
    <t>100105</t>
  </si>
  <si>
    <t>Margos</t>
  </si>
  <si>
    <t>100106</t>
  </si>
  <si>
    <t>Quisqui</t>
  </si>
  <si>
    <t>100107</t>
  </si>
  <si>
    <t>San Francisco de Cayran</t>
  </si>
  <si>
    <t>100108</t>
  </si>
  <si>
    <t>San Pedro de Chaulan</t>
  </si>
  <si>
    <t>100109</t>
  </si>
  <si>
    <t>Santa Maria del Valle</t>
  </si>
  <si>
    <t>100110</t>
  </si>
  <si>
    <t>Yarumayo</t>
  </si>
  <si>
    <t>100111</t>
  </si>
  <si>
    <t>Pillco Marca</t>
  </si>
  <si>
    <t>100112</t>
  </si>
  <si>
    <t>Yacus</t>
  </si>
  <si>
    <t>100113</t>
  </si>
  <si>
    <t>San Pablo de Pillao</t>
  </si>
  <si>
    <t>100201</t>
  </si>
  <si>
    <t>Ambo</t>
  </si>
  <si>
    <t>100202</t>
  </si>
  <si>
    <t>Cayna</t>
  </si>
  <si>
    <t>100203</t>
  </si>
  <si>
    <t>Colpas</t>
  </si>
  <si>
    <t>100204</t>
  </si>
  <si>
    <t>Conchamarca</t>
  </si>
  <si>
    <t>100205</t>
  </si>
  <si>
    <t>Huacar</t>
  </si>
  <si>
    <t>100206</t>
  </si>
  <si>
    <t>San Francisco</t>
  </si>
  <si>
    <t>100207</t>
  </si>
  <si>
    <t>San Rafael</t>
  </si>
  <si>
    <t>100208</t>
  </si>
  <si>
    <t>Tomay Kichwa</t>
  </si>
  <si>
    <t>100301</t>
  </si>
  <si>
    <t>Dos de Mayo</t>
  </si>
  <si>
    <t>100307</t>
  </si>
  <si>
    <t>Chuquis</t>
  </si>
  <si>
    <t>100311</t>
  </si>
  <si>
    <t>Marias</t>
  </si>
  <si>
    <t>100313</t>
  </si>
  <si>
    <t>Pachas</t>
  </si>
  <si>
    <t>100316</t>
  </si>
  <si>
    <t>Quivilla</t>
  </si>
  <si>
    <t>100317</t>
  </si>
  <si>
    <t>Ripan</t>
  </si>
  <si>
    <t>100321</t>
  </si>
  <si>
    <t>Shunqui</t>
  </si>
  <si>
    <t>100322</t>
  </si>
  <si>
    <t>Sillapata</t>
  </si>
  <si>
    <t>100323</t>
  </si>
  <si>
    <t>Yanas</t>
  </si>
  <si>
    <t>100401</t>
  </si>
  <si>
    <t>Huacaybamba</t>
  </si>
  <si>
    <t>100402</t>
  </si>
  <si>
    <t>Canchabamba</t>
  </si>
  <si>
    <t>100403</t>
  </si>
  <si>
    <t>100404</t>
  </si>
  <si>
    <t>Pinra</t>
  </si>
  <si>
    <t>100501</t>
  </si>
  <si>
    <t>Llata</t>
  </si>
  <si>
    <t>Huamalies</t>
  </si>
  <si>
    <t>100502</t>
  </si>
  <si>
    <t>Arancay</t>
  </si>
  <si>
    <t>100503</t>
  </si>
  <si>
    <t>Chavin de Pariarca</t>
  </si>
  <si>
    <t>100504</t>
  </si>
  <si>
    <t>Jacas Grande</t>
  </si>
  <si>
    <t>100505</t>
  </si>
  <si>
    <t>Jircan</t>
  </si>
  <si>
    <t>100506</t>
  </si>
  <si>
    <t>100507</t>
  </si>
  <si>
    <t>Monzon</t>
  </si>
  <si>
    <t>100508</t>
  </si>
  <si>
    <t>Punchao</t>
  </si>
  <si>
    <t>100509</t>
  </si>
  <si>
    <t>Puños</t>
  </si>
  <si>
    <t>100510</t>
  </si>
  <si>
    <t>Singa</t>
  </si>
  <si>
    <t>100511</t>
  </si>
  <si>
    <t>Tantamayo</t>
  </si>
  <si>
    <t>100601</t>
  </si>
  <si>
    <t>Rupa-Rupa</t>
  </si>
  <si>
    <t>100602</t>
  </si>
  <si>
    <t>Daniel Alomias Robles</t>
  </si>
  <si>
    <t>100603</t>
  </si>
  <si>
    <t>Hermilio Valdizan</t>
  </si>
  <si>
    <t>100604</t>
  </si>
  <si>
    <t>Jose Crespo y Castillo</t>
  </si>
  <si>
    <t>100605</t>
  </si>
  <si>
    <t>Luyando</t>
  </si>
  <si>
    <t>100606</t>
  </si>
  <si>
    <t>Mariano Damaso Beraun</t>
  </si>
  <si>
    <t>100607</t>
  </si>
  <si>
    <t>Pucayacu</t>
  </si>
  <si>
    <t>100608</t>
  </si>
  <si>
    <t>Castillo Grande</t>
  </si>
  <si>
    <t>100609</t>
  </si>
  <si>
    <t>Pueblo Nuevo</t>
  </si>
  <si>
    <t>100610</t>
  </si>
  <si>
    <t>Santo Domingo de Anda</t>
  </si>
  <si>
    <t>100701</t>
  </si>
  <si>
    <t>Huacrachuco</t>
  </si>
  <si>
    <t>Marañon</t>
  </si>
  <si>
    <t>100702</t>
  </si>
  <si>
    <t>Cholon</t>
  </si>
  <si>
    <t>100703</t>
  </si>
  <si>
    <t>San Buenaventura</t>
  </si>
  <si>
    <t>100704</t>
  </si>
  <si>
    <t>La Morada</t>
  </si>
  <si>
    <t>100705</t>
  </si>
  <si>
    <t>Santa Rosa de Alto Yanajanca</t>
  </si>
  <si>
    <t>100801</t>
  </si>
  <si>
    <t>Panao</t>
  </si>
  <si>
    <t>Pachitea</t>
  </si>
  <si>
    <t>100802</t>
  </si>
  <si>
    <t>Chaglla</t>
  </si>
  <si>
    <t>100803</t>
  </si>
  <si>
    <t>Molino</t>
  </si>
  <si>
    <t>100804</t>
  </si>
  <si>
    <t>Umari</t>
  </si>
  <si>
    <t>100901</t>
  </si>
  <si>
    <t>Puerto Inca</t>
  </si>
  <si>
    <t>100902</t>
  </si>
  <si>
    <t>Codo del Pozuzo</t>
  </si>
  <si>
    <t>100903</t>
  </si>
  <si>
    <t>Honoria</t>
  </si>
  <si>
    <t>100904</t>
  </si>
  <si>
    <t>Tournavista</t>
  </si>
  <si>
    <t>100905</t>
  </si>
  <si>
    <t>Yuyapichis</t>
  </si>
  <si>
    <t>101001</t>
  </si>
  <si>
    <t>Lauricocha</t>
  </si>
  <si>
    <t>101002</t>
  </si>
  <si>
    <t>Baños</t>
  </si>
  <si>
    <t>101003</t>
  </si>
  <si>
    <t>Jivia</t>
  </si>
  <si>
    <t>101004</t>
  </si>
  <si>
    <t>Queropalca</t>
  </si>
  <si>
    <t>101005</t>
  </si>
  <si>
    <t>Rondos</t>
  </si>
  <si>
    <t>101006</t>
  </si>
  <si>
    <t>San Francisco de Asis</t>
  </si>
  <si>
    <t>101007</t>
  </si>
  <si>
    <t>San Miguel de Cauri</t>
  </si>
  <si>
    <t>101101</t>
  </si>
  <si>
    <t>Chavinillo</t>
  </si>
  <si>
    <t>Yarowilca</t>
  </si>
  <si>
    <t>101102</t>
  </si>
  <si>
    <t>Cahuac</t>
  </si>
  <si>
    <t>101103</t>
  </si>
  <si>
    <t>Chacabamba</t>
  </si>
  <si>
    <t>101104</t>
  </si>
  <si>
    <t>Aparicio Pomares</t>
  </si>
  <si>
    <t>101105</t>
  </si>
  <si>
    <t>Jacas Chico</t>
  </si>
  <si>
    <t>101106</t>
  </si>
  <si>
    <t>Obas</t>
  </si>
  <si>
    <t>101107</t>
  </si>
  <si>
    <t>101108</t>
  </si>
  <si>
    <t>Choras</t>
  </si>
  <si>
    <t>110101</t>
  </si>
  <si>
    <t>Ica</t>
  </si>
  <si>
    <t>110102</t>
  </si>
  <si>
    <t>La Tinguiña</t>
  </si>
  <si>
    <t>110103</t>
  </si>
  <si>
    <t>Los Aquijes</t>
  </si>
  <si>
    <t>110104</t>
  </si>
  <si>
    <t>Ocucaje</t>
  </si>
  <si>
    <t>110105</t>
  </si>
  <si>
    <t>Pachacutec</t>
  </si>
  <si>
    <t>110106</t>
  </si>
  <si>
    <t>Parcona</t>
  </si>
  <si>
    <t>110107</t>
  </si>
  <si>
    <t>110108</t>
  </si>
  <si>
    <t>Salas</t>
  </si>
  <si>
    <t>110109</t>
  </si>
  <si>
    <t>San Jose de los Molinos</t>
  </si>
  <si>
    <t>110110</t>
  </si>
  <si>
    <t>110111</t>
  </si>
  <si>
    <t>110112</t>
  </si>
  <si>
    <t>Subtanjalla</t>
  </si>
  <si>
    <t>110113</t>
  </si>
  <si>
    <t>Tate</t>
  </si>
  <si>
    <t>110114</t>
  </si>
  <si>
    <t>Yauca del Rosario</t>
  </si>
  <si>
    <t>110201</t>
  </si>
  <si>
    <t>Chincha Alta</t>
  </si>
  <si>
    <t>Chincha</t>
  </si>
  <si>
    <t>110202</t>
  </si>
  <si>
    <t>Alto Laran</t>
  </si>
  <si>
    <t>110203</t>
  </si>
  <si>
    <t>Chavin</t>
  </si>
  <si>
    <t>110204</t>
  </si>
  <si>
    <t>Chincha Baja</t>
  </si>
  <si>
    <t>110205</t>
  </si>
  <si>
    <t>110206</t>
  </si>
  <si>
    <t>Grocio Prado</t>
  </si>
  <si>
    <t>110207</t>
  </si>
  <si>
    <t>110208</t>
  </si>
  <si>
    <t>San Juan de Yanac</t>
  </si>
  <si>
    <t>110209</t>
  </si>
  <si>
    <t>San Pedro de Huacarpana</t>
  </si>
  <si>
    <t>110210</t>
  </si>
  <si>
    <t>Sunampe</t>
  </si>
  <si>
    <t>110211</t>
  </si>
  <si>
    <t>Tambo de Mora</t>
  </si>
  <si>
    <t>110301</t>
  </si>
  <si>
    <t>Nazca</t>
  </si>
  <si>
    <t>110302</t>
  </si>
  <si>
    <t>Changuillo</t>
  </si>
  <si>
    <t>110303</t>
  </si>
  <si>
    <t>El Ingenio</t>
  </si>
  <si>
    <t>110304</t>
  </si>
  <si>
    <t>Marcona</t>
  </si>
  <si>
    <t>110305</t>
  </si>
  <si>
    <t>110401</t>
  </si>
  <si>
    <t>Palpa</t>
  </si>
  <si>
    <t>110402</t>
  </si>
  <si>
    <t>Llipata</t>
  </si>
  <si>
    <t>110403</t>
  </si>
  <si>
    <t>110404</t>
  </si>
  <si>
    <t>110405</t>
  </si>
  <si>
    <t>Tibillo</t>
  </si>
  <si>
    <t>110501</t>
  </si>
  <si>
    <t>Pisco</t>
  </si>
  <si>
    <t>110502</t>
  </si>
  <si>
    <t>Huancano</t>
  </si>
  <si>
    <t>110503</t>
  </si>
  <si>
    <t>Humay</t>
  </si>
  <si>
    <t>110504</t>
  </si>
  <si>
    <t>110505</t>
  </si>
  <si>
    <t>Paracas</t>
  </si>
  <si>
    <t>110506</t>
  </si>
  <si>
    <t>San Andres</t>
  </si>
  <si>
    <t>110507</t>
  </si>
  <si>
    <t>San Clemente</t>
  </si>
  <si>
    <t>110508</t>
  </si>
  <si>
    <t>Tupac Amaru Inca</t>
  </si>
  <si>
    <t>120101</t>
  </si>
  <si>
    <t>Huancayo</t>
  </si>
  <si>
    <t>Junin</t>
  </si>
  <si>
    <t>120104</t>
  </si>
  <si>
    <t>Carhuacallanga</t>
  </si>
  <si>
    <t>120105</t>
  </si>
  <si>
    <t>Chacapampa</t>
  </si>
  <si>
    <t>120106</t>
  </si>
  <si>
    <t>Chicche</t>
  </si>
  <si>
    <t>120107</t>
  </si>
  <si>
    <t>Chilca</t>
  </si>
  <si>
    <t>120108</t>
  </si>
  <si>
    <t>Chongos Alto</t>
  </si>
  <si>
    <t>120111</t>
  </si>
  <si>
    <t>Chupuro</t>
  </si>
  <si>
    <t>120112</t>
  </si>
  <si>
    <t>120113</t>
  </si>
  <si>
    <t>Cullhuas</t>
  </si>
  <si>
    <t>120114</t>
  </si>
  <si>
    <t>El Tambo</t>
  </si>
  <si>
    <t>120116</t>
  </si>
  <si>
    <t>Huacrapuquio</t>
  </si>
  <si>
    <t>120117</t>
  </si>
  <si>
    <t>Hualhuas</t>
  </si>
  <si>
    <t>120119</t>
  </si>
  <si>
    <t>Huancan</t>
  </si>
  <si>
    <t>120120</t>
  </si>
  <si>
    <t>Huasicancha</t>
  </si>
  <si>
    <t>120121</t>
  </si>
  <si>
    <t>Huayucachi</t>
  </si>
  <si>
    <t>120122</t>
  </si>
  <si>
    <t>Ingenio</t>
  </si>
  <si>
    <t>120124</t>
  </si>
  <si>
    <t>120125</t>
  </si>
  <si>
    <t>Pilcomayo</t>
  </si>
  <si>
    <t>120126</t>
  </si>
  <si>
    <t>120127</t>
  </si>
  <si>
    <t>Quichuay</t>
  </si>
  <si>
    <t>120128</t>
  </si>
  <si>
    <t>Quilcas</t>
  </si>
  <si>
    <t>120129</t>
  </si>
  <si>
    <t>San Agustin</t>
  </si>
  <si>
    <t>120130</t>
  </si>
  <si>
    <t>San Jeronimo de Tunan</t>
  </si>
  <si>
    <t>120132</t>
  </si>
  <si>
    <t>Saño</t>
  </si>
  <si>
    <t>120133</t>
  </si>
  <si>
    <t>Sapallanga</t>
  </si>
  <si>
    <t>120134</t>
  </si>
  <si>
    <t>Sicaya</t>
  </si>
  <si>
    <t>120135</t>
  </si>
  <si>
    <t>Santo Domingo de Acobamba</t>
  </si>
  <si>
    <t>120136</t>
  </si>
  <si>
    <t>Viques</t>
  </si>
  <si>
    <t>120201</t>
  </si>
  <si>
    <t>120202</t>
  </si>
  <si>
    <t>120203</t>
  </si>
  <si>
    <t>Andamarca</t>
  </si>
  <si>
    <t>120204</t>
  </si>
  <si>
    <t>Chambara</t>
  </si>
  <si>
    <t>120205</t>
  </si>
  <si>
    <t>120206</t>
  </si>
  <si>
    <t>Comas</t>
  </si>
  <si>
    <t>120207</t>
  </si>
  <si>
    <t>Heroinas Toledo</t>
  </si>
  <si>
    <t>120208</t>
  </si>
  <si>
    <t>Manzanares</t>
  </si>
  <si>
    <t>120209</t>
  </si>
  <si>
    <t>120210</t>
  </si>
  <si>
    <t>Matahuasi</t>
  </si>
  <si>
    <t>120211</t>
  </si>
  <si>
    <t>Mito</t>
  </si>
  <si>
    <t>120212</t>
  </si>
  <si>
    <t>Nueve de Julio</t>
  </si>
  <si>
    <t>120213</t>
  </si>
  <si>
    <t>Orcotuna</t>
  </si>
  <si>
    <t>120214</t>
  </si>
  <si>
    <t>San Jose de Quero</t>
  </si>
  <si>
    <t>120215</t>
  </si>
  <si>
    <t>Santa Rosa de Ocopa</t>
  </si>
  <si>
    <t>120301</t>
  </si>
  <si>
    <t>Chanchamayo</t>
  </si>
  <si>
    <t>120302</t>
  </si>
  <si>
    <t>Perene</t>
  </si>
  <si>
    <t>120303</t>
  </si>
  <si>
    <t>Pichanaqui</t>
  </si>
  <si>
    <t>120304</t>
  </si>
  <si>
    <t>San Luis de Shuaro</t>
  </si>
  <si>
    <t>120305</t>
  </si>
  <si>
    <t>San Ramon</t>
  </si>
  <si>
    <t>120306</t>
  </si>
  <si>
    <t>Vitoc</t>
  </si>
  <si>
    <t>120401</t>
  </si>
  <si>
    <t>Jauja</t>
  </si>
  <si>
    <t>120402</t>
  </si>
  <si>
    <t>Acolla</t>
  </si>
  <si>
    <t>120403</t>
  </si>
  <si>
    <t>Apata</t>
  </si>
  <si>
    <t>120404</t>
  </si>
  <si>
    <t>Ataura</t>
  </si>
  <si>
    <t>120405</t>
  </si>
  <si>
    <t>Canchayllo</t>
  </si>
  <si>
    <t>120406</t>
  </si>
  <si>
    <t>Curicaca</t>
  </si>
  <si>
    <t>120407</t>
  </si>
  <si>
    <t>El Mantaro</t>
  </si>
  <si>
    <t>120408</t>
  </si>
  <si>
    <t>Huamali</t>
  </si>
  <si>
    <t>120409</t>
  </si>
  <si>
    <t>Huaripampa</t>
  </si>
  <si>
    <t>120410</t>
  </si>
  <si>
    <t>Huertas</t>
  </si>
  <si>
    <t>120411</t>
  </si>
  <si>
    <t>Janjaillo</t>
  </si>
  <si>
    <t>120412</t>
  </si>
  <si>
    <t>Julcan</t>
  </si>
  <si>
    <t>120413</t>
  </si>
  <si>
    <t>Leonor Ordoñez</t>
  </si>
  <si>
    <t>120414</t>
  </si>
  <si>
    <t>Llocllapampa</t>
  </si>
  <si>
    <t>120415</t>
  </si>
  <si>
    <t>Marco</t>
  </si>
  <si>
    <t>120416</t>
  </si>
  <si>
    <t>Masma</t>
  </si>
  <si>
    <t>120417</t>
  </si>
  <si>
    <t>Masma Chicche</t>
  </si>
  <si>
    <t>120418</t>
  </si>
  <si>
    <t>Molinos</t>
  </si>
  <si>
    <t>120419</t>
  </si>
  <si>
    <t>Monobamba</t>
  </si>
  <si>
    <t>120420</t>
  </si>
  <si>
    <t>Muqui</t>
  </si>
  <si>
    <t>120421</t>
  </si>
  <si>
    <t>Muquiyauyo</t>
  </si>
  <si>
    <t>120422</t>
  </si>
  <si>
    <t>Paca</t>
  </si>
  <si>
    <t>120423</t>
  </si>
  <si>
    <t>120424</t>
  </si>
  <si>
    <t>Pancan</t>
  </si>
  <si>
    <t>120425</t>
  </si>
  <si>
    <t>Parco</t>
  </si>
  <si>
    <t>120426</t>
  </si>
  <si>
    <t>Pomacancha</t>
  </si>
  <si>
    <t>120427</t>
  </si>
  <si>
    <t>Ricran</t>
  </si>
  <si>
    <t>120428</t>
  </si>
  <si>
    <t>San Lorenzo</t>
  </si>
  <si>
    <t>120429</t>
  </si>
  <si>
    <t>San Pedro de Chunan</t>
  </si>
  <si>
    <t>120430</t>
  </si>
  <si>
    <t>Sausa</t>
  </si>
  <si>
    <t>120431</t>
  </si>
  <si>
    <t>Sincos</t>
  </si>
  <si>
    <t>120432</t>
  </si>
  <si>
    <t>Tunan Marca</t>
  </si>
  <si>
    <t>120433</t>
  </si>
  <si>
    <t>120434</t>
  </si>
  <si>
    <t>Yauyos</t>
  </si>
  <si>
    <t>120501</t>
  </si>
  <si>
    <t>120502</t>
  </si>
  <si>
    <t>Carhuamayo</t>
  </si>
  <si>
    <t>120503</t>
  </si>
  <si>
    <t>Ondores</t>
  </si>
  <si>
    <t>120504</t>
  </si>
  <si>
    <t>Ulcumayo</t>
  </si>
  <si>
    <t>120601</t>
  </si>
  <si>
    <t>Satipo</t>
  </si>
  <si>
    <t>120602</t>
  </si>
  <si>
    <t>Coviriali</t>
  </si>
  <si>
    <t>120603</t>
  </si>
  <si>
    <t>Llaylla</t>
  </si>
  <si>
    <t>120604</t>
  </si>
  <si>
    <t>Mazamari</t>
  </si>
  <si>
    <t>120605</t>
  </si>
  <si>
    <t>Pampa Hermosa</t>
  </si>
  <si>
    <t>120606</t>
  </si>
  <si>
    <t>Pangoa</t>
  </si>
  <si>
    <t>120607</t>
  </si>
  <si>
    <t>Rio Negro</t>
  </si>
  <si>
    <t>120608</t>
  </si>
  <si>
    <t>Rio Tambo</t>
  </si>
  <si>
    <t>120609</t>
  </si>
  <si>
    <t>Vizcatán del Ene</t>
  </si>
  <si>
    <t>120701</t>
  </si>
  <si>
    <t>Tarma</t>
  </si>
  <si>
    <t>120702</t>
  </si>
  <si>
    <t>120703</t>
  </si>
  <si>
    <t>Huaricolca</t>
  </si>
  <si>
    <t>120704</t>
  </si>
  <si>
    <t>Huasahuasi</t>
  </si>
  <si>
    <t>120705</t>
  </si>
  <si>
    <t>120706</t>
  </si>
  <si>
    <t>120707</t>
  </si>
  <si>
    <t>Palcamayo</t>
  </si>
  <si>
    <t>120708</t>
  </si>
  <si>
    <t>San Pedro de Cajas</t>
  </si>
  <si>
    <t>120709</t>
  </si>
  <si>
    <t>Tapo</t>
  </si>
  <si>
    <t>120801</t>
  </si>
  <si>
    <t>La Oroya</t>
  </si>
  <si>
    <t>120802</t>
  </si>
  <si>
    <t>Chacapalpa</t>
  </si>
  <si>
    <t>120803</t>
  </si>
  <si>
    <t>Huay-Huay</t>
  </si>
  <si>
    <t>120804</t>
  </si>
  <si>
    <t>Marcapomacocha</t>
  </si>
  <si>
    <t>120805</t>
  </si>
  <si>
    <t>Morococha</t>
  </si>
  <si>
    <t>120806</t>
  </si>
  <si>
    <t>120807</t>
  </si>
  <si>
    <t>Santa Barbara de Carhuacayan</t>
  </si>
  <si>
    <t>120808</t>
  </si>
  <si>
    <t>Santa Rosa de Sacco</t>
  </si>
  <si>
    <t>120809</t>
  </si>
  <si>
    <t>Suitucancha</t>
  </si>
  <si>
    <t>120810</t>
  </si>
  <si>
    <t>120901</t>
  </si>
  <si>
    <t>Chupaca</t>
  </si>
  <si>
    <t>120902</t>
  </si>
  <si>
    <t>Ahuac</t>
  </si>
  <si>
    <t>120903</t>
  </si>
  <si>
    <t>Chongos Bajo</t>
  </si>
  <si>
    <t>120904</t>
  </si>
  <si>
    <t>Huachac</t>
  </si>
  <si>
    <t>120905</t>
  </si>
  <si>
    <t>Huamancaca Chico</t>
  </si>
  <si>
    <t>120906</t>
  </si>
  <si>
    <t>San Juan de Yscos</t>
  </si>
  <si>
    <t>120907</t>
  </si>
  <si>
    <t>San Juan de Jarpa</t>
  </si>
  <si>
    <t>120908</t>
  </si>
  <si>
    <t>Tres de Diciembre</t>
  </si>
  <si>
    <t>120909</t>
  </si>
  <si>
    <t>Yanacancha</t>
  </si>
  <si>
    <t>130101</t>
  </si>
  <si>
    <t>Trujillo</t>
  </si>
  <si>
    <t>130102</t>
  </si>
  <si>
    <t>130103</t>
  </si>
  <si>
    <t>Florencia de Mora</t>
  </si>
  <si>
    <t>130104</t>
  </si>
  <si>
    <t>Huanchaco</t>
  </si>
  <si>
    <t>130105</t>
  </si>
  <si>
    <t>130106</t>
  </si>
  <si>
    <t>Laredo</t>
  </si>
  <si>
    <t>130107</t>
  </si>
  <si>
    <t>Moche</t>
  </si>
  <si>
    <t>130108</t>
  </si>
  <si>
    <t>Poroto</t>
  </si>
  <si>
    <t>130109</t>
  </si>
  <si>
    <t>Salaverry</t>
  </si>
  <si>
    <t>130110</t>
  </si>
  <si>
    <t>Simbal</t>
  </si>
  <si>
    <t>130111</t>
  </si>
  <si>
    <t>Victor Larco Herrera</t>
  </si>
  <si>
    <t>130201</t>
  </si>
  <si>
    <t>Ascope</t>
  </si>
  <si>
    <t>130202</t>
  </si>
  <si>
    <t>Chicama</t>
  </si>
  <si>
    <t>130203</t>
  </si>
  <si>
    <t>Chocope</t>
  </si>
  <si>
    <t>130204</t>
  </si>
  <si>
    <t>Magdalena de Cao</t>
  </si>
  <si>
    <t>130205</t>
  </si>
  <si>
    <t>Paijan</t>
  </si>
  <si>
    <t>130206</t>
  </si>
  <si>
    <t>Razuri</t>
  </si>
  <si>
    <t>130207</t>
  </si>
  <si>
    <t>Santiago de Cao</t>
  </si>
  <si>
    <t>130208</t>
  </si>
  <si>
    <t>Casa Grande</t>
  </si>
  <si>
    <t>130301</t>
  </si>
  <si>
    <t>130302</t>
  </si>
  <si>
    <t>130303</t>
  </si>
  <si>
    <t>Condormarca</t>
  </si>
  <si>
    <t>130304</t>
  </si>
  <si>
    <t>Longotea</t>
  </si>
  <si>
    <t>130305</t>
  </si>
  <si>
    <t>Uchumarca</t>
  </si>
  <si>
    <t>130306</t>
  </si>
  <si>
    <t>Ucuncha</t>
  </si>
  <si>
    <t>130401</t>
  </si>
  <si>
    <t>Chepen</t>
  </si>
  <si>
    <t>130402</t>
  </si>
  <si>
    <t>Pacanga</t>
  </si>
  <si>
    <t>130403</t>
  </si>
  <si>
    <t>130501</t>
  </si>
  <si>
    <t>130502</t>
  </si>
  <si>
    <t>Calamarca</t>
  </si>
  <si>
    <t>130503</t>
  </si>
  <si>
    <t>Carabamba</t>
  </si>
  <si>
    <t>130504</t>
  </si>
  <si>
    <t>Huaso</t>
  </si>
  <si>
    <t>130601</t>
  </si>
  <si>
    <t>Otuzco</t>
  </si>
  <si>
    <t>130602</t>
  </si>
  <si>
    <t>Agallpampa</t>
  </si>
  <si>
    <t>130604</t>
  </si>
  <si>
    <t>Charat</t>
  </si>
  <si>
    <t>130605</t>
  </si>
  <si>
    <t>Huaranchal</t>
  </si>
  <si>
    <t>130606</t>
  </si>
  <si>
    <t>La Cuesta</t>
  </si>
  <si>
    <t>130608</t>
  </si>
  <si>
    <t>Mache</t>
  </si>
  <si>
    <t>130610</t>
  </si>
  <si>
    <t>Paranday</t>
  </si>
  <si>
    <t>130611</t>
  </si>
  <si>
    <t>Salpo</t>
  </si>
  <si>
    <t>130613</t>
  </si>
  <si>
    <t>Sinsicap</t>
  </si>
  <si>
    <t>130614</t>
  </si>
  <si>
    <t>Usquil</t>
  </si>
  <si>
    <t>130701</t>
  </si>
  <si>
    <t>San Pedro de Lloc</t>
  </si>
  <si>
    <t>Pacasmayo</t>
  </si>
  <si>
    <t>130702</t>
  </si>
  <si>
    <t>Guadalupe</t>
  </si>
  <si>
    <t>130703</t>
  </si>
  <si>
    <t>Jequetepeque</t>
  </si>
  <si>
    <t>130704</t>
  </si>
  <si>
    <t>130705</t>
  </si>
  <si>
    <t>San Jose</t>
  </si>
  <si>
    <t>130801</t>
  </si>
  <si>
    <t>Tayabamba</t>
  </si>
  <si>
    <t>Pataz</t>
  </si>
  <si>
    <t>130802</t>
  </si>
  <si>
    <t>Buldibuyo</t>
  </si>
  <si>
    <t>130803</t>
  </si>
  <si>
    <t>Chillia</t>
  </si>
  <si>
    <t>130804</t>
  </si>
  <si>
    <t>Huancaspata</t>
  </si>
  <si>
    <t>130805</t>
  </si>
  <si>
    <t>Huaylillas</t>
  </si>
  <si>
    <t>130806</t>
  </si>
  <si>
    <t>Huayo</t>
  </si>
  <si>
    <t>130807</t>
  </si>
  <si>
    <t>Ongon</t>
  </si>
  <si>
    <t>130808</t>
  </si>
  <si>
    <t>Parcoy</t>
  </si>
  <si>
    <t>130809</t>
  </si>
  <si>
    <t>130810</t>
  </si>
  <si>
    <t>Pias</t>
  </si>
  <si>
    <t>130811</t>
  </si>
  <si>
    <t>Santiago de Challas</t>
  </si>
  <si>
    <t>130812</t>
  </si>
  <si>
    <t>Taurija</t>
  </si>
  <si>
    <t>130813</t>
  </si>
  <si>
    <t>Urpay</t>
  </si>
  <si>
    <t>130901</t>
  </si>
  <si>
    <t>Huamachuco</t>
  </si>
  <si>
    <t>Sanchez Carrion</t>
  </si>
  <si>
    <t>130902</t>
  </si>
  <si>
    <t>Chugay</t>
  </si>
  <si>
    <t>130903</t>
  </si>
  <si>
    <t>Cochorco</t>
  </si>
  <si>
    <t>130904</t>
  </si>
  <si>
    <t>Curgos</t>
  </si>
  <si>
    <t>130905</t>
  </si>
  <si>
    <t>Marcabal</t>
  </si>
  <si>
    <t>130906</t>
  </si>
  <si>
    <t>Sanagoran</t>
  </si>
  <si>
    <t>130907</t>
  </si>
  <si>
    <t>Sarin</t>
  </si>
  <si>
    <t>130908</t>
  </si>
  <si>
    <t>Sartimbamba</t>
  </si>
  <si>
    <t>131001</t>
  </si>
  <si>
    <t>Santiago de Chuco</t>
  </si>
  <si>
    <t>131002</t>
  </si>
  <si>
    <t>Angasmarca</t>
  </si>
  <si>
    <t>131003</t>
  </si>
  <si>
    <t>Cachicadan</t>
  </si>
  <si>
    <t>131004</t>
  </si>
  <si>
    <t>Mollebamba</t>
  </si>
  <si>
    <t>131005</t>
  </si>
  <si>
    <t>131006</t>
  </si>
  <si>
    <t>Quiruvilca</t>
  </si>
  <si>
    <t>131007</t>
  </si>
  <si>
    <t>Santa Cruz de Chuca</t>
  </si>
  <si>
    <t>131008</t>
  </si>
  <si>
    <t>Sitabamba</t>
  </si>
  <si>
    <t>131101</t>
  </si>
  <si>
    <t>Cascas</t>
  </si>
  <si>
    <t>Gran Chimu</t>
  </si>
  <si>
    <t>131102</t>
  </si>
  <si>
    <t>131103</t>
  </si>
  <si>
    <t>Compin</t>
  </si>
  <si>
    <t>131104</t>
  </si>
  <si>
    <t>Sayapullo</t>
  </si>
  <si>
    <t>131201</t>
  </si>
  <si>
    <t>Viru</t>
  </si>
  <si>
    <t>131202</t>
  </si>
  <si>
    <t>Chao</t>
  </si>
  <si>
    <t>131203</t>
  </si>
  <si>
    <t>Guadalupito</t>
  </si>
  <si>
    <t>140101</t>
  </si>
  <si>
    <t>Chiclayo</t>
  </si>
  <si>
    <t>Lambayeque</t>
  </si>
  <si>
    <t>140102</t>
  </si>
  <si>
    <t>Chongoyape</t>
  </si>
  <si>
    <t>140103</t>
  </si>
  <si>
    <t>Eten</t>
  </si>
  <si>
    <t>140104</t>
  </si>
  <si>
    <t>Eten Puerto</t>
  </si>
  <si>
    <t>140105</t>
  </si>
  <si>
    <t>Jose Leonardo Ortiz</t>
  </si>
  <si>
    <t>140106</t>
  </si>
  <si>
    <t>La Victoria</t>
  </si>
  <si>
    <t>140107</t>
  </si>
  <si>
    <t>Lagunas</t>
  </si>
  <si>
    <t>140108</t>
  </si>
  <si>
    <t>Monsefu</t>
  </si>
  <si>
    <t>140109</t>
  </si>
  <si>
    <t>Nueva Arica</t>
  </si>
  <si>
    <t>140110</t>
  </si>
  <si>
    <t>Oyotun</t>
  </si>
  <si>
    <t>140111</t>
  </si>
  <si>
    <t>Picsi</t>
  </si>
  <si>
    <t>140112</t>
  </si>
  <si>
    <t>Pimentel</t>
  </si>
  <si>
    <t>140113</t>
  </si>
  <si>
    <t>Reque</t>
  </si>
  <si>
    <t>140114</t>
  </si>
  <si>
    <t>140115</t>
  </si>
  <si>
    <t>Saña</t>
  </si>
  <si>
    <t>140116</t>
  </si>
  <si>
    <t>Cayalti</t>
  </si>
  <si>
    <t>140117</t>
  </si>
  <si>
    <t>Patapo</t>
  </si>
  <si>
    <t>140118</t>
  </si>
  <si>
    <t>Pomalca</t>
  </si>
  <si>
    <t>140119</t>
  </si>
  <si>
    <t>Pucala</t>
  </si>
  <si>
    <t>140120</t>
  </si>
  <si>
    <t>Tuman</t>
  </si>
  <si>
    <t>140201</t>
  </si>
  <si>
    <t>Ferreñafe</t>
  </si>
  <si>
    <t>140202</t>
  </si>
  <si>
    <t>Cañaris</t>
  </si>
  <si>
    <t>140203</t>
  </si>
  <si>
    <t>Incahuasi</t>
  </si>
  <si>
    <t>140204</t>
  </si>
  <si>
    <t>Manuel Antonio Mesones Muro</t>
  </si>
  <si>
    <t>140205</t>
  </si>
  <si>
    <t>Pitipo</t>
  </si>
  <si>
    <t>140206</t>
  </si>
  <si>
    <t>140301</t>
  </si>
  <si>
    <t>140302</t>
  </si>
  <si>
    <t>Chochope</t>
  </si>
  <si>
    <t>140303</t>
  </si>
  <si>
    <t>Illimo</t>
  </si>
  <si>
    <t>140304</t>
  </si>
  <si>
    <t>Jayanca</t>
  </si>
  <si>
    <t>140305</t>
  </si>
  <si>
    <t>Mochumi</t>
  </si>
  <si>
    <t>140306</t>
  </si>
  <si>
    <t>Morrope</t>
  </si>
  <si>
    <t>140307</t>
  </si>
  <si>
    <t>Motupe</t>
  </si>
  <si>
    <t>140308</t>
  </si>
  <si>
    <t>Olmos</t>
  </si>
  <si>
    <t>140309</t>
  </si>
  <si>
    <t>Pacora</t>
  </si>
  <si>
    <t>140310</t>
  </si>
  <si>
    <t>140311</t>
  </si>
  <si>
    <t>140312</t>
  </si>
  <si>
    <t>Tucume</t>
  </si>
  <si>
    <t>150101</t>
  </si>
  <si>
    <t>Lima</t>
  </si>
  <si>
    <t>150102</t>
  </si>
  <si>
    <t>Ancon</t>
  </si>
  <si>
    <t>150103</t>
  </si>
  <si>
    <t>Ate</t>
  </si>
  <si>
    <t>150104</t>
  </si>
  <si>
    <t>Barranco</t>
  </si>
  <si>
    <t>150105</t>
  </si>
  <si>
    <t>Breña</t>
  </si>
  <si>
    <t>150106</t>
  </si>
  <si>
    <t>Carabayllo</t>
  </si>
  <si>
    <t>150107</t>
  </si>
  <si>
    <t>Chaclacayo</t>
  </si>
  <si>
    <t>150108</t>
  </si>
  <si>
    <t>Chorrillos</t>
  </si>
  <si>
    <t>150109</t>
  </si>
  <si>
    <t>Cieneguilla</t>
  </si>
  <si>
    <t>150110</t>
  </si>
  <si>
    <t>150111</t>
  </si>
  <si>
    <t>El Agustino</t>
  </si>
  <si>
    <t>150112</t>
  </si>
  <si>
    <t>150113</t>
  </si>
  <si>
    <t>Jesus Maria</t>
  </si>
  <si>
    <t>150114</t>
  </si>
  <si>
    <t>La Molina</t>
  </si>
  <si>
    <t>150115</t>
  </si>
  <si>
    <t>150116</t>
  </si>
  <si>
    <t>Lince</t>
  </si>
  <si>
    <t>150117</t>
  </si>
  <si>
    <t>Los Olivos</t>
  </si>
  <si>
    <t>150118</t>
  </si>
  <si>
    <t>Lurigancho</t>
  </si>
  <si>
    <t>150119</t>
  </si>
  <si>
    <t>Lurin</t>
  </si>
  <si>
    <t>150120</t>
  </si>
  <si>
    <t>Magdalena del Mar</t>
  </si>
  <si>
    <t>150121</t>
  </si>
  <si>
    <t>150122</t>
  </si>
  <si>
    <t>150123</t>
  </si>
  <si>
    <t>Pachacamac</t>
  </si>
  <si>
    <t>150124</t>
  </si>
  <si>
    <t>Pucusana</t>
  </si>
  <si>
    <t>150125</t>
  </si>
  <si>
    <t>Puente Piedra</t>
  </si>
  <si>
    <t>150126</t>
  </si>
  <si>
    <t>Punta Hermosa</t>
  </si>
  <si>
    <t>150127</t>
  </si>
  <si>
    <t>Punta Negra</t>
  </si>
  <si>
    <t>150128</t>
  </si>
  <si>
    <t>Rimac</t>
  </si>
  <si>
    <t>150129</t>
  </si>
  <si>
    <t>San Bartolo</t>
  </si>
  <si>
    <t>150130</t>
  </si>
  <si>
    <t>San Borja</t>
  </si>
  <si>
    <t>150131</t>
  </si>
  <si>
    <t>150132</t>
  </si>
  <si>
    <t>San Juan de Lurigancho</t>
  </si>
  <si>
    <t>150133</t>
  </si>
  <si>
    <t>San Juan de Miraflores</t>
  </si>
  <si>
    <t>150134</t>
  </si>
  <si>
    <t>150135</t>
  </si>
  <si>
    <t>San Martin de Porres</t>
  </si>
  <si>
    <t>150136</t>
  </si>
  <si>
    <t>150137</t>
  </si>
  <si>
    <t>Santa Anita</t>
  </si>
  <si>
    <t>150138</t>
  </si>
  <si>
    <t>Santa Maria del Mar</t>
  </si>
  <si>
    <t>150139</t>
  </si>
  <si>
    <t>150140</t>
  </si>
  <si>
    <t>Santiago de Surco</t>
  </si>
  <si>
    <t>150141</t>
  </si>
  <si>
    <t>Surquillo</t>
  </si>
  <si>
    <t>150142</t>
  </si>
  <si>
    <t>Villa El Salvador</t>
  </si>
  <si>
    <t>150143</t>
  </si>
  <si>
    <t>Villa Maria del Triunfo</t>
  </si>
  <si>
    <t>150201</t>
  </si>
  <si>
    <t>Barranca</t>
  </si>
  <si>
    <t>150202</t>
  </si>
  <si>
    <t>Paramonga</t>
  </si>
  <si>
    <t>150203</t>
  </si>
  <si>
    <t>Pativilca</t>
  </si>
  <si>
    <t>150204</t>
  </si>
  <si>
    <t>Supe</t>
  </si>
  <si>
    <t>150205</t>
  </si>
  <si>
    <t>Supe Puerto</t>
  </si>
  <si>
    <t>150301</t>
  </si>
  <si>
    <t>Cajatambo</t>
  </si>
  <si>
    <t>150302</t>
  </si>
  <si>
    <t>Copa</t>
  </si>
  <si>
    <t>150303</t>
  </si>
  <si>
    <t>Gorgor</t>
  </si>
  <si>
    <t>150304</t>
  </si>
  <si>
    <t>Huancapon</t>
  </si>
  <si>
    <t>150305</t>
  </si>
  <si>
    <t>Manas</t>
  </si>
  <si>
    <t>150401</t>
  </si>
  <si>
    <t>Canta</t>
  </si>
  <si>
    <t>150402</t>
  </si>
  <si>
    <t>Arahuay</t>
  </si>
  <si>
    <t>150403</t>
  </si>
  <si>
    <t>Huamantanga</t>
  </si>
  <si>
    <t>150404</t>
  </si>
  <si>
    <t>Huaros</t>
  </si>
  <si>
    <t>150405</t>
  </si>
  <si>
    <t>Lachaqui</t>
  </si>
  <si>
    <t>150406</t>
  </si>
  <si>
    <t>150407</t>
  </si>
  <si>
    <t>Santa Rosa de Quives</t>
  </si>
  <si>
    <t>150501</t>
  </si>
  <si>
    <t>San Vicente de Cañete</t>
  </si>
  <si>
    <t>Cañete</t>
  </si>
  <si>
    <t>150502</t>
  </si>
  <si>
    <t>Asia</t>
  </si>
  <si>
    <t>150503</t>
  </si>
  <si>
    <t>Calango</t>
  </si>
  <si>
    <t>150504</t>
  </si>
  <si>
    <t>Cerro Azul</t>
  </si>
  <si>
    <t>150505</t>
  </si>
  <si>
    <t>150506</t>
  </si>
  <si>
    <t>Coayllo</t>
  </si>
  <si>
    <t>150507</t>
  </si>
  <si>
    <t>Imperial</t>
  </si>
  <si>
    <t>150508</t>
  </si>
  <si>
    <t>Lunahuana</t>
  </si>
  <si>
    <t>150509</t>
  </si>
  <si>
    <t>Mala</t>
  </si>
  <si>
    <t>150510</t>
  </si>
  <si>
    <t>Nuevo Imperial</t>
  </si>
  <si>
    <t>150511</t>
  </si>
  <si>
    <t>Pacaran</t>
  </si>
  <si>
    <t>150512</t>
  </si>
  <si>
    <t>Quilmana</t>
  </si>
  <si>
    <t>150513</t>
  </si>
  <si>
    <t>150514</t>
  </si>
  <si>
    <t>150515</t>
  </si>
  <si>
    <t>Santa Cruz de Flores</t>
  </si>
  <si>
    <t>150516</t>
  </si>
  <si>
    <t>Zuñiga</t>
  </si>
  <si>
    <t>150601</t>
  </si>
  <si>
    <t>Huaral</t>
  </si>
  <si>
    <t>150602</t>
  </si>
  <si>
    <t>Atavillos Alto</t>
  </si>
  <si>
    <t>150603</t>
  </si>
  <si>
    <t>Atavillos Bajo</t>
  </si>
  <si>
    <t>150604</t>
  </si>
  <si>
    <t>Aucallama</t>
  </si>
  <si>
    <t>150605</t>
  </si>
  <si>
    <t>150606</t>
  </si>
  <si>
    <t>Ihuari</t>
  </si>
  <si>
    <t>150607</t>
  </si>
  <si>
    <t>Lampian</t>
  </si>
  <si>
    <t>150608</t>
  </si>
  <si>
    <t>Pacaraos</t>
  </si>
  <si>
    <t>150609</t>
  </si>
  <si>
    <t>San Miguel de Acos</t>
  </si>
  <si>
    <t>150610</t>
  </si>
  <si>
    <t>Santa Cruz de Andamarca</t>
  </si>
  <si>
    <t>150611</t>
  </si>
  <si>
    <t>Sumbilca</t>
  </si>
  <si>
    <t>150612</t>
  </si>
  <si>
    <t>Veintisiete de Noviembre</t>
  </si>
  <si>
    <t>150701</t>
  </si>
  <si>
    <t>Matucana</t>
  </si>
  <si>
    <t>Huarochiri</t>
  </si>
  <si>
    <t>150702</t>
  </si>
  <si>
    <t>Antioquia</t>
  </si>
  <si>
    <t>150703</t>
  </si>
  <si>
    <t>Callahuanca</t>
  </si>
  <si>
    <t>150704</t>
  </si>
  <si>
    <t>Carampoma</t>
  </si>
  <si>
    <t>150705</t>
  </si>
  <si>
    <t>Chicla</t>
  </si>
  <si>
    <t>150706</t>
  </si>
  <si>
    <t>150707</t>
  </si>
  <si>
    <t>Huachupampa</t>
  </si>
  <si>
    <t>150708</t>
  </si>
  <si>
    <t>Huanza</t>
  </si>
  <si>
    <t>150709</t>
  </si>
  <si>
    <t>150710</t>
  </si>
  <si>
    <t>Lahuaytambo</t>
  </si>
  <si>
    <t>150711</t>
  </si>
  <si>
    <t>Langa</t>
  </si>
  <si>
    <t>150712</t>
  </si>
  <si>
    <t>Laraos</t>
  </si>
  <si>
    <t>150713</t>
  </si>
  <si>
    <t>Mariatana</t>
  </si>
  <si>
    <t>150714</t>
  </si>
  <si>
    <t>Ricardo Palma</t>
  </si>
  <si>
    <t>150715</t>
  </si>
  <si>
    <t>San Andres de Tupicocha</t>
  </si>
  <si>
    <t>150716</t>
  </si>
  <si>
    <t>150717</t>
  </si>
  <si>
    <t>San Bartolome</t>
  </si>
  <si>
    <t>150718</t>
  </si>
  <si>
    <t>San Damian</t>
  </si>
  <si>
    <t>150719</t>
  </si>
  <si>
    <t>San Juan de Iris</t>
  </si>
  <si>
    <t>150720</t>
  </si>
  <si>
    <t>San Juan de Tantaranche</t>
  </si>
  <si>
    <t>150721</t>
  </si>
  <si>
    <t>San Lorenzo de Quinti</t>
  </si>
  <si>
    <t>150722</t>
  </si>
  <si>
    <t>San Mateo</t>
  </si>
  <si>
    <t>150723</t>
  </si>
  <si>
    <t>San Mateo de Otao</t>
  </si>
  <si>
    <t>150724</t>
  </si>
  <si>
    <t>San Pedro de Casta</t>
  </si>
  <si>
    <t>150725</t>
  </si>
  <si>
    <t>San Pedro de Huancayre</t>
  </si>
  <si>
    <t>150726</t>
  </si>
  <si>
    <t>Sangallaya</t>
  </si>
  <si>
    <t>150727</t>
  </si>
  <si>
    <t>Santa Cruz de Cocachacra</t>
  </si>
  <si>
    <t>150728</t>
  </si>
  <si>
    <t>Santa Eulalia</t>
  </si>
  <si>
    <t>150729</t>
  </si>
  <si>
    <t>Santiago de Anchucaya</t>
  </si>
  <si>
    <t>150730</t>
  </si>
  <si>
    <t>Santiago de Tuna</t>
  </si>
  <si>
    <t>150731</t>
  </si>
  <si>
    <t>Santo Domingo de los Olleros</t>
  </si>
  <si>
    <t>150732</t>
  </si>
  <si>
    <t>Surco</t>
  </si>
  <si>
    <t>150801</t>
  </si>
  <si>
    <t>Huacho</t>
  </si>
  <si>
    <t>Huaura</t>
  </si>
  <si>
    <t>150802</t>
  </si>
  <si>
    <t>Ambar</t>
  </si>
  <si>
    <t>150803</t>
  </si>
  <si>
    <t>Caleta de Carquin</t>
  </si>
  <si>
    <t>150804</t>
  </si>
  <si>
    <t>Checras</t>
  </si>
  <si>
    <t>150805</t>
  </si>
  <si>
    <t>Hualmay</t>
  </si>
  <si>
    <t>150806</t>
  </si>
  <si>
    <t>150807</t>
  </si>
  <si>
    <t>150808</t>
  </si>
  <si>
    <t>Paccho</t>
  </si>
  <si>
    <t>150809</t>
  </si>
  <si>
    <t>Santa Leonor</t>
  </si>
  <si>
    <t>150810</t>
  </si>
  <si>
    <t>Santa Maria</t>
  </si>
  <si>
    <t>150811</t>
  </si>
  <si>
    <t>Sayan</t>
  </si>
  <si>
    <t>150812</t>
  </si>
  <si>
    <t>Vegueta</t>
  </si>
  <si>
    <t>150901</t>
  </si>
  <si>
    <t>Oyon</t>
  </si>
  <si>
    <t>150902</t>
  </si>
  <si>
    <t>Andajes</t>
  </si>
  <si>
    <t>150903</t>
  </si>
  <si>
    <t>Caujul</t>
  </si>
  <si>
    <t>150904</t>
  </si>
  <si>
    <t>Cochamarca</t>
  </si>
  <si>
    <t>150905</t>
  </si>
  <si>
    <t>Navan</t>
  </si>
  <si>
    <t>150906</t>
  </si>
  <si>
    <t>Pachangara</t>
  </si>
  <si>
    <t>151001</t>
  </si>
  <si>
    <t>151002</t>
  </si>
  <si>
    <t>Alis</t>
  </si>
  <si>
    <t>151003</t>
  </si>
  <si>
    <t>Ayauca</t>
  </si>
  <si>
    <t>151004</t>
  </si>
  <si>
    <t>Ayaviri</t>
  </si>
  <si>
    <t>151005</t>
  </si>
  <si>
    <t>Azangaro</t>
  </si>
  <si>
    <t>151006</t>
  </si>
  <si>
    <t>Cacra</t>
  </si>
  <si>
    <t>151007</t>
  </si>
  <si>
    <t>Carania</t>
  </si>
  <si>
    <t>151008</t>
  </si>
  <si>
    <t>Catahuasi</t>
  </si>
  <si>
    <t>151009</t>
  </si>
  <si>
    <t>Chocos</t>
  </si>
  <si>
    <t>151010</t>
  </si>
  <si>
    <t>151011</t>
  </si>
  <si>
    <t>Colonia</t>
  </si>
  <si>
    <t>151012</t>
  </si>
  <si>
    <t>Hongos</t>
  </si>
  <si>
    <t>151013</t>
  </si>
  <si>
    <t>Huampara</t>
  </si>
  <si>
    <t>151014</t>
  </si>
  <si>
    <t>Huancaya</t>
  </si>
  <si>
    <t>151015</t>
  </si>
  <si>
    <t>Huangascar</t>
  </si>
  <si>
    <t>151016</t>
  </si>
  <si>
    <t>Huantan</t>
  </si>
  <si>
    <t>151017</t>
  </si>
  <si>
    <t>Huañec</t>
  </si>
  <si>
    <t>151018</t>
  </si>
  <si>
    <t>151019</t>
  </si>
  <si>
    <t>Lincha</t>
  </si>
  <si>
    <t>151020</t>
  </si>
  <si>
    <t>Madean</t>
  </si>
  <si>
    <t>151021</t>
  </si>
  <si>
    <t>151022</t>
  </si>
  <si>
    <t>Omas</t>
  </si>
  <si>
    <t>151023</t>
  </si>
  <si>
    <t>Putinza</t>
  </si>
  <si>
    <t>151024</t>
  </si>
  <si>
    <t>Quinches</t>
  </si>
  <si>
    <t>151025</t>
  </si>
  <si>
    <t>Quinocay</t>
  </si>
  <si>
    <t>151026</t>
  </si>
  <si>
    <t>San Joaquin</t>
  </si>
  <si>
    <t>151027</t>
  </si>
  <si>
    <t>San Pedro de Pilas</t>
  </si>
  <si>
    <t>151028</t>
  </si>
  <si>
    <t>Tanta</t>
  </si>
  <si>
    <t>151029</t>
  </si>
  <si>
    <t>Tauripampa</t>
  </si>
  <si>
    <t>151030</t>
  </si>
  <si>
    <t>Tomas</t>
  </si>
  <si>
    <t>151031</t>
  </si>
  <si>
    <t>Tupe</t>
  </si>
  <si>
    <t>151032</t>
  </si>
  <si>
    <t>Viñac</t>
  </si>
  <si>
    <t>151033</t>
  </si>
  <si>
    <t>Vitis</t>
  </si>
  <si>
    <t>160101</t>
  </si>
  <si>
    <t>Iquitos</t>
  </si>
  <si>
    <t>Maynas</t>
  </si>
  <si>
    <t>Loreto</t>
  </si>
  <si>
    <t>160102</t>
  </si>
  <si>
    <t>Alto Nanay</t>
  </si>
  <si>
    <t>160103</t>
  </si>
  <si>
    <t>Fernando Lores</t>
  </si>
  <si>
    <t>160104</t>
  </si>
  <si>
    <t>Indiana</t>
  </si>
  <si>
    <t>160105</t>
  </si>
  <si>
    <t>Las Amazonas</t>
  </si>
  <si>
    <t>160106</t>
  </si>
  <si>
    <t>Mazan</t>
  </si>
  <si>
    <t>160107</t>
  </si>
  <si>
    <t>Napo</t>
  </si>
  <si>
    <t>160108</t>
  </si>
  <si>
    <t>Punchana</t>
  </si>
  <si>
    <t>160110</t>
  </si>
  <si>
    <t>Torres Causana</t>
  </si>
  <si>
    <t>160112</t>
  </si>
  <si>
    <t>160113</t>
  </si>
  <si>
    <t>160201</t>
  </si>
  <si>
    <t>Yurimaguas</t>
  </si>
  <si>
    <t>Alto Amazonas</t>
  </si>
  <si>
    <t>160202</t>
  </si>
  <si>
    <t>Balsapuerto</t>
  </si>
  <si>
    <t>160205</t>
  </si>
  <si>
    <t>Jeberos</t>
  </si>
  <si>
    <t>160206</t>
  </si>
  <si>
    <t>160210</t>
  </si>
  <si>
    <t>160211</t>
  </si>
  <si>
    <t>Teniente Cesar Lopez Rojas</t>
  </si>
  <si>
    <t>160301</t>
  </si>
  <si>
    <t>Nauta</t>
  </si>
  <si>
    <t>160302</t>
  </si>
  <si>
    <t>Parinari</t>
  </si>
  <si>
    <t>160303</t>
  </si>
  <si>
    <t>Tigre</t>
  </si>
  <si>
    <t>160304</t>
  </si>
  <si>
    <t>Trompeteros</t>
  </si>
  <si>
    <t>160305</t>
  </si>
  <si>
    <t>Urarinas</t>
  </si>
  <si>
    <t>160401</t>
  </si>
  <si>
    <t>Ramon Castilla</t>
  </si>
  <si>
    <t>Mariscal Ramon Castilla</t>
  </si>
  <si>
    <t>160402</t>
  </si>
  <si>
    <t>Pebas</t>
  </si>
  <si>
    <t>160403</t>
  </si>
  <si>
    <t>Yavari</t>
  </si>
  <si>
    <t>160404</t>
  </si>
  <si>
    <t>160501</t>
  </si>
  <si>
    <t>Requena</t>
  </si>
  <si>
    <t>160502</t>
  </si>
  <si>
    <t>Alto Tapiche</t>
  </si>
  <si>
    <t>160503</t>
  </si>
  <si>
    <t>Capelo</t>
  </si>
  <si>
    <t>160504</t>
  </si>
  <si>
    <t>Emilio San Martin</t>
  </si>
  <si>
    <t>160505</t>
  </si>
  <si>
    <t>Maquia</t>
  </si>
  <si>
    <t>160506</t>
  </si>
  <si>
    <t>Puinahua</t>
  </si>
  <si>
    <t>160507</t>
  </si>
  <si>
    <t>Saquena</t>
  </si>
  <si>
    <t>160508</t>
  </si>
  <si>
    <t>Soplin</t>
  </si>
  <si>
    <t>160509</t>
  </si>
  <si>
    <t>Tapiche</t>
  </si>
  <si>
    <t>160510</t>
  </si>
  <si>
    <t>Jenaro Herrera</t>
  </si>
  <si>
    <t>160511</t>
  </si>
  <si>
    <t>Yaquerana</t>
  </si>
  <si>
    <t>160601</t>
  </si>
  <si>
    <t>Contamana</t>
  </si>
  <si>
    <t>Ucayali</t>
  </si>
  <si>
    <t>160602</t>
  </si>
  <si>
    <t>Inahuaya</t>
  </si>
  <si>
    <t>160603</t>
  </si>
  <si>
    <t>Padre Marquez</t>
  </si>
  <si>
    <t>160604</t>
  </si>
  <si>
    <t>160605</t>
  </si>
  <si>
    <t>Sarayacu</t>
  </si>
  <si>
    <t>160606</t>
  </si>
  <si>
    <t>Vargas Guerra</t>
  </si>
  <si>
    <t>160701</t>
  </si>
  <si>
    <t>Datem del Marañon</t>
  </si>
  <si>
    <t>160702</t>
  </si>
  <si>
    <t>Cahuapanas</t>
  </si>
  <si>
    <t>160703</t>
  </si>
  <si>
    <t>Manseriche</t>
  </si>
  <si>
    <t>160704</t>
  </si>
  <si>
    <t>Morona</t>
  </si>
  <si>
    <t>160705</t>
  </si>
  <si>
    <t>Pastaza</t>
  </si>
  <si>
    <t>160706</t>
  </si>
  <si>
    <t>Andoas</t>
  </si>
  <si>
    <t>160801</t>
  </si>
  <si>
    <t>Putumayo</t>
  </si>
  <si>
    <t>160802</t>
  </si>
  <si>
    <t>Rosa Panduro</t>
  </si>
  <si>
    <t>160803</t>
  </si>
  <si>
    <t>Teniente Manuel Clavero</t>
  </si>
  <si>
    <t>160804</t>
  </si>
  <si>
    <t>Yaguas</t>
  </si>
  <si>
    <t>170101</t>
  </si>
  <si>
    <t>Tambopata</t>
  </si>
  <si>
    <t>Madre de Dios</t>
  </si>
  <si>
    <t>170102</t>
  </si>
  <si>
    <t>Inambari</t>
  </si>
  <si>
    <t>170103</t>
  </si>
  <si>
    <t>Las Piedras</t>
  </si>
  <si>
    <t>170104</t>
  </si>
  <si>
    <t>Laberinto</t>
  </si>
  <si>
    <t>170201</t>
  </si>
  <si>
    <t>Manu</t>
  </si>
  <si>
    <t>170202</t>
  </si>
  <si>
    <t>Fitzcarrald</t>
  </si>
  <si>
    <t>170203</t>
  </si>
  <si>
    <t>170204</t>
  </si>
  <si>
    <t>Huepetuhe</t>
  </si>
  <si>
    <t>170301</t>
  </si>
  <si>
    <t>Iñapari</t>
  </si>
  <si>
    <t>Tahuamanu</t>
  </si>
  <si>
    <t>170302</t>
  </si>
  <si>
    <t>Iberia</t>
  </si>
  <si>
    <t>170303</t>
  </si>
  <si>
    <t>180101</t>
  </si>
  <si>
    <t>Moquegua</t>
  </si>
  <si>
    <t>Mariscal Nieto</t>
  </si>
  <si>
    <t>180102</t>
  </si>
  <si>
    <t>Carumas</t>
  </si>
  <si>
    <t>180103</t>
  </si>
  <si>
    <t>Cuchumbaya</t>
  </si>
  <si>
    <t>180104</t>
  </si>
  <si>
    <t>Samegua</t>
  </si>
  <si>
    <t>180105</t>
  </si>
  <si>
    <t>180106</t>
  </si>
  <si>
    <t>Torata</t>
  </si>
  <si>
    <t>180201</t>
  </si>
  <si>
    <t>Omate</t>
  </si>
  <si>
    <t>General Sanchez Cerr</t>
  </si>
  <si>
    <t>180202</t>
  </si>
  <si>
    <t>Chojata</t>
  </si>
  <si>
    <t>180203</t>
  </si>
  <si>
    <t>Coalaque</t>
  </si>
  <si>
    <t>180204</t>
  </si>
  <si>
    <t>Ichuña</t>
  </si>
  <si>
    <t>180205</t>
  </si>
  <si>
    <t>La Capilla</t>
  </si>
  <si>
    <t>180206</t>
  </si>
  <si>
    <t>Lloque</t>
  </si>
  <si>
    <t>180207</t>
  </si>
  <si>
    <t>Matalaque</t>
  </si>
  <si>
    <t>180208</t>
  </si>
  <si>
    <t>Puquina</t>
  </si>
  <si>
    <t>180209</t>
  </si>
  <si>
    <t>Quinistaquillas</t>
  </si>
  <si>
    <t>180210</t>
  </si>
  <si>
    <t>Ubinas</t>
  </si>
  <si>
    <t>180211</t>
  </si>
  <si>
    <t>Yunga</t>
  </si>
  <si>
    <t>180301</t>
  </si>
  <si>
    <t>Ilo</t>
  </si>
  <si>
    <t>180302</t>
  </si>
  <si>
    <t>El Algarrobal</t>
  </si>
  <si>
    <t>180303</t>
  </si>
  <si>
    <t>Pacocha</t>
  </si>
  <si>
    <t>190101</t>
  </si>
  <si>
    <t>Chaupimarca</t>
  </si>
  <si>
    <t>Pasco</t>
  </si>
  <si>
    <t>190102</t>
  </si>
  <si>
    <t>Huachon</t>
  </si>
  <si>
    <t>190103</t>
  </si>
  <si>
    <t>Huariaca</t>
  </si>
  <si>
    <t>190104</t>
  </si>
  <si>
    <t>Huayllay</t>
  </si>
  <si>
    <t>190105</t>
  </si>
  <si>
    <t>Ninacaca</t>
  </si>
  <si>
    <t>190106</t>
  </si>
  <si>
    <t>Pallanchacra</t>
  </si>
  <si>
    <t>190107</t>
  </si>
  <si>
    <t>190108</t>
  </si>
  <si>
    <t>San Francisco de Asis de Yarusyacan</t>
  </si>
  <si>
    <t>190109</t>
  </si>
  <si>
    <t>Simon Bolivar</t>
  </si>
  <si>
    <t>190110</t>
  </si>
  <si>
    <t>Ticlacayan</t>
  </si>
  <si>
    <t>190111</t>
  </si>
  <si>
    <t>Tinyahuarco</t>
  </si>
  <si>
    <t>190112</t>
  </si>
  <si>
    <t>Vicco</t>
  </si>
  <si>
    <t>190113</t>
  </si>
  <si>
    <t>190201</t>
  </si>
  <si>
    <t>Yanahuanca</t>
  </si>
  <si>
    <t>Daniel Alcides Carri</t>
  </si>
  <si>
    <t>190202</t>
  </si>
  <si>
    <t>Chacayan</t>
  </si>
  <si>
    <t>190203</t>
  </si>
  <si>
    <t>Goyllarisquizga</t>
  </si>
  <si>
    <t>190204</t>
  </si>
  <si>
    <t>Paucar</t>
  </si>
  <si>
    <t>190205</t>
  </si>
  <si>
    <t>San Pedro de Pillao</t>
  </si>
  <si>
    <t>190206</t>
  </si>
  <si>
    <t>Santa Ana de Tusi</t>
  </si>
  <si>
    <t>190207</t>
  </si>
  <si>
    <t>Tapuc</t>
  </si>
  <si>
    <t>190208</t>
  </si>
  <si>
    <t>190301</t>
  </si>
  <si>
    <t>Oxapampa</t>
  </si>
  <si>
    <t>190302</t>
  </si>
  <si>
    <t>Chontabamba</t>
  </si>
  <si>
    <t>190303</t>
  </si>
  <si>
    <t>Huancabamba</t>
  </si>
  <si>
    <t>190304</t>
  </si>
  <si>
    <t>Palcazu</t>
  </si>
  <si>
    <t>190305</t>
  </si>
  <si>
    <t>Pozuzo</t>
  </si>
  <si>
    <t>190306</t>
  </si>
  <si>
    <t>Puerto Bermudez</t>
  </si>
  <si>
    <t>190307</t>
  </si>
  <si>
    <t>Villa Rica</t>
  </si>
  <si>
    <t>190308</t>
  </si>
  <si>
    <t>Constitución</t>
  </si>
  <si>
    <t>200101</t>
  </si>
  <si>
    <t>Piura</t>
  </si>
  <si>
    <t>200104</t>
  </si>
  <si>
    <t>200105</t>
  </si>
  <si>
    <t>Catacaos</t>
  </si>
  <si>
    <t>200107</t>
  </si>
  <si>
    <t>Cura Mori</t>
  </si>
  <si>
    <t>200108</t>
  </si>
  <si>
    <t>El Tallan</t>
  </si>
  <si>
    <t>200109</t>
  </si>
  <si>
    <t>La Arena</t>
  </si>
  <si>
    <t>200110</t>
  </si>
  <si>
    <t>200111</t>
  </si>
  <si>
    <t>Las Lomas</t>
  </si>
  <si>
    <t>200114</t>
  </si>
  <si>
    <t>Tambo Grande</t>
  </si>
  <si>
    <t>200115</t>
  </si>
  <si>
    <t>26 de Octubre</t>
  </si>
  <si>
    <t>200201</t>
  </si>
  <si>
    <t>Ayabaca</t>
  </si>
  <si>
    <t>200202</t>
  </si>
  <si>
    <t>Frias</t>
  </si>
  <si>
    <t>200203</t>
  </si>
  <si>
    <t>Jilili</t>
  </si>
  <si>
    <t>200204</t>
  </si>
  <si>
    <t>200205</t>
  </si>
  <si>
    <t>Montero</t>
  </si>
  <si>
    <t>200206</t>
  </si>
  <si>
    <t>Pacaipampa</t>
  </si>
  <si>
    <t>200207</t>
  </si>
  <si>
    <t>Paimas</t>
  </si>
  <si>
    <t>200208</t>
  </si>
  <si>
    <t>Sapillica</t>
  </si>
  <si>
    <t>200209</t>
  </si>
  <si>
    <t>Sicchez</t>
  </si>
  <si>
    <t>200210</t>
  </si>
  <si>
    <t>Suyo</t>
  </si>
  <si>
    <t>200301</t>
  </si>
  <si>
    <t>200302</t>
  </si>
  <si>
    <t>Canchaque</t>
  </si>
  <si>
    <t>200303</t>
  </si>
  <si>
    <t>El Carmen de La Frontera</t>
  </si>
  <si>
    <t>200304</t>
  </si>
  <si>
    <t>Huarmaca</t>
  </si>
  <si>
    <t>200305</t>
  </si>
  <si>
    <t>Lalaquiz</t>
  </si>
  <si>
    <t>200306</t>
  </si>
  <si>
    <t>San Miguel de El Faique</t>
  </si>
  <si>
    <t>200307</t>
  </si>
  <si>
    <t>Sondor</t>
  </si>
  <si>
    <t>200308</t>
  </si>
  <si>
    <t>Sondorillo</t>
  </si>
  <si>
    <t>200401</t>
  </si>
  <si>
    <t>Chulucanas</t>
  </si>
  <si>
    <t>Morropon</t>
  </si>
  <si>
    <t>200402</t>
  </si>
  <si>
    <t>Buenos Aires</t>
  </si>
  <si>
    <t>200403</t>
  </si>
  <si>
    <t>Chalaco</t>
  </si>
  <si>
    <t>200404</t>
  </si>
  <si>
    <t>La Matanza</t>
  </si>
  <si>
    <t>200405</t>
  </si>
  <si>
    <t>200406</t>
  </si>
  <si>
    <t>Salitral</t>
  </si>
  <si>
    <t>200407</t>
  </si>
  <si>
    <t>San Juan de Bigote</t>
  </si>
  <si>
    <t>200408</t>
  </si>
  <si>
    <t>Santa Catalina de Mossa</t>
  </si>
  <si>
    <t>200409</t>
  </si>
  <si>
    <t>Santo Domingo</t>
  </si>
  <si>
    <t>200410</t>
  </si>
  <si>
    <t>Yamango</t>
  </si>
  <si>
    <t>200501</t>
  </si>
  <si>
    <t>Paita</t>
  </si>
  <si>
    <t>200502</t>
  </si>
  <si>
    <t>Amotape</t>
  </si>
  <si>
    <t>200503</t>
  </si>
  <si>
    <t>Arenal</t>
  </si>
  <si>
    <t>200504</t>
  </si>
  <si>
    <t>Colan</t>
  </si>
  <si>
    <t>200505</t>
  </si>
  <si>
    <t>La Huaca</t>
  </si>
  <si>
    <t>200506</t>
  </si>
  <si>
    <t>Tamarindo</t>
  </si>
  <si>
    <t>200507</t>
  </si>
  <si>
    <t>Vichayal</t>
  </si>
  <si>
    <t>200601</t>
  </si>
  <si>
    <t>Sullana</t>
  </si>
  <si>
    <t>200602</t>
  </si>
  <si>
    <t>200603</t>
  </si>
  <si>
    <t>Ignacio Escudero</t>
  </si>
  <si>
    <t>200604</t>
  </si>
  <si>
    <t>Lancones</t>
  </si>
  <si>
    <t>200605</t>
  </si>
  <si>
    <t>Marcavelica</t>
  </si>
  <si>
    <t>200606</t>
  </si>
  <si>
    <t>Miguel Checa</t>
  </si>
  <si>
    <t>200607</t>
  </si>
  <si>
    <t>Querecotillo</t>
  </si>
  <si>
    <t>200608</t>
  </si>
  <si>
    <t>200701</t>
  </si>
  <si>
    <t>Pariñas</t>
  </si>
  <si>
    <t>Talara</t>
  </si>
  <si>
    <t>200702</t>
  </si>
  <si>
    <t>El Alto</t>
  </si>
  <si>
    <t>200703</t>
  </si>
  <si>
    <t>La Brea</t>
  </si>
  <si>
    <t>200704</t>
  </si>
  <si>
    <t>Lobitos</t>
  </si>
  <si>
    <t>200705</t>
  </si>
  <si>
    <t>Los Organos</t>
  </si>
  <si>
    <t>200706</t>
  </si>
  <si>
    <t>Mancora</t>
  </si>
  <si>
    <t>200801</t>
  </si>
  <si>
    <t>Sechura</t>
  </si>
  <si>
    <t>200802</t>
  </si>
  <si>
    <t>Bellavista de La Union</t>
  </si>
  <si>
    <t>200803</t>
  </si>
  <si>
    <t>Bernal</t>
  </si>
  <si>
    <t>200804</t>
  </si>
  <si>
    <t>Cristo Nos Valga</t>
  </si>
  <si>
    <t>200805</t>
  </si>
  <si>
    <t>Vice</t>
  </si>
  <si>
    <t>200806</t>
  </si>
  <si>
    <t>Rinconada Llicuar</t>
  </si>
  <si>
    <t>210101</t>
  </si>
  <si>
    <t>Puno</t>
  </si>
  <si>
    <t>210102</t>
  </si>
  <si>
    <t>Acora</t>
  </si>
  <si>
    <t>210103</t>
  </si>
  <si>
    <t>Amantani</t>
  </si>
  <si>
    <t>210104</t>
  </si>
  <si>
    <t>Atuncolla</t>
  </si>
  <si>
    <t>210105</t>
  </si>
  <si>
    <t>Capachica</t>
  </si>
  <si>
    <t>210106</t>
  </si>
  <si>
    <t>Chucuito</t>
  </si>
  <si>
    <t>210107</t>
  </si>
  <si>
    <t>Coata</t>
  </si>
  <si>
    <t>210108</t>
  </si>
  <si>
    <t>210109</t>
  </si>
  <si>
    <t>Mañazo</t>
  </si>
  <si>
    <t>210110</t>
  </si>
  <si>
    <t>Paucarcolla</t>
  </si>
  <si>
    <t>210111</t>
  </si>
  <si>
    <t>Pichacani</t>
  </si>
  <si>
    <t>210112</t>
  </si>
  <si>
    <t>Plateria</t>
  </si>
  <si>
    <t>210113</t>
  </si>
  <si>
    <t>210114</t>
  </si>
  <si>
    <t>Tiquillaca</t>
  </si>
  <si>
    <t>210115</t>
  </si>
  <si>
    <t>Vilque</t>
  </si>
  <si>
    <t>210201</t>
  </si>
  <si>
    <t>210202</t>
  </si>
  <si>
    <t>Achaya</t>
  </si>
  <si>
    <t>210203</t>
  </si>
  <si>
    <t>Arapa</t>
  </si>
  <si>
    <t>210204</t>
  </si>
  <si>
    <t>Asillo</t>
  </si>
  <si>
    <t>210205</t>
  </si>
  <si>
    <t>Caminaca</t>
  </si>
  <si>
    <t>210206</t>
  </si>
  <si>
    <t>Chupa</t>
  </si>
  <si>
    <t>210207</t>
  </si>
  <si>
    <t>Jose Domingo Choquehuanca</t>
  </si>
  <si>
    <t>210208</t>
  </si>
  <si>
    <t>Muñani</t>
  </si>
  <si>
    <t>210209</t>
  </si>
  <si>
    <t>Potoni</t>
  </si>
  <si>
    <t>210210</t>
  </si>
  <si>
    <t>Saman</t>
  </si>
  <si>
    <t>210211</t>
  </si>
  <si>
    <t>San Anton</t>
  </si>
  <si>
    <t>210212</t>
  </si>
  <si>
    <t>210213</t>
  </si>
  <si>
    <t>San Juan de Salinas</t>
  </si>
  <si>
    <t>210214</t>
  </si>
  <si>
    <t>Santiago de Pupuja</t>
  </si>
  <si>
    <t>210215</t>
  </si>
  <si>
    <t>Tirapata</t>
  </si>
  <si>
    <t>210301</t>
  </si>
  <si>
    <t>Macusani</t>
  </si>
  <si>
    <t>Carabaya</t>
  </si>
  <si>
    <t>210302</t>
  </si>
  <si>
    <t>Ajoyani</t>
  </si>
  <si>
    <t>210303</t>
  </si>
  <si>
    <t>Ayapata</t>
  </si>
  <si>
    <t>210304</t>
  </si>
  <si>
    <t>Coasa</t>
  </si>
  <si>
    <t>210305</t>
  </si>
  <si>
    <t>Corani</t>
  </si>
  <si>
    <t>210306</t>
  </si>
  <si>
    <t>Crucero</t>
  </si>
  <si>
    <t>210307</t>
  </si>
  <si>
    <t>Ituata</t>
  </si>
  <si>
    <t>210308</t>
  </si>
  <si>
    <t>Ollachea</t>
  </si>
  <si>
    <t>210309</t>
  </si>
  <si>
    <t>San Gaban</t>
  </si>
  <si>
    <t>210310</t>
  </si>
  <si>
    <t>Usicayos</t>
  </si>
  <si>
    <t>210401</t>
  </si>
  <si>
    <t>Juli</t>
  </si>
  <si>
    <t>210402</t>
  </si>
  <si>
    <t>Desaguadero</t>
  </si>
  <si>
    <t>210403</t>
  </si>
  <si>
    <t>Huacullani</t>
  </si>
  <si>
    <t>210404</t>
  </si>
  <si>
    <t>Kelluyo</t>
  </si>
  <si>
    <t>210405</t>
  </si>
  <si>
    <t>Pisacoma</t>
  </si>
  <si>
    <t>210406</t>
  </si>
  <si>
    <t>Pomata</t>
  </si>
  <si>
    <t>210407</t>
  </si>
  <si>
    <t>Zepita</t>
  </si>
  <si>
    <t>210501</t>
  </si>
  <si>
    <t>Ilave</t>
  </si>
  <si>
    <t>El Collao</t>
  </si>
  <si>
    <t>210502</t>
  </si>
  <si>
    <t>Capazo</t>
  </si>
  <si>
    <t>210503</t>
  </si>
  <si>
    <t>Pilcuyo</t>
  </si>
  <si>
    <t>210504</t>
  </si>
  <si>
    <t>210505</t>
  </si>
  <si>
    <t>Conduriri</t>
  </si>
  <si>
    <t>210601</t>
  </si>
  <si>
    <t>Huancane</t>
  </si>
  <si>
    <t>210602</t>
  </si>
  <si>
    <t>Cojata</t>
  </si>
  <si>
    <t>210603</t>
  </si>
  <si>
    <t>Huatasani</t>
  </si>
  <si>
    <t>210604</t>
  </si>
  <si>
    <t>Inchupalla</t>
  </si>
  <si>
    <t>210605</t>
  </si>
  <si>
    <t>Pusi</t>
  </si>
  <si>
    <t>210606</t>
  </si>
  <si>
    <t>Rosaspata</t>
  </si>
  <si>
    <t>210607</t>
  </si>
  <si>
    <t>Taraco</t>
  </si>
  <si>
    <t>210608</t>
  </si>
  <si>
    <t>Vilque Chico</t>
  </si>
  <si>
    <t>210701</t>
  </si>
  <si>
    <t>210702</t>
  </si>
  <si>
    <t>Cabanilla</t>
  </si>
  <si>
    <t>210703</t>
  </si>
  <si>
    <t>Calapuja</t>
  </si>
  <si>
    <t>210704</t>
  </si>
  <si>
    <t>Nicasio</t>
  </si>
  <si>
    <t>210705</t>
  </si>
  <si>
    <t>Ocuviri</t>
  </si>
  <si>
    <t>210706</t>
  </si>
  <si>
    <t>210707</t>
  </si>
  <si>
    <t>Paratia</t>
  </si>
  <si>
    <t>210708</t>
  </si>
  <si>
    <t>210709</t>
  </si>
  <si>
    <t>210710</t>
  </si>
  <si>
    <t>Vilavila</t>
  </si>
  <si>
    <t>210801</t>
  </si>
  <si>
    <t>Melgar</t>
  </si>
  <si>
    <t>210802</t>
  </si>
  <si>
    <t>Antauta</t>
  </si>
  <si>
    <t>210803</t>
  </si>
  <si>
    <t>Cupi</t>
  </si>
  <si>
    <t>210804</t>
  </si>
  <si>
    <t>Llalli</t>
  </si>
  <si>
    <t>210805</t>
  </si>
  <si>
    <t>Macari</t>
  </si>
  <si>
    <t>210806</t>
  </si>
  <si>
    <t>Nuñoa</t>
  </si>
  <si>
    <t>210807</t>
  </si>
  <si>
    <t>Orurillo</t>
  </si>
  <si>
    <t>210808</t>
  </si>
  <si>
    <t>210809</t>
  </si>
  <si>
    <t>Umachiri</t>
  </si>
  <si>
    <t>210901</t>
  </si>
  <si>
    <t>Moho</t>
  </si>
  <si>
    <t>210902</t>
  </si>
  <si>
    <t>Conima</t>
  </si>
  <si>
    <t>210903</t>
  </si>
  <si>
    <t>Huayrapata</t>
  </si>
  <si>
    <t>210904</t>
  </si>
  <si>
    <t>Tilali</t>
  </si>
  <si>
    <t>211001</t>
  </si>
  <si>
    <t>Putina</t>
  </si>
  <si>
    <t>San Antonio de Putin</t>
  </si>
  <si>
    <t>211002</t>
  </si>
  <si>
    <t>Ananea</t>
  </si>
  <si>
    <t>211003</t>
  </si>
  <si>
    <t>Pedro Vilca Apaza</t>
  </si>
  <si>
    <t>211004</t>
  </si>
  <si>
    <t>Quilcapuncu</t>
  </si>
  <si>
    <t>211005</t>
  </si>
  <si>
    <t>Sina</t>
  </si>
  <si>
    <t>211101</t>
  </si>
  <si>
    <t>Juliaca</t>
  </si>
  <si>
    <t>San Roman</t>
  </si>
  <si>
    <t>211102</t>
  </si>
  <si>
    <t>211103</t>
  </si>
  <si>
    <t>Cabanillas</t>
  </si>
  <si>
    <t>211104</t>
  </si>
  <si>
    <t>Caracoto</t>
  </si>
  <si>
    <t>211105</t>
  </si>
  <si>
    <t>211201</t>
  </si>
  <si>
    <t>Sandia</t>
  </si>
  <si>
    <t>211202</t>
  </si>
  <si>
    <t>Cuyocuyo</t>
  </si>
  <si>
    <t>211203</t>
  </si>
  <si>
    <t>Limbani</t>
  </si>
  <si>
    <t>211204</t>
  </si>
  <si>
    <t>Patambuco</t>
  </si>
  <si>
    <t>211205</t>
  </si>
  <si>
    <t>Phara</t>
  </si>
  <si>
    <t>211206</t>
  </si>
  <si>
    <t>Quiaca</t>
  </si>
  <si>
    <t>211207</t>
  </si>
  <si>
    <t>San Juan del Oro</t>
  </si>
  <si>
    <t>211208</t>
  </si>
  <si>
    <t>Yanahuaya</t>
  </si>
  <si>
    <t>211209</t>
  </si>
  <si>
    <t>Alto Inambari</t>
  </si>
  <si>
    <t>211210</t>
  </si>
  <si>
    <t>San Pedro de Putina Punco</t>
  </si>
  <si>
    <t>211301</t>
  </si>
  <si>
    <t>Yunguyo</t>
  </si>
  <si>
    <t>211302</t>
  </si>
  <si>
    <t>Anapia</t>
  </si>
  <si>
    <t>211303</t>
  </si>
  <si>
    <t>Copani</t>
  </si>
  <si>
    <t>211304</t>
  </si>
  <si>
    <t>Cuturapi</t>
  </si>
  <si>
    <t>211305</t>
  </si>
  <si>
    <t>Ollaraya</t>
  </si>
  <si>
    <t>211306</t>
  </si>
  <si>
    <t>Tinicachi</t>
  </si>
  <si>
    <t>211307</t>
  </si>
  <si>
    <t>Unicachi</t>
  </si>
  <si>
    <t>220101</t>
  </si>
  <si>
    <t>Moyobamba</t>
  </si>
  <si>
    <t>San Martin</t>
  </si>
  <si>
    <t>220102</t>
  </si>
  <si>
    <t>Calzada</t>
  </si>
  <si>
    <t>220103</t>
  </si>
  <si>
    <t>Habana</t>
  </si>
  <si>
    <t>220104</t>
  </si>
  <si>
    <t>Jepelacio</t>
  </si>
  <si>
    <t>220105</t>
  </si>
  <si>
    <t>Soritor</t>
  </si>
  <si>
    <t>220106</t>
  </si>
  <si>
    <t>Yantalo</t>
  </si>
  <si>
    <t>220201</t>
  </si>
  <si>
    <t>220202</t>
  </si>
  <si>
    <t>Alto Biavo</t>
  </si>
  <si>
    <t>220203</t>
  </si>
  <si>
    <t>Bajo Biavo</t>
  </si>
  <si>
    <t>220204</t>
  </si>
  <si>
    <t>Huallaga</t>
  </si>
  <si>
    <t>220205</t>
  </si>
  <si>
    <t>220206</t>
  </si>
  <si>
    <t>220301</t>
  </si>
  <si>
    <t>San Jose de Sisa</t>
  </si>
  <si>
    <t>El Dorado</t>
  </si>
  <si>
    <t>220302</t>
  </si>
  <si>
    <t>Agua Blanca</t>
  </si>
  <si>
    <t>220303</t>
  </si>
  <si>
    <t>220304</t>
  </si>
  <si>
    <t>220305</t>
  </si>
  <si>
    <t>Shatoja</t>
  </si>
  <si>
    <t>220401</t>
  </si>
  <si>
    <t>Saposoa</t>
  </si>
  <si>
    <t>220402</t>
  </si>
  <si>
    <t>Alto Saposoa</t>
  </si>
  <si>
    <t>220403</t>
  </si>
  <si>
    <t>El Eslabon</t>
  </si>
  <si>
    <t>220404</t>
  </si>
  <si>
    <t>Piscoyacu</t>
  </si>
  <si>
    <t>220405</t>
  </si>
  <si>
    <t>Sacanche</t>
  </si>
  <si>
    <t>220406</t>
  </si>
  <si>
    <t>Tingo de Saposoa</t>
  </si>
  <si>
    <t>220501</t>
  </si>
  <si>
    <t>Lamas</t>
  </si>
  <si>
    <t>220502</t>
  </si>
  <si>
    <t>Alonso de Alvarado</t>
  </si>
  <si>
    <t>220503</t>
  </si>
  <si>
    <t>Barranquita</t>
  </si>
  <si>
    <t>220504</t>
  </si>
  <si>
    <t>Caynarachi</t>
  </si>
  <si>
    <t>220505</t>
  </si>
  <si>
    <t>Cuñumbuqui</t>
  </si>
  <si>
    <t>220506</t>
  </si>
  <si>
    <t>Pinto Recodo</t>
  </si>
  <si>
    <t>220507</t>
  </si>
  <si>
    <t>Rumisapa</t>
  </si>
  <si>
    <t>220508</t>
  </si>
  <si>
    <t>San Roque de Cumbaza</t>
  </si>
  <si>
    <t>220509</t>
  </si>
  <si>
    <t>Shanao</t>
  </si>
  <si>
    <t>220510</t>
  </si>
  <si>
    <t>Tabalosos</t>
  </si>
  <si>
    <t>220511</t>
  </si>
  <si>
    <t>Zapatero</t>
  </si>
  <si>
    <t>220601</t>
  </si>
  <si>
    <t>Juanjui</t>
  </si>
  <si>
    <t>220602</t>
  </si>
  <si>
    <t>Campanilla</t>
  </si>
  <si>
    <t>220603</t>
  </si>
  <si>
    <t>Huicungo</t>
  </si>
  <si>
    <t>220604</t>
  </si>
  <si>
    <t>Pachiza</t>
  </si>
  <si>
    <t>220605</t>
  </si>
  <si>
    <t>Pajarillo</t>
  </si>
  <si>
    <t>220701</t>
  </si>
  <si>
    <t>Picota</t>
  </si>
  <si>
    <t>220702</t>
  </si>
  <si>
    <t>220703</t>
  </si>
  <si>
    <t>Caspisapa</t>
  </si>
  <si>
    <t>220704</t>
  </si>
  <si>
    <t>Pilluana</t>
  </si>
  <si>
    <t>220705</t>
  </si>
  <si>
    <t>Pucacaca</t>
  </si>
  <si>
    <t>220706</t>
  </si>
  <si>
    <t>220707</t>
  </si>
  <si>
    <t>San Hilarion</t>
  </si>
  <si>
    <t>220708</t>
  </si>
  <si>
    <t>Shamboyacu</t>
  </si>
  <si>
    <t>220709</t>
  </si>
  <si>
    <t>Tingo de Ponasa</t>
  </si>
  <si>
    <t>220710</t>
  </si>
  <si>
    <t>Tres Unidos</t>
  </si>
  <si>
    <t>220801</t>
  </si>
  <si>
    <t>Rioja</t>
  </si>
  <si>
    <t>220802</t>
  </si>
  <si>
    <t>Awajun</t>
  </si>
  <si>
    <t>220803</t>
  </si>
  <si>
    <t>Elias Soplin Vargas</t>
  </si>
  <si>
    <t>220804</t>
  </si>
  <si>
    <t>Nueva Cajamarca</t>
  </si>
  <si>
    <t>220805</t>
  </si>
  <si>
    <t>Pardo Miguel</t>
  </si>
  <si>
    <t>220806</t>
  </si>
  <si>
    <t>Posic</t>
  </si>
  <si>
    <t>220807</t>
  </si>
  <si>
    <t>San Fernando</t>
  </si>
  <si>
    <t>220808</t>
  </si>
  <si>
    <t>Yorongos</t>
  </si>
  <si>
    <t>220809</t>
  </si>
  <si>
    <t>Yuracyacu</t>
  </si>
  <si>
    <t>220901</t>
  </si>
  <si>
    <t>Tarapoto</t>
  </si>
  <si>
    <t>220902</t>
  </si>
  <si>
    <t>Alberto Leveau</t>
  </si>
  <si>
    <t>220903</t>
  </si>
  <si>
    <t>Cacatachi</t>
  </si>
  <si>
    <t>220904</t>
  </si>
  <si>
    <t>Chazuta</t>
  </si>
  <si>
    <t>220905</t>
  </si>
  <si>
    <t>Chipurana</t>
  </si>
  <si>
    <t>220906</t>
  </si>
  <si>
    <t>220907</t>
  </si>
  <si>
    <t>Huimbayoc</t>
  </si>
  <si>
    <t>220908</t>
  </si>
  <si>
    <t>Juan Guerra</t>
  </si>
  <si>
    <t>220909</t>
  </si>
  <si>
    <t>La Banda de Shilcayo</t>
  </si>
  <si>
    <t>220910</t>
  </si>
  <si>
    <t>Morales</t>
  </si>
  <si>
    <t>220911</t>
  </si>
  <si>
    <t>Papaplaya</t>
  </si>
  <si>
    <t>220912</t>
  </si>
  <si>
    <t>220913</t>
  </si>
  <si>
    <t>Sauce</t>
  </si>
  <si>
    <t>220914</t>
  </si>
  <si>
    <t>Shapaja</t>
  </si>
  <si>
    <t>221001</t>
  </si>
  <si>
    <t>Tocache</t>
  </si>
  <si>
    <t>221002</t>
  </si>
  <si>
    <t>Nuevo Progreso</t>
  </si>
  <si>
    <t>221003</t>
  </si>
  <si>
    <t>Polvora</t>
  </si>
  <si>
    <t>221004</t>
  </si>
  <si>
    <t>Shunte</t>
  </si>
  <si>
    <t>221005</t>
  </si>
  <si>
    <t>Uchiza</t>
  </si>
  <si>
    <t>230101</t>
  </si>
  <si>
    <t>Tacna</t>
  </si>
  <si>
    <t>230102</t>
  </si>
  <si>
    <t>Alto de La Alianza</t>
  </si>
  <si>
    <t>230103</t>
  </si>
  <si>
    <t>Calana</t>
  </si>
  <si>
    <t>230104</t>
  </si>
  <si>
    <t>Ciudad Nueva</t>
  </si>
  <si>
    <t>230105</t>
  </si>
  <si>
    <t>Inclan</t>
  </si>
  <si>
    <t>230106</t>
  </si>
  <si>
    <t>Pachia</t>
  </si>
  <si>
    <t>230107</t>
  </si>
  <si>
    <t>230108</t>
  </si>
  <si>
    <t>Pocollay</t>
  </si>
  <si>
    <t>230109</t>
  </si>
  <si>
    <t>Sama</t>
  </si>
  <si>
    <t>230110</t>
  </si>
  <si>
    <t>Coronel Gregorio Albarracin Lanchipa</t>
  </si>
  <si>
    <t>230111</t>
  </si>
  <si>
    <t>La Yarada-Los Palos</t>
  </si>
  <si>
    <t>230201</t>
  </si>
  <si>
    <t>Candarave</t>
  </si>
  <si>
    <t>230202</t>
  </si>
  <si>
    <t>Cairani</t>
  </si>
  <si>
    <t>230203</t>
  </si>
  <si>
    <t>Camilaca</t>
  </si>
  <si>
    <t>230204</t>
  </si>
  <si>
    <t>Curibaya</t>
  </si>
  <si>
    <t>230205</t>
  </si>
  <si>
    <t>Huanuara</t>
  </si>
  <si>
    <t>230206</t>
  </si>
  <si>
    <t>Quilahuani</t>
  </si>
  <si>
    <t>230301</t>
  </si>
  <si>
    <t>Locumba</t>
  </si>
  <si>
    <t>Jorge Basadre</t>
  </si>
  <si>
    <t>230302</t>
  </si>
  <si>
    <t>Ilabaya</t>
  </si>
  <si>
    <t>230303</t>
  </si>
  <si>
    <t>Ite</t>
  </si>
  <si>
    <t>230401</t>
  </si>
  <si>
    <t>Tarata</t>
  </si>
  <si>
    <t>230402</t>
  </si>
  <si>
    <t>Heroes Albarracin</t>
  </si>
  <si>
    <t>230403</t>
  </si>
  <si>
    <t>Estique</t>
  </si>
  <si>
    <t>230404</t>
  </si>
  <si>
    <t>Estique-Pampa</t>
  </si>
  <si>
    <t>230405</t>
  </si>
  <si>
    <t>Sitajara</t>
  </si>
  <si>
    <t>230406</t>
  </si>
  <si>
    <t>Susapaya</t>
  </si>
  <si>
    <t>230407</t>
  </si>
  <si>
    <t>Tarucachi</t>
  </si>
  <si>
    <t>230408</t>
  </si>
  <si>
    <t>Ticaco</t>
  </si>
  <si>
    <t>240101</t>
  </si>
  <si>
    <t>Tumbes</t>
  </si>
  <si>
    <t>240102</t>
  </si>
  <si>
    <t>Corrales</t>
  </si>
  <si>
    <t>240103</t>
  </si>
  <si>
    <t>La Cruz</t>
  </si>
  <si>
    <t>240104</t>
  </si>
  <si>
    <t>Pampas de Hospital</t>
  </si>
  <si>
    <t>240105</t>
  </si>
  <si>
    <t>San Jacinto</t>
  </si>
  <si>
    <t>240106</t>
  </si>
  <si>
    <t>San Juan de La Virgen</t>
  </si>
  <si>
    <t>240201</t>
  </si>
  <si>
    <t>Zorritos</t>
  </si>
  <si>
    <t>Contralmirante Villa</t>
  </si>
  <si>
    <t>240202</t>
  </si>
  <si>
    <t>Casitas</t>
  </si>
  <si>
    <t>240203</t>
  </si>
  <si>
    <t>Canoas de Punta Sal</t>
  </si>
  <si>
    <t>240301</t>
  </si>
  <si>
    <t>Zarumilla</t>
  </si>
  <si>
    <t>240302</t>
  </si>
  <si>
    <t>Aguas Verdes</t>
  </si>
  <si>
    <t>240303</t>
  </si>
  <si>
    <t>Matapalo</t>
  </si>
  <si>
    <t>240304</t>
  </si>
  <si>
    <t>Papayal</t>
  </si>
  <si>
    <t>250101</t>
  </si>
  <si>
    <t>Calleria</t>
  </si>
  <si>
    <t>Coronel Portillo</t>
  </si>
  <si>
    <t>250102</t>
  </si>
  <si>
    <t>Campoverde</t>
  </si>
  <si>
    <t>250103</t>
  </si>
  <si>
    <t>Iparia</t>
  </si>
  <si>
    <t>250104</t>
  </si>
  <si>
    <t>Masisea</t>
  </si>
  <si>
    <t>250105</t>
  </si>
  <si>
    <t>Yarinacocha</t>
  </si>
  <si>
    <t>250106</t>
  </si>
  <si>
    <t>Nueva Requena</t>
  </si>
  <si>
    <t>250107</t>
  </si>
  <si>
    <t>Manantay</t>
  </si>
  <si>
    <t>250201</t>
  </si>
  <si>
    <t>Raymondi</t>
  </si>
  <si>
    <t>Atalaya</t>
  </si>
  <si>
    <t>250202</t>
  </si>
  <si>
    <t>Sepahua</t>
  </si>
  <si>
    <t>250203</t>
  </si>
  <si>
    <t>Tahuania</t>
  </si>
  <si>
    <t>250204</t>
  </si>
  <si>
    <t>Yurua</t>
  </si>
  <si>
    <t>250301</t>
  </si>
  <si>
    <t>Padre Abad</t>
  </si>
  <si>
    <t>250302</t>
  </si>
  <si>
    <t>Irazola</t>
  </si>
  <si>
    <t>250303</t>
  </si>
  <si>
    <t>Curimana</t>
  </si>
  <si>
    <t>250304</t>
  </si>
  <si>
    <t>Neshuya</t>
  </si>
  <si>
    <t>250305</t>
  </si>
  <si>
    <t>Alexander von Humboldt</t>
  </si>
  <si>
    <t>250401</t>
  </si>
  <si>
    <t>Purus</t>
  </si>
  <si>
    <t xml:space="preserve"> </t>
  </si>
  <si>
    <t>Precipitación media anual</t>
  </si>
  <si>
    <t>Temperatura media anual</t>
  </si>
  <si>
    <t xml:space="preserve">https://www.senamhi.gob.pe/?&amp;p=estaciones   </t>
  </si>
  <si>
    <t>https://censos2017.inei.gob.pe/redatam/</t>
  </si>
  <si>
    <t>Abastecimiento de agua por red pública dentro de la vivienda</t>
  </si>
  <si>
    <t>Servicio higiénico conectado a red pública de desagüe dentro de la vivienda</t>
  </si>
  <si>
    <t>Cuenta con alumbrado eléctrico conectado a una red pública</t>
  </si>
  <si>
    <t>Cuenta con servicio de internet</t>
  </si>
  <si>
    <t>Si_No</t>
  </si>
  <si>
    <t xml:space="preserve">https://sigrid.cenepred.gob.pe/sigridv3/ </t>
  </si>
  <si>
    <t>B. Características de: i) accesibilidad al distrito; ii) condiciones de pobreza; y, iii) principales características sociales y económicas</t>
  </si>
  <si>
    <t>2.04 Análisis de las características del distrito donde se ubica o ubicará el CIAI</t>
  </si>
  <si>
    <t>C. Acceso a servicios públicos en el distrito</t>
  </si>
  <si>
    <t>Porcentaje de viviendas con acceso</t>
  </si>
  <si>
    <t>Fuente de información (incluir enlace)</t>
  </si>
  <si>
    <t>Año de información</t>
  </si>
  <si>
    <t>Problema central</t>
  </si>
  <si>
    <t>UBIGEO</t>
  </si>
  <si>
    <t>PC_cobertura</t>
  </si>
  <si>
    <t>PC_calidad</t>
  </si>
  <si>
    <t>ID_PC</t>
  </si>
  <si>
    <t>Causas directas</t>
  </si>
  <si>
    <t>ID Causas directas</t>
  </si>
  <si>
    <t>Inadecuadas condiciones físicas para brindar el servicio de cuidado diurno</t>
  </si>
  <si>
    <t>Insuficiente capacidad para la gestión y atención del servicio de cuidado diurno</t>
  </si>
  <si>
    <t>Condiciones físicas inexistentes para brindar el servicio de cuidado diurno</t>
  </si>
  <si>
    <t>Limitadas capacidades para la gestión y para la atención del servicio de cuidado diurno</t>
  </si>
  <si>
    <t>CD_calidad1</t>
  </si>
  <si>
    <t>CD_calidad2</t>
  </si>
  <si>
    <t>CD_cobertura1</t>
  </si>
  <si>
    <t>CD_cobertura2</t>
  </si>
  <si>
    <t>Causas indirectas</t>
  </si>
  <si>
    <t>Infraestructura del CIAI no cumple con los estándares de calidad</t>
  </si>
  <si>
    <t>Mobiliario del CIAI no cumple con los estándares de calidad</t>
  </si>
  <si>
    <t>Insuficiente capacitación de recursos humanos que operan en el CIAI</t>
  </si>
  <si>
    <t>CI_calidad1.1</t>
  </si>
  <si>
    <t>CI_calidad1.2</t>
  </si>
  <si>
    <t>CI_calidad1.3</t>
  </si>
  <si>
    <t>CI_calidad2.1</t>
  </si>
  <si>
    <t>Evidencias</t>
  </si>
  <si>
    <t>Objetivo central</t>
  </si>
  <si>
    <t>Medios de primer nivel</t>
  </si>
  <si>
    <t>Adecuadas condiciones físicas para brindar el servicio de cuidado diurno</t>
  </si>
  <si>
    <t>Suficiente capacidad para la gestión y atención del servicio de cuidado diurno</t>
  </si>
  <si>
    <t>Condiciones físicas existentes para brindar el servicio de cuidado diurno</t>
  </si>
  <si>
    <t>Adecuadas capacidades para la gestión y para la atención del servicio de cuidado diurno</t>
  </si>
  <si>
    <t>Infraestructura del CIAI cumple con los estándares de calidad</t>
  </si>
  <si>
    <t>Mobiliario del CIAI cumple con los estándares de calidad</t>
  </si>
  <si>
    <t>Se cuenta con infraestructura para brindar el servicio</t>
  </si>
  <si>
    <t>Se cuenta con mobiliario para brindar el servicio</t>
  </si>
  <si>
    <t>Acción 2.1.2 cobertura</t>
  </si>
  <si>
    <t>Acción 2.1.3 cobertura</t>
  </si>
  <si>
    <t>Indicador</t>
  </si>
  <si>
    <t>Porcentaje de centros infantiles de atención integral que brindan el servicio de cuidado integral en condición inadecuada. (PCIAICI)</t>
  </si>
  <si>
    <t>Porcentaje de centros infantiles de atención integral por implementar. (PCIAIPI)</t>
  </si>
  <si>
    <t>Naturaleza</t>
  </si>
  <si>
    <t>Creación</t>
  </si>
  <si>
    <t>Mejoramiento</t>
  </si>
  <si>
    <t>CIAI</t>
  </si>
  <si>
    <t>23 PROTECCIÓN SOCIAL</t>
  </si>
  <si>
    <t>051 ASISTENCIA SOCIAL</t>
  </si>
  <si>
    <t>0115 PROTECCIÓN DE POBLACIONES EN RIESGO</t>
  </si>
  <si>
    <t>DESARROLLO E INCLUSION SOCIAL</t>
  </si>
  <si>
    <t>CENTRO INFANTIL DE ATENCIÓN INTEGRAL</t>
  </si>
  <si>
    <t>1.01 Institucionalidad</t>
  </si>
  <si>
    <t>1.02 Responsabilidad funcional y tipología del proyecto de inversión</t>
  </si>
  <si>
    <t>1.03 Nombre del proyecto de inversión</t>
  </si>
  <si>
    <t>1.04 Alineamiento y contribución al cierre de una brecha prioritaria</t>
  </si>
  <si>
    <t>Nivel de gobierno</t>
  </si>
  <si>
    <t>Gobierno Nacional</t>
  </si>
  <si>
    <t>Gobierno Local</t>
  </si>
  <si>
    <t>Gobierno Regional</t>
  </si>
  <si>
    <t xml:space="preserve">Nombre de la UF:  </t>
  </si>
  <si>
    <t>2.02 Localización del área de influencia del proyecto</t>
  </si>
  <si>
    <t>Nota: Considerar el espacio geográfico donde se ubica la población afectada</t>
  </si>
  <si>
    <t>Nota: Considerar el espacio geográfico donde se localiza la población afectada y el área donde se ubica el CIAI</t>
  </si>
  <si>
    <t xml:space="preserve">https://earth.google.com/web/ </t>
  </si>
  <si>
    <t xml:space="preserve">https://estadist.inei.gob.pe/map </t>
  </si>
  <si>
    <t xml:space="preserve">Nota: Para la macrolocalización, puede utilizar la fuente: </t>
  </si>
  <si>
    <t>2.03 Macro y micro localización del área de estudio</t>
  </si>
  <si>
    <t>LA UNIDAD PRODUCTORA DE BIENES Y SERVICIOS</t>
  </si>
  <si>
    <t xml:space="preserve">https://www.google.com/maps </t>
  </si>
  <si>
    <t xml:space="preserve">Nota: Para buscar las coordenadas geográficas, puede utilizar la fuente: </t>
  </si>
  <si>
    <t>Anexo: informe técnico de la situación actual - contenido mínimo</t>
  </si>
  <si>
    <t>Servicio de cuidado diurno</t>
  </si>
  <si>
    <t>Servicio y sus procesos de producción</t>
  </si>
  <si>
    <t>Caracterización de los procesos de producción del CIAI</t>
  </si>
  <si>
    <t>Nota: Incluir informe de situación actual de las condiciones en las que se brinda el servicio</t>
  </si>
  <si>
    <t>M2</t>
  </si>
  <si>
    <t>Estado actual</t>
  </si>
  <si>
    <t>Bueno</t>
  </si>
  <si>
    <t>Regular</t>
  </si>
  <si>
    <t>Malo</t>
  </si>
  <si>
    <t>No existe</t>
  </si>
  <si>
    <t>ML</t>
  </si>
  <si>
    <t>M3</t>
  </si>
  <si>
    <t>Muro de contención</t>
  </si>
  <si>
    <t>3.06 Condiciones técnicas del local del CIAI</t>
  </si>
  <si>
    <t>¿El CIAI está alejado de agentes contaminantes o peligros que no puedan ser mitigados?</t>
  </si>
  <si>
    <t>¿El CIAI está a una distancia no menor de 50 metros de estaciones de expendio de combustible?</t>
  </si>
  <si>
    <t>¿El CIAI está a una distancia no menor a 25 metros de una línea de alta tensión eléctrica?</t>
  </si>
  <si>
    <t>¿El CIAI es colindante con hospitales, centros médicos, centros de atención de salud, o similares, de categoría I-3, categoría I-4, categoría II o categoría III?</t>
  </si>
  <si>
    <t>EL CIAI no cumple con esta condición técnica del Local, en relación a su entorno</t>
  </si>
  <si>
    <t>¿Las salas del CIAI se ubican en el primer piso?</t>
  </si>
  <si>
    <t>¿Las puertas de ingreso y salida del CIAI están orientados directamente a una vía de alto tránsito vehicular?</t>
  </si>
  <si>
    <t>A. Condiciones técnicas del local</t>
  </si>
  <si>
    <t>Condiciones del CIAI</t>
  </si>
  <si>
    <t xml:space="preserve">Convenio de Cesión/Afectación en Uso, suscrito entre el PNCM y una Entidad Pública (Municipalidad, Gobierno Regional, Ministerios entre otras) o privada (Asentamiento Humanos, Comités, Urbanizaciones, etc.); Entidades Religiosas, Sociedad Civiles Sin Fines de Lucro, Comunidades Campesinas y Nativas. </t>
  </si>
  <si>
    <t xml:space="preserve">Contrato de Comodato suscrito entre el PNCM y el(los) propietario(s) del bien inmueble (Persona Natural), que contemplen el uso exclusivo del local para el Servicio de Cuidado Diurno. </t>
  </si>
  <si>
    <t xml:space="preserve">Acta de facilitación de espacios físicos de bien inmueble, debidamente suscrita por el PNCM y el representante de la Institución Educativa, que contemplen espacios determinados dentro de las instalaciones de las Instituciones Educativas Públicas. </t>
  </si>
  <si>
    <t xml:space="preserve">Resolución de Afectación en Uso del bien inmueble emitida por Autoridad Pública competente y con arreglo a Ley. </t>
  </si>
  <si>
    <t xml:space="preserve">Certificado literal de la partida registral donde se encuentre inscrita la Afectación en Uso a favor del Programa Nacional Cuna Más – PNCM. </t>
  </si>
  <si>
    <t xml:space="preserve">Constancia de Posesión otorgada por Municipalidad Distrital a favor del Programa Nacional Cuna Más. </t>
  </si>
  <si>
    <t>UNIDAD EJECUTORA DE INVERSIONES (UEI)</t>
  </si>
  <si>
    <t xml:space="preserve">A. Datos generales del distrito </t>
  </si>
  <si>
    <t>3.02 Código de identificación del CIAI (Local ID) y tipo de CIAI</t>
  </si>
  <si>
    <t>Código de CIAI</t>
  </si>
  <si>
    <t>Tipo de CIAI</t>
  </si>
  <si>
    <t>Tipo I-A</t>
  </si>
  <si>
    <t>Tipo II-A</t>
  </si>
  <si>
    <t>Tipo I-B</t>
  </si>
  <si>
    <t>Tipo II-B</t>
  </si>
  <si>
    <t>Tipo III-A</t>
  </si>
  <si>
    <t>Tipo III-B</t>
  </si>
  <si>
    <t>Tipo IV-A</t>
  </si>
  <si>
    <t>Tipo IV-B</t>
  </si>
  <si>
    <t>niño/as</t>
  </si>
  <si>
    <t>Anexo 06: Centro Infantil de Atencion Integral, Tipo III-B</t>
  </si>
  <si>
    <t>Anexo 07: Centro Infantil de Atencion Integral, Tipo IV-A</t>
  </si>
  <si>
    <t>Anexo 08: Centro Infantil de Atencion Integral, Tipo IV-B</t>
  </si>
  <si>
    <t>ESPACIO</t>
  </si>
  <si>
    <t>Área
Minima (m2)</t>
  </si>
  <si>
    <t>Área
Mínima (m2)</t>
  </si>
  <si>
    <t>Número de niñas/os</t>
  </si>
  <si>
    <t>Área Mínima (m2)</t>
  </si>
  <si>
    <t>CUIDADO DIURNO</t>
  </si>
  <si>
    <t>SALA MIXTA 1</t>
  </si>
  <si>
    <t xml:space="preserve">CUIDADO DIURNO
</t>
  </si>
  <si>
    <t>CUIDADO DIURINO</t>
  </si>
  <si>
    <t>Servicios Higiénicos (un inodoro y un lavatorio por cada 8 niños) incluye Peñalera</t>
  </si>
  <si>
    <t>Servicios Higiénicos (un inodoro y un lavatorio por cada 8 niños) incluye Pañalera</t>
  </si>
  <si>
    <t>-</t>
  </si>
  <si>
    <t>Servicios Higiénicos (un inodoro y un lavatorio por cada 8 niños) incluye Pañalera.</t>
  </si>
  <si>
    <t>CIUDADANO
DIURNO</t>
  </si>
  <si>
    <t>Closet para colchoneta</t>
  </si>
  <si>
    <t>SALA MIXTA 2</t>
  </si>
  <si>
    <t>SERVICIOS 
COMPLEMENTARIOS</t>
  </si>
  <si>
    <t>Área de lavado de vajilla</t>
  </si>
  <si>
    <t>SALA MIXTA 3</t>
  </si>
  <si>
    <t>Depósito de material educativo</t>
  </si>
  <si>
    <t>Servicios Higiénicos (un inodoro y un lavatono por cada 8 ninos) incluye Pañalera</t>
  </si>
  <si>
    <t>Cubículo de Bomba de Agua</t>
  </si>
  <si>
    <t>Closet de Limpieza</t>
  </si>
  <si>
    <t>SALA MIXTA 4</t>
  </si>
  <si>
    <t xml:space="preserve">Lavandería </t>
  </si>
  <si>
    <t>Patio Tendal</t>
  </si>
  <si>
    <t>Espacio de juego al aire libre (mínimo 40% del área neta de las salas)</t>
  </si>
  <si>
    <t>PLAZA DE USOS MULTIPLES/COMEDOR
(mínimo 0.75 m2 por total de niños)</t>
  </si>
  <si>
    <t>SERVICIOS COMPLEMENTARIOS</t>
  </si>
  <si>
    <t>Área Neta de Ambientes</t>
  </si>
  <si>
    <t>Servicios higiénicos de adultos (1/2 baño acondicionado para personas con discapacidad)</t>
  </si>
  <si>
    <t>Área Techada Total</t>
  </si>
  <si>
    <t>Área de Terreno mínima</t>
  </si>
  <si>
    <t>% de circulación de muros (20%)</t>
  </si>
  <si>
    <t>Área libre mínima (30% del área del terreno)</t>
  </si>
  <si>
    <r>
      <t xml:space="preserve">Anexo 01:
</t>
    </r>
    <r>
      <rPr>
        <b/>
        <u/>
        <sz val="11"/>
        <color rgb="FF000000"/>
        <rFont val="Arial"/>
        <family val="2"/>
      </rPr>
      <t>Centro Infantil de Atención Integral, Tipo I-A</t>
    </r>
  </si>
  <si>
    <r>
      <t xml:space="preserve">Anexo 02:
</t>
    </r>
    <r>
      <rPr>
        <b/>
        <u/>
        <sz val="11"/>
        <color rgb="FF000000"/>
        <rFont val="Arial"/>
        <family val="2"/>
      </rPr>
      <t>Centro Infantil de Atención Integral, Tipo I-B</t>
    </r>
  </si>
  <si>
    <r>
      <t xml:space="preserve">Anexo 03:
</t>
    </r>
    <r>
      <rPr>
        <b/>
        <u/>
        <sz val="11"/>
        <color rgb="FF000000"/>
        <rFont val="Arial"/>
        <family val="2"/>
      </rPr>
      <t>Centro Infantil de Atención Integral, Tipo II-A</t>
    </r>
  </si>
  <si>
    <r>
      <t xml:space="preserve">Anexo 04:
</t>
    </r>
    <r>
      <rPr>
        <b/>
        <u/>
        <sz val="11"/>
        <color rgb="FF000000"/>
        <rFont val="Arial"/>
        <family val="2"/>
      </rPr>
      <t>Centro Infantil de Atención Integral, Tipo II-B</t>
    </r>
  </si>
  <si>
    <r>
      <rPr>
        <b/>
        <sz val="11"/>
        <color rgb="FF262628"/>
        <rFont val="Arial"/>
        <family val="2"/>
      </rPr>
      <t>ESPACIO</t>
    </r>
  </si>
  <si>
    <r>
      <rPr>
        <b/>
        <sz val="11"/>
        <color rgb="FF262628"/>
        <rFont val="Arial"/>
        <family val="2"/>
      </rPr>
      <t xml:space="preserve">Área Minima </t>
    </r>
    <r>
      <rPr>
        <b/>
        <sz val="11"/>
        <color rgb="FF3F3F3F"/>
        <rFont val="Arial"/>
        <family val="2"/>
      </rPr>
      <t>(m2</t>
    </r>
    <r>
      <rPr>
        <b/>
        <sz val="11"/>
        <color rgb="FF595959"/>
        <rFont val="Arial"/>
        <family val="2"/>
      </rPr>
      <t>)</t>
    </r>
  </si>
  <si>
    <r>
      <rPr>
        <b/>
        <sz val="11"/>
        <color rgb="FF262628"/>
        <rFont val="Arial"/>
        <family val="2"/>
      </rPr>
      <t>Número de niñ</t>
    </r>
    <r>
      <rPr>
        <b/>
        <sz val="11"/>
        <color rgb="FF3F3F3F"/>
        <rFont val="Arial"/>
        <family val="2"/>
      </rPr>
      <t>as</t>
    </r>
    <r>
      <rPr>
        <b/>
        <sz val="11"/>
        <color rgb="FF595959"/>
        <rFont val="Arial"/>
        <family val="2"/>
      </rPr>
      <t>/</t>
    </r>
    <r>
      <rPr>
        <b/>
        <sz val="11"/>
        <color rgb="FF262628"/>
        <rFont val="Arial"/>
        <family val="2"/>
      </rPr>
      <t>os</t>
    </r>
  </si>
  <si>
    <r>
      <t xml:space="preserve">Servicios Higiénicos (un inodoro </t>
    </r>
    <r>
      <rPr>
        <i/>
        <sz val="11"/>
        <color theme="1" tint="4.9989318521683403E-2"/>
        <rFont val="Arial"/>
        <family val="2"/>
      </rPr>
      <t xml:space="preserve">y </t>
    </r>
    <r>
      <rPr>
        <sz val="11"/>
        <color theme="1" tint="4.9989318521683403E-2"/>
        <rFont val="Arial"/>
        <family val="2"/>
      </rPr>
      <t>un lavatorio por cada 8 niños) incluye Pañalera.</t>
    </r>
  </si>
  <si>
    <t>Anexo 05: Centro Infantil de Atencion Integral, Tipo III-A</t>
  </si>
  <si>
    <t>Cuidado diurno</t>
  </si>
  <si>
    <t>Servicios complementarios</t>
  </si>
  <si>
    <t>Área</t>
  </si>
  <si>
    <t>Ambiente</t>
  </si>
  <si>
    <t>A1</t>
  </si>
  <si>
    <t>A2</t>
  </si>
  <si>
    <t>A3</t>
  </si>
  <si>
    <t>A4</t>
  </si>
  <si>
    <t>A5</t>
  </si>
  <si>
    <t>A6</t>
  </si>
  <si>
    <t>A7</t>
  </si>
  <si>
    <t>A8</t>
  </si>
  <si>
    <t>A9</t>
  </si>
  <si>
    <t>A10</t>
  </si>
  <si>
    <t>A11</t>
  </si>
  <si>
    <t>A12</t>
  </si>
  <si>
    <t>A13</t>
  </si>
  <si>
    <t>A14</t>
  </si>
  <si>
    <t>A15</t>
  </si>
  <si>
    <t>A16</t>
  </si>
  <si>
    <t>A17</t>
  </si>
  <si>
    <t>A18</t>
  </si>
  <si>
    <t>A19</t>
  </si>
  <si>
    <t>A20</t>
  </si>
  <si>
    <t>A21</t>
  </si>
  <si>
    <t>ID</t>
  </si>
  <si>
    <t>SA</t>
  </si>
  <si>
    <t>Área de preparación (cocina)</t>
  </si>
  <si>
    <t>Almacén de alimentos</t>
  </si>
  <si>
    <t>Hall de servicio alimentario</t>
  </si>
  <si>
    <t>Espacio para cestos</t>
  </si>
  <si>
    <t>Vestidor para socias de cocina</t>
  </si>
  <si>
    <t>Servicios higiénicos de adultos (baño completo)</t>
  </si>
  <si>
    <t>Closet de limpieza</t>
  </si>
  <si>
    <t>Lavadero</t>
  </si>
  <si>
    <t>¿Cuál es el nivel de exposición del CIAI al peligro?</t>
  </si>
  <si>
    <t>¿Cuál es el nivel de fragilidad del CIAI ante la ocurrencia del peligro?</t>
  </si>
  <si>
    <t>¿Se cuenta con un plan de contingencia ante la interrupción o alteración del servicio ocasionado por el peligro?</t>
  </si>
  <si>
    <t>Detalle</t>
  </si>
  <si>
    <t>Costo</t>
  </si>
  <si>
    <t>·       Actores comunales:</t>
  </si>
  <si>
    <t>o   Madre cuidadora</t>
  </si>
  <si>
    <t>o   Madre guía</t>
  </si>
  <si>
    <t>o   Guía de Familia</t>
  </si>
  <si>
    <t>o   Socia de cocina</t>
  </si>
  <si>
    <t>o   Repartidor</t>
  </si>
  <si>
    <t>o   Apoyo de Limpieza y Vigilancia</t>
  </si>
  <si>
    <t xml:space="preserve">·       Equipo técnico profesional del PNCM: </t>
  </si>
  <si>
    <t>o   Acompañantes técnicos (AT)</t>
  </si>
  <si>
    <t>o   Especialistas integrales</t>
  </si>
  <si>
    <t>o   Especialistas en nutrición</t>
  </si>
  <si>
    <t>Costos anual</t>
  </si>
  <si>
    <t>a. Personal</t>
  </si>
  <si>
    <t>·       Servicios</t>
  </si>
  <si>
    <t>o   Agua</t>
  </si>
  <si>
    <t>o   Luz</t>
  </si>
  <si>
    <t>o   Internet</t>
  </si>
  <si>
    <t>o   Seguridad</t>
  </si>
  <si>
    <t>Niñas y niños</t>
  </si>
  <si>
    <t>Importante: recoger información en estudio de campo</t>
  </si>
  <si>
    <t>de 6 a 12 meses</t>
  </si>
  <si>
    <t>de 25 a 36 meses</t>
  </si>
  <si>
    <t>de 13 a 24 meses</t>
  </si>
  <si>
    <t>Niños y niñas con desnutrición</t>
  </si>
  <si>
    <t>Niños y niñas con anemia</t>
  </si>
  <si>
    <t>Niños y niñas con adecuado nivel de desarrollo cognitivo, en base a su edad</t>
  </si>
  <si>
    <t>Niños y niñas que cumplen con su control CRED</t>
  </si>
  <si>
    <t>Cantidad de niños y niñas</t>
  </si>
  <si>
    <t>Cooperante</t>
  </si>
  <si>
    <t>Beneficiario</t>
  </si>
  <si>
    <t>Oponente</t>
  </si>
  <si>
    <t>Perjudicado</t>
  </si>
  <si>
    <t>Involucrados</t>
  </si>
  <si>
    <t>Efecto directo 1: Menor participación en experiencias de aprendizaje infantil de niñas y niños de 6 a 36 meses</t>
  </si>
  <si>
    <t>Efecto directo 2: Menor acceso de niñas y niños de 6 a 36 meses, a raciones alimentarias y suplemento con hierro</t>
  </si>
  <si>
    <t xml:space="preserve">Efecto directo 3: Niñas y niños de 6 a 36 meses reciben insuficiente seguimiento al control CRED </t>
  </si>
  <si>
    <t>Efecto indirecto 1: Inadecuado desarrollo cognitivo de niñas y niños de 6 a 36 meses</t>
  </si>
  <si>
    <t>Efecto indirecto 2: Ingesta inadecuada de nutrientes por parte de niñas y niños de 6 a 36 meses</t>
  </si>
  <si>
    <t>Fin directo 1: Mayor participación en experiencias de aprendizaje infantil de niñas y niños de 6 a 36 meses</t>
  </si>
  <si>
    <t>Fin directo 2: Mayor acceso de niñas y niños de 6 a 36 meses, a raciones alimentarias y suplemento con hierro</t>
  </si>
  <si>
    <t>Fin indirecto 1: Adecuado desarrollo cognitivo de niñas y niños de 6 a 36 meses</t>
  </si>
  <si>
    <t>Fin indirecto 2: Ingesta adecuada de nutrientes por parte de niñas y niños de 6 a 36 meses</t>
  </si>
  <si>
    <t>El indicador representa la proporción de centros infantiles de atención integral (CIAI) respecto al total a nivel nacional, que tienen al menos un factor productivo que no se encuentra de acuerdo con lo establecido en la normativa del PNCM</t>
  </si>
  <si>
    <t>El indicador determina el déficit de Centros Infantiles de Cuidado Diurno para cubrir las necesidades de niños y niñas entre 6 y 36 meses de edad, que viven en zonas de pobreza y pobreza extrema, considerados como población objetivo, según los criterios de focalización del PNCM.</t>
  </si>
  <si>
    <t>Ampliación</t>
  </si>
  <si>
    <t>Recuperación</t>
  </si>
  <si>
    <t>3.09 Estimar la exposición de la UP frente a los peligros identificados en el diagnóstico del área de estudio</t>
  </si>
  <si>
    <t>Fecha prevista para declarar viabilidad del PI</t>
  </si>
  <si>
    <t>Operación del CIAI</t>
  </si>
  <si>
    <t>Expediente técnico del PI de CIAI</t>
  </si>
  <si>
    <t>Ejecución física del PI del CIAI</t>
  </si>
  <si>
    <t>SECCIÓN N° 06: HORIZONTE DE EVALUACIÓN</t>
  </si>
  <si>
    <t>7.01 Definición y caracterización del Servicio de Cuidado Diurno</t>
  </si>
  <si>
    <t>Año 0</t>
  </si>
  <si>
    <t>Año 4</t>
  </si>
  <si>
    <t>Año 5</t>
  </si>
  <si>
    <t>Año 6</t>
  </si>
  <si>
    <t>Año 7</t>
  </si>
  <si>
    <t>Año 8</t>
  </si>
  <si>
    <t>Año 9</t>
  </si>
  <si>
    <t xml:space="preserve">Población Total </t>
  </si>
  <si>
    <t>Población de Referencia</t>
  </si>
  <si>
    <t xml:space="preserve">Población Demandante Potencial </t>
  </si>
  <si>
    <t>Población Demandante Efectiva</t>
  </si>
  <si>
    <t>Población Objetivo</t>
  </si>
  <si>
    <t>Servicio de Cuidado Diurno</t>
  </si>
  <si>
    <t>Niños y niñas</t>
  </si>
  <si>
    <t xml:space="preserve">7.02 Análisis y proyección de la demanda del servicio </t>
  </si>
  <si>
    <t>Consideraciones para definir la demanda del servicio</t>
  </si>
  <si>
    <t>7.03 Proyección de la demanda del Servicio de Cuidado Diurno</t>
  </si>
  <si>
    <t>Nivel de cobertura de la población demandante efectiva</t>
  </si>
  <si>
    <t>El CIAI existe y se puede optimizar la oferta actual</t>
  </si>
  <si>
    <t>Optimizar</t>
  </si>
  <si>
    <t>Condiciones para optimización de la oferta</t>
  </si>
  <si>
    <t>Capacidad actual del CIAI</t>
  </si>
  <si>
    <t>Capacidad optimizada del CIAI</t>
  </si>
  <si>
    <t>Acciones de optimización (solo en caso de que se pueda optimizar la oferta actual)</t>
  </si>
  <si>
    <t>Oferta</t>
  </si>
  <si>
    <t>Brecha</t>
  </si>
  <si>
    <t>7.06 Brecha del Servicio de Cuidado Diurno</t>
  </si>
  <si>
    <t xml:space="preserve">Factor condicionante </t>
  </si>
  <si>
    <t>Capacidad de atención (niños y niñas)</t>
  </si>
  <si>
    <t>Tamaño de CIAI a implementar con el proyecto de inversión</t>
  </si>
  <si>
    <t>Tamaño (tipo) de CIAI, según factor condicionante</t>
  </si>
  <si>
    <t>El CIAI está alejado de agentes contaminantes o peligros que no puedan ser mitigados</t>
  </si>
  <si>
    <t>El CIAI está a una distancia no menor de 50 metros de estaciones de expendio de combustible</t>
  </si>
  <si>
    <t>El CIAI está a una distancia no menor a 25 metros de una línea de alta tensión eléctrica</t>
  </si>
  <si>
    <t>El CIAI es colindante con hospitales, centros médicos, centros de atención de salud, o similares, de categoría I-3, categoría I-4, categoría II o categoría III</t>
  </si>
  <si>
    <t>Las puertas de ingreso y salida del CIAI están orientados directamente a una vía de alto tránsito vehicular</t>
  </si>
  <si>
    <t>CumplimientoCondiciones</t>
  </si>
  <si>
    <t>Cumple</t>
  </si>
  <si>
    <t>No Cumple</t>
  </si>
  <si>
    <t>C. Ubicación del CIAI</t>
  </si>
  <si>
    <t xml:space="preserve">Sala de cuidado diurno </t>
  </si>
  <si>
    <t xml:space="preserve">Ambiente de servicios generales </t>
  </si>
  <si>
    <t xml:space="preserve">Espacio físico donde se brinda la atención integral a los niños (bebes, gateadores y caminantes), en este espacio se encuentran organizados las áreas de juego y cuidado. </t>
  </si>
  <si>
    <t xml:space="preserve">Sala de usos múltiples </t>
  </si>
  <si>
    <t xml:space="preserve">Espacio donde se realizan los juegos de los niños y actividades lúdicas, este espacio también es utilizado como comedor para la atención alimentaria de los niños . </t>
  </si>
  <si>
    <t xml:space="preserve">Ambiente de recreación activa </t>
  </si>
  <si>
    <t xml:space="preserve">Espacio exterior destinado al encuentro y recreación activa entre niñas y niños, cuidadoras, así como de familias usuarias, organizado y equipado para las actividades. </t>
  </si>
  <si>
    <t xml:space="preserve">Ambiente de preparación y expendio de alimentos </t>
  </si>
  <si>
    <t xml:space="preserve">Espacio físico utilizado para la preparación de raciones alimenticias de los usuarios. </t>
  </si>
  <si>
    <t xml:space="preserve">Almacén </t>
  </si>
  <si>
    <t xml:space="preserve">Espacio físico destinado para el acopio de los insumos alimenticios dentro de la cadena de suministros. </t>
  </si>
  <si>
    <t xml:space="preserve">Cerco perimétrico </t>
  </si>
  <si>
    <t xml:space="preserve">Activo para la protección de la unidad productora. Elemento fijo y seguro que rodea y delimita la propiedad o sus sectores. Cuenta con espacios de acceso al interior del mismo. </t>
  </si>
  <si>
    <t xml:space="preserve">Muro de contención </t>
  </si>
  <si>
    <t xml:space="preserve">Activo para la protección de la unidad productora. Estructura rígida destinada a contener masas de suelo u otros materiales sueltos proporcionando estabilidad. </t>
  </si>
  <si>
    <t xml:space="preserve">Equipo utilizado en el servicio de atención alimentaria: cocina industrial, campana extractora, licuadora semi industrial, refrigeradora, extractor de aire. Solo su adquisición en conjunto significa una inversión en el marco del SNPMGI. </t>
  </si>
  <si>
    <t>Servicio de Cuidado Diuirno</t>
  </si>
  <si>
    <t>Activo del CIAI</t>
  </si>
  <si>
    <t>AnalisisTecnico</t>
  </si>
  <si>
    <t>Se incluye en el PI</t>
  </si>
  <si>
    <t>No se incluye en el PI</t>
  </si>
  <si>
    <t xml:space="preserve">Espacios destinados a actividades de apoyo a las funciones que se realizan en el establecimiento, tales como: área para tanque séptico y pozo percolador, depósito de materiales, patio de servicio, cuarto de tableros, caseta de vigilancia, área de guardado para coches para bebes, espacio de cambio de pañales). </t>
  </si>
  <si>
    <t>Recursos humanos</t>
  </si>
  <si>
    <t>Actores comunales capacitados para la co-gestión en la fase de funcionamiento y prestación del Servicio de Cuidado Diurno en el CIAI</t>
  </si>
  <si>
    <t>¿Se incluye como parte del PI?</t>
  </si>
  <si>
    <t>Normativa aplicable (del PNCM o RNE, según corresponda)</t>
  </si>
  <si>
    <t xml:space="preserve">Factores condicionantes del tamaño del proyecto. </t>
  </si>
  <si>
    <t xml:space="preserve">Factores condicionantes de la localización del proyecto. </t>
  </si>
  <si>
    <t>Descripción de las medidas de reducción del riesgo de desastres, en función al análisis de la exposición y fragilidad del CIAI</t>
  </si>
  <si>
    <t>ExposicionFragilidad</t>
  </si>
  <si>
    <t>Exposición</t>
  </si>
  <si>
    <t>Fragilidad</t>
  </si>
  <si>
    <t>Resiliencia</t>
  </si>
  <si>
    <t>Descripción de las medidas de reducción del riesgo de desastres, en función al resultado del análisis de la exposición y fragilidad del CIAI (proponer medidas en los casos que el resultado sea "Alto" o "Medio")</t>
  </si>
  <si>
    <t>Sala</t>
  </si>
  <si>
    <t>Número de mobiliario</t>
  </si>
  <si>
    <t>Número de eventos de capacitación</t>
  </si>
  <si>
    <t>Alternativa técnica 1</t>
  </si>
  <si>
    <t>Alternativa técnica 2</t>
  </si>
  <si>
    <t>Alternativa técnica 3</t>
  </si>
  <si>
    <t xml:space="preserve">Descripción de la tecnología </t>
  </si>
  <si>
    <t>Componente 1</t>
  </si>
  <si>
    <t>Componente 4</t>
  </si>
  <si>
    <t>Componente 3</t>
  </si>
  <si>
    <t>Costo total</t>
  </si>
  <si>
    <t>Gastos generales</t>
  </si>
  <si>
    <t>% respecto al costo directo</t>
  </si>
  <si>
    <t>Sub Total de costos directos</t>
  </si>
  <si>
    <t>Costos indirectos</t>
  </si>
  <si>
    <t>b. Servicios</t>
  </si>
  <si>
    <t>Situación sin proyecto</t>
  </si>
  <si>
    <t>o   Mantenimiento</t>
  </si>
  <si>
    <t>Situación con proyecto</t>
  </si>
  <si>
    <t>Componente</t>
  </si>
  <si>
    <t xml:space="preserve">Implementación de medidas </t>
  </si>
  <si>
    <t>Cronograma de inversión (trimestres)</t>
  </si>
  <si>
    <t>Tri 1</t>
  </si>
  <si>
    <t>Tri 2</t>
  </si>
  <si>
    <t>Tri 3</t>
  </si>
  <si>
    <t>Tri 4</t>
  </si>
  <si>
    <t>Tri 5</t>
  </si>
  <si>
    <t>Tri 6</t>
  </si>
  <si>
    <t>Tri 7</t>
  </si>
  <si>
    <t>Tri 8</t>
  </si>
  <si>
    <t>Trimestre</t>
  </si>
  <si>
    <t>Hasta el 2% del costo total de inversión</t>
  </si>
  <si>
    <t>Cronograma de ejecución física (trimestres)</t>
  </si>
  <si>
    <t>Medidas</t>
  </si>
  <si>
    <t>Benificios de la intervención</t>
  </si>
  <si>
    <t>Mayor acceso de niñas y niños de 6 a 36 meses, a raciones alimentarias y suplemento con hierro</t>
  </si>
  <si>
    <t>Adecuado desarrollo cognitivo de niñas y niños de 6 a 36 meses</t>
  </si>
  <si>
    <t>Ingesta adecuada de nutrientes por parte de niñas y niños de 6 a 36 meses</t>
  </si>
  <si>
    <t>Mayor nivel de desarrollo infantil temprano de los niños y niñas menores de 36 meses que viven en situación de pobreza y pobreza extrema</t>
  </si>
  <si>
    <t>Factor de corrección</t>
  </si>
  <si>
    <t xml:space="preserve">Costo a precios de mercado </t>
  </si>
  <si>
    <t>Transformación de costos de inversión a precios sociales</t>
  </si>
  <si>
    <t>Transformación de costos de operación y mantenimiento a precios sociales</t>
  </si>
  <si>
    <t>Costos de inversión, operación y mantenimiento a precios sociales</t>
  </si>
  <si>
    <t>3. Costos de operación y mantenimiento incremental</t>
  </si>
  <si>
    <t>Variación % de los costos del proyecto</t>
  </si>
  <si>
    <t>11.01 Descripción de la capacidad institucional en la sostenibilidad del proyecto</t>
  </si>
  <si>
    <t>11.02 Gestión integral de los riesgos</t>
  </si>
  <si>
    <t>Tipo de riesgo</t>
  </si>
  <si>
    <t>Documento de opinión favorable del PNCM</t>
  </si>
  <si>
    <t>Órgano técnico responsable de la operación y mantenimiento del CIAI</t>
  </si>
  <si>
    <t>Análisis de la disponibilidad oportuna de recursos para la operación y mantenimiento del CIAI</t>
  </si>
  <si>
    <t>Probabilidad de ocurrencia</t>
  </si>
  <si>
    <t>Medidas de mitigación del riesgo</t>
  </si>
  <si>
    <t>Los activos que se generarán o intervendrán con el proyecto de inversión de CIAI, tendrá más de una ubicación</t>
  </si>
  <si>
    <t>Periodo (trimestre)</t>
  </si>
  <si>
    <t>Condiciones previas relevantes para la fase de ejecución</t>
  </si>
  <si>
    <t>Saneamiento técnico legal o arreglo institucional</t>
  </si>
  <si>
    <t>Licencia de construcción</t>
  </si>
  <si>
    <t>Programa Nacional Cuna Más</t>
  </si>
  <si>
    <t>12.04 Entidad que estará a cargo de la operación y mantenimiento</t>
  </si>
  <si>
    <t>Condición o requerimiento</t>
  </si>
  <si>
    <t>Nota: los costos deben formar parte del costo de inversión del proyecto</t>
  </si>
  <si>
    <t>Encuesta de Salud y Desarrollo en la Primera Infancia</t>
  </si>
  <si>
    <t>Ficha de seguimiento del Servicio de Cuidado Diurno</t>
  </si>
  <si>
    <t>Padres toman conciencia de la importancia del cuidado y aprendizaje de las niñas y niños para su desarrollo
Actores comunales
comprometidos en el cuidado y atención a la niña y el niño menor de 3 años</t>
  </si>
  <si>
    <t>Registro del Formato N° 09 - Registro del Cierre de Inversiones, en el Banco de Inversiones del SNPMGI</t>
  </si>
  <si>
    <t>Porcentaje de niños/as menores de 36 meses que logran los hitos de desarrollo infantil temprano esperados para su edad, a partir del tercer año del inicio de la fase de funcionamiento</t>
  </si>
  <si>
    <t>Porcentaje de niños y niñas con un mínimo de permanencia de 6 meses atendidos en el CIAI, que cumplen con los estándares de calidad definidos por el PNCM, a partir del primer año del inicio de la fase de funcionamiento</t>
  </si>
  <si>
    <t>Número de m2 de infraestructura del CIAI, implementados con el proyecto, que cumplen con los requerimientos normativos del PNCM, al concluir la fase de ejecución del proyecto</t>
  </si>
  <si>
    <t>Número de sesiones de capacitación desarrolladas, dirigidas de actores comunitarios, en el marco del proyecto, al concluir la fase de ejecución del proyecto</t>
  </si>
  <si>
    <t>AccionSobreActivo</t>
  </si>
  <si>
    <t>Adquisición</t>
  </si>
  <si>
    <t>SALA MIXTA</t>
  </si>
  <si>
    <t>Construcción, habilitación y/o adecuación de infraestructura del CIAI</t>
  </si>
  <si>
    <t>Adquisición de equipamiento del CIAI</t>
  </si>
  <si>
    <t>Adquisición de mobiliario del CIAI</t>
  </si>
  <si>
    <t>Capacitación de recursos humanos que operan en el CIAI</t>
  </si>
  <si>
    <t>Implementación de medidas de reducción del riesgo de desastre y mitigación ambiental</t>
  </si>
  <si>
    <t>Ejecución del componente del proyecto, por un monto de:</t>
  </si>
  <si>
    <t>Ejecución de las medidas, por un monto de:</t>
  </si>
  <si>
    <t>Recepción y conformidad de construcción, habilitación y/o adecuación de infraestructura del CIAI
Recepción y conformidad de equipamiento adquirido.
Recepción y conformidad de mobiliario adquirido.
Conformidad de servicio de capacitación realziado.</t>
  </si>
  <si>
    <t>Se cumple con la asignación presupuestal oportuna para la ejecución del proyecto.</t>
  </si>
  <si>
    <t>Se asigna recursos necesarios para el adecuado mantenimiento disponibles durante el horizonte de evaluación</t>
  </si>
  <si>
    <t>Aprendizaje Infantil: Cuidado y Juego</t>
  </si>
  <si>
    <t>Consiste en fortalecer las habilidades sensoriales, motrices, comunicativas, cognitivas y socioemocionales de las niñas y los niños, que les permite el desarrollo de su identidad, autonomía, lenguaje, pensamiento y adaptación al medio, protegiéndoles de los posibles efectos de entornos adversos a su desarrollo.</t>
  </si>
  <si>
    <t>Consiste en brindar cuidados a las niñas/niños en el CIAI como el lavado de manos, la higiene bucal, el uso y consumo de agua segura, el suministro de suplementos con hierro, la lactancia materna, como estrategias de prevención de la enfermedad y promoción de la salud. Asimismo, fortalece en las niñas y los niños la autonomía como en el control de esfínteres, descanso y sueño, cambio de ropa, orden del ambiente, entre otros, según el desarrollo y la edad de la niña y el niño.</t>
  </si>
  <si>
    <t>Cuidado de la salud infantil en el CIAI</t>
  </si>
  <si>
    <t>Atención alimentaria y nutricional</t>
  </si>
  <si>
    <t>Consiste en atender las necesidades básicas de alimentación y nutrición mediante la dotación de una alimentación balanceada, saludable e inocua, de acuerdo a sus necesidades nutricionales según grupo etario de las niñas y los niños, que contribuyen con un adecuado estado nutricional para favorecer su óptimo crecimiento y desarrollo.</t>
  </si>
  <si>
    <t>Fortalecimiento de Prácticas de cuidado saludable y aprendizaje en la familia usuaria</t>
  </si>
  <si>
    <t>Consiste en fortalecer las prácticas de cuidado saludable y aprendizaje (interacción, juego y comunicación) de la madre, padre u otro/a cuidador/a principal que permita dar una respuesta flexible, adecuada y pertinente de acuerdo a las necesidades e intereses de las niñas y los niños, a fin de favorecer su desarrollo integral. En las actividades se promueve la participación de uno o más miembros de la familia se encargan o son responsables del cuidado de la niña o el niño.</t>
  </si>
  <si>
    <t>B. Situación actual del saneamiento físico legal del local</t>
  </si>
  <si>
    <t>3.07 Detallar las prácticas de operación y mantenimiento del CIAI, en la situación actual</t>
  </si>
  <si>
    <t>%</t>
  </si>
  <si>
    <t>Número de niños</t>
  </si>
  <si>
    <t>Número de niñas</t>
  </si>
  <si>
    <t>Acción 1.1.1. Construcción de infraestructura del CIAI, que cumpla con los estándares de calidad</t>
  </si>
  <si>
    <t>Alternativa de solución</t>
  </si>
  <si>
    <t xml:space="preserve">Nombre de la UEI:  </t>
  </si>
  <si>
    <t>Responsable de la UEI:</t>
  </si>
  <si>
    <t>Responsable de la UF:</t>
  </si>
  <si>
    <t>5.01 Definición del problema, sus causas y efectos</t>
  </si>
  <si>
    <t>5.02 Definición de los objetivos del proyecto</t>
  </si>
  <si>
    <t>6.01 Horizonte de evaluación</t>
  </si>
  <si>
    <t>5.03 Descripción de la alternativa de solución al problema</t>
  </si>
  <si>
    <t>El Servicio de Cuidado Diuirno consiste en brindar atención integral a niños entre 6 y 36 meses de edad, que viven en zonas de pobreza y pobreza extrema, y requieren de atención en sus necesidades básicas de salud, nutrición, seguridad, protección, afecto, descanso, juego, aprendizaje y desarrollo de habilidades. Comprende:
- Aprendizaje Infantil: Cuidado y Juego.
- Promoción de prácticas en el cuidado de la salud en la niña o niño.
- Atención alimentaria y nutricional.
- Fortalecimiento de prácticas de cuidado saludable y aprendizaje en la familia usuaria.
La unidad de medida del servicio es: niños y niñas atendidos en el CIAI</t>
  </si>
  <si>
    <t>EL CIAI existe, sin embargo, dadas las condiciones de la infraestructura, como factor de producción, no se puede optimizar la oferta actual. Para detalle, ver informe técnico de situación de infraestructura del CIAI</t>
  </si>
  <si>
    <t>7.05 Proyección de la oferta del Servicio de Cuidado Diurno</t>
  </si>
  <si>
    <t>8.06 METAS FíSICAS DE LOS ACTIVOS QUE SE BUSCAN CREAR O INTERVENIR CON EL PROYECTO</t>
  </si>
  <si>
    <t>B. Situación del saneamiento físico legal del local, para la ejecución del proyecto</t>
  </si>
  <si>
    <t xml:space="preserve">Niñas y niños de 6 a 36 meses reciben suficiente seguimiento al control CRED </t>
  </si>
  <si>
    <t xml:space="preserve">Fin directo 3: Niñas y niños de 6 a 36 meses reciben suficiente seguimiento al control CRED </t>
  </si>
  <si>
    <t xml:space="preserve">10.03 FLUJO DE COSTOS A PRECIOS SOCIALES (EVALUACIÓN SOCIAL) </t>
  </si>
  <si>
    <t>Costo / Eficacia a precios sociales</t>
  </si>
  <si>
    <t>o   Agua y alcantarillado</t>
  </si>
  <si>
    <t>o   Energía eléctirca</t>
  </si>
  <si>
    <t>Mejoramiento y ampliación</t>
  </si>
  <si>
    <t>Condiciones actuales del entorno del CIAI</t>
  </si>
  <si>
    <t>Titularidad</t>
  </si>
  <si>
    <t>Propiedad del Estado</t>
  </si>
  <si>
    <t>Otra</t>
  </si>
  <si>
    <t>SituacionSaneamientoLegal</t>
  </si>
  <si>
    <t>Titularidad del local donde funciona el CIAI</t>
  </si>
  <si>
    <t>Situación actual del saneamiento físico legal o arreglo institucional</t>
  </si>
  <si>
    <t>Propiedad de particulares (privados)</t>
  </si>
  <si>
    <t>Persona</t>
  </si>
  <si>
    <t>Tasa</t>
  </si>
  <si>
    <t>de la población total</t>
  </si>
  <si>
    <t>de la población de referencia</t>
  </si>
  <si>
    <t>de la población demandante potencial</t>
  </si>
  <si>
    <t>de la población demandante efectiva</t>
  </si>
  <si>
    <t>% respecto a la población demandante efectiva</t>
  </si>
  <si>
    <t>Fuente</t>
  </si>
  <si>
    <t>Acción 1.1.2  Reforzamiento de infraestructura del CIAI, que cumpla con los estándares de calidad</t>
  </si>
  <si>
    <t>Acción 1.1.3  Remodelación de infraestructura del CIAI, que cumpla con los estándares de calidad</t>
  </si>
  <si>
    <t>Acción 1.1.4 Rehabilitación de infraestructura del CIAI, que cumpla con los estándares de calidad</t>
  </si>
  <si>
    <t>Acción 1.3.1 Adquisición y/o reposición de mobiliario para el CIAI, de acuerdo a los estándares definidos por el PNCM.</t>
  </si>
  <si>
    <t xml:space="preserve">Rehabilitación  </t>
  </si>
  <si>
    <t xml:space="preserve">Construcción </t>
  </si>
  <si>
    <t xml:space="preserve">Reforzamiento </t>
  </si>
  <si>
    <t xml:space="preserve">Remodelación </t>
  </si>
  <si>
    <t>Reposición</t>
  </si>
  <si>
    <t>Factor de producción a optimizar</t>
  </si>
  <si>
    <t>FactorProduccion</t>
  </si>
  <si>
    <t>Capacidades de Recursos Humanos</t>
  </si>
  <si>
    <t>Acción para optimizar la oferta actual</t>
  </si>
  <si>
    <t>A. Verificación del cumplimiento de las condiciones técnicas del local</t>
  </si>
  <si>
    <t>SaneamientoConProyecto</t>
  </si>
  <si>
    <t>Situación del saneamiento físico legal o arreglo institucional, prevista para la implementación del proyecto</t>
  </si>
  <si>
    <r>
      <t xml:space="preserve">Abastecimiento de Agua: El CIAI cuenta </t>
    </r>
    <r>
      <rPr>
        <sz val="12"/>
        <color theme="1"/>
        <rFont val="ArialMT"/>
      </rPr>
      <t>con conexión a una red pública</t>
    </r>
  </si>
  <si>
    <r>
      <t xml:space="preserve">Desagüe: El CIAI cuenta </t>
    </r>
    <r>
      <rPr>
        <sz val="12"/>
        <color theme="1"/>
        <rFont val="ArialMT"/>
      </rPr>
      <t>con conexión a una red pública de alcantarillado</t>
    </r>
  </si>
  <si>
    <r>
      <t>Energía eléctrica</t>
    </r>
    <r>
      <rPr>
        <sz val="12"/>
        <color theme="1"/>
        <rFont val="ArialMT"/>
      </rPr>
      <t>: El CIAI cuenta con conexión a la red pública de abastecimiento de energía eléctrica.</t>
    </r>
  </si>
  <si>
    <t>Abastecimiento de Agua: El CIAI cuenta o contará con conexión a una red pública</t>
  </si>
  <si>
    <t>Desagüe: El CIAI cuenta o contará con conexión a una red pública de alcantarillado</t>
  </si>
  <si>
    <t>Energía eléctrica: El CIAI cuenta o contará con conexión a la red pública de abastecimiento de energía eléctrica.</t>
  </si>
  <si>
    <t>Importante: El CIAI propuesto, para la situación con proyecto, debe cumplir todas las condiciones técnicas del local</t>
  </si>
  <si>
    <t>Área insuficiente</t>
  </si>
  <si>
    <t>Control concurrente</t>
  </si>
  <si>
    <t>FuenteFinanciamiento</t>
  </si>
  <si>
    <t>TipoEjecucion</t>
  </si>
  <si>
    <t>¿Se presenta el anexo como parte de la Ficha Técnica Estándar?</t>
  </si>
  <si>
    <t>Importante: Se debe presentar TODOS los anexos requeridos, como parte de la Ficha Técnica Estándar</t>
  </si>
  <si>
    <t>La localización del CIAI debe responder a las condiciones técnicas del entorno del CIAI y sus características propias, precisadas en la directiva de infraestructura del PNCM, las que se presentan en el literal A de este numeral:</t>
  </si>
  <si>
    <t>Otros ambientes complementarios</t>
  </si>
  <si>
    <t>Almacén</t>
  </si>
  <si>
    <t>Unidad</t>
  </si>
  <si>
    <t>ml o m3</t>
  </si>
  <si>
    <t>ml</t>
  </si>
  <si>
    <t>Área normativa mínima requerida por unidad física (m2)</t>
  </si>
  <si>
    <t>Activo estratégico</t>
  </si>
  <si>
    <t>Ambiente según directiva</t>
  </si>
  <si>
    <t xml:space="preserve">Espacio de juego al aire libre </t>
  </si>
  <si>
    <t>Servicios complementarios (Área de lavado de vajilla; Servicios higiénicos de adultos (1/2 baño acondicionado para personas con discapacidad); Depósito de material educativo; Cubículo de Bomba de Agua; Closet de Limpieza; Lavandería; Patio Tendal)</t>
  </si>
  <si>
    <t>Cubículo de bomba de agua</t>
  </si>
  <si>
    <t>Servicio alimentario (Área de preparación (cocina); Vestidor para socias de cocina; Servicios higiénicos de adultos (baño completo); Closet de limpieza; Lavadero; Cubículo de bomba de agua)</t>
  </si>
  <si>
    <t xml:space="preserve">Almacén de alimentos; Hall de servicio alimentario; Espacio para cestos; </t>
  </si>
  <si>
    <t>Sala mixta</t>
  </si>
  <si>
    <t>Plaza de usos múltiples / comedor</t>
  </si>
  <si>
    <t>Equivalencias: activos estratégicos y ambientes del CIAI</t>
  </si>
  <si>
    <t>Servicios higiénicos; clóset</t>
  </si>
  <si>
    <t>1/:  Según directiva de infraestructura del PNCM</t>
  </si>
  <si>
    <t>Área mínima requerida del CIAI, incluye Servicio Alimentario (m2) 1/</t>
  </si>
  <si>
    <t>Área mínima requerida del CIAI, no incluye Servicio Alimentario (m2) 1/</t>
  </si>
  <si>
    <t>SECCIÓN N°11: SOSTENIBILIDAD (de la alternativa seleccionada)</t>
  </si>
  <si>
    <t>SECCIÓN N°12: GESTIÓN DEL PROYECTO (de la alternativa seleccionada)</t>
  </si>
  <si>
    <t>SECCIÓN N°13: IMPACTO AMBIENTAL (de la alternativa seleccionada)</t>
  </si>
  <si>
    <t>SECCIÓN N°14: MARCO LÓGICO  (de la alternativa seleccionada)</t>
  </si>
  <si>
    <t>SECCIÓN N°09: COSTOS DEL PROYECTO - ALTERNATIVA 1</t>
  </si>
  <si>
    <t>SECCIÓN N°09: COSTOS DEL PROYECTO - ALTERNATIVA 2</t>
  </si>
  <si>
    <t>SECCIÓN N°09: COSTOS DEL PROYECTO - ALTERNATIVA 3</t>
  </si>
  <si>
    <t>SECCIÓN N°10: EVALUACIÓN SOCIAL - ALTERNATIVA 1</t>
  </si>
  <si>
    <t>SECCIÓN N°10: EVALUACIÓN SOCIAL - ALTERNATIVA 2</t>
  </si>
  <si>
    <t>SECCIÓN N°10: EVALUACIÓN SOCIAL - ALTERNATIVA 3</t>
  </si>
  <si>
    <t>Descripción de alternativas técnicas</t>
  </si>
  <si>
    <t>Nota: 
De acuerdo a lo precisado en la Guía General para la Identificación, Formulación y Evaluación de Proyectos de Inversión (MEF, 2022), la Ingeniería Conceptual tiene por objetivo fundamental identificar la viabilidad técnica y económica de la/las alternativas técnicas del proyecto así como establecer las pautas para el desarrollo de las etapas posteriores de ingeniería básica y de detalle, razón por la cual comprende como paso previo el desarrollo de alternativas técnicas propias la visualización. Permite formular apreciaciones técnicas y económicas de carácter estratégico. En este nivel se establecen en términos globales los requerimientos del proyecto, para lo cual se estudia, de acuerdo con el tipo de bien o servicio a entregar, la capacidad a instalar, los procesos de producción del bien o servicio, los requerimientos de recursos en las fases de ejecución y funcionamiento. Se incluye una descripción de las instalaciones, diagramas distribución del espacio, diagrama de procesos básicos, de instalación de equipos, así como estudios preliminares de tamaño, localización y tecnología.</t>
  </si>
  <si>
    <t>Importante: En la Ficha Técnica, para el análisis técnico de la tecnología se utilizará ingeniería conceptual. (ver nota)</t>
  </si>
  <si>
    <t>*</t>
  </si>
  <si>
    <t>* Se considera el 10% como valor de recuperación de la inversión en infraestructura</t>
  </si>
  <si>
    <t>Equipo</t>
  </si>
  <si>
    <t>Población del distrito de San Sebastián, al año 2023. Fuente: INEI</t>
  </si>
  <si>
    <t xml:space="preserve">Es la población total del área de influencia definida en el diagnóstico. Se debe considerar la información de la población de los distritos identificados en el punto Localización del área de influencia del proyecto. </t>
  </si>
  <si>
    <t xml:space="preserve">Es el segmento de la población de referencia, que cumple con los criterios de focalización que utiliza el PNCM. </t>
  </si>
  <si>
    <t>Es el segmento de la población demandante potencial, que busca atención del SCD en un CIAI y accede de forma inadecuada o no accede al servicio, es decir, que es afectada por el problema central.</t>
  </si>
  <si>
    <t>Acción 1.2.1 Adquisición y/o reposición de equipos para el CIAI, de acuerdo a los estándares definidos por el PNCM.</t>
  </si>
  <si>
    <t>Se cuenta con equipos para brindar el servicio</t>
  </si>
  <si>
    <t>Equipos del CIAI no cumplen con los estándares de calidad</t>
  </si>
  <si>
    <t>Equipos del CIAI cumplen con los estándares de calidad</t>
  </si>
  <si>
    <t>Equipos</t>
  </si>
  <si>
    <t>Número de equipos del CIAI, implementados con el proyecto, que cumplen con los requerimientos normativos del PNCM, al concluir la fase de ejecución del proyecto</t>
  </si>
  <si>
    <t>Número de mobiliarios del CIAI, implementados con el proyecto, que cumplen con los requerimientos normativos del PNCM, al concluir la fase de ejecución del proyecto</t>
  </si>
  <si>
    <t>Número de equipos</t>
  </si>
  <si>
    <t>SECCIÓN N°02: DIAGNÓSTICO DEL TERRITORIO</t>
  </si>
  <si>
    <t>Fuente:</t>
  </si>
  <si>
    <t>b. Servicios y mantenimiento</t>
  </si>
  <si>
    <t>Descripción de las prácticas de operación, en la situación sin proyecto</t>
  </si>
  <si>
    <t>Descripción de las condiciones del mantenimiento y los servicios del CIAI, en la situación sin proyecto</t>
  </si>
  <si>
    <t xml:space="preserve">Es la proporción de la población total, vinculada con el objetivo central del proyecto de inversión, es decir, que está dentro del grupo etario (de 6 a 36 meses) que podría recibir el Servicio de Cuidado Diurno, que brinda el PNCM. Para su estimación, se considera la población de dicho rango de edad, de la población total. </t>
  </si>
  <si>
    <t xml:space="preserve">                                          </t>
  </si>
  <si>
    <t>Suficientes capacidades de los recursos humanos para el cuidado integral</t>
  </si>
  <si>
    <t>Suficientes capacidades organizacionales de los recursos humanos que operan en el CIAI</t>
  </si>
  <si>
    <t>Acción 2.1.1 Implementación de capacidades organizacionales a los actores comunitarios que operarán el CIAI</t>
  </si>
  <si>
    <t>Fase de Ejecución</t>
  </si>
  <si>
    <t>Fase de Funcionamiento</t>
  </si>
  <si>
    <t>Total de horizonte de evaluación (años)</t>
  </si>
  <si>
    <t>ICE (S/)</t>
  </si>
  <si>
    <t>Estado Situacional</t>
  </si>
  <si>
    <t>Activos estratégicos</t>
  </si>
  <si>
    <t>Norma técnica</t>
  </si>
  <si>
    <t>Sala de cuidado diurno</t>
  </si>
  <si>
    <t>Sala de usos múltiples</t>
  </si>
  <si>
    <t>Ambiente de recreación activa</t>
  </si>
  <si>
    <t>Ambiente de servicios generales</t>
  </si>
  <si>
    <t>Ambiente de preparación y expendio de alimentos</t>
  </si>
  <si>
    <t>Cerco perimétrico</t>
  </si>
  <si>
    <t>Mobiliario de sala de cuidado diurno</t>
  </si>
  <si>
    <t>Equipo de ambiente de preparación y expendio de alimentos - Cuna Más</t>
  </si>
  <si>
    <t>Mobiliario de ambiente de preparación y expendio de alimentos- Cuna Más</t>
  </si>
  <si>
    <t>Servicio y procesos de producción</t>
  </si>
  <si>
    <t>Cumple con los estándares de calidad del PNCM</t>
  </si>
  <si>
    <t>Servicio de cuidado diurno:
Procesos:
1. Aprendizaje Infantil
2. Cuidado y JuegoCuidado de la salud infantil en el CIAI
3. Atención alimentaria y nutricional
4. Fortalecimiento de Prácticas de cuidado saludable y aprendizaje en la familia usuaria</t>
  </si>
  <si>
    <t>Acta de compromiso de la UEI de gestionar el Saneamiento Físico Legal del Terreno antes del inicio de la elaboración del Expediente Técnico</t>
  </si>
  <si>
    <t xml:space="preserve">Caso Gobierno Regional: Resolución y/o acuerdo de consejo que aprueba la afectación a favor o transferencia a favor del PNCM </t>
  </si>
  <si>
    <t xml:space="preserve">Caso Municipalidad: Resolución de alcaldía y/o acuerdo de consejo que aprueba la transferencia o afectación en uso </t>
  </si>
  <si>
    <t>Caso Comunidad: Acta de trasferencia o cesión en uso a favor del PNCM, o a favor de una municipalidad, o Gobierno Regional que posteriormente se comprometan a transferirlo a favor de PNCM.</t>
  </si>
  <si>
    <t>Inscrito en Registros Públicos a favor del PNCM</t>
  </si>
  <si>
    <t>Caso Municipalidad: Resolución de alcaldía y/o acuerdo de consejo que aprueba la transferencia o afectación en uso a favor del PNCM</t>
  </si>
  <si>
    <t>Acción 2.1.2 Implementación de capacidades organizacionales a los actores comunitarios que operarán el CIAI.</t>
  </si>
  <si>
    <t>Niños y niñas que comprenden la población demandante potencial</t>
  </si>
  <si>
    <t>Grupos involucrados</t>
  </si>
  <si>
    <t>Situación negativa percibida</t>
  </si>
  <si>
    <t>Acuerdos y compromisos</t>
  </si>
  <si>
    <t>Fecha de inicio</t>
  </si>
  <si>
    <t>Fecha de finalización</t>
  </si>
  <si>
    <t>Fechas previstas para el proceso de contratación para ejecución física del proyecto</t>
  </si>
  <si>
    <t>Fechas previstas para el proceso de contratación para elaboración del Expediente Técnico</t>
  </si>
  <si>
    <t>Fechas previstas para inicio de elaboración y aprobación del Expediente Técnico</t>
  </si>
  <si>
    <t>Fechas previstas para ejecución física</t>
  </si>
  <si>
    <t>Fecha prevista para la fase de Funcionamiento</t>
  </si>
  <si>
    <t>https://www.cunamas.gob.pe/inicio/cobertura-de-servicios/</t>
  </si>
  <si>
    <t xml:space="preserve">Nota: Para la microlocalización, puede utilizar las fuentes: </t>
  </si>
  <si>
    <t xml:space="preserve">Accesibilidad
</t>
  </si>
  <si>
    <t xml:space="preserve">Condiciones de pobreza
</t>
  </si>
  <si>
    <t xml:space="preserve">Principales características sociales y económicas
</t>
  </si>
  <si>
    <t>3.08 Evolución del nivel de producción de servicio de cuidado diurno provisto en el CIAI</t>
  </si>
  <si>
    <t>Tasa de crecimiento de la población del área de influencia</t>
  </si>
  <si>
    <r>
      <t xml:space="preserve">Es aquella parte de la población demandante efectiva que el proyecto está en condiciones de atender de forma integral en un CIAI, considerando la política de focalización del Sector, la definición de la meta correspondiente o alguna restricción que imposibilite la atención del total de la población demandante potencial. </t>
    </r>
    <r>
      <rPr>
        <b/>
        <sz val="10"/>
        <rFont val="Arial"/>
        <family val="2"/>
      </rPr>
      <t>La población objetivo es determinada por el PNCM</t>
    </r>
  </si>
  <si>
    <t>Niños y niñas que acceden al Servicio Alimentario en el CIAI</t>
  </si>
  <si>
    <t>Niños y niñas que acceden a Servicio de Cuidado Diurno en el CIAI</t>
  </si>
  <si>
    <t>Acción 2.1.1  Implementación de capacidades humanas a los actores comunitarios que operan el CIAI</t>
  </si>
  <si>
    <r>
      <rPr>
        <b/>
        <sz val="12"/>
        <rFont val="Arial"/>
        <family val="2"/>
      </rPr>
      <t>Población Total:</t>
    </r>
    <r>
      <rPr>
        <sz val="12"/>
        <rFont val="Arial"/>
        <family val="2"/>
      </rPr>
      <t xml:space="preserve"> es la población total del área de influencia definida en el diagnóstico. 
</t>
    </r>
    <r>
      <rPr>
        <b/>
        <sz val="12"/>
        <rFont val="Arial"/>
        <family val="2"/>
      </rPr>
      <t>Población de Referencia:</t>
    </r>
    <r>
      <rPr>
        <sz val="12"/>
        <rFont val="Arial"/>
        <family val="2"/>
      </rPr>
      <t xml:space="preserve"> es la proporción de la población total, vinculada con el objetivo central del proyecto de inversión, es decir, que está dentro del grupo etario que podría recibir el Servicio de Cuidado Diurno.
</t>
    </r>
    <r>
      <rPr>
        <b/>
        <sz val="12"/>
        <rFont val="Arial"/>
        <family val="2"/>
      </rPr>
      <t>Población Demandante Potencial</t>
    </r>
    <r>
      <rPr>
        <sz val="12"/>
        <rFont val="Arial"/>
        <family val="2"/>
      </rPr>
      <t xml:space="preserve">: es el segmento de la población de referencia, que es afectada por el problema central, que no accede al Servicio de Cuidado Diurno o accede de forma inadecuada. 
</t>
    </r>
    <r>
      <rPr>
        <b/>
        <sz val="12"/>
        <rFont val="Arial"/>
        <family val="2"/>
      </rPr>
      <t xml:space="preserve">Población Demandante Efectiva: </t>
    </r>
    <r>
      <rPr>
        <sz val="12"/>
        <rFont val="Arial"/>
        <family val="2"/>
      </rPr>
      <t xml:space="preserve">es el segmento de la población demandante potencial que cumple con los criterios de focalización definidos por el Sector para acceder al Servicio de Cuidado Diurno, en un CIAI.
</t>
    </r>
    <r>
      <rPr>
        <b/>
        <sz val="12"/>
        <rFont val="Arial"/>
        <family val="2"/>
      </rPr>
      <t xml:space="preserve">Población Objetivo: </t>
    </r>
    <r>
      <rPr>
        <sz val="12"/>
        <rFont val="Arial"/>
        <family val="2"/>
      </rPr>
      <t>es aquella parte de la población demandante efectiva que el proyecto  está en condiciones de atender de forma integral en un CIAI, considerando la política de focalización del Sector y la definición de la meta correspondiente. Es definida por el Programa Nacional Cuna Más.</t>
    </r>
  </si>
  <si>
    <t>Se considera como factor condicionante, para la determinación del tamaño del proyecto de inversión del CIAI, la definición de la meta prevista por el PNCM.</t>
  </si>
  <si>
    <t>Implementación de capacidades</t>
  </si>
  <si>
    <t>Contratación de ejecución física</t>
  </si>
  <si>
    <t>Contratación de Expediente Técnico</t>
  </si>
  <si>
    <t>Meta prevista por el PNCM, para el CIAI.</t>
  </si>
  <si>
    <t>SECCIÓN N°07: ANÁLISIS DE MERCADO</t>
  </si>
  <si>
    <t>Mobiliario utilizado para la sala de cuidado diurno: cambiadores de pañales, cunas,  esquinero-mueble-repisa, estantes, mesas rectangulares, porta colchonetas, sillas para lactancia, estantes aéreos
Solo su adquisición en conjunto significa una inversión en el marco del SNPMGI.</t>
  </si>
  <si>
    <t>Mobiliario utilizado en la preparación y expendio de alimentos: mesas auxiliares de acero, mesa de trabajo de acero,  estante de acero,  estante para cestos. 
Solo su adquisición en conjunto significa una inversión en el marco del SNPMGI.</t>
  </si>
  <si>
    <t xml:space="preserve">Equipo de ambiente de preparación y expendio de alimentos - Cuna Más </t>
  </si>
  <si>
    <t>Resumen ejecutivo.</t>
  </si>
  <si>
    <t>Evidencias de la realización de talleres, reuniones y actividades similares, tales como fotografías, listas firmadas de participantes y documentos de acuerdos como actas, entre otros.</t>
  </si>
  <si>
    <t>Opinión favorable a la propuesta técnica por parte Programa Nacional Cuna Más, a la propuesta de intervención.</t>
  </si>
  <si>
    <t>Documento de opinión favorable del Programa Nacional Cuna Más, para la sostenibilidad del proyecto de inversión del CIAI.</t>
  </si>
  <si>
    <t>Documento de sustento del saneamiento físico legal o arreglo institucional que corresponda.</t>
  </si>
  <si>
    <t>Informe técnico de la situación actual de la unidad productora  (infraestructura, mobiliario, equipamiento y capacitación), suscrito por el equipo responsable de la formulación</t>
  </si>
  <si>
    <t>Informe técnico de la propuesta de intervención (en infraestructura, mobiliario, equipamiento y capacitación), suscrito por el equipo responsable de la formulación</t>
  </si>
  <si>
    <t>Detalle del costo de inversión de las alternativas técnicas, suscrito por el equipo responsable de la formulación</t>
  </si>
  <si>
    <t>Carta de intención del propietario, declarando su voluntad de vender y se especifique el área y costo por m2, o una intención de donación</t>
  </si>
  <si>
    <t>Localidad / Centro poblado</t>
  </si>
  <si>
    <t>Coordenadas geográficas en  decimales Latitud y Longitud.</t>
  </si>
  <si>
    <t>Estrategias del Proyecto de Inversión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</si>
</sst>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S/&quot;* #,##0.00_-;\-&quot;S/&quot;* #,##0.00_-;_-&quot;S/&quot;* &quot;-&quot;??_-;_-@_-"/>
    <numFmt numFmtId="43" formatCode="_-* #,##0.00_-;\-* #,##0.00_-;_-* &quot;-&quot;??_-;_-@_-"/>
    <numFmt numFmtId="164" formatCode="_-* #,##0\ _€_-;\-* #,##0\ _€_-;_-* &quot;-&quot;??\ _€_-;_-@_-"/>
    <numFmt numFmtId="165" formatCode="yyyy;@"/>
    <numFmt numFmtId="166" formatCode="###0.00;###0.00"/>
    <numFmt numFmtId="167" formatCode="###0;###0"/>
    <numFmt numFmtId="168" formatCode="dd/mm/yyyy;@"/>
    <numFmt numFmtId="169" formatCode="_-&quot;S/&quot;* #,##0_-;\-&quot;S/&quot;* #,##0_-;_-&quot;S/&quot;* &quot;-&quot;??_-;_-@_-"/>
    <numFmt numFmtId="170" formatCode="0.0000"/>
    <numFmt numFmtId="171" formatCode="0.0%"/>
    <numFmt numFmtId="172" formatCode="_-[$S/-280A]\ * #,##0_-;\-[$S/-280A]\ * #,##0_-;_-[$S/-280A]\ * &quot;-&quot;??_-;_-@_-"/>
    <numFmt numFmtId="173" formatCode="#,##0.0"/>
  </numFmts>
  <fonts count="57">
    <font>
      <sz val="12"/>
      <color theme="1"/>
      <name val="ArialMT"/>
      <family val="2"/>
    </font>
    <font>
      <sz val="10"/>
      <name val="Arial"/>
      <family val="2"/>
    </font>
    <font>
      <b/>
      <sz val="10"/>
      <name val="Arial"/>
      <family val="2"/>
    </font>
    <font>
      <sz val="10"/>
      <color theme="0"/>
      <name val="Arial"/>
      <family val="2"/>
    </font>
    <font>
      <i/>
      <sz val="10"/>
      <name val="Arial"/>
      <family val="2"/>
    </font>
    <font>
      <b/>
      <sz val="11"/>
      <name val="Arial"/>
      <family val="2"/>
    </font>
    <font>
      <b/>
      <sz val="10"/>
      <color theme="0"/>
      <name val="Arial"/>
      <family val="2"/>
    </font>
    <font>
      <sz val="10"/>
      <color theme="1"/>
      <name val="Arial"/>
      <family val="2"/>
    </font>
    <font>
      <sz val="9"/>
      <color theme="1"/>
      <name val="Arial"/>
      <family val="2"/>
    </font>
    <font>
      <sz val="10"/>
      <color rgb="FF0070C0"/>
      <name val="Arial"/>
      <family val="2"/>
    </font>
    <font>
      <sz val="9"/>
      <name val="Arial"/>
      <family val="2"/>
    </font>
    <font>
      <b/>
      <sz val="11"/>
      <color theme="1"/>
      <name val="Arial"/>
      <family val="2"/>
    </font>
    <font>
      <sz val="14"/>
      <name val="Arial"/>
      <family val="2"/>
    </font>
    <font>
      <sz val="10"/>
      <color rgb="FFFF0000"/>
      <name val="Arial"/>
      <family val="2"/>
    </font>
    <font>
      <i/>
      <sz val="12"/>
      <name val="Arial"/>
      <family val="2"/>
    </font>
    <font>
      <sz val="11"/>
      <color theme="1"/>
      <name val="Arial"/>
      <family val="2"/>
    </font>
    <font>
      <u/>
      <sz val="12"/>
      <color theme="10"/>
      <name val="ArialMT"/>
      <family val="2"/>
    </font>
    <font>
      <sz val="8"/>
      <name val="ArialMT"/>
      <family val="2"/>
    </font>
    <font>
      <sz val="12"/>
      <color theme="1"/>
      <name val="Arial"/>
      <family val="2"/>
    </font>
    <font>
      <b/>
      <sz val="14"/>
      <color theme="1"/>
      <name val="Arial"/>
      <family val="2"/>
    </font>
    <font>
      <b/>
      <sz val="12"/>
      <color theme="1"/>
      <name val="Arial"/>
      <family val="2"/>
    </font>
    <font>
      <sz val="12"/>
      <color theme="0"/>
      <name val="Arial"/>
      <family val="2"/>
    </font>
    <font>
      <sz val="12"/>
      <color rgb="FFFF0000"/>
      <name val="Arial"/>
      <family val="2"/>
    </font>
    <font>
      <sz val="12"/>
      <name val="Arial"/>
      <family val="2"/>
    </font>
    <font>
      <sz val="12"/>
      <color rgb="FF000000"/>
      <name val="Arial"/>
      <family val="2"/>
    </font>
    <font>
      <b/>
      <sz val="12"/>
      <name val="Arial"/>
      <family val="2"/>
    </font>
    <font>
      <sz val="16"/>
      <name val="Arial"/>
      <family val="2"/>
    </font>
    <font>
      <sz val="11"/>
      <color rgb="FFFF0000"/>
      <name val="Arial"/>
      <family val="2"/>
    </font>
    <font>
      <b/>
      <sz val="12"/>
      <color rgb="FFFF0000"/>
      <name val="Arial"/>
      <family val="2"/>
    </font>
    <font>
      <b/>
      <sz val="12"/>
      <color rgb="FF000000"/>
      <name val="Arial"/>
      <family val="2"/>
    </font>
    <font>
      <sz val="12"/>
      <color indexed="9"/>
      <name val="Arial"/>
      <family val="2"/>
    </font>
    <font>
      <b/>
      <sz val="12"/>
      <color indexed="9"/>
      <name val="Arial"/>
      <family val="2"/>
    </font>
    <font>
      <b/>
      <i/>
      <sz val="12"/>
      <name val="Arial"/>
      <family val="2"/>
    </font>
    <font>
      <u/>
      <sz val="12"/>
      <color theme="10"/>
      <name val="Arial"/>
      <family val="2"/>
    </font>
    <font>
      <b/>
      <i/>
      <sz val="14"/>
      <color rgb="FFFF0000"/>
      <name val="Arial"/>
      <family val="2"/>
    </font>
    <font>
      <sz val="12"/>
      <color theme="1"/>
      <name val="ArialMT"/>
      <family val="2"/>
    </font>
    <font>
      <b/>
      <sz val="11"/>
      <color rgb="FF000000"/>
      <name val="Arial"/>
      <family val="2"/>
    </font>
    <font>
      <b/>
      <u/>
      <sz val="11"/>
      <color rgb="FF000000"/>
      <name val="Arial"/>
      <family val="2"/>
    </font>
    <font>
      <b/>
      <sz val="11"/>
      <color theme="1" tint="4.9989318521683403E-2"/>
      <name val="Arial"/>
      <family val="2"/>
    </font>
    <font>
      <b/>
      <sz val="11"/>
      <color rgb="FF262628"/>
      <name val="Arial"/>
      <family val="2"/>
    </font>
    <font>
      <b/>
      <sz val="11"/>
      <color rgb="FF3F3F3F"/>
      <name val="Arial"/>
      <family val="2"/>
    </font>
    <font>
      <b/>
      <sz val="11"/>
      <color rgb="FF595959"/>
      <name val="Arial"/>
      <family val="2"/>
    </font>
    <font>
      <sz val="11"/>
      <color theme="1" tint="4.9989318521683403E-2"/>
      <name val="Arial"/>
      <family val="2"/>
    </font>
    <font>
      <i/>
      <sz val="11"/>
      <color theme="1" tint="4.9989318521683403E-2"/>
      <name val="Arial"/>
      <family val="2"/>
    </font>
    <font>
      <sz val="11"/>
      <color rgb="FF000000"/>
      <name val="Arial"/>
      <family val="2"/>
    </font>
    <font>
      <sz val="11"/>
      <color theme="1"/>
      <name val="ArialMT"/>
      <family val="2"/>
    </font>
    <font>
      <b/>
      <u/>
      <sz val="12"/>
      <name val="Arial"/>
      <family val="2"/>
    </font>
    <font>
      <b/>
      <sz val="12"/>
      <color theme="0"/>
      <name val="Arial"/>
      <family val="2"/>
    </font>
    <font>
      <sz val="10"/>
      <color theme="1"/>
      <name val="ArialMT"/>
      <family val="2"/>
    </font>
    <font>
      <i/>
      <sz val="12"/>
      <color theme="1"/>
      <name val="Arial"/>
      <family val="2"/>
    </font>
    <font>
      <b/>
      <u/>
      <sz val="12"/>
      <color theme="1"/>
      <name val="Arial"/>
      <family val="2"/>
    </font>
    <font>
      <sz val="12"/>
      <color theme="1"/>
      <name val="ArialMT"/>
    </font>
    <font>
      <b/>
      <sz val="10"/>
      <color theme="1"/>
      <name val="Arial"/>
      <family val="2"/>
    </font>
    <font>
      <sz val="11"/>
      <name val="Arial"/>
      <family val="2"/>
    </font>
    <font>
      <b/>
      <sz val="9"/>
      <color rgb="FFFF0000"/>
      <name val="Arial"/>
      <family val="2"/>
    </font>
    <font>
      <b/>
      <sz val="10"/>
      <color rgb="FFFF0000"/>
      <name val="Arial"/>
      <family val="2"/>
    </font>
    <font>
      <sz val="9"/>
      <color rgb="FFFF0000"/>
      <name val="Arial"/>
      <family val="2"/>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FFFF"/>
        <bgColor rgb="FF000000"/>
      </patternFill>
    </fill>
    <fill>
      <patternFill patternType="solid">
        <fgColor theme="7" tint="0.79998168889431442"/>
        <bgColor indexed="64"/>
      </patternFill>
    </fill>
    <fill>
      <patternFill patternType="solid">
        <fgColor theme="1" tint="0.499984740745262"/>
        <bgColor indexed="64"/>
      </patternFill>
    </fill>
  </fills>
  <borders count="55">
    <border>
      <left/>
      <right/>
      <top/>
      <bottom/>
      <diagonal/>
    </border>
    <border>
      <left style="thin">
        <color theme="0" tint="-0.34998626667073579"/>
      </left>
      <right/>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style="medium">
        <color indexed="64"/>
      </right>
      <top style="thin">
        <color theme="0" tint="-0.34998626667073579"/>
      </top>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medium">
        <color indexed="64"/>
      </right>
      <top/>
      <bottom/>
      <diagonal/>
    </border>
    <border>
      <left style="medium">
        <color indexed="64"/>
      </left>
      <right/>
      <top style="medium">
        <color indexed="64"/>
      </top>
      <bottom style="medium">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right style="medium">
        <color indexed="64"/>
      </right>
      <top style="medium">
        <color indexed="64"/>
      </top>
      <bottom style="medium">
        <color indexed="64"/>
      </bottom>
      <diagonal/>
    </border>
    <border>
      <left style="thin">
        <color theme="0" tint="-0.34998626667073579"/>
      </left>
      <right style="thin">
        <color indexed="64"/>
      </right>
      <top style="thin">
        <color theme="0" tint="-0.34998626667073579"/>
      </top>
      <bottom style="thin">
        <color theme="0" tint="-0.34998626667073579"/>
      </bottom>
      <diagonal/>
    </border>
    <border>
      <left style="thin">
        <color indexed="64"/>
      </left>
      <right style="thin">
        <color theme="0" tint="-0.34998626667073579"/>
      </right>
      <top style="thin">
        <color theme="0" tint="-0.34998626667073579"/>
      </top>
      <bottom style="thin">
        <color theme="0" tint="-0.34998626667073579"/>
      </bottom>
      <diagonal/>
    </border>
    <border>
      <left style="thin">
        <color indexed="64"/>
      </left>
      <right/>
      <top/>
      <bottom/>
      <diagonal/>
    </border>
    <border>
      <left/>
      <right style="thin">
        <color indexed="64"/>
      </right>
      <top/>
      <bottom/>
      <diagonal/>
    </border>
    <border>
      <left/>
      <right/>
      <top style="thin">
        <color indexed="64"/>
      </top>
      <bottom style="thin">
        <color theme="0" tint="-0.34998626667073579"/>
      </bottom>
      <diagonal/>
    </border>
    <border>
      <left style="medium">
        <color theme="1"/>
      </left>
      <right style="medium">
        <color theme="1"/>
      </right>
      <top style="medium">
        <color theme="1"/>
      </top>
      <bottom style="medium">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0" tint="-0.34998626667073579"/>
      </right>
      <top style="thin">
        <color theme="1"/>
      </top>
      <bottom style="thin">
        <color theme="1"/>
      </bottom>
      <diagonal/>
    </border>
    <border>
      <left style="thin">
        <color theme="0" tint="-0.34998626667073579"/>
      </left>
      <right style="thin">
        <color theme="0" tint="-0.34998626667073579"/>
      </right>
      <top style="thin">
        <color theme="1"/>
      </top>
      <bottom style="thin">
        <color theme="1"/>
      </bottom>
      <diagonal/>
    </border>
    <border>
      <left style="thin">
        <color theme="0" tint="-0.34998626667073579"/>
      </left>
      <right style="thin">
        <color theme="1"/>
      </right>
      <top style="thin">
        <color theme="1"/>
      </top>
      <bottom style="thin">
        <color theme="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tint="-0.24994659260841701"/>
      </left>
      <right/>
      <top style="thin">
        <color theme="0" tint="-0.34998626667073579"/>
      </top>
      <bottom style="thin">
        <color theme="0" tint="-0.24994659260841701"/>
      </bottom>
      <diagonal/>
    </border>
    <border>
      <left/>
      <right/>
      <top style="thin">
        <color theme="0" tint="-0.34998626667073579"/>
      </top>
      <bottom style="thin">
        <color theme="0" tint="-0.24994659260841701"/>
      </bottom>
      <diagonal/>
    </border>
    <border>
      <left/>
      <right style="thin">
        <color theme="0" tint="-0.34998626667073579"/>
      </right>
      <top style="thin">
        <color theme="0" tint="-0.34998626667073579"/>
      </top>
      <bottom style="thin">
        <color theme="0" tint="-0.24994659260841701"/>
      </bottom>
      <diagonal/>
    </border>
    <border>
      <left/>
      <right style="thin">
        <color theme="0" tint="-0.24994659260841701"/>
      </right>
      <top style="thin">
        <color theme="0" tint="-0.34998626667073579"/>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style="medium">
        <color indexed="64"/>
      </left>
      <right style="medium">
        <color indexed="64"/>
      </right>
      <top style="medium">
        <color indexed="64"/>
      </top>
      <bottom style="medium">
        <color indexed="64"/>
      </bottom>
      <diagonal/>
    </border>
  </borders>
  <cellStyleXfs count="7">
    <xf numFmtId="0" fontId="0" fillId="0" borderId="0"/>
    <xf numFmtId="0" fontId="1" fillId="0" borderId="0"/>
    <xf numFmtId="0" fontId="1" fillId="0" borderId="0"/>
    <xf numFmtId="0" fontId="16" fillId="0" borderId="0" applyNumberFormat="0" applyFill="0" applyBorder="0" applyAlignment="0" applyProtection="0"/>
    <xf numFmtId="43" fontId="35" fillId="0" borderId="0" applyFont="0" applyFill="0" applyBorder="0" applyAlignment="0" applyProtection="0"/>
    <xf numFmtId="9" fontId="35" fillId="0" borderId="0" applyFont="0" applyFill="0" applyBorder="0" applyAlignment="0" applyProtection="0"/>
    <xf numFmtId="44" fontId="35" fillId="0" borderId="0" applyFont="0" applyFill="0" applyBorder="0" applyAlignment="0" applyProtection="0"/>
  </cellStyleXfs>
  <cellXfs count="892">
    <xf numFmtId="0" fontId="0" fillId="0" borderId="0" xfId="0"/>
    <xf numFmtId="0" fontId="8" fillId="2" borderId="5" xfId="1" applyFont="1" applyFill="1" applyBorder="1" applyAlignment="1" applyProtection="1">
      <alignment horizontal="center" vertical="center" wrapText="1"/>
      <protection hidden="1"/>
    </xf>
    <xf numFmtId="0" fontId="18" fillId="2" borderId="0" xfId="0" applyFont="1" applyFill="1" applyAlignment="1">
      <alignment vertical="center"/>
    </xf>
    <xf numFmtId="0" fontId="18" fillId="0" borderId="0" xfId="0" applyFont="1"/>
    <xf numFmtId="0" fontId="18" fillId="2" borderId="0" xfId="0" applyFont="1" applyFill="1"/>
    <xf numFmtId="0" fontId="19" fillId="2" borderId="0" xfId="0" applyFont="1" applyFill="1"/>
    <xf numFmtId="0" fontId="18" fillId="2" borderId="0" xfId="0" applyFont="1" applyFill="1" applyAlignment="1">
      <alignment horizontal="right"/>
    </xf>
    <xf numFmtId="0" fontId="18" fillId="2" borderId="5" xfId="0" applyFont="1" applyFill="1" applyBorder="1"/>
    <xf numFmtId="0" fontId="18" fillId="2" borderId="0" xfId="0" applyFont="1" applyFill="1" applyAlignment="1">
      <alignment wrapText="1"/>
    </xf>
    <xf numFmtId="0" fontId="18" fillId="2" borderId="0" xfId="0" applyFont="1" applyFill="1" applyAlignment="1">
      <alignment vertical="center" wrapText="1"/>
    </xf>
    <xf numFmtId="0" fontId="20" fillId="2" borderId="0" xfId="0" applyFont="1" applyFill="1" applyAlignment="1">
      <alignment vertical="center"/>
    </xf>
    <xf numFmtId="0" fontId="29" fillId="2" borderId="0" xfId="1" applyFont="1" applyFill="1" applyAlignment="1">
      <alignment horizontal="left" vertical="center"/>
    </xf>
    <xf numFmtId="0" fontId="30" fillId="2" borderId="0" xfId="1" applyFont="1" applyFill="1" applyAlignment="1">
      <alignment horizontal="left" vertical="center"/>
    </xf>
    <xf numFmtId="0" fontId="23" fillId="2" borderId="0" xfId="1" applyFont="1" applyFill="1" applyAlignment="1">
      <alignment vertical="center"/>
    </xf>
    <xf numFmtId="0" fontId="25" fillId="2" borderId="0" xfId="1" applyFont="1" applyFill="1" applyAlignment="1">
      <alignment horizontal="left" vertical="center"/>
    </xf>
    <xf numFmtId="0" fontId="23" fillId="2" borderId="0" xfId="1" applyFont="1" applyFill="1" applyAlignment="1">
      <alignment horizontal="left" vertical="center"/>
    </xf>
    <xf numFmtId="0" fontId="23" fillId="2" borderId="0" xfId="1" applyFont="1" applyFill="1" applyAlignment="1">
      <alignment horizontal="left" vertical="center" wrapText="1"/>
    </xf>
    <xf numFmtId="0" fontId="23" fillId="2" borderId="0" xfId="1" applyFont="1" applyFill="1" applyAlignment="1">
      <alignment horizontal="center" vertical="center"/>
    </xf>
    <xf numFmtId="0" fontId="23" fillId="2" borderId="0" xfId="1" applyFont="1" applyFill="1" applyAlignment="1">
      <alignment vertical="center" wrapText="1"/>
    </xf>
    <xf numFmtId="0" fontId="23" fillId="2" borderId="0" xfId="1" applyFont="1" applyFill="1" applyAlignment="1">
      <alignment horizontal="center" vertical="center" wrapText="1"/>
    </xf>
    <xf numFmtId="0" fontId="25" fillId="2" borderId="0" xfId="1" applyFont="1" applyFill="1" applyAlignment="1">
      <alignment vertical="center"/>
    </xf>
    <xf numFmtId="0" fontId="20" fillId="3" borderId="0" xfId="0" applyFont="1" applyFill="1" applyAlignment="1">
      <alignment vertical="center"/>
    </xf>
    <xf numFmtId="0" fontId="29" fillId="3" borderId="0" xfId="1" applyFont="1" applyFill="1" applyAlignment="1">
      <alignment horizontal="left" vertical="center"/>
    </xf>
    <xf numFmtId="0" fontId="30" fillId="3" borderId="0" xfId="1" applyFont="1" applyFill="1" applyAlignment="1">
      <alignment horizontal="left" vertical="center"/>
    </xf>
    <xf numFmtId="0" fontId="23" fillId="3" borderId="0" xfId="1" applyFont="1" applyFill="1" applyAlignment="1">
      <alignment vertical="center"/>
    </xf>
    <xf numFmtId="0" fontId="11" fillId="2" borderId="14" xfId="0" applyFont="1" applyFill="1" applyBorder="1" applyAlignment="1">
      <alignment horizontal="center" vertical="center"/>
    </xf>
    <xf numFmtId="0" fontId="36" fillId="2" borderId="0" xfId="0" applyFont="1" applyFill="1" applyAlignment="1">
      <alignment wrapText="1"/>
    </xf>
    <xf numFmtId="0" fontId="15" fillId="2" borderId="0" xfId="0" applyFont="1" applyFill="1"/>
    <xf numFmtId="0" fontId="45" fillId="2" borderId="0" xfId="0" applyFont="1" applyFill="1"/>
    <xf numFmtId="0" fontId="38" fillId="2" borderId="14" xfId="0" applyFont="1" applyFill="1" applyBorder="1" applyAlignment="1">
      <alignment horizontal="center" vertical="center" wrapText="1"/>
    </xf>
    <xf numFmtId="0" fontId="42" fillId="2" borderId="14" xfId="0" applyFont="1" applyFill="1" applyBorder="1" applyAlignment="1">
      <alignment vertical="center" wrapText="1"/>
    </xf>
    <xf numFmtId="166" fontId="42" fillId="2" borderId="14" xfId="0" applyNumberFormat="1" applyFont="1" applyFill="1" applyBorder="1" applyAlignment="1">
      <alignment horizontal="right" vertical="center" wrapText="1"/>
    </xf>
    <xf numFmtId="167" fontId="42" fillId="2" borderId="14" xfId="0" applyNumberFormat="1" applyFont="1" applyFill="1" applyBorder="1" applyAlignment="1">
      <alignment vertical="center" wrapText="1"/>
    </xf>
    <xf numFmtId="2" fontId="42" fillId="2" borderId="14" xfId="0" applyNumberFormat="1" applyFont="1" applyFill="1" applyBorder="1" applyAlignment="1">
      <alignment vertical="center" wrapText="1"/>
    </xf>
    <xf numFmtId="166" fontId="42" fillId="2" borderId="14" xfId="0" applyNumberFormat="1" applyFont="1" applyFill="1" applyBorder="1" applyAlignment="1">
      <alignment vertical="center" wrapText="1"/>
    </xf>
    <xf numFmtId="167" fontId="42" fillId="2" borderId="14" xfId="0" applyNumberFormat="1" applyFont="1" applyFill="1" applyBorder="1" applyAlignment="1">
      <alignment horizontal="center" vertical="center" wrapText="1"/>
    </xf>
    <xf numFmtId="2" fontId="15" fillId="2" borderId="0" xfId="0" applyNumberFormat="1" applyFont="1" applyFill="1"/>
    <xf numFmtId="0" fontId="42" fillId="2" borderId="14" xfId="0" applyFont="1" applyFill="1" applyBorder="1" applyAlignment="1">
      <alignment horizontal="center" vertical="center" wrapText="1"/>
    </xf>
    <xf numFmtId="0" fontId="15" fillId="2" borderId="25" xfId="0" applyFont="1" applyFill="1" applyBorder="1"/>
    <xf numFmtId="0" fontId="45" fillId="2" borderId="0" xfId="0" applyFont="1" applyFill="1" applyAlignment="1">
      <alignment horizontal="left" vertical="top"/>
    </xf>
    <xf numFmtId="0" fontId="15" fillId="2" borderId="0" xfId="0" applyFont="1" applyFill="1" applyAlignment="1">
      <alignment vertical="top"/>
    </xf>
    <xf numFmtId="0" fontId="15" fillId="2" borderId="0" xfId="0" applyFont="1" applyFill="1" applyAlignment="1">
      <alignment horizontal="left" vertical="top"/>
    </xf>
    <xf numFmtId="0" fontId="44" fillId="2" borderId="14" xfId="0" applyFont="1" applyFill="1" applyBorder="1" applyAlignment="1">
      <alignment vertical="center"/>
    </xf>
    <xf numFmtId="0" fontId="44" fillId="2" borderId="14" xfId="0" applyFont="1" applyFill="1" applyBorder="1" applyAlignment="1">
      <alignment horizontal="right" vertical="center"/>
    </xf>
    <xf numFmtId="0" fontId="15" fillId="2" borderId="0" xfId="0" applyFont="1" applyFill="1" applyAlignment="1">
      <alignment horizontal="center" vertical="center"/>
    </xf>
    <xf numFmtId="2" fontId="15" fillId="2" borderId="0" xfId="0" applyNumberFormat="1" applyFont="1" applyFill="1" applyAlignment="1">
      <alignment horizontal="center" vertical="center"/>
    </xf>
    <xf numFmtId="0" fontId="15" fillId="2" borderId="0" xfId="0" applyFont="1" applyFill="1" applyAlignment="1">
      <alignment horizontal="left" vertical="center"/>
    </xf>
    <xf numFmtId="0" fontId="15" fillId="2" borderId="14" xfId="0" applyFont="1" applyFill="1" applyBorder="1" applyAlignment="1">
      <alignment vertical="center" wrapText="1"/>
    </xf>
    <xf numFmtId="2" fontId="15" fillId="2" borderId="14" xfId="0" applyNumberFormat="1" applyFont="1" applyFill="1" applyBorder="1" applyAlignment="1">
      <alignment vertical="center" wrapText="1"/>
    </xf>
    <xf numFmtId="0" fontId="15" fillId="2" borderId="14" xfId="0" applyFont="1" applyFill="1" applyBorder="1"/>
    <xf numFmtId="0" fontId="15" fillId="2" borderId="14" xfId="0" applyFont="1" applyFill="1" applyBorder="1" applyAlignment="1">
      <alignment horizontal="center" vertical="center" wrapText="1"/>
    </xf>
    <xf numFmtId="2" fontId="11" fillId="2" borderId="14" xfId="0" applyNumberFormat="1" applyFont="1" applyFill="1" applyBorder="1" applyAlignment="1">
      <alignment vertical="center" wrapText="1"/>
    </xf>
    <xf numFmtId="0" fontId="15" fillId="2" borderId="14" xfId="0" applyFont="1" applyFill="1" applyBorder="1" applyAlignment="1">
      <alignment horizontal="center" vertical="center"/>
    </xf>
    <xf numFmtId="0" fontId="15" fillId="2" borderId="14" xfId="0" applyFont="1" applyFill="1" applyBorder="1" applyAlignment="1">
      <alignment wrapText="1"/>
    </xf>
    <xf numFmtId="0" fontId="15" fillId="2" borderId="14" xfId="0" applyFont="1" applyFill="1" applyBorder="1" applyAlignment="1">
      <alignment horizontal="center"/>
    </xf>
    <xf numFmtId="0" fontId="36" fillId="2" borderId="0" xfId="0" applyFont="1" applyFill="1" applyAlignment="1">
      <alignment vertical="center"/>
    </xf>
    <xf numFmtId="0" fontId="45" fillId="2" borderId="0" xfId="0" applyFont="1" applyFill="1" applyAlignment="1">
      <alignment vertical="center"/>
    </xf>
    <xf numFmtId="0" fontId="15" fillId="2" borderId="0" xfId="0" applyFont="1" applyFill="1" applyAlignment="1">
      <alignment vertical="center"/>
    </xf>
    <xf numFmtId="0" fontId="38" fillId="2" borderId="0" xfId="0" applyFont="1" applyFill="1" applyAlignment="1">
      <alignment horizontal="center" vertical="center" wrapText="1"/>
    </xf>
    <xf numFmtId="167" fontId="42" fillId="2" borderId="0" xfId="0" applyNumberFormat="1" applyFont="1" applyFill="1" applyAlignment="1">
      <alignment horizontal="center" vertical="center" wrapText="1"/>
    </xf>
    <xf numFmtId="0" fontId="42" fillId="2" borderId="0" xfId="0" applyFont="1" applyFill="1" applyAlignment="1">
      <alignment horizontal="center" vertical="center" wrapText="1"/>
    </xf>
    <xf numFmtId="0" fontId="15" fillId="2" borderId="14" xfId="0" applyFont="1" applyFill="1" applyBorder="1" applyAlignment="1">
      <alignment horizontal="left" vertical="center"/>
    </xf>
    <xf numFmtId="0" fontId="15" fillId="2" borderId="14" xfId="0" applyFont="1" applyFill="1" applyBorder="1" applyAlignment="1">
      <alignment horizontal="left" vertical="center" wrapText="1"/>
    </xf>
    <xf numFmtId="2" fontId="15" fillId="2" borderId="14" xfId="0" applyNumberFormat="1" applyFont="1" applyFill="1" applyBorder="1" applyAlignment="1">
      <alignment horizontal="center" vertical="center"/>
    </xf>
    <xf numFmtId="2" fontId="15" fillId="4" borderId="14" xfId="0" applyNumberFormat="1" applyFont="1" applyFill="1" applyBorder="1" applyAlignment="1">
      <alignment horizontal="center" vertical="center"/>
    </xf>
    <xf numFmtId="2" fontId="27" fillId="2" borderId="14" xfId="0" applyNumberFormat="1" applyFont="1" applyFill="1" applyBorder="1" applyAlignment="1">
      <alignment horizontal="center" vertical="center"/>
    </xf>
    <xf numFmtId="0" fontId="11" fillId="2" borderId="14" xfId="0" applyFont="1" applyFill="1" applyBorder="1" applyAlignment="1">
      <alignment horizontal="center" vertical="center" wrapText="1"/>
    </xf>
    <xf numFmtId="0" fontId="36" fillId="2" borderId="14" xfId="0" applyFont="1" applyFill="1" applyBorder="1" applyAlignment="1">
      <alignment horizontal="center" vertical="center" wrapText="1"/>
    </xf>
    <xf numFmtId="0" fontId="15" fillId="2" borderId="0" xfId="0" applyFont="1" applyFill="1" applyAlignment="1">
      <alignment horizontal="center"/>
    </xf>
    <xf numFmtId="0" fontId="5" fillId="2" borderId="14" xfId="0" applyFont="1" applyFill="1" applyBorder="1" applyAlignment="1">
      <alignment horizontal="center" vertical="center" wrapText="1"/>
    </xf>
    <xf numFmtId="10" fontId="15" fillId="2" borderId="0" xfId="5" applyNumberFormat="1" applyFont="1" applyFill="1" applyAlignment="1">
      <alignment horizontal="center" vertical="center"/>
    </xf>
    <xf numFmtId="0" fontId="27" fillId="2" borderId="14" xfId="0" applyFont="1" applyFill="1" applyBorder="1" applyAlignment="1">
      <alignment horizontal="left" vertical="center"/>
    </xf>
    <xf numFmtId="10" fontId="27" fillId="2" borderId="0" xfId="0" applyNumberFormat="1" applyFont="1" applyFill="1" applyAlignment="1">
      <alignment horizontal="center" vertical="center"/>
    </xf>
    <xf numFmtId="0" fontId="11" fillId="2" borderId="0" xfId="0" applyFont="1" applyFill="1" applyAlignment="1">
      <alignment horizontal="center" vertical="center"/>
    </xf>
    <xf numFmtId="0" fontId="11" fillId="2" borderId="0" xfId="0" applyFont="1" applyFill="1" applyAlignment="1">
      <alignment horizontal="left" vertical="center"/>
    </xf>
    <xf numFmtId="0" fontId="20" fillId="2" borderId="14" xfId="0" applyFont="1" applyFill="1" applyBorder="1" applyAlignment="1">
      <alignment horizontal="center" vertical="center" wrapText="1"/>
    </xf>
    <xf numFmtId="0" fontId="27" fillId="2" borderId="14" xfId="0" applyFont="1" applyFill="1" applyBorder="1" applyAlignment="1">
      <alignment horizontal="center" vertical="center"/>
    </xf>
    <xf numFmtId="4" fontId="23" fillId="2" borderId="5" xfId="4" applyNumberFormat="1" applyFont="1" applyFill="1" applyBorder="1" applyAlignment="1">
      <alignment horizontal="center" vertical="center"/>
    </xf>
    <xf numFmtId="44" fontId="15" fillId="2" borderId="0" xfId="6" applyFont="1" applyFill="1"/>
    <xf numFmtId="168" fontId="30" fillId="3" borderId="0" xfId="1" applyNumberFormat="1" applyFont="1" applyFill="1" applyAlignment="1">
      <alignment horizontal="left" vertical="center"/>
    </xf>
    <xf numFmtId="0" fontId="20" fillId="2" borderId="0" xfId="0" applyFont="1" applyFill="1"/>
    <xf numFmtId="165" fontId="25" fillId="2" borderId="14" xfId="1" applyNumberFormat="1" applyFont="1" applyFill="1" applyBorder="1" applyAlignment="1">
      <alignment horizontal="center" vertical="center" wrapText="1"/>
    </xf>
    <xf numFmtId="169" fontId="18" fillId="2" borderId="5" xfId="6" applyNumberFormat="1" applyFont="1" applyFill="1" applyBorder="1" applyAlignment="1">
      <alignment vertical="center"/>
    </xf>
    <xf numFmtId="0" fontId="23" fillId="2" borderId="0" xfId="0" applyFont="1" applyFill="1"/>
    <xf numFmtId="0" fontId="23" fillId="2" borderId="0" xfId="0" applyFont="1" applyFill="1" applyAlignment="1">
      <alignment horizontal="right"/>
    </xf>
    <xf numFmtId="0" fontId="23" fillId="2" borderId="0" xfId="0" applyFont="1" applyFill="1" applyAlignment="1">
      <alignment horizontal="left" vertical="center"/>
    </xf>
    <xf numFmtId="0" fontId="25" fillId="2" borderId="0" xfId="0" applyFont="1" applyFill="1" applyAlignment="1">
      <alignment horizontal="left" vertical="center"/>
    </xf>
    <xf numFmtId="0" fontId="25" fillId="2" borderId="14" xfId="0" applyFont="1" applyFill="1" applyBorder="1" applyAlignment="1">
      <alignment horizontal="center" vertical="center" wrapText="1"/>
    </xf>
    <xf numFmtId="0" fontId="23" fillId="2" borderId="2" xfId="0" applyFont="1" applyFill="1" applyBorder="1" applyAlignment="1">
      <alignment horizontal="left" indent="2"/>
    </xf>
    <xf numFmtId="0" fontId="23" fillId="2" borderId="4" xfId="0" applyFont="1" applyFill="1" applyBorder="1"/>
    <xf numFmtId="0" fontId="23" fillId="2" borderId="5" xfId="0" applyFont="1" applyFill="1" applyBorder="1" applyAlignment="1">
      <alignment horizontal="right"/>
    </xf>
    <xf numFmtId="0" fontId="23" fillId="2" borderId="5" xfId="0" applyFont="1" applyFill="1" applyBorder="1"/>
    <xf numFmtId="0" fontId="23" fillId="2" borderId="2" xfId="0" applyFont="1" applyFill="1" applyBorder="1"/>
    <xf numFmtId="0" fontId="23" fillId="2" borderId="0" xfId="0" applyFont="1" applyFill="1" applyAlignment="1">
      <alignment horizontal="center" vertical="center" wrapText="1"/>
    </xf>
    <xf numFmtId="0" fontId="23" fillId="2" borderId="0" xfId="0" applyFont="1" applyFill="1" applyAlignment="1">
      <alignment horizontal="right" vertical="center" wrapText="1"/>
    </xf>
    <xf numFmtId="0" fontId="25" fillId="2" borderId="5" xfId="0" applyFont="1" applyFill="1" applyBorder="1" applyAlignment="1">
      <alignment horizontal="center" vertical="center" wrapText="1"/>
    </xf>
    <xf numFmtId="0" fontId="25" fillId="2" borderId="5" xfId="0" applyFont="1" applyFill="1" applyBorder="1" applyAlignment="1">
      <alignment horizontal="left" vertical="center" wrapText="1" indent="1"/>
    </xf>
    <xf numFmtId="0" fontId="23" fillId="2" borderId="5" xfId="0" applyFont="1" applyFill="1" applyBorder="1" applyAlignment="1">
      <alignment horizontal="justify" vertical="center" wrapText="1"/>
    </xf>
    <xf numFmtId="0" fontId="23" fillId="2" borderId="5" xfId="0" applyFont="1" applyFill="1" applyBorder="1" applyAlignment="1">
      <alignment horizontal="right" vertical="center" wrapText="1"/>
    </xf>
    <xf numFmtId="0" fontId="18" fillId="2" borderId="0" xfId="0" applyFont="1" applyFill="1" applyAlignment="1">
      <alignment horizontal="right" vertical="top" wrapText="1"/>
    </xf>
    <xf numFmtId="0" fontId="20" fillId="2" borderId="21" xfId="0" applyFont="1" applyFill="1" applyBorder="1" applyAlignment="1">
      <alignment horizontal="center" vertical="center" wrapText="1"/>
    </xf>
    <xf numFmtId="0" fontId="20" fillId="2" borderId="23" xfId="0" applyFont="1" applyFill="1" applyBorder="1" applyAlignment="1">
      <alignment horizontal="center" vertical="center" wrapText="1"/>
    </xf>
    <xf numFmtId="0" fontId="23" fillId="2" borderId="0" xfId="0" applyFont="1" applyFill="1" applyAlignment="1">
      <alignment horizontal="left" vertical="center" wrapText="1"/>
    </xf>
    <xf numFmtId="0" fontId="23" fillId="2" borderId="0" xfId="0" applyFont="1" applyFill="1" applyAlignment="1">
      <alignment horizontal="left" vertical="top"/>
    </xf>
    <xf numFmtId="0" fontId="20" fillId="2" borderId="5" xfId="0" applyFont="1" applyFill="1" applyBorder="1" applyAlignment="1">
      <alignment horizontal="center" vertical="center" wrapText="1"/>
    </xf>
    <xf numFmtId="0" fontId="25" fillId="2" borderId="2" xfId="0" applyFont="1" applyFill="1" applyBorder="1" applyAlignment="1">
      <alignment horizontal="left"/>
    </xf>
    <xf numFmtId="0" fontId="20" fillId="2" borderId="2" xfId="0" applyFont="1" applyFill="1" applyBorder="1"/>
    <xf numFmtId="0" fontId="25" fillId="2" borderId="3" xfId="0" applyFont="1" applyFill="1" applyBorder="1" applyAlignment="1">
      <alignment horizontal="left"/>
    </xf>
    <xf numFmtId="0" fontId="25" fillId="2" borderId="4" xfId="0" applyFont="1" applyFill="1" applyBorder="1" applyAlignment="1">
      <alignment horizontal="left"/>
    </xf>
    <xf numFmtId="0" fontId="23" fillId="2" borderId="3" xfId="0" applyFont="1" applyFill="1" applyBorder="1" applyAlignment="1">
      <alignment horizontal="left" indent="2"/>
    </xf>
    <xf numFmtId="0" fontId="23" fillId="2" borderId="4" xfId="0" applyFont="1" applyFill="1" applyBorder="1" applyAlignment="1">
      <alignment horizontal="left" indent="2"/>
    </xf>
    <xf numFmtId="0" fontId="23" fillId="2" borderId="3" xfId="0" applyFont="1" applyFill="1" applyBorder="1"/>
    <xf numFmtId="0" fontId="20" fillId="2" borderId="3" xfId="0" applyFont="1" applyFill="1" applyBorder="1"/>
    <xf numFmtId="0" fontId="20" fillId="2" borderId="4" xfId="0" applyFont="1" applyFill="1" applyBorder="1"/>
    <xf numFmtId="169" fontId="23" fillId="2" borderId="5" xfId="0" applyNumberFormat="1" applyFont="1" applyFill="1" applyBorder="1"/>
    <xf numFmtId="169" fontId="20" fillId="2" borderId="36" xfId="0" applyNumberFormat="1" applyFont="1" applyFill="1" applyBorder="1"/>
    <xf numFmtId="170" fontId="23" fillId="2" borderId="5" xfId="0" applyNumberFormat="1" applyFont="1" applyFill="1" applyBorder="1" applyAlignment="1">
      <alignment horizontal="center"/>
    </xf>
    <xf numFmtId="170" fontId="20" fillId="2" borderId="12" xfId="0" applyNumberFormat="1" applyFont="1" applyFill="1" applyBorder="1" applyAlignment="1">
      <alignment horizontal="center"/>
    </xf>
    <xf numFmtId="0" fontId="23" fillId="2" borderId="0" xfId="0" applyFont="1" applyFill="1" applyAlignment="1">
      <alignment vertical="center"/>
    </xf>
    <xf numFmtId="0" fontId="23" fillId="2" borderId="0" xfId="0" applyFont="1" applyFill="1" applyAlignment="1">
      <alignment horizontal="right" vertical="center"/>
    </xf>
    <xf numFmtId="169" fontId="23" fillId="2" borderId="5" xfId="0" applyNumberFormat="1" applyFont="1" applyFill="1" applyBorder="1" applyAlignment="1">
      <alignment horizontal="justify" vertical="center" wrapText="1"/>
    </xf>
    <xf numFmtId="169" fontId="23" fillId="2" borderId="5" xfId="0" applyNumberFormat="1" applyFont="1" applyFill="1" applyBorder="1" applyAlignment="1">
      <alignment horizontal="right" vertical="center" wrapText="1"/>
    </xf>
    <xf numFmtId="169" fontId="18" fillId="2" borderId="5" xfId="0" applyNumberFormat="1" applyFont="1" applyFill="1" applyBorder="1" applyAlignment="1">
      <alignment horizontal="right" vertical="center" wrapText="1"/>
    </xf>
    <xf numFmtId="44" fontId="18" fillId="2" borderId="5" xfId="0" applyNumberFormat="1" applyFont="1" applyFill="1" applyBorder="1" applyAlignment="1">
      <alignment horizontal="right" vertical="center" wrapText="1"/>
    </xf>
    <xf numFmtId="0" fontId="18" fillId="2" borderId="5" xfId="0" applyFont="1" applyFill="1" applyBorder="1" applyAlignment="1">
      <alignment horizontal="left" vertical="center"/>
    </xf>
    <xf numFmtId="0" fontId="23" fillId="2" borderId="0" xfId="0" applyFont="1" applyFill="1" applyAlignment="1">
      <alignment horizontal="center" vertical="center"/>
    </xf>
    <xf numFmtId="4" fontId="18" fillId="2" borderId="5" xfId="0" applyNumberFormat="1" applyFont="1" applyFill="1" applyBorder="1" applyAlignment="1">
      <alignment horizontal="center" vertical="center"/>
    </xf>
    <xf numFmtId="0" fontId="18" fillId="5" borderId="5" xfId="0" applyFont="1" applyFill="1" applyBorder="1" applyAlignment="1">
      <alignment horizontal="center" vertical="center"/>
    </xf>
    <xf numFmtId="0" fontId="18" fillId="5" borderId="5" xfId="0" applyFont="1" applyFill="1" applyBorder="1" applyAlignment="1">
      <alignment horizontal="left" vertical="center"/>
    </xf>
    <xf numFmtId="169" fontId="18" fillId="2" borderId="5" xfId="6" applyNumberFormat="1" applyFont="1" applyFill="1" applyBorder="1" applyAlignment="1">
      <alignment horizontal="left" vertical="center"/>
    </xf>
    <xf numFmtId="0" fontId="18" fillId="2" borderId="0" xfId="0" applyFont="1" applyFill="1" applyAlignment="1">
      <alignment horizontal="left" indent="1"/>
    </xf>
    <xf numFmtId="0" fontId="31" fillId="2" borderId="0" xfId="0" applyFont="1" applyFill="1" applyAlignment="1">
      <alignment horizontal="left"/>
    </xf>
    <xf numFmtId="0" fontId="31" fillId="2" borderId="8" xfId="0" applyFont="1" applyFill="1" applyBorder="1" applyAlignment="1">
      <alignment horizontal="left"/>
    </xf>
    <xf numFmtId="0" fontId="31" fillId="2" borderId="6" xfId="0" applyFont="1" applyFill="1" applyBorder="1" applyAlignment="1">
      <alignment horizontal="left"/>
    </xf>
    <xf numFmtId="0" fontId="31" fillId="2" borderId="9" xfId="0" applyFont="1" applyFill="1" applyBorder="1" applyAlignment="1">
      <alignment horizontal="left"/>
    </xf>
    <xf numFmtId="0" fontId="31" fillId="2" borderId="1" xfId="0" applyFont="1" applyFill="1" applyBorder="1" applyAlignment="1">
      <alignment horizontal="left"/>
    </xf>
    <xf numFmtId="0" fontId="31" fillId="2" borderId="10" xfId="0" applyFont="1" applyFill="1" applyBorder="1" applyAlignment="1">
      <alignment horizontal="left"/>
    </xf>
    <xf numFmtId="0" fontId="23" fillId="2" borderId="1" xfId="0" applyFont="1" applyFill="1" applyBorder="1" applyAlignment="1">
      <alignment horizontal="right"/>
    </xf>
    <xf numFmtId="0" fontId="23" fillId="2" borderId="10" xfId="0" applyFont="1" applyFill="1" applyBorder="1"/>
    <xf numFmtId="0" fontId="23" fillId="2" borderId="0" xfId="0" applyFont="1" applyFill="1" applyAlignment="1">
      <alignment horizontal="left" indent="1"/>
    </xf>
    <xf numFmtId="0" fontId="23" fillId="2" borderId="8" xfId="0" applyFont="1" applyFill="1" applyBorder="1" applyAlignment="1">
      <alignment horizontal="right"/>
    </xf>
    <xf numFmtId="0" fontId="23" fillId="2" borderId="6" xfId="0" applyFont="1" applyFill="1" applyBorder="1"/>
    <xf numFmtId="0" fontId="23" fillId="2" borderId="9" xfId="0" applyFont="1" applyFill="1" applyBorder="1"/>
    <xf numFmtId="0" fontId="23" fillId="2" borderId="0" xfId="0" applyFont="1" applyFill="1" applyAlignment="1">
      <alignment horizontal="center"/>
    </xf>
    <xf numFmtId="0" fontId="28" fillId="2" borderId="0" xfId="0" applyFont="1" applyFill="1" applyAlignment="1">
      <alignment vertical="center"/>
    </xf>
    <xf numFmtId="0" fontId="31" fillId="2" borderId="0" xfId="1" applyFont="1" applyFill="1" applyAlignment="1">
      <alignment horizontal="left" vertical="center"/>
    </xf>
    <xf numFmtId="0" fontId="24" fillId="2" borderId="0" xfId="1" applyFont="1" applyFill="1" applyAlignment="1">
      <alignment horizontal="left" vertical="center"/>
    </xf>
    <xf numFmtId="165" fontId="23" fillId="2" borderId="52" xfId="1" applyNumberFormat="1" applyFont="1" applyFill="1" applyBorder="1" applyAlignment="1">
      <alignment horizontal="center" vertical="center" wrapText="1"/>
    </xf>
    <xf numFmtId="0" fontId="23" fillId="4" borderId="5" xfId="1" applyFont="1" applyFill="1" applyBorder="1" applyAlignment="1" applyProtection="1">
      <alignment horizontal="center" vertical="center"/>
      <protection locked="0"/>
    </xf>
    <xf numFmtId="0" fontId="23" fillId="6" borderId="5" xfId="1" applyFont="1" applyFill="1" applyBorder="1" applyAlignment="1" applyProtection="1">
      <alignment horizontal="center" vertical="center"/>
      <protection locked="0"/>
    </xf>
    <xf numFmtId="0" fontId="1" fillId="6" borderId="5" xfId="1" applyFill="1" applyBorder="1" applyAlignment="1" applyProtection="1">
      <alignment horizontal="center" vertical="center"/>
      <protection locked="0"/>
    </xf>
    <xf numFmtId="3" fontId="4" fillId="6" borderId="2" xfId="1" applyNumberFormat="1" applyFont="1" applyFill="1" applyBorder="1" applyAlignment="1" applyProtection="1">
      <alignment horizontal="center" vertical="center" wrapText="1"/>
      <protection locked="0"/>
    </xf>
    <xf numFmtId="10" fontId="4" fillId="6" borderId="2" xfId="1" applyNumberFormat="1" applyFont="1" applyFill="1" applyBorder="1" applyAlignment="1" applyProtection="1">
      <alignment horizontal="center" vertical="center" wrapText="1"/>
      <protection locked="0"/>
    </xf>
    <xf numFmtId="168" fontId="23" fillId="6" borderId="5" xfId="4" applyNumberFormat="1" applyFont="1" applyFill="1" applyBorder="1" applyAlignment="1" applyProtection="1">
      <alignment horizontal="center" vertical="center"/>
      <protection locked="0"/>
    </xf>
    <xf numFmtId="0" fontId="23" fillId="4" borderId="0" xfId="1" applyFont="1" applyFill="1" applyAlignment="1" applyProtection="1">
      <alignment horizontal="center" vertical="center" wrapText="1"/>
      <protection locked="0"/>
    </xf>
    <xf numFmtId="4" fontId="18" fillId="6" borderId="5" xfId="1" applyNumberFormat="1" applyFont="1" applyFill="1" applyBorder="1" applyAlignment="1" applyProtection="1">
      <alignment horizontal="center" vertical="center" wrapText="1"/>
      <protection locked="0"/>
    </xf>
    <xf numFmtId="0" fontId="1" fillId="4" borderId="5" xfId="1" applyFill="1" applyBorder="1" applyAlignment="1" applyProtection="1">
      <alignment horizontal="center" vertical="center" wrapText="1"/>
      <protection locked="0"/>
    </xf>
    <xf numFmtId="0" fontId="7" fillId="4" borderId="14" xfId="0" applyFont="1" applyFill="1" applyBorder="1" applyAlignment="1" applyProtection="1">
      <alignment horizontal="center" vertical="center"/>
      <protection locked="0"/>
    </xf>
    <xf numFmtId="0" fontId="18" fillId="6" borderId="5" xfId="0" applyFont="1" applyFill="1" applyBorder="1" applyAlignment="1" applyProtection="1">
      <alignment vertical="center"/>
      <protection locked="0"/>
    </xf>
    <xf numFmtId="169" fontId="23" fillId="6" borderId="5" xfId="6" applyNumberFormat="1" applyFont="1" applyFill="1" applyBorder="1" applyAlignment="1" applyProtection="1">
      <alignment vertical="center"/>
      <protection locked="0"/>
    </xf>
    <xf numFmtId="0" fontId="1" fillId="2" borderId="0" xfId="0" applyFont="1" applyFill="1" applyAlignment="1">
      <alignment vertical="center"/>
    </xf>
    <xf numFmtId="0" fontId="1" fillId="2" borderId="0" xfId="0" applyFont="1" applyFill="1" applyAlignment="1">
      <alignment horizontal="right" vertical="center"/>
    </xf>
    <xf numFmtId="0" fontId="2" fillId="2" borderId="14" xfId="0" applyFont="1" applyFill="1" applyBorder="1" applyAlignment="1">
      <alignment horizontal="center" vertical="center"/>
    </xf>
    <xf numFmtId="0" fontId="2" fillId="2" borderId="14" xfId="0" applyFont="1" applyFill="1" applyBorder="1" applyAlignment="1">
      <alignment horizontal="center" vertical="center" wrapText="1"/>
    </xf>
    <xf numFmtId="0" fontId="18" fillId="3" borderId="0" xfId="0" applyFont="1" applyFill="1"/>
    <xf numFmtId="0" fontId="18" fillId="2" borderId="5" xfId="0" applyFont="1" applyFill="1" applyBorder="1" applyAlignment="1">
      <alignment horizontal="center" vertical="center" wrapText="1"/>
    </xf>
    <xf numFmtId="0" fontId="15" fillId="2" borderId="0" xfId="0" applyFont="1" applyFill="1" applyAlignment="1">
      <alignment horizontal="left"/>
    </xf>
    <xf numFmtId="2" fontId="15" fillId="2" borderId="14" xfId="0" applyNumberFormat="1" applyFont="1" applyFill="1" applyBorder="1" applyAlignment="1">
      <alignment horizontal="left" vertical="center"/>
    </xf>
    <xf numFmtId="0" fontId="15" fillId="8" borderId="14" xfId="0" applyFont="1" applyFill="1" applyBorder="1" applyAlignment="1">
      <alignment horizontal="left" vertical="center" wrapText="1"/>
    </xf>
    <xf numFmtId="2" fontId="15" fillId="2" borderId="14" xfId="0" applyNumberFormat="1" applyFont="1" applyFill="1" applyBorder="1" applyAlignment="1">
      <alignment horizontal="left" vertical="center" wrapText="1"/>
    </xf>
    <xf numFmtId="2" fontId="15" fillId="2" borderId="14" xfId="0" applyNumberFormat="1" applyFont="1" applyFill="1" applyBorder="1" applyAlignment="1">
      <alignment horizontal="center" vertical="center" wrapText="1"/>
    </xf>
    <xf numFmtId="0" fontId="15" fillId="2" borderId="0" xfId="0" applyFont="1" applyFill="1" applyAlignment="1">
      <alignment horizontal="left" wrapText="1"/>
    </xf>
    <xf numFmtId="4" fontId="15" fillId="2" borderId="0" xfId="0" applyNumberFormat="1" applyFont="1" applyFill="1"/>
    <xf numFmtId="2" fontId="15" fillId="2" borderId="0" xfId="0" applyNumberFormat="1" applyFont="1" applyFill="1" applyAlignment="1">
      <alignment horizontal="center"/>
    </xf>
    <xf numFmtId="4" fontId="18" fillId="2" borderId="5" xfId="6" applyNumberFormat="1" applyFont="1" applyFill="1" applyBorder="1" applyAlignment="1">
      <alignment horizontal="right" vertical="center" wrapText="1"/>
    </xf>
    <xf numFmtId="3" fontId="18" fillId="2" borderId="5" xfId="6" applyNumberFormat="1" applyFont="1" applyFill="1" applyBorder="1" applyAlignment="1">
      <alignment horizontal="right" vertical="center" wrapText="1"/>
    </xf>
    <xf numFmtId="43" fontId="23" fillId="2" borderId="5" xfId="4" applyFont="1" applyFill="1" applyBorder="1" applyAlignment="1" applyProtection="1">
      <alignment horizontal="center" vertical="center"/>
      <protection locked="0"/>
    </xf>
    <xf numFmtId="43" fontId="25" fillId="2" borderId="14" xfId="4" applyFont="1" applyFill="1" applyBorder="1" applyAlignment="1" applyProtection="1">
      <alignment horizontal="center" vertical="center"/>
      <protection locked="0"/>
    </xf>
    <xf numFmtId="0" fontId="23" fillId="2" borderId="0" xfId="0" applyFont="1" applyFill="1" applyAlignment="1">
      <alignment vertical="center" wrapText="1"/>
    </xf>
    <xf numFmtId="14" fontId="18" fillId="6" borderId="5" xfId="0" applyNumberFormat="1" applyFont="1" applyFill="1" applyBorder="1" applyAlignment="1" applyProtection="1">
      <alignment vertical="center"/>
      <protection locked="0"/>
    </xf>
    <xf numFmtId="0" fontId="18" fillId="6" borderId="5" xfId="0" applyFont="1" applyFill="1" applyBorder="1" applyAlignment="1" applyProtection="1">
      <alignment horizontal="center" vertical="center"/>
      <protection locked="0"/>
    </xf>
    <xf numFmtId="0" fontId="25" fillId="6" borderId="5" xfId="0" applyFont="1" applyFill="1" applyBorder="1" applyAlignment="1" applyProtection="1">
      <alignment horizontal="center" vertical="center" wrapText="1"/>
      <protection locked="0"/>
    </xf>
    <xf numFmtId="0" fontId="23" fillId="6" borderId="2" xfId="0" applyFont="1" applyFill="1" applyBorder="1" applyAlignment="1" applyProtection="1">
      <alignment horizontal="left" vertical="center" wrapText="1"/>
      <protection locked="0"/>
    </xf>
    <xf numFmtId="0" fontId="23" fillId="6" borderId="3" xfId="0" applyFont="1" applyFill="1" applyBorder="1" applyAlignment="1" applyProtection="1">
      <alignment horizontal="left" vertical="center" wrapText="1"/>
      <protection locked="0"/>
    </xf>
    <xf numFmtId="0" fontId="23" fillId="6" borderId="4" xfId="0" applyFont="1" applyFill="1" applyBorder="1" applyAlignment="1" applyProtection="1">
      <alignment horizontal="left" vertical="center" wrapText="1"/>
      <protection locked="0"/>
    </xf>
    <xf numFmtId="0" fontId="23" fillId="6" borderId="2" xfId="0" applyFont="1" applyFill="1" applyBorder="1" applyAlignment="1" applyProtection="1">
      <alignment horizontal="center" vertical="center" wrapText="1"/>
      <protection locked="0"/>
    </xf>
    <xf numFmtId="0" fontId="23" fillId="6" borderId="3" xfId="0" applyFont="1" applyFill="1" applyBorder="1" applyAlignment="1" applyProtection="1">
      <alignment horizontal="center" vertical="center" wrapText="1"/>
      <protection locked="0"/>
    </xf>
    <xf numFmtId="0" fontId="23" fillId="6" borderId="4" xfId="0" applyFont="1" applyFill="1" applyBorder="1" applyAlignment="1" applyProtection="1">
      <alignment horizontal="center" vertical="center" wrapText="1"/>
      <protection locked="0"/>
    </xf>
    <xf numFmtId="169" fontId="23" fillId="6" borderId="5" xfId="6" applyNumberFormat="1" applyFont="1" applyFill="1" applyBorder="1" applyAlignment="1" applyProtection="1">
      <alignment vertical="center" wrapText="1"/>
      <protection locked="0"/>
    </xf>
    <xf numFmtId="0" fontId="25" fillId="2" borderId="0" xfId="1" applyFont="1" applyFill="1" applyAlignment="1">
      <alignment horizontal="center" vertical="center" wrapText="1"/>
    </xf>
    <xf numFmtId="0" fontId="25" fillId="2" borderId="0" xfId="1" applyFont="1" applyFill="1" applyAlignment="1">
      <alignment horizontal="center" vertical="center"/>
    </xf>
    <xf numFmtId="0" fontId="18" fillId="2" borderId="4" xfId="1" applyFont="1" applyFill="1" applyBorder="1" applyAlignment="1">
      <alignment horizontal="center" vertical="center" wrapText="1"/>
    </xf>
    <xf numFmtId="0" fontId="25" fillId="2" borderId="14" xfId="1" applyFont="1" applyFill="1" applyBorder="1" applyAlignment="1">
      <alignment horizontal="center" vertical="center" wrapText="1"/>
    </xf>
    <xf numFmtId="0" fontId="28" fillId="2" borderId="0" xfId="1" applyFont="1" applyFill="1" applyAlignment="1">
      <alignment horizontal="left" vertical="center" wrapText="1"/>
    </xf>
    <xf numFmtId="0" fontId="18" fillId="2" borderId="5" xfId="0" applyFont="1" applyFill="1" applyBorder="1" applyAlignment="1">
      <alignment horizontal="center" vertical="center"/>
    </xf>
    <xf numFmtId="0" fontId="1" fillId="4" borderId="5" xfId="1" applyFill="1" applyBorder="1" applyAlignment="1" applyProtection="1">
      <alignment vertical="center" wrapText="1"/>
      <protection locked="0"/>
    </xf>
    <xf numFmtId="9" fontId="8" fillId="2" borderId="5" xfId="1" applyNumberFormat="1" applyFont="1" applyFill="1" applyBorder="1" applyAlignment="1" applyProtection="1">
      <alignment horizontal="center" vertical="center" wrapText="1"/>
      <protection hidden="1"/>
    </xf>
    <xf numFmtId="0" fontId="3" fillId="2" borderId="0" xfId="1" applyFont="1" applyFill="1" applyAlignment="1">
      <alignment vertical="center"/>
    </xf>
    <xf numFmtId="9" fontId="23" fillId="6" borderId="5" xfId="1" applyNumberFormat="1" applyFont="1" applyFill="1" applyBorder="1" applyAlignment="1" applyProtection="1">
      <alignment horizontal="center" vertical="center" wrapText="1"/>
      <protection locked="0"/>
    </xf>
    <xf numFmtId="0" fontId="19" fillId="2" borderId="0" xfId="0" applyFont="1" applyFill="1" applyAlignment="1">
      <alignment vertical="center"/>
    </xf>
    <xf numFmtId="0" fontId="27" fillId="2" borderId="0" xfId="0" applyFont="1" applyFill="1" applyAlignment="1">
      <alignment vertical="center"/>
    </xf>
    <xf numFmtId="0" fontId="23" fillId="2" borderId="5" xfId="1" applyFont="1" applyFill="1" applyBorder="1" applyAlignment="1">
      <alignment horizontal="center" vertical="center"/>
    </xf>
    <xf numFmtId="0" fontId="23" fillId="2" borderId="5" xfId="1" applyFont="1" applyFill="1" applyBorder="1" applyAlignment="1">
      <alignment horizontal="center" vertical="center" wrapText="1"/>
    </xf>
    <xf numFmtId="0" fontId="32" fillId="2" borderId="0" xfId="1" applyFont="1" applyFill="1" applyAlignment="1">
      <alignment vertical="center"/>
    </xf>
    <xf numFmtId="0" fontId="16" fillId="2" borderId="0" xfId="3" applyFill="1" applyAlignment="1" applyProtection="1">
      <alignment vertical="center"/>
    </xf>
    <xf numFmtId="0" fontId="23" fillId="2" borderId="0" xfId="1" applyFont="1" applyFill="1" applyAlignment="1">
      <alignment vertical="top"/>
    </xf>
    <xf numFmtId="0" fontId="25" fillId="2" borderId="0" xfId="1" applyFont="1" applyFill="1" applyAlignment="1">
      <alignment vertical="top"/>
    </xf>
    <xf numFmtId="0" fontId="25" fillId="2" borderId="5" xfId="1" applyFont="1" applyFill="1" applyBorder="1" applyAlignment="1">
      <alignment horizontal="center" vertical="center"/>
    </xf>
    <xf numFmtId="0" fontId="23" fillId="2" borderId="0" xfId="1" applyFont="1" applyFill="1" applyAlignment="1">
      <alignment horizontal="right" vertical="center"/>
    </xf>
    <xf numFmtId="0" fontId="16" fillId="2" borderId="0" xfId="3" applyFill="1" applyAlignment="1" applyProtection="1">
      <alignment horizontal="left" vertical="center"/>
    </xf>
    <xf numFmtId="0" fontId="32" fillId="2" borderId="0" xfId="1" applyFont="1" applyFill="1" applyAlignment="1">
      <alignment horizontal="left" vertical="center"/>
    </xf>
    <xf numFmtId="0" fontId="22" fillId="2" borderId="0" xfId="1" applyFont="1" applyFill="1" applyAlignment="1">
      <alignment vertical="center"/>
    </xf>
    <xf numFmtId="4" fontId="23" fillId="2" borderId="0" xfId="1" applyNumberFormat="1" applyFont="1" applyFill="1" applyAlignment="1">
      <alignment vertical="center"/>
    </xf>
    <xf numFmtId="0" fontId="1" fillId="2" borderId="0" xfId="1" applyFill="1"/>
    <xf numFmtId="0" fontId="2" fillId="4" borderId="14" xfId="1" applyFont="1" applyFill="1" applyBorder="1" applyAlignment="1">
      <alignment horizontal="center" vertical="center"/>
    </xf>
    <xf numFmtId="0" fontId="2" fillId="2" borderId="0" xfId="1" applyFont="1" applyFill="1" applyAlignment="1">
      <alignment horizontal="center" vertical="center"/>
    </xf>
    <xf numFmtId="0" fontId="2" fillId="2" borderId="0" xfId="1" applyFont="1" applyFill="1" applyAlignment="1">
      <alignment horizontal="center" vertical="center" wrapText="1"/>
    </xf>
    <xf numFmtId="0" fontId="1" fillId="2" borderId="27" xfId="1" applyFill="1" applyBorder="1" applyAlignment="1">
      <alignment horizontal="center" vertical="center"/>
    </xf>
    <xf numFmtId="0" fontId="1" fillId="2" borderId="2" xfId="1" applyFill="1" applyBorder="1" applyAlignment="1">
      <alignment horizontal="center" vertical="center"/>
    </xf>
    <xf numFmtId="0" fontId="1" fillId="2" borderId="0" xfId="1" applyFill="1" applyAlignment="1">
      <alignment vertical="center" wrapText="1"/>
    </xf>
    <xf numFmtId="0" fontId="34" fillId="2" borderId="0" xfId="1" applyFont="1" applyFill="1" applyAlignment="1">
      <alignment vertical="center" wrapText="1"/>
    </xf>
    <xf numFmtId="0" fontId="23" fillId="2" borderId="0" xfId="1" applyFont="1" applyFill="1" applyAlignment="1">
      <alignment horizontal="justify" vertical="top" wrapText="1"/>
    </xf>
    <xf numFmtId="0" fontId="23" fillId="2" borderId="0" xfId="1" applyFont="1" applyFill="1"/>
    <xf numFmtId="0" fontId="23" fillId="2" borderId="14" xfId="1" applyFont="1" applyFill="1" applyBorder="1" applyAlignment="1">
      <alignment horizontal="center" vertical="center" wrapText="1"/>
    </xf>
    <xf numFmtId="169" fontId="25" fillId="2" borderId="5" xfId="6" applyNumberFormat="1" applyFont="1" applyFill="1" applyBorder="1" applyAlignment="1" applyProtection="1">
      <alignment vertical="center"/>
    </xf>
    <xf numFmtId="169" fontId="23" fillId="2" borderId="5" xfId="6" applyNumberFormat="1" applyFont="1" applyFill="1" applyBorder="1" applyAlignment="1" applyProtection="1">
      <alignment vertical="center"/>
    </xf>
    <xf numFmtId="0" fontId="23" fillId="2" borderId="0" xfId="1" applyFont="1" applyFill="1" applyAlignment="1">
      <alignment horizontal="left" vertical="center" wrapText="1" indent="4"/>
    </xf>
    <xf numFmtId="0" fontId="25" fillId="2" borderId="14" xfId="1" applyFont="1" applyFill="1" applyBorder="1" applyAlignment="1">
      <alignment horizontal="center" vertical="center"/>
    </xf>
    <xf numFmtId="0" fontId="2" fillId="2" borderId="21" xfId="1" applyFont="1" applyFill="1" applyBorder="1" applyAlignment="1">
      <alignment horizontal="center" vertical="center" wrapText="1"/>
    </xf>
    <xf numFmtId="0" fontId="1" fillId="2" borderId="0" xfId="1" applyFill="1" applyAlignment="1">
      <alignment horizontal="center" vertical="center" wrapText="1"/>
    </xf>
    <xf numFmtId="0" fontId="1" fillId="2" borderId="0" xfId="1" applyFill="1" applyAlignment="1">
      <alignment horizontal="left"/>
    </xf>
    <xf numFmtId="0" fontId="1" fillId="2" borderId="28" xfId="1" applyFill="1" applyBorder="1" applyAlignment="1">
      <alignment horizontal="center"/>
    </xf>
    <xf numFmtId="0" fontId="1" fillId="2" borderId="28" xfId="1" applyFill="1" applyBorder="1"/>
    <xf numFmtId="3" fontId="4" fillId="2" borderId="5" xfId="1" applyNumberFormat="1" applyFont="1" applyFill="1" applyBorder="1" applyAlignment="1">
      <alignment horizontal="center" vertical="center" wrapText="1"/>
    </xf>
    <xf numFmtId="3" fontId="4" fillId="2" borderId="4" xfId="1" applyNumberFormat="1" applyFont="1" applyFill="1" applyBorder="1" applyAlignment="1">
      <alignment horizontal="center" vertical="center" wrapText="1"/>
    </xf>
    <xf numFmtId="171" fontId="4" fillId="2" borderId="2" xfId="5" applyNumberFormat="1" applyFont="1" applyFill="1" applyBorder="1" applyAlignment="1" applyProtection="1">
      <alignment horizontal="center" vertical="center" wrapText="1"/>
    </xf>
    <xf numFmtId="0" fontId="4" fillId="2" borderId="5" xfId="1" applyFont="1" applyFill="1" applyBorder="1" applyAlignment="1">
      <alignment horizontal="center" vertical="center" wrapText="1"/>
    </xf>
    <xf numFmtId="0" fontId="1" fillId="2" borderId="0" xfId="1" applyFill="1" applyAlignment="1">
      <alignment horizontal="left" vertical="center"/>
    </xf>
    <xf numFmtId="0" fontId="4" fillId="2" borderId="0" xfId="1" applyFont="1" applyFill="1" applyAlignment="1">
      <alignment horizontal="center" vertical="center" wrapText="1"/>
    </xf>
    <xf numFmtId="0" fontId="2" fillId="2" borderId="15" xfId="1" applyFont="1" applyFill="1" applyBorder="1" applyAlignment="1">
      <alignment horizontal="center" vertical="center" wrapText="1"/>
    </xf>
    <xf numFmtId="0" fontId="2" fillId="2" borderId="37" xfId="1" applyFont="1" applyFill="1" applyBorder="1" applyAlignment="1">
      <alignment horizontal="center" vertical="center" wrapText="1"/>
    </xf>
    <xf numFmtId="0" fontId="2" fillId="2" borderId="14" xfId="1" applyFont="1" applyFill="1" applyBorder="1" applyAlignment="1">
      <alignment horizontal="center" vertical="center" wrapText="1"/>
    </xf>
    <xf numFmtId="0" fontId="1" fillId="2" borderId="0" xfId="1" applyFill="1" applyAlignment="1">
      <alignment vertical="center"/>
    </xf>
    <xf numFmtId="171" fontId="1" fillId="2" borderId="5" xfId="5" applyNumberFormat="1" applyFont="1" applyFill="1" applyBorder="1" applyAlignment="1" applyProtection="1">
      <alignment horizontal="center" vertical="center"/>
    </xf>
    <xf numFmtId="0" fontId="1" fillId="2" borderId="0" xfId="1" applyFill="1" applyAlignment="1">
      <alignment horizontal="left" vertical="center" indent="1"/>
    </xf>
    <xf numFmtId="0" fontId="1" fillId="2" borderId="0" xfId="1" applyFill="1" applyAlignment="1">
      <alignment horizontal="left" vertical="center" wrapText="1" indent="1"/>
    </xf>
    <xf numFmtId="0" fontId="26" fillId="2" borderId="0" xfId="1" applyFont="1" applyFill="1" applyAlignment="1">
      <alignment horizontal="left" vertical="center"/>
    </xf>
    <xf numFmtId="0" fontId="1" fillId="2" borderId="0" xfId="1" applyFill="1" applyAlignment="1">
      <alignment vertical="top" wrapText="1"/>
    </xf>
    <xf numFmtId="0" fontId="1" fillId="2" borderId="0" xfId="1" applyFill="1" applyAlignment="1">
      <alignment horizontal="center"/>
    </xf>
    <xf numFmtId="0" fontId="1" fillId="2" borderId="0" xfId="1" applyFill="1" applyAlignment="1">
      <alignment horizontal="left" vertical="center" wrapText="1"/>
    </xf>
    <xf numFmtId="0" fontId="2" fillId="2" borderId="14" xfId="1" applyFont="1" applyFill="1" applyBorder="1" applyAlignment="1">
      <alignment horizontal="center" vertical="center"/>
    </xf>
    <xf numFmtId="0" fontId="1" fillId="2" borderId="14" xfId="1" applyFill="1" applyBorder="1" applyAlignment="1">
      <alignment horizontal="center" vertical="center"/>
    </xf>
    <xf numFmtId="3" fontId="1" fillId="2" borderId="0" xfId="1" applyNumberFormat="1" applyFill="1" applyAlignment="1">
      <alignment vertical="center"/>
    </xf>
    <xf numFmtId="0" fontId="6" fillId="2" borderId="0" xfId="1" applyFont="1" applyFill="1" applyAlignment="1">
      <alignment vertical="center"/>
    </xf>
    <xf numFmtId="0" fontId="7" fillId="2" borderId="0" xfId="1" applyFont="1" applyFill="1" applyAlignment="1">
      <alignment vertical="center"/>
    </xf>
    <xf numFmtId="0" fontId="8" fillId="2" borderId="0" xfId="1" applyFont="1" applyFill="1" applyAlignment="1">
      <alignment horizontal="center" vertical="center" wrapText="1"/>
    </xf>
    <xf numFmtId="3" fontId="1" fillId="2" borderId="0" xfId="1" applyNumberFormat="1" applyFill="1" applyAlignment="1">
      <alignment vertical="center" wrapText="1"/>
    </xf>
    <xf numFmtId="0" fontId="2" fillId="2" borderId="0" xfId="1" applyFont="1" applyFill="1"/>
    <xf numFmtId="0" fontId="9" fillId="2" borderId="0" xfId="1" applyFont="1" applyFill="1"/>
    <xf numFmtId="0" fontId="2" fillId="2" borderId="0" xfId="1" applyFont="1" applyFill="1" applyAlignment="1">
      <alignment horizontal="left" indent="1"/>
    </xf>
    <xf numFmtId="0" fontId="1" fillId="2" borderId="0" xfId="1" applyFill="1" applyAlignment="1">
      <alignment horizontal="center" vertical="center"/>
    </xf>
    <xf numFmtId="0" fontId="2" fillId="2" borderId="0" xfId="1" applyFont="1" applyFill="1" applyAlignment="1">
      <alignment vertical="center"/>
    </xf>
    <xf numFmtId="0" fontId="8" fillId="2" borderId="0" xfId="1" applyFont="1" applyFill="1" applyAlignment="1">
      <alignment vertical="center" wrapText="1"/>
    </xf>
    <xf numFmtId="168" fontId="18" fillId="2" borderId="0" xfId="0" applyNumberFormat="1" applyFont="1" applyFill="1"/>
    <xf numFmtId="43" fontId="18" fillId="2" borderId="0" xfId="4" applyFont="1" applyFill="1" applyProtection="1"/>
    <xf numFmtId="168" fontId="23" fillId="2" borderId="0" xfId="1" applyNumberFormat="1" applyFont="1" applyFill="1"/>
    <xf numFmtId="43" fontId="46" fillId="2" borderId="0" xfId="4" applyFont="1" applyFill="1" applyAlignment="1" applyProtection="1">
      <alignment horizontal="center" vertical="center"/>
    </xf>
    <xf numFmtId="0" fontId="46" fillId="2" borderId="0" xfId="1" applyFont="1" applyFill="1" applyAlignment="1">
      <alignment horizontal="center" vertical="center"/>
    </xf>
    <xf numFmtId="0" fontId="23" fillId="2" borderId="0" xfId="1" applyFont="1" applyFill="1" applyAlignment="1">
      <alignment vertical="top" wrapText="1"/>
    </xf>
    <xf numFmtId="0" fontId="23" fillId="2" borderId="0" xfId="1" applyFont="1" applyFill="1" applyAlignment="1">
      <alignment wrapText="1"/>
    </xf>
    <xf numFmtId="168" fontId="23" fillId="2" borderId="0" xfId="1" applyNumberFormat="1" applyFont="1" applyFill="1" applyAlignment="1">
      <alignment wrapText="1"/>
    </xf>
    <xf numFmtId="43" fontId="46" fillId="2" borderId="0" xfId="4" applyFont="1" applyFill="1" applyAlignment="1" applyProtection="1">
      <alignment horizontal="center" vertical="center" wrapText="1"/>
    </xf>
    <xf numFmtId="0" fontId="46" fillId="2" borderId="0" xfId="1" applyFont="1" applyFill="1" applyAlignment="1">
      <alignment horizontal="center" vertical="center" wrapText="1"/>
    </xf>
    <xf numFmtId="0" fontId="22" fillId="2" borderId="0" xfId="1" applyFont="1" applyFill="1"/>
    <xf numFmtId="0" fontId="22" fillId="2" borderId="0" xfId="1" applyFont="1" applyFill="1" applyAlignment="1">
      <alignment vertical="top" wrapText="1"/>
    </xf>
    <xf numFmtId="168" fontId="23" fillId="2" borderId="0" xfId="1" applyNumberFormat="1" applyFont="1" applyFill="1" applyAlignment="1">
      <alignment horizontal="center"/>
    </xf>
    <xf numFmtId="14" fontId="21" fillId="2" borderId="0" xfId="1" applyNumberFormat="1" applyFont="1" applyFill="1"/>
    <xf numFmtId="0" fontId="23" fillId="2" borderId="16" xfId="1" applyFont="1" applyFill="1" applyBorder="1"/>
    <xf numFmtId="0" fontId="23" fillId="2" borderId="20" xfId="1" applyFont="1" applyFill="1" applyBorder="1"/>
    <xf numFmtId="168" fontId="23" fillId="2" borderId="20" xfId="1" applyNumberFormat="1" applyFont="1" applyFill="1" applyBorder="1" applyAlignment="1">
      <alignment horizontal="center"/>
    </xf>
    <xf numFmtId="0" fontId="23" fillId="2" borderId="17" xfId="1" applyFont="1" applyFill="1" applyBorder="1"/>
    <xf numFmtId="0" fontId="23" fillId="2" borderId="33" xfId="1" applyFont="1" applyFill="1" applyBorder="1"/>
    <xf numFmtId="0" fontId="25" fillId="2" borderId="0" xfId="1" applyFont="1" applyFill="1"/>
    <xf numFmtId="0" fontId="23" fillId="2" borderId="34" xfId="1" applyFont="1" applyFill="1" applyBorder="1"/>
    <xf numFmtId="0" fontId="23" fillId="2" borderId="18" xfId="1" applyFont="1" applyFill="1" applyBorder="1"/>
    <xf numFmtId="0" fontId="23" fillId="2" borderId="24" xfId="1" applyFont="1" applyFill="1" applyBorder="1"/>
    <xf numFmtId="168" fontId="23" fillId="2" borderId="24" xfId="1" applyNumberFormat="1" applyFont="1" applyFill="1" applyBorder="1"/>
    <xf numFmtId="43" fontId="46" fillId="2" borderId="24" xfId="4" applyFont="1" applyFill="1" applyBorder="1" applyAlignment="1" applyProtection="1">
      <alignment horizontal="center" vertical="center"/>
    </xf>
    <xf numFmtId="0" fontId="23" fillId="2" borderId="19" xfId="1" applyFont="1" applyFill="1" applyBorder="1"/>
    <xf numFmtId="0" fontId="21" fillId="2" borderId="0" xfId="0" applyFont="1" applyFill="1"/>
    <xf numFmtId="43" fontId="21" fillId="2" borderId="0" xfId="4" applyFont="1" applyFill="1" applyProtection="1"/>
    <xf numFmtId="168" fontId="21" fillId="2" borderId="0" xfId="0" applyNumberFormat="1" applyFont="1" applyFill="1"/>
    <xf numFmtId="14" fontId="21" fillId="2" borderId="0" xfId="0" applyNumberFormat="1" applyFont="1" applyFill="1"/>
    <xf numFmtId="43" fontId="47" fillId="2" borderId="0" xfId="4" applyFont="1" applyFill="1" applyBorder="1" applyAlignment="1" applyProtection="1">
      <alignment horizontal="center" vertical="center"/>
    </xf>
    <xf numFmtId="0" fontId="25" fillId="2" borderId="0" xfId="1" applyFont="1" applyFill="1" applyAlignment="1">
      <alignment horizontal="left" vertical="top" indent="1"/>
    </xf>
    <xf numFmtId="0" fontId="23" fillId="2" borderId="0" xfId="1" applyFont="1" applyFill="1" applyAlignment="1">
      <alignment horizontal="left" vertical="top" wrapText="1" indent="1"/>
    </xf>
    <xf numFmtId="0" fontId="23" fillId="2" borderId="0" xfId="1" applyFont="1" applyFill="1" applyAlignment="1">
      <alignment horizontal="left" indent="1"/>
    </xf>
    <xf numFmtId="168" fontId="30" fillId="2" borderId="0" xfId="1" applyNumberFormat="1" applyFont="1" applyFill="1" applyAlignment="1">
      <alignment horizontal="left" vertical="center"/>
    </xf>
    <xf numFmtId="0" fontId="23" fillId="2" borderId="0" xfId="1" applyFont="1" applyFill="1" applyAlignment="1">
      <alignment horizontal="justify" vertical="center" wrapText="1"/>
    </xf>
    <xf numFmtId="3" fontId="23" fillId="2" borderId="5" xfId="1" applyNumberFormat="1" applyFont="1" applyFill="1" applyBorder="1" applyAlignment="1">
      <alignment horizontal="center" vertical="center" wrapText="1"/>
    </xf>
    <xf numFmtId="0" fontId="23" fillId="2" borderId="0" xfId="1" applyFont="1" applyFill="1" applyAlignment="1">
      <alignment horizontal="left" indent="4"/>
    </xf>
    <xf numFmtId="0" fontId="23" fillId="2" borderId="6" xfId="1" applyFont="1" applyFill="1" applyBorder="1" applyAlignment="1">
      <alignment vertical="center" wrapText="1"/>
    </xf>
    <xf numFmtId="0" fontId="23" fillId="2" borderId="0" xfId="1" applyFont="1" applyFill="1" applyAlignment="1">
      <alignment horizontal="left" vertical="top" wrapText="1"/>
    </xf>
    <xf numFmtId="0" fontId="25" fillId="2" borderId="0" xfId="1" applyFont="1" applyFill="1" applyAlignment="1">
      <alignment horizontal="left" vertical="top"/>
    </xf>
    <xf numFmtId="0" fontId="25" fillId="2" borderId="0" xfId="1" applyFont="1" applyFill="1" applyAlignment="1">
      <alignment horizontal="left" vertical="center" wrapText="1"/>
    </xf>
    <xf numFmtId="0" fontId="23" fillId="2" borderId="0" xfId="1" applyFont="1" applyFill="1" applyAlignment="1">
      <alignment horizontal="center" vertical="top" wrapText="1"/>
    </xf>
    <xf numFmtId="0" fontId="20" fillId="2" borderId="14" xfId="1" applyFont="1" applyFill="1" applyBorder="1" applyAlignment="1">
      <alignment horizontal="center" vertical="center" wrapText="1"/>
    </xf>
    <xf numFmtId="0" fontId="20" fillId="2" borderId="14" xfId="1" applyFont="1" applyFill="1" applyBorder="1" applyAlignment="1">
      <alignment horizontal="center" vertical="center"/>
    </xf>
    <xf numFmtId="0" fontId="21" fillId="2" borderId="0" xfId="1" applyFont="1" applyFill="1" applyAlignment="1">
      <alignment horizontal="center" vertical="top" wrapText="1"/>
    </xf>
    <xf numFmtId="4" fontId="23" fillId="2" borderId="5" xfId="1" applyNumberFormat="1" applyFont="1" applyFill="1" applyBorder="1" applyAlignment="1">
      <alignment horizontal="center" vertical="center" wrapText="1"/>
    </xf>
    <xf numFmtId="0" fontId="21" fillId="2" borderId="0" xfId="1" applyFont="1" applyFill="1" applyAlignment="1">
      <alignment horizontal="center" vertical="center" wrapText="1"/>
    </xf>
    <xf numFmtId="0" fontId="20" fillId="2" borderId="0" xfId="1" applyFont="1" applyFill="1" applyAlignment="1">
      <alignment horizontal="center" vertical="top" wrapText="1"/>
    </xf>
    <xf numFmtId="0" fontId="25" fillId="2" borderId="0" xfId="1" applyFont="1" applyFill="1" applyAlignment="1">
      <alignment horizontal="center" vertical="top" wrapText="1"/>
    </xf>
    <xf numFmtId="0" fontId="25" fillId="2" borderId="0" xfId="1" applyFont="1" applyFill="1" applyAlignment="1">
      <alignment horizontal="justify" vertical="top" wrapText="1"/>
    </xf>
    <xf numFmtId="0" fontId="18" fillId="2" borderId="0" xfId="1" applyFont="1" applyFill="1" applyAlignment="1">
      <alignment horizontal="center" vertical="center" wrapText="1"/>
    </xf>
    <xf numFmtId="0" fontId="18" fillId="2" borderId="0" xfId="1" applyFont="1" applyFill="1" applyAlignment="1">
      <alignment vertical="top" wrapText="1"/>
    </xf>
    <xf numFmtId="0" fontId="18" fillId="2" borderId="0" xfId="1" applyFont="1" applyFill="1" applyAlignment="1">
      <alignment horizontal="center" vertical="top" wrapText="1"/>
    </xf>
    <xf numFmtId="0" fontId="23" fillId="2" borderId="0" xfId="1" applyFont="1" applyFill="1" applyAlignment="1">
      <alignment horizontal="left" indent="2"/>
    </xf>
    <xf numFmtId="0" fontId="25" fillId="2" borderId="0" xfId="1" applyFont="1" applyFill="1" applyAlignment="1">
      <alignment horizontal="left" indent="1"/>
    </xf>
    <xf numFmtId="0" fontId="48" fillId="0" borderId="0" xfId="0" applyFont="1"/>
    <xf numFmtId="0" fontId="20" fillId="4" borderId="0" xfId="1" applyFont="1" applyFill="1" applyAlignment="1">
      <alignment vertical="center"/>
    </xf>
    <xf numFmtId="0" fontId="18" fillId="4" borderId="0" xfId="1" applyFont="1" applyFill="1" applyAlignment="1">
      <alignment vertical="center"/>
    </xf>
    <xf numFmtId="0" fontId="18" fillId="2" borderId="0" xfId="1" applyFont="1" applyFill="1" applyAlignment="1">
      <alignment vertical="center"/>
    </xf>
    <xf numFmtId="0" fontId="20" fillId="2" borderId="0" xfId="1" applyFont="1" applyFill="1" applyAlignment="1">
      <alignment vertical="center"/>
    </xf>
    <xf numFmtId="0" fontId="20" fillId="2" borderId="5" xfId="1" applyFont="1" applyFill="1" applyBorder="1" applyAlignment="1">
      <alignment horizontal="center" vertical="center" wrapText="1"/>
    </xf>
    <xf numFmtId="0" fontId="20" fillId="2" borderId="5" xfId="1" applyFont="1" applyFill="1" applyBorder="1" applyAlignment="1">
      <alignment horizontal="center" vertical="center"/>
    </xf>
    <xf numFmtId="0" fontId="18" fillId="2" borderId="5" xfId="1" applyFont="1" applyFill="1" applyBorder="1" applyAlignment="1">
      <alignment vertical="center" wrapText="1"/>
    </xf>
    <xf numFmtId="4" fontId="18" fillId="2" borderId="5" xfId="4" applyNumberFormat="1" applyFont="1" applyFill="1" applyBorder="1" applyAlignment="1" applyProtection="1">
      <alignment horizontal="center" vertical="center"/>
    </xf>
    <xf numFmtId="0" fontId="18" fillId="2" borderId="5" xfId="1" applyFont="1" applyFill="1" applyBorder="1" applyAlignment="1">
      <alignment horizontal="center" vertical="center" wrapText="1"/>
    </xf>
    <xf numFmtId="4" fontId="18" fillId="2" borderId="0" xfId="1" applyNumberFormat="1" applyFont="1" applyFill="1" applyAlignment="1">
      <alignment vertical="center"/>
    </xf>
    <xf numFmtId="4" fontId="18" fillId="9" borderId="5" xfId="4" applyNumberFormat="1" applyFont="1" applyFill="1" applyBorder="1" applyAlignment="1" applyProtection="1">
      <alignment horizontal="center" vertical="center"/>
    </xf>
    <xf numFmtId="0" fontId="18" fillId="2" borderId="0" xfId="1" applyFont="1" applyFill="1" applyAlignment="1">
      <alignment vertical="center" wrapText="1"/>
    </xf>
    <xf numFmtId="0" fontId="18" fillId="2" borderId="0" xfId="1" applyFont="1" applyFill="1" applyAlignment="1">
      <alignment horizontal="center" vertical="center"/>
    </xf>
    <xf numFmtId="0" fontId="49" fillId="2" borderId="0" xfId="1" applyFont="1" applyFill="1" applyAlignment="1">
      <alignment horizontal="center" vertical="center" wrapText="1"/>
    </xf>
    <xf numFmtId="0" fontId="49" fillId="2" borderId="0" xfId="1" applyFont="1" applyFill="1" applyAlignment="1">
      <alignment horizontal="right" vertical="center"/>
    </xf>
    <xf numFmtId="0" fontId="18" fillId="6" borderId="5" xfId="1" applyFont="1" applyFill="1" applyBorder="1" applyAlignment="1" applyProtection="1">
      <alignment horizontal="center" vertical="center" wrapText="1"/>
      <protection locked="0"/>
    </xf>
    <xf numFmtId="0" fontId="20" fillId="2" borderId="0" xfId="1" applyFont="1" applyFill="1" applyAlignment="1">
      <alignment horizontal="left" vertical="center"/>
    </xf>
    <xf numFmtId="172" fontId="18" fillId="2" borderId="5" xfId="6" applyNumberFormat="1" applyFont="1" applyFill="1" applyBorder="1" applyAlignment="1" applyProtection="1">
      <alignment horizontal="center" vertical="center" wrapText="1"/>
    </xf>
    <xf numFmtId="4" fontId="18" fillId="2" borderId="5" xfId="1" applyNumberFormat="1" applyFont="1" applyFill="1" applyBorder="1" applyAlignment="1">
      <alignment horizontal="center" vertical="center" wrapText="1"/>
    </xf>
    <xf numFmtId="0" fontId="20" fillId="2" borderId="33" xfId="1" applyFont="1" applyFill="1" applyBorder="1" applyAlignment="1">
      <alignment horizontal="left" indent="1"/>
    </xf>
    <xf numFmtId="0" fontId="20" fillId="2" borderId="0" xfId="1" applyFont="1" applyFill="1" applyAlignment="1">
      <alignment horizontal="left" indent="1"/>
    </xf>
    <xf numFmtId="0" fontId="20" fillId="2" borderId="4" xfId="1" applyFont="1" applyFill="1" applyBorder="1" applyAlignment="1">
      <alignment horizontal="left" indent="1"/>
    </xf>
    <xf numFmtId="0" fontId="18" fillId="2" borderId="0" xfId="1" applyFont="1" applyFill="1"/>
    <xf numFmtId="0" fontId="18" fillId="2" borderId="0" xfId="1" applyFont="1" applyFill="1" applyAlignment="1">
      <alignment horizontal="center"/>
    </xf>
    <xf numFmtId="0" fontId="50" fillId="2" borderId="0" xfId="1" applyFont="1" applyFill="1" applyAlignment="1">
      <alignment horizontal="left" indent="1"/>
    </xf>
    <xf numFmtId="0" fontId="49" fillId="2" borderId="0" xfId="1" applyFont="1" applyFill="1" applyAlignment="1">
      <alignment horizontal="left" vertical="center" indent="1"/>
    </xf>
    <xf numFmtId="0" fontId="20" fillId="2" borderId="0" xfId="1" applyFont="1" applyFill="1"/>
    <xf numFmtId="0" fontId="18" fillId="2" borderId="35" xfId="1" applyFont="1" applyFill="1" applyBorder="1"/>
    <xf numFmtId="164" fontId="18" fillId="2" borderId="0" xfId="1" applyNumberFormat="1" applyFont="1" applyFill="1" applyAlignment="1">
      <alignment horizontal="center" vertical="center" wrapText="1"/>
    </xf>
    <xf numFmtId="0" fontId="20" fillId="2" borderId="0" xfId="1" applyFont="1" applyFill="1" applyAlignment="1">
      <alignment vertical="center" wrapText="1"/>
    </xf>
    <xf numFmtId="0" fontId="23" fillId="2" borderId="5" xfId="1" applyFont="1" applyFill="1" applyBorder="1" applyAlignment="1">
      <alignment vertical="center"/>
    </xf>
    <xf numFmtId="172" fontId="23" fillId="2" borderId="5" xfId="6" applyNumberFormat="1" applyFont="1" applyFill="1" applyBorder="1" applyAlignment="1" applyProtection="1">
      <alignment vertical="center"/>
    </xf>
    <xf numFmtId="169" fontId="23" fillId="2" borderId="0" xfId="1" applyNumberFormat="1" applyFont="1" applyFill="1" applyAlignment="1">
      <alignment vertical="center"/>
    </xf>
    <xf numFmtId="172" fontId="23" fillId="2" borderId="0" xfId="1" applyNumberFormat="1" applyFont="1" applyFill="1" applyAlignment="1">
      <alignment vertical="center"/>
    </xf>
    <xf numFmtId="169" fontId="23" fillId="2" borderId="0" xfId="6" applyNumberFormat="1" applyFont="1" applyFill="1" applyAlignment="1" applyProtection="1">
      <alignment vertical="center"/>
    </xf>
    <xf numFmtId="169" fontId="23" fillId="2" borderId="27" xfId="6" applyNumberFormat="1" applyFont="1" applyFill="1" applyBorder="1" applyAlignment="1" applyProtection="1">
      <alignment vertical="center"/>
    </xf>
    <xf numFmtId="172" fontId="23" fillId="2" borderId="27" xfId="6" applyNumberFormat="1" applyFont="1" applyFill="1" applyBorder="1" applyAlignment="1" applyProtection="1">
      <alignment vertical="center"/>
    </xf>
    <xf numFmtId="169" fontId="25" fillId="2" borderId="14" xfId="1" applyNumberFormat="1" applyFont="1" applyFill="1" applyBorder="1" applyAlignment="1">
      <alignment vertical="center"/>
    </xf>
    <xf numFmtId="0" fontId="18" fillId="2" borderId="0" xfId="1" applyFont="1" applyFill="1" applyAlignment="1">
      <alignment horizontal="left" indent="1"/>
    </xf>
    <xf numFmtId="0" fontId="18" fillId="2" borderId="5" xfId="1" applyFont="1" applyFill="1" applyBorder="1"/>
    <xf numFmtId="0" fontId="20" fillId="2" borderId="33" xfId="1" applyFont="1" applyFill="1" applyBorder="1" applyAlignment="1">
      <alignment horizontal="left"/>
    </xf>
    <xf numFmtId="0" fontId="18" fillId="2" borderId="5" xfId="1" applyFont="1" applyFill="1" applyBorder="1" applyAlignment="1">
      <alignment vertical="center"/>
    </xf>
    <xf numFmtId="0" fontId="20" fillId="2" borderId="0" xfId="1" applyFont="1" applyFill="1" applyAlignment="1">
      <alignment horizontal="right" vertical="center"/>
    </xf>
    <xf numFmtId="173" fontId="18" fillId="2" borderId="5" xfId="5" applyNumberFormat="1" applyFont="1" applyFill="1" applyBorder="1" applyAlignment="1" applyProtection="1">
      <alignment horizontal="center" vertical="center"/>
    </xf>
    <xf numFmtId="173" fontId="18" fillId="2" borderId="5" xfId="1" applyNumberFormat="1" applyFont="1" applyFill="1" applyBorder="1" applyAlignment="1">
      <alignment horizontal="center" vertical="center"/>
    </xf>
    <xf numFmtId="173" fontId="18" fillId="2" borderId="5" xfId="1" applyNumberFormat="1" applyFont="1" applyFill="1" applyBorder="1" applyAlignment="1">
      <alignment horizontal="center"/>
    </xf>
    <xf numFmtId="0" fontId="20" fillId="2" borderId="0" xfId="1" applyFont="1" applyFill="1" applyAlignment="1">
      <alignment horizontal="center"/>
    </xf>
    <xf numFmtId="0" fontId="20" fillId="2" borderId="0" xfId="1" applyFont="1" applyFill="1" applyAlignment="1">
      <alignment horizontal="center" wrapText="1"/>
    </xf>
    <xf numFmtId="173" fontId="20" fillId="2" borderId="28" xfId="1" applyNumberFormat="1" applyFont="1" applyFill="1" applyBorder="1" applyAlignment="1">
      <alignment horizontal="center"/>
    </xf>
    <xf numFmtId="4" fontId="18" fillId="2" borderId="5" xfId="5" applyNumberFormat="1" applyFont="1" applyFill="1" applyBorder="1" applyAlignment="1" applyProtection="1">
      <alignment horizontal="center" vertical="center"/>
    </xf>
    <xf numFmtId="4" fontId="18" fillId="2" borderId="5" xfId="1" applyNumberFormat="1" applyFont="1" applyFill="1" applyBorder="1" applyAlignment="1">
      <alignment horizontal="center" vertical="center"/>
    </xf>
    <xf numFmtId="172" fontId="18" fillId="6" borderId="5" xfId="6" applyNumberFormat="1" applyFont="1" applyFill="1" applyBorder="1" applyAlignment="1" applyProtection="1">
      <alignment horizontal="center" vertical="center" wrapText="1"/>
      <protection locked="0"/>
    </xf>
    <xf numFmtId="172" fontId="18" fillId="6" borderId="2" xfId="6" applyNumberFormat="1" applyFont="1" applyFill="1" applyBorder="1" applyAlignment="1" applyProtection="1">
      <alignment horizontal="center" vertical="center" wrapText="1"/>
      <protection locked="0"/>
    </xf>
    <xf numFmtId="172" fontId="18" fillId="6" borderId="4" xfId="6" applyNumberFormat="1" applyFont="1" applyFill="1" applyBorder="1" applyAlignment="1" applyProtection="1">
      <alignment horizontal="center" vertical="center" wrapText="1"/>
      <protection locked="0"/>
    </xf>
    <xf numFmtId="0" fontId="18" fillId="6" borderId="5" xfId="1" applyFont="1" applyFill="1" applyBorder="1" applyAlignment="1" applyProtection="1">
      <alignment vertical="center"/>
      <protection locked="0"/>
    </xf>
    <xf numFmtId="172" fontId="18" fillId="6" borderId="5" xfId="6" applyNumberFormat="1" applyFont="1" applyFill="1" applyBorder="1" applyAlignment="1" applyProtection="1">
      <alignment vertical="center"/>
      <protection locked="0"/>
    </xf>
    <xf numFmtId="0" fontId="23" fillId="6" borderId="5" xfId="1" applyFont="1" applyFill="1" applyBorder="1" applyAlignment="1" applyProtection="1">
      <alignment vertical="center"/>
      <protection locked="0"/>
    </xf>
    <xf numFmtId="172" fontId="23" fillId="6" borderId="5" xfId="6" applyNumberFormat="1" applyFont="1" applyFill="1" applyBorder="1" applyAlignment="1" applyProtection="1">
      <alignment vertical="center"/>
      <protection locked="0"/>
    </xf>
    <xf numFmtId="0" fontId="1" fillId="2" borderId="0" xfId="0" applyFont="1" applyFill="1"/>
    <xf numFmtId="0" fontId="1" fillId="2" borderId="0" xfId="0" applyFont="1" applyFill="1" applyAlignment="1">
      <alignment horizontal="right"/>
    </xf>
    <xf numFmtId="0" fontId="1" fillId="2" borderId="0" xfId="0" applyFont="1" applyFill="1" applyAlignment="1">
      <alignment horizontal="left" vertical="top"/>
    </xf>
    <xf numFmtId="0" fontId="11" fillId="2" borderId="0" xfId="0" applyFont="1" applyFill="1" applyAlignment="1">
      <alignment vertical="center"/>
    </xf>
    <xf numFmtId="0" fontId="7" fillId="2" borderId="14" xfId="0" applyFont="1" applyFill="1" applyBorder="1" applyAlignment="1">
      <alignment horizontal="center" vertical="center" wrapText="1"/>
    </xf>
    <xf numFmtId="0" fontId="7" fillId="2" borderId="0" xfId="0" applyFont="1" applyFill="1" applyAlignment="1">
      <alignment horizontal="center" vertical="center" wrapText="1"/>
    </xf>
    <xf numFmtId="0" fontId="13" fillId="2" borderId="0" xfId="0" applyFont="1" applyFill="1" applyAlignment="1">
      <alignment horizontal="center" vertical="center" wrapText="1"/>
    </xf>
    <xf numFmtId="0" fontId="7" fillId="2" borderId="0" xfId="0" applyFont="1" applyFill="1" applyAlignment="1">
      <alignment horizontal="center" vertical="center"/>
    </xf>
    <xf numFmtId="0" fontId="13" fillId="2" borderId="0" xfId="0" applyFont="1" applyFill="1" applyAlignment="1">
      <alignment horizontal="center" vertical="center"/>
    </xf>
    <xf numFmtId="0" fontId="7" fillId="2" borderId="14" xfId="0" applyFont="1" applyFill="1" applyBorder="1" applyAlignment="1">
      <alignment horizontal="center" vertical="center"/>
    </xf>
    <xf numFmtId="0" fontId="7" fillId="2" borderId="21" xfId="0" applyFont="1" applyFill="1" applyBorder="1" applyAlignment="1">
      <alignment horizontal="center" vertical="center" wrapText="1"/>
    </xf>
    <xf numFmtId="0" fontId="7" fillId="2" borderId="14" xfId="0" applyFont="1" applyFill="1" applyBorder="1" applyAlignment="1">
      <alignment vertical="center" wrapText="1"/>
    </xf>
    <xf numFmtId="0" fontId="7" fillId="2" borderId="0" xfId="0" applyFont="1" applyFill="1" applyAlignment="1">
      <alignment horizontal="left" vertical="center"/>
    </xf>
    <xf numFmtId="0" fontId="7" fillId="2" borderId="0" xfId="0" applyFont="1" applyFill="1" applyAlignment="1">
      <alignment horizontal="left" vertical="center" wrapText="1"/>
    </xf>
    <xf numFmtId="0" fontId="3" fillId="2" borderId="0" xfId="0" applyFont="1" applyFill="1" applyAlignment="1">
      <alignment horizontal="center" vertical="center"/>
    </xf>
    <xf numFmtId="0" fontId="3" fillId="2" borderId="0" xfId="0" applyFont="1" applyFill="1" applyAlignment="1">
      <alignment horizontal="left" vertical="center" wrapText="1"/>
    </xf>
    <xf numFmtId="0" fontId="3" fillId="2" borderId="0" xfId="0" applyFont="1" applyFill="1" applyAlignment="1">
      <alignment horizontal="center" vertical="center" wrapText="1"/>
    </xf>
    <xf numFmtId="0" fontId="25" fillId="2" borderId="14" xfId="0" applyFont="1" applyFill="1" applyBorder="1" applyAlignment="1">
      <alignment horizontal="center" vertical="center"/>
    </xf>
    <xf numFmtId="0" fontId="18" fillId="2" borderId="0" xfId="0" applyFont="1" applyFill="1" applyAlignment="1">
      <alignment horizontal="left" vertical="center"/>
    </xf>
    <xf numFmtId="0" fontId="23" fillId="2" borderId="5" xfId="0" applyFont="1" applyFill="1" applyBorder="1" applyAlignment="1">
      <alignment vertical="center"/>
    </xf>
    <xf numFmtId="0" fontId="23" fillId="2" borderId="5" xfId="0" applyFont="1" applyFill="1" applyBorder="1" applyAlignment="1">
      <alignment vertical="center" wrapText="1"/>
    </xf>
    <xf numFmtId="168" fontId="23" fillId="6" borderId="54" xfId="4" applyNumberFormat="1" applyFont="1" applyFill="1" applyBorder="1" applyAlignment="1" applyProtection="1">
      <alignment horizontal="center" vertical="center"/>
      <protection locked="0"/>
    </xf>
    <xf numFmtId="9" fontId="23" fillId="2" borderId="5" xfId="5" applyFont="1" applyFill="1" applyBorder="1" applyAlignment="1">
      <alignment horizontal="center" vertical="center" wrapText="1"/>
    </xf>
    <xf numFmtId="10" fontId="8" fillId="2" borderId="5" xfId="5" applyNumberFormat="1" applyFont="1" applyFill="1" applyBorder="1" applyAlignment="1" applyProtection="1">
      <alignment horizontal="center" vertical="center" wrapText="1"/>
      <protection hidden="1"/>
    </xf>
    <xf numFmtId="169" fontId="18" fillId="6" borderId="5" xfId="6" applyNumberFormat="1" applyFont="1" applyFill="1" applyBorder="1" applyAlignment="1" applyProtection="1">
      <alignment horizontal="center" vertical="center"/>
      <protection locked="0"/>
    </xf>
    <xf numFmtId="43" fontId="18" fillId="6" borderId="5" xfId="4" applyFont="1" applyFill="1" applyBorder="1" applyAlignment="1" applyProtection="1">
      <alignment horizontal="center" vertical="center"/>
      <protection locked="0"/>
    </xf>
    <xf numFmtId="169" fontId="18" fillId="6" borderId="5" xfId="6" applyNumberFormat="1" applyFont="1" applyFill="1" applyBorder="1" applyAlignment="1" applyProtection="1">
      <alignment horizontal="center" vertical="center" wrapText="1"/>
      <protection locked="0"/>
    </xf>
    <xf numFmtId="172" fontId="23" fillId="2" borderId="5" xfId="6" applyNumberFormat="1" applyFont="1" applyFill="1" applyBorder="1" applyAlignment="1">
      <alignment vertical="center"/>
    </xf>
    <xf numFmtId="0" fontId="23" fillId="2" borderId="5" xfId="1" applyFont="1" applyFill="1" applyBorder="1" applyAlignment="1" applyProtection="1">
      <alignment vertical="center"/>
      <protection locked="0"/>
    </xf>
    <xf numFmtId="172" fontId="23" fillId="2" borderId="5" xfId="6" applyNumberFormat="1" applyFont="1" applyFill="1" applyBorder="1" applyAlignment="1" applyProtection="1">
      <alignment vertical="center"/>
      <protection locked="0"/>
    </xf>
    <xf numFmtId="0" fontId="22" fillId="2" borderId="0" xfId="0" applyFont="1" applyFill="1" applyAlignment="1">
      <alignment horizontal="left"/>
    </xf>
    <xf numFmtId="2" fontId="54" fillId="2" borderId="0" xfId="2" applyNumberFormat="1" applyFont="1" applyFill="1" applyAlignment="1" applyProtection="1">
      <alignment horizontal="left" vertical="center" wrapText="1"/>
      <protection locked="0"/>
    </xf>
    <xf numFmtId="0" fontId="22" fillId="7" borderId="0" xfId="0" applyFont="1" applyFill="1" applyAlignment="1">
      <alignment horizontal="left"/>
    </xf>
    <xf numFmtId="0" fontId="22" fillId="2" borderId="0" xfId="0" applyFont="1" applyFill="1" applyAlignment="1">
      <alignment horizontal="left" wrapText="1"/>
    </xf>
    <xf numFmtId="0" fontId="22" fillId="2" borderId="10" xfId="0" applyFont="1" applyFill="1" applyBorder="1" applyAlignment="1">
      <alignment horizontal="center" wrapText="1"/>
    </xf>
    <xf numFmtId="0" fontId="13" fillId="2" borderId="0" xfId="1" applyFont="1" applyFill="1"/>
    <xf numFmtId="0" fontId="13" fillId="2" borderId="0" xfId="1" applyFont="1" applyFill="1" applyAlignment="1" applyProtection="1">
      <alignment vertical="center"/>
      <protection locked="0"/>
    </xf>
    <xf numFmtId="0" fontId="55" fillId="2" borderId="0" xfId="1" applyFont="1" applyFill="1" applyAlignment="1" applyProtection="1">
      <alignment vertical="center"/>
      <protection locked="0"/>
    </xf>
    <xf numFmtId="0" fontId="56" fillId="2" borderId="0" xfId="1" applyFont="1" applyFill="1" applyAlignment="1" applyProtection="1">
      <alignment horizontal="center" vertical="center" wrapText="1"/>
      <protection locked="0"/>
    </xf>
    <xf numFmtId="0" fontId="13" fillId="2" borderId="0" xfId="1" applyFont="1" applyFill="1" applyAlignment="1">
      <alignment vertical="center"/>
    </xf>
    <xf numFmtId="4" fontId="18" fillId="6" borderId="5" xfId="0" applyNumberFormat="1" applyFont="1" applyFill="1" applyBorder="1" applyAlignment="1" applyProtection="1">
      <alignment horizontal="center" vertical="center"/>
      <protection locked="0"/>
    </xf>
    <xf numFmtId="0" fontId="23" fillId="2" borderId="0" xfId="1" applyFont="1" applyFill="1" applyAlignment="1" applyProtection="1">
      <alignment vertical="center"/>
      <protection locked="0"/>
    </xf>
    <xf numFmtId="169" fontId="23" fillId="2" borderId="0" xfId="6" applyNumberFormat="1" applyFont="1" applyFill="1" applyAlignment="1" applyProtection="1">
      <alignment vertical="center"/>
      <protection locked="0"/>
    </xf>
    <xf numFmtId="0" fontId="22" fillId="2" borderId="10" xfId="0" applyFont="1" applyFill="1" applyBorder="1" applyAlignment="1">
      <alignment horizontal="center" wrapText="1"/>
    </xf>
    <xf numFmtId="0" fontId="42" fillId="2" borderId="14" xfId="0" applyFont="1" applyFill="1" applyBorder="1" applyAlignment="1">
      <alignment horizontal="center" vertical="center" textRotation="90" wrapText="1"/>
    </xf>
    <xf numFmtId="0" fontId="15" fillId="2" borderId="14" xfId="0" applyFont="1" applyFill="1" applyBorder="1" applyAlignment="1">
      <alignment horizontal="center" vertical="center" textRotation="90" wrapText="1"/>
    </xf>
    <xf numFmtId="0" fontId="42" fillId="2" borderId="14" xfId="0" applyFont="1" applyFill="1" applyBorder="1" applyAlignment="1">
      <alignment horizontal="center" vertical="center" textRotation="90"/>
    </xf>
    <xf numFmtId="0" fontId="36" fillId="2" borderId="0" xfId="0" applyFont="1" applyFill="1" applyAlignment="1">
      <alignment horizontal="center" wrapText="1"/>
    </xf>
    <xf numFmtId="0" fontId="23" fillId="2" borderId="2" xfId="1" applyFont="1" applyFill="1" applyBorder="1" applyAlignment="1">
      <alignment horizontal="left" vertical="center" wrapText="1"/>
    </xf>
    <xf numFmtId="0" fontId="23" fillId="2" borderId="3" xfId="1" applyFont="1" applyFill="1" applyBorder="1" applyAlignment="1">
      <alignment horizontal="left" vertical="center" wrapText="1"/>
    </xf>
    <xf numFmtId="0" fontId="23" fillId="2" borderId="4" xfId="1" applyFont="1" applyFill="1" applyBorder="1" applyAlignment="1">
      <alignment horizontal="left" vertical="center" wrapText="1"/>
    </xf>
    <xf numFmtId="1" fontId="23" fillId="6" borderId="2" xfId="1" applyNumberFormat="1" applyFont="1" applyFill="1" applyBorder="1" applyAlignment="1" applyProtection="1">
      <alignment horizontal="center" vertical="center"/>
      <protection locked="0"/>
    </xf>
    <xf numFmtId="1" fontId="23" fillId="6" borderId="3" xfId="1" applyNumberFormat="1" applyFont="1" applyFill="1" applyBorder="1" applyAlignment="1" applyProtection="1">
      <alignment horizontal="center" vertical="center"/>
      <protection locked="0"/>
    </xf>
    <xf numFmtId="1" fontId="23" fillId="6" borderId="4" xfId="1" applyNumberFormat="1" applyFont="1" applyFill="1" applyBorder="1" applyAlignment="1" applyProtection="1">
      <alignment horizontal="center" vertical="center"/>
      <protection locked="0"/>
    </xf>
    <xf numFmtId="0" fontId="23" fillId="2" borderId="2" xfId="1" applyFont="1" applyFill="1" applyBorder="1" applyAlignment="1">
      <alignment horizontal="center" vertical="center"/>
    </xf>
    <xf numFmtId="0" fontId="23" fillId="2" borderId="3" xfId="1" applyFont="1" applyFill="1" applyBorder="1" applyAlignment="1">
      <alignment horizontal="center" vertical="center"/>
    </xf>
    <xf numFmtId="0" fontId="23" fillId="2" borderId="4" xfId="1" applyFont="1" applyFill="1" applyBorder="1" applyAlignment="1">
      <alignment horizontal="center" vertical="center"/>
    </xf>
    <xf numFmtId="0" fontId="23" fillId="2" borderId="2" xfId="1" applyFont="1" applyFill="1" applyBorder="1" applyAlignment="1">
      <alignment horizontal="center" vertical="center" wrapText="1"/>
    </xf>
    <xf numFmtId="0" fontId="23" fillId="2" borderId="3" xfId="1" applyFont="1" applyFill="1" applyBorder="1" applyAlignment="1">
      <alignment horizontal="center" vertical="center" wrapText="1"/>
    </xf>
    <xf numFmtId="0" fontId="23" fillId="2" borderId="4" xfId="1" applyFont="1" applyFill="1" applyBorder="1" applyAlignment="1">
      <alignment horizontal="center" vertical="center" wrapText="1"/>
    </xf>
    <xf numFmtId="0" fontId="23" fillId="4" borderId="2" xfId="1" applyFont="1" applyFill="1" applyBorder="1" applyAlignment="1" applyProtection="1">
      <alignment horizontal="center" vertical="center" wrapText="1"/>
      <protection locked="0"/>
    </xf>
    <xf numFmtId="0" fontId="23" fillId="4" borderId="3" xfId="1" applyFont="1" applyFill="1" applyBorder="1" applyAlignment="1" applyProtection="1">
      <alignment horizontal="center" vertical="center" wrapText="1"/>
      <protection locked="0"/>
    </xf>
    <xf numFmtId="0" fontId="23" fillId="4" borderId="4" xfId="1" applyFont="1" applyFill="1" applyBorder="1" applyAlignment="1" applyProtection="1">
      <alignment horizontal="center" vertical="center" wrapText="1"/>
      <protection locked="0"/>
    </xf>
    <xf numFmtId="0" fontId="23" fillId="6" borderId="2" xfId="1" applyFont="1" applyFill="1" applyBorder="1" applyAlignment="1" applyProtection="1">
      <alignment horizontal="center" vertical="center" wrapText="1"/>
      <protection locked="0"/>
    </xf>
    <xf numFmtId="0" fontId="23" fillId="6" borderId="3" xfId="1" applyFont="1" applyFill="1" applyBorder="1" applyAlignment="1" applyProtection="1">
      <alignment horizontal="center" vertical="center" wrapText="1"/>
      <protection locked="0"/>
    </xf>
    <xf numFmtId="0" fontId="23" fillId="6" borderId="4" xfId="1" applyFont="1" applyFill="1" applyBorder="1" applyAlignment="1" applyProtection="1">
      <alignment horizontal="center" vertical="center" wrapText="1"/>
      <protection locked="0"/>
    </xf>
    <xf numFmtId="0" fontId="23" fillId="2" borderId="2" xfId="1" applyFont="1" applyFill="1" applyBorder="1" applyAlignment="1">
      <alignment horizontal="left" vertical="center"/>
    </xf>
    <xf numFmtId="0" fontId="23" fillId="2" borderId="3" xfId="1" applyFont="1" applyFill="1" applyBorder="1" applyAlignment="1">
      <alignment horizontal="left" vertical="center"/>
    </xf>
    <xf numFmtId="0" fontId="23" fillId="2" borderId="4" xfId="1" applyFont="1" applyFill="1" applyBorder="1" applyAlignment="1">
      <alignment horizontal="left" vertical="center"/>
    </xf>
    <xf numFmtId="0" fontId="25" fillId="2" borderId="0" xfId="1" applyFont="1" applyFill="1" applyAlignment="1">
      <alignment horizontal="center" vertical="center"/>
    </xf>
    <xf numFmtId="0" fontId="24" fillId="2" borderId="0" xfId="1" applyFont="1" applyFill="1" applyAlignment="1">
      <alignment horizontal="left" vertical="center"/>
    </xf>
    <xf numFmtId="0" fontId="23" fillId="2" borderId="0" xfId="1" applyFont="1" applyFill="1" applyAlignment="1">
      <alignment horizontal="center" vertical="center" wrapText="1"/>
    </xf>
    <xf numFmtId="0" fontId="18" fillId="2" borderId="2" xfId="1" applyFont="1" applyFill="1" applyBorder="1" applyAlignment="1">
      <alignment horizontal="center" vertical="center" wrapText="1"/>
    </xf>
    <xf numFmtId="0" fontId="18" fillId="2" borderId="3" xfId="1" applyFont="1" applyFill="1" applyBorder="1" applyAlignment="1">
      <alignment horizontal="center" vertical="center" wrapText="1"/>
    </xf>
    <xf numFmtId="0" fontId="18" fillId="2" borderId="4" xfId="1" applyFont="1" applyFill="1" applyBorder="1" applyAlignment="1">
      <alignment horizontal="center" vertical="center" wrapText="1"/>
    </xf>
    <xf numFmtId="0" fontId="24" fillId="2" borderId="0" xfId="1" applyFont="1" applyFill="1" applyAlignment="1">
      <alignment horizontal="center" vertical="center" wrapText="1"/>
    </xf>
    <xf numFmtId="0" fontId="23" fillId="2" borderId="0" xfId="1" applyFont="1" applyFill="1" applyAlignment="1">
      <alignment horizontal="left" vertical="center"/>
    </xf>
    <xf numFmtId="0" fontId="25" fillId="2" borderId="0" xfId="1" applyFont="1" applyFill="1" applyAlignment="1">
      <alignment horizontal="center" vertical="center" wrapText="1"/>
    </xf>
    <xf numFmtId="0" fontId="23" fillId="2" borderId="0" xfId="1" applyFont="1" applyFill="1" applyAlignment="1">
      <alignment horizontal="left" vertical="center" wrapText="1"/>
    </xf>
    <xf numFmtId="0" fontId="25" fillId="6" borderId="8" xfId="1" applyFont="1" applyFill="1" applyBorder="1" applyAlignment="1" applyProtection="1">
      <alignment horizontal="center" vertical="center" wrapText="1"/>
      <protection locked="0"/>
    </xf>
    <xf numFmtId="0" fontId="25" fillId="6" borderId="6" xfId="1" applyFont="1" applyFill="1" applyBorder="1" applyAlignment="1" applyProtection="1">
      <alignment horizontal="center" vertical="center" wrapText="1"/>
      <protection locked="0"/>
    </xf>
    <xf numFmtId="0" fontId="25" fillId="6" borderId="9" xfId="1" applyFont="1" applyFill="1" applyBorder="1" applyAlignment="1" applyProtection="1">
      <alignment horizontal="center" vertical="center" wrapText="1"/>
      <protection locked="0"/>
    </xf>
    <xf numFmtId="0" fontId="23" fillId="2" borderId="5" xfId="1" applyFont="1" applyFill="1" applyBorder="1" applyAlignment="1">
      <alignment horizontal="left" vertical="center"/>
    </xf>
    <xf numFmtId="0" fontId="23" fillId="2" borderId="27" xfId="1" applyFont="1" applyFill="1" applyBorder="1" applyAlignment="1">
      <alignment horizontal="left" vertical="center" wrapText="1"/>
    </xf>
    <xf numFmtId="0" fontId="23" fillId="6" borderId="2" xfId="1" applyFont="1" applyFill="1" applyBorder="1" applyAlignment="1" applyProtection="1">
      <alignment horizontal="left" vertical="center" wrapText="1"/>
      <protection locked="0"/>
    </xf>
    <xf numFmtId="0" fontId="23" fillId="6" borderId="3" xfId="1" applyFont="1" applyFill="1" applyBorder="1" applyAlignment="1" applyProtection="1">
      <alignment horizontal="left" vertical="center" wrapText="1"/>
      <protection locked="0"/>
    </xf>
    <xf numFmtId="0" fontId="23" fillId="6" borderId="4" xfId="1" applyFont="1" applyFill="1" applyBorder="1" applyAlignment="1" applyProtection="1">
      <alignment horizontal="left" vertical="center" wrapText="1"/>
      <protection locked="0"/>
    </xf>
    <xf numFmtId="0" fontId="25" fillId="2" borderId="5" xfId="1" applyFont="1" applyFill="1" applyBorder="1" applyAlignment="1">
      <alignment horizontal="center" vertical="center"/>
    </xf>
    <xf numFmtId="0" fontId="23" fillId="2" borderId="5" xfId="1" applyFont="1" applyFill="1" applyBorder="1" applyAlignment="1">
      <alignment horizontal="left" vertical="center" wrapText="1"/>
    </xf>
    <xf numFmtId="0" fontId="33" fillId="2" borderId="5" xfId="3" applyFont="1" applyFill="1" applyBorder="1" applyAlignment="1" applyProtection="1">
      <alignment horizontal="left" vertical="center" wrapText="1"/>
    </xf>
    <xf numFmtId="0" fontId="25" fillId="4" borderId="2" xfId="1" applyFont="1" applyFill="1" applyBorder="1" applyAlignment="1" applyProtection="1">
      <alignment horizontal="center" vertical="center" wrapText="1"/>
      <protection locked="0"/>
    </xf>
    <xf numFmtId="0" fontId="25" fillId="4" borderId="3" xfId="1" applyFont="1" applyFill="1" applyBorder="1" applyAlignment="1" applyProtection="1">
      <alignment horizontal="center" vertical="center" wrapText="1"/>
      <protection locked="0"/>
    </xf>
    <xf numFmtId="0" fontId="25" fillId="4" borderId="4" xfId="1" applyFont="1" applyFill="1" applyBorder="1" applyAlignment="1" applyProtection="1">
      <alignment horizontal="center" vertical="center" wrapText="1"/>
      <protection locked="0"/>
    </xf>
    <xf numFmtId="0" fontId="25" fillId="2" borderId="2" xfId="1" applyFont="1" applyFill="1" applyBorder="1" applyAlignment="1">
      <alignment horizontal="center" vertical="center" wrapText="1"/>
    </xf>
    <xf numFmtId="0" fontId="25" fillId="2" borderId="3" xfId="1" applyFont="1" applyFill="1" applyBorder="1" applyAlignment="1">
      <alignment horizontal="center" vertical="center" wrapText="1"/>
    </xf>
    <xf numFmtId="0" fontId="25" fillId="2" borderId="4" xfId="1" applyFont="1" applyFill="1" applyBorder="1" applyAlignment="1">
      <alignment horizontal="center" vertical="center" wrapText="1"/>
    </xf>
    <xf numFmtId="0" fontId="25" fillId="2" borderId="2" xfId="1" applyFont="1" applyFill="1" applyBorder="1" applyAlignment="1">
      <alignment horizontal="left" vertical="top" wrapText="1"/>
    </xf>
    <xf numFmtId="0" fontId="25" fillId="2" borderId="3" xfId="1" applyFont="1" applyFill="1" applyBorder="1" applyAlignment="1">
      <alignment horizontal="left" vertical="top" wrapText="1"/>
    </xf>
    <xf numFmtId="0" fontId="25" fillId="2" borderId="4" xfId="1" applyFont="1" applyFill="1" applyBorder="1" applyAlignment="1">
      <alignment horizontal="left" vertical="top" wrapText="1"/>
    </xf>
    <xf numFmtId="0" fontId="25" fillId="6" borderId="2" xfId="1" applyFont="1" applyFill="1" applyBorder="1" applyAlignment="1" applyProtection="1">
      <alignment horizontal="center" vertical="center" wrapText="1"/>
      <protection locked="0"/>
    </xf>
    <xf numFmtId="0" fontId="25" fillId="6" borderId="3" xfId="1" applyFont="1" applyFill="1" applyBorder="1" applyAlignment="1" applyProtection="1">
      <alignment horizontal="center" vertical="center" wrapText="1"/>
      <protection locked="0"/>
    </xf>
    <xf numFmtId="0" fontId="25" fillId="6" borderId="4" xfId="1" applyFont="1" applyFill="1" applyBorder="1" applyAlignment="1" applyProtection="1">
      <alignment horizontal="center" vertical="center" wrapText="1"/>
      <protection locked="0"/>
    </xf>
    <xf numFmtId="0" fontId="23" fillId="2" borderId="8" xfId="1" applyFont="1" applyFill="1" applyBorder="1" applyAlignment="1">
      <alignment horizontal="center" vertical="center" wrapText="1"/>
    </xf>
    <xf numFmtId="0" fontId="23" fillId="2" borderId="6" xfId="1" applyFont="1" applyFill="1" applyBorder="1" applyAlignment="1">
      <alignment horizontal="center" vertical="center" wrapText="1"/>
    </xf>
    <xf numFmtId="0" fontId="23" fillId="2" borderId="9" xfId="1" applyFont="1" applyFill="1" applyBorder="1" applyAlignment="1">
      <alignment horizontal="center" vertical="center" wrapText="1"/>
    </xf>
    <xf numFmtId="0" fontId="23" fillId="2" borderId="11" xfId="1" applyFont="1" applyFill="1" applyBorder="1" applyAlignment="1">
      <alignment horizontal="center" vertical="center" wrapText="1"/>
    </xf>
    <xf numFmtId="0" fontId="23" fillId="2" borderId="12" xfId="1" applyFont="1" applyFill="1" applyBorder="1" applyAlignment="1">
      <alignment horizontal="center" vertical="center" wrapText="1"/>
    </xf>
    <xf numFmtId="0" fontId="23" fillId="2" borderId="13" xfId="1" applyFont="1" applyFill="1" applyBorder="1" applyAlignment="1">
      <alignment horizontal="center" vertical="center" wrapText="1"/>
    </xf>
    <xf numFmtId="0" fontId="14" fillId="6" borderId="2" xfId="1" applyFont="1" applyFill="1" applyBorder="1" applyAlignment="1" applyProtection="1">
      <alignment horizontal="center" vertical="center"/>
      <protection locked="0"/>
    </xf>
    <xf numFmtId="0" fontId="14" fillId="6" borderId="3" xfId="1" applyFont="1" applyFill="1" applyBorder="1" applyAlignment="1" applyProtection="1">
      <alignment horizontal="center" vertical="center"/>
      <protection locked="0"/>
    </xf>
    <xf numFmtId="0" fontId="14" fillId="6" borderId="4" xfId="1" applyFont="1" applyFill="1" applyBorder="1" applyAlignment="1" applyProtection="1">
      <alignment horizontal="center" vertical="center"/>
      <protection locked="0"/>
    </xf>
    <xf numFmtId="0" fontId="25" fillId="2" borderId="12" xfId="1" applyFont="1" applyFill="1" applyBorder="1" applyAlignment="1">
      <alignment horizontal="left" vertical="center" wrapText="1"/>
    </xf>
    <xf numFmtId="0" fontId="25" fillId="6" borderId="2" xfId="1" applyFont="1" applyFill="1" applyBorder="1" applyAlignment="1">
      <alignment horizontal="center" vertical="center"/>
    </xf>
    <xf numFmtId="0" fontId="25" fillId="6" borderId="3" xfId="1" applyFont="1" applyFill="1" applyBorder="1" applyAlignment="1">
      <alignment horizontal="center" vertical="center"/>
    </xf>
    <xf numFmtId="0" fontId="25" fillId="6" borderId="4" xfId="1" applyFont="1" applyFill="1" applyBorder="1" applyAlignment="1">
      <alignment horizontal="center" vertical="center"/>
    </xf>
    <xf numFmtId="0" fontId="23" fillId="2" borderId="5" xfId="1" applyFont="1" applyFill="1" applyBorder="1" applyAlignment="1">
      <alignment horizontal="center" vertical="center"/>
    </xf>
    <xf numFmtId="0" fontId="23" fillId="2" borderId="5" xfId="1" applyFont="1" applyFill="1" applyBorder="1" applyAlignment="1">
      <alignment horizontal="center" vertical="center" wrapText="1"/>
    </xf>
    <xf numFmtId="0" fontId="32" fillId="6" borderId="2" xfId="1" applyFont="1" applyFill="1" applyBorder="1" applyAlignment="1" applyProtection="1">
      <alignment horizontal="left" vertical="center"/>
      <protection locked="0"/>
    </xf>
    <xf numFmtId="0" fontId="32" fillId="6" borderId="3" xfId="1" applyFont="1" applyFill="1" applyBorder="1" applyAlignment="1" applyProtection="1">
      <alignment horizontal="left" vertical="center"/>
      <protection locked="0"/>
    </xf>
    <xf numFmtId="0" fontId="32" fillId="6" borderId="4" xfId="1" applyFont="1" applyFill="1" applyBorder="1" applyAlignment="1" applyProtection="1">
      <alignment horizontal="left" vertical="center"/>
      <protection locked="0"/>
    </xf>
    <xf numFmtId="0" fontId="25" fillId="4" borderId="2" xfId="1" quotePrefix="1" applyFont="1" applyFill="1" applyBorder="1" applyAlignment="1" applyProtection="1">
      <alignment horizontal="center" vertical="center" wrapText="1"/>
      <protection locked="0"/>
    </xf>
    <xf numFmtId="9" fontId="25" fillId="6" borderId="5" xfId="1" applyNumberFormat="1" applyFont="1" applyFill="1" applyBorder="1" applyAlignment="1" applyProtection="1">
      <alignment horizontal="center" vertical="center" wrapText="1"/>
      <protection locked="0"/>
    </xf>
    <xf numFmtId="0" fontId="25" fillId="6" borderId="5" xfId="1" applyFont="1" applyFill="1" applyBorder="1" applyAlignment="1" applyProtection="1">
      <alignment horizontal="center" vertical="center" wrapText="1"/>
      <protection locked="0"/>
    </xf>
    <xf numFmtId="0" fontId="16" fillId="2" borderId="45" xfId="3" applyFill="1" applyBorder="1" applyAlignment="1" applyProtection="1">
      <alignment horizontal="left" vertical="center" wrapText="1"/>
    </xf>
    <xf numFmtId="0" fontId="33" fillId="2" borderId="46" xfId="3" applyFont="1" applyFill="1" applyBorder="1" applyAlignment="1" applyProtection="1">
      <alignment horizontal="left" vertical="center" wrapText="1"/>
    </xf>
    <xf numFmtId="0" fontId="33" fillId="2" borderId="47" xfId="3" applyFont="1" applyFill="1" applyBorder="1" applyAlignment="1" applyProtection="1">
      <alignment horizontal="left" vertical="center" wrapText="1"/>
    </xf>
    <xf numFmtId="0" fontId="33" fillId="2" borderId="45" xfId="3" applyFont="1" applyFill="1" applyBorder="1" applyAlignment="1" applyProtection="1">
      <alignment horizontal="left" vertical="center" wrapText="1"/>
      <protection locked="0"/>
    </xf>
    <xf numFmtId="0" fontId="33" fillId="2" borderId="46" xfId="3" applyFont="1" applyFill="1" applyBorder="1" applyAlignment="1" applyProtection="1">
      <alignment horizontal="left" vertical="center" wrapText="1"/>
      <protection locked="0"/>
    </xf>
    <xf numFmtId="0" fontId="33" fillId="2" borderId="48" xfId="3" applyFont="1" applyFill="1" applyBorder="1" applyAlignment="1" applyProtection="1">
      <alignment horizontal="left" vertical="center" wrapText="1"/>
      <protection locked="0"/>
    </xf>
    <xf numFmtId="0" fontId="23" fillId="6" borderId="2" xfId="1" applyFont="1" applyFill="1" applyBorder="1" applyAlignment="1" applyProtection="1">
      <alignment horizontal="left" vertical="top" wrapText="1"/>
      <protection locked="0"/>
    </xf>
    <xf numFmtId="0" fontId="23" fillId="6" borderId="3" xfId="1" applyFont="1" applyFill="1" applyBorder="1" applyAlignment="1" applyProtection="1">
      <alignment horizontal="left" vertical="top" wrapText="1"/>
      <protection locked="0"/>
    </xf>
    <xf numFmtId="0" fontId="23" fillId="6" borderId="4" xfId="1" applyFont="1" applyFill="1" applyBorder="1" applyAlignment="1" applyProtection="1">
      <alignment horizontal="left" vertical="top" wrapText="1"/>
      <protection locked="0"/>
    </xf>
    <xf numFmtId="0" fontId="2" fillId="4" borderId="14" xfId="1" applyFont="1" applyFill="1" applyBorder="1" applyAlignment="1">
      <alignment horizontal="center" vertical="center"/>
    </xf>
    <xf numFmtId="0" fontId="25" fillId="2" borderId="14" xfId="1" applyFont="1" applyFill="1" applyBorder="1" applyAlignment="1">
      <alignment horizontal="center" vertical="center" wrapText="1"/>
    </xf>
    <xf numFmtId="0" fontId="23" fillId="6" borderId="8" xfId="1" applyFont="1" applyFill="1" applyBorder="1" applyAlignment="1" applyProtection="1">
      <alignment horizontal="left" vertical="center" wrapText="1"/>
      <protection locked="0"/>
    </xf>
    <xf numFmtId="0" fontId="23" fillId="6" borderId="6" xfId="1" applyFont="1" applyFill="1" applyBorder="1" applyAlignment="1" applyProtection="1">
      <alignment horizontal="left" vertical="center" wrapText="1"/>
      <protection locked="0"/>
    </xf>
    <xf numFmtId="0" fontId="23" fillId="6" borderId="9" xfId="1" applyFont="1" applyFill="1" applyBorder="1" applyAlignment="1" applyProtection="1">
      <alignment horizontal="left" vertical="center" wrapText="1"/>
      <protection locked="0"/>
    </xf>
    <xf numFmtId="0" fontId="23" fillId="6" borderId="1" xfId="1" applyFont="1" applyFill="1" applyBorder="1" applyAlignment="1" applyProtection="1">
      <alignment horizontal="left" vertical="center" wrapText="1"/>
      <protection locked="0"/>
    </xf>
    <xf numFmtId="0" fontId="23" fillId="6" borderId="0" xfId="1" applyFont="1" applyFill="1" applyAlignment="1" applyProtection="1">
      <alignment horizontal="left" vertical="center" wrapText="1"/>
      <protection locked="0"/>
    </xf>
    <xf numFmtId="0" fontId="23" fillId="6" borderId="10" xfId="1" applyFont="1" applyFill="1" applyBorder="1" applyAlignment="1" applyProtection="1">
      <alignment horizontal="left" vertical="center" wrapText="1"/>
      <protection locked="0"/>
    </xf>
    <xf numFmtId="0" fontId="23" fillId="6" borderId="11" xfId="1" applyFont="1" applyFill="1" applyBorder="1" applyAlignment="1" applyProtection="1">
      <alignment horizontal="left" vertical="center" wrapText="1"/>
      <protection locked="0"/>
    </xf>
    <xf numFmtId="0" fontId="23" fillId="6" borderId="12" xfId="1" applyFont="1" applyFill="1" applyBorder="1" applyAlignment="1" applyProtection="1">
      <alignment horizontal="left" vertical="center" wrapText="1"/>
      <protection locked="0"/>
    </xf>
    <xf numFmtId="0" fontId="23" fillId="6" borderId="13" xfId="1" applyFont="1" applyFill="1" applyBorder="1" applyAlignment="1" applyProtection="1">
      <alignment horizontal="left" vertical="center" wrapText="1"/>
      <protection locked="0"/>
    </xf>
    <xf numFmtId="0" fontId="1" fillId="6" borderId="2" xfId="1" applyFill="1" applyBorder="1" applyAlignment="1" applyProtection="1">
      <alignment horizontal="left" vertical="center" wrapText="1"/>
      <protection locked="0"/>
    </xf>
    <xf numFmtId="0" fontId="1" fillId="6" borderId="4" xfId="1" applyFill="1" applyBorder="1" applyAlignment="1" applyProtection="1">
      <alignment horizontal="left" vertical="center" wrapText="1"/>
      <protection locked="0"/>
    </xf>
    <xf numFmtId="0" fontId="1" fillId="6" borderId="3" xfId="1" applyFill="1" applyBorder="1" applyAlignment="1" applyProtection="1">
      <alignment horizontal="left" vertical="center" wrapText="1"/>
      <protection locked="0"/>
    </xf>
    <xf numFmtId="0" fontId="23" fillId="4" borderId="53" xfId="1" applyFont="1" applyFill="1" applyBorder="1" applyAlignment="1" applyProtection="1">
      <alignment horizontal="center" vertical="center" wrapText="1"/>
      <protection locked="0"/>
    </xf>
    <xf numFmtId="0" fontId="23" fillId="4" borderId="0" xfId="1" applyFont="1" applyFill="1" applyAlignment="1" applyProtection="1">
      <alignment horizontal="center" vertical="center" wrapText="1"/>
      <protection locked="0"/>
    </xf>
    <xf numFmtId="0" fontId="34" fillId="2" borderId="1" xfId="1" applyFont="1" applyFill="1" applyBorder="1" applyAlignment="1">
      <alignment horizontal="left" vertical="center" wrapText="1"/>
    </xf>
    <xf numFmtId="0" fontId="34" fillId="2" borderId="0" xfId="1" applyFont="1" applyFill="1" applyAlignment="1">
      <alignment horizontal="left" vertical="center" wrapText="1"/>
    </xf>
    <xf numFmtId="0" fontId="2" fillId="4" borderId="14" xfId="1" applyFont="1" applyFill="1" applyBorder="1" applyAlignment="1">
      <alignment horizontal="center" vertical="center" wrapText="1"/>
    </xf>
    <xf numFmtId="0" fontId="23" fillId="2" borderId="49" xfId="1" applyFont="1" applyFill="1" applyBorder="1" applyAlignment="1">
      <alignment horizontal="center" vertical="center" wrapText="1"/>
    </xf>
    <xf numFmtId="0" fontId="23" fillId="2" borderId="50" xfId="1" applyFont="1" applyFill="1" applyBorder="1" applyAlignment="1">
      <alignment horizontal="center" vertical="center" wrapText="1"/>
    </xf>
    <xf numFmtId="0" fontId="23" fillId="2" borderId="51" xfId="1" applyFont="1" applyFill="1" applyBorder="1" applyAlignment="1">
      <alignment horizontal="center" vertical="center" wrapText="1"/>
    </xf>
    <xf numFmtId="0" fontId="25" fillId="2" borderId="2" xfId="1" applyFont="1" applyFill="1" applyBorder="1" applyAlignment="1">
      <alignment horizontal="left" vertical="center" wrapText="1"/>
    </xf>
    <xf numFmtId="0" fontId="25" fillId="2" borderId="3" xfId="1" applyFont="1" applyFill="1" applyBorder="1" applyAlignment="1">
      <alignment horizontal="left" vertical="center" wrapText="1"/>
    </xf>
    <xf numFmtId="0" fontId="25" fillId="2" borderId="4" xfId="1" applyFont="1" applyFill="1" applyBorder="1" applyAlignment="1">
      <alignment horizontal="left" vertical="center" wrapText="1"/>
    </xf>
    <xf numFmtId="0" fontId="25" fillId="2" borderId="16" xfId="1" applyFont="1" applyFill="1" applyBorder="1" applyAlignment="1">
      <alignment horizontal="center" vertical="center" wrapText="1"/>
    </xf>
    <xf numFmtId="0" fontId="25" fillId="2" borderId="20" xfId="1" applyFont="1" applyFill="1" applyBorder="1" applyAlignment="1">
      <alignment horizontal="center" vertical="center" wrapText="1"/>
    </xf>
    <xf numFmtId="0" fontId="25" fillId="2" borderId="17" xfId="1" applyFont="1" applyFill="1" applyBorder="1" applyAlignment="1">
      <alignment horizontal="center" vertical="center" wrapText="1"/>
    </xf>
    <xf numFmtId="0" fontId="25" fillId="2" borderId="18" xfId="1" applyFont="1" applyFill="1" applyBorder="1" applyAlignment="1">
      <alignment horizontal="center" vertical="center" wrapText="1"/>
    </xf>
    <xf numFmtId="0" fontId="25" fillId="2" borderId="24" xfId="1" applyFont="1" applyFill="1" applyBorder="1" applyAlignment="1">
      <alignment horizontal="center" vertical="center" wrapText="1"/>
    </xf>
    <xf numFmtId="0" fontId="25" fillId="2" borderId="19" xfId="1" applyFont="1" applyFill="1" applyBorder="1" applyAlignment="1">
      <alignment horizontal="center" vertical="center" wrapText="1"/>
    </xf>
    <xf numFmtId="0" fontId="23" fillId="2" borderId="2" xfId="1" applyFont="1" applyFill="1" applyBorder="1" applyAlignment="1">
      <alignment horizontal="left" vertical="center" wrapText="1" indent="4"/>
    </xf>
    <xf numFmtId="0" fontId="23" fillId="2" borderId="3" xfId="1" applyFont="1" applyFill="1" applyBorder="1" applyAlignment="1">
      <alignment horizontal="left" vertical="center" wrapText="1" indent="4"/>
    </xf>
    <xf numFmtId="0" fontId="23" fillId="2" borderId="4" xfId="1" applyFont="1" applyFill="1" applyBorder="1" applyAlignment="1">
      <alignment horizontal="left" vertical="center" wrapText="1" indent="4"/>
    </xf>
    <xf numFmtId="0" fontId="12" fillId="2" borderId="5" xfId="1" applyFont="1" applyFill="1" applyBorder="1" applyAlignment="1">
      <alignment horizontal="center" vertical="center" textRotation="90"/>
    </xf>
    <xf numFmtId="0" fontId="14" fillId="6" borderId="5" xfId="1" applyFont="1" applyFill="1" applyBorder="1" applyAlignment="1" applyProtection="1">
      <alignment horizontal="left" vertical="center" wrapText="1"/>
      <protection locked="0"/>
    </xf>
    <xf numFmtId="0" fontId="25" fillId="2" borderId="16" xfId="1" applyFont="1" applyFill="1" applyBorder="1" applyAlignment="1">
      <alignment horizontal="center" vertical="center"/>
    </xf>
    <xf numFmtId="0" fontId="25" fillId="2" borderId="20" xfId="1" applyFont="1" applyFill="1" applyBorder="1" applyAlignment="1">
      <alignment horizontal="center" vertical="center"/>
    </xf>
    <xf numFmtId="0" fontId="25" fillId="2" borderId="17" xfId="1" applyFont="1" applyFill="1" applyBorder="1" applyAlignment="1">
      <alignment horizontal="center" vertical="center"/>
    </xf>
    <xf numFmtId="0" fontId="25" fillId="2" borderId="18" xfId="1" applyFont="1" applyFill="1" applyBorder="1" applyAlignment="1">
      <alignment horizontal="center" vertical="center"/>
    </xf>
    <xf numFmtId="0" fontId="25" fillId="2" borderId="24" xfId="1" applyFont="1" applyFill="1" applyBorder="1" applyAlignment="1">
      <alignment horizontal="center" vertical="center"/>
    </xf>
    <xf numFmtId="0" fontId="25" fillId="2" borderId="19" xfId="1" applyFont="1" applyFill="1" applyBorder="1" applyAlignment="1">
      <alignment horizontal="center" vertical="center"/>
    </xf>
    <xf numFmtId="0" fontId="25" fillId="2" borderId="14" xfId="1" applyFont="1" applyFill="1" applyBorder="1" applyAlignment="1">
      <alignment horizontal="center" vertical="center"/>
    </xf>
    <xf numFmtId="0" fontId="25" fillId="2" borderId="0" xfId="1" applyFont="1" applyFill="1" applyAlignment="1">
      <alignment horizontal="left" vertical="center"/>
    </xf>
    <xf numFmtId="0" fontId="23" fillId="6" borderId="2" xfId="1" applyFont="1" applyFill="1" applyBorder="1" applyAlignment="1" applyProtection="1">
      <alignment horizontal="left" vertical="center"/>
      <protection locked="0"/>
    </xf>
    <xf numFmtId="0" fontId="23" fillId="6" borderId="3" xfId="1" applyFont="1" applyFill="1" applyBorder="1" applyAlignment="1" applyProtection="1">
      <alignment horizontal="left" vertical="center"/>
      <protection locked="0"/>
    </xf>
    <xf numFmtId="0" fontId="23" fillId="6" borderId="4" xfId="1" applyFont="1" applyFill="1" applyBorder="1" applyAlignment="1" applyProtection="1">
      <alignment horizontal="left" vertical="center"/>
      <protection locked="0"/>
    </xf>
    <xf numFmtId="0" fontId="23" fillId="6" borderId="2" xfId="1" applyFont="1" applyFill="1" applyBorder="1" applyAlignment="1" applyProtection="1">
      <alignment horizontal="center" vertical="center"/>
      <protection locked="0"/>
    </xf>
    <xf numFmtId="0" fontId="23" fillId="6" borderId="3" xfId="1" applyFont="1" applyFill="1" applyBorder="1" applyAlignment="1" applyProtection="1">
      <alignment horizontal="center" vertical="center"/>
      <protection locked="0"/>
    </xf>
    <xf numFmtId="0" fontId="23" fillId="6" borderId="4" xfId="1" applyFont="1" applyFill="1" applyBorder="1" applyAlignment="1" applyProtection="1">
      <alignment horizontal="center" vertical="center"/>
      <protection locked="0"/>
    </xf>
    <xf numFmtId="0" fontId="1" fillId="2" borderId="5" xfId="1" applyFill="1" applyBorder="1" applyAlignment="1">
      <alignment horizontal="left" vertical="center" wrapText="1"/>
    </xf>
    <xf numFmtId="0" fontId="23" fillId="4" borderId="2" xfId="1" applyFont="1" applyFill="1" applyBorder="1" applyAlignment="1" applyProtection="1">
      <alignment horizontal="center" vertical="center"/>
      <protection locked="0"/>
    </xf>
    <xf numFmtId="0" fontId="23" fillId="4" borderId="4" xfId="1" applyFont="1" applyFill="1" applyBorder="1" applyAlignment="1" applyProtection="1">
      <alignment horizontal="center" vertical="center"/>
      <protection locked="0"/>
    </xf>
    <xf numFmtId="0" fontId="25" fillId="2" borderId="43" xfId="1" applyFont="1" applyFill="1" applyBorder="1" applyAlignment="1">
      <alignment horizontal="center" vertical="center" wrapText="1"/>
    </xf>
    <xf numFmtId="0" fontId="25" fillId="2" borderId="44" xfId="1" applyFont="1" applyFill="1" applyBorder="1" applyAlignment="1">
      <alignment horizontal="center" vertical="center" wrapText="1"/>
    </xf>
    <xf numFmtId="0" fontId="25" fillId="4" borderId="53" xfId="1" applyFont="1" applyFill="1" applyBorder="1" applyAlignment="1" applyProtection="1">
      <alignment horizontal="center" vertical="center" wrapText="1"/>
      <protection locked="0"/>
    </xf>
    <xf numFmtId="0" fontId="25" fillId="4" borderId="0" xfId="1" applyFont="1" applyFill="1" applyAlignment="1" applyProtection="1">
      <alignment horizontal="center" vertical="center" wrapText="1"/>
      <protection locked="0"/>
    </xf>
    <xf numFmtId="0" fontId="1" fillId="2" borderId="2" xfId="1" applyFill="1" applyBorder="1" applyAlignment="1">
      <alignment horizontal="left" vertical="center" wrapText="1"/>
    </xf>
    <xf numFmtId="0" fontId="1" fillId="2" borderId="4" xfId="1" applyFill="1" applyBorder="1" applyAlignment="1">
      <alignment horizontal="left" vertical="center" wrapText="1"/>
    </xf>
    <xf numFmtId="0" fontId="1" fillId="2" borderId="28" xfId="1" applyFill="1" applyBorder="1" applyAlignment="1">
      <alignment horizontal="center" vertical="center"/>
    </xf>
    <xf numFmtId="0" fontId="53" fillId="2" borderId="8" xfId="1" applyFont="1" applyFill="1" applyBorder="1" applyAlignment="1">
      <alignment horizontal="left" vertical="center" wrapText="1"/>
    </xf>
    <xf numFmtId="0" fontId="53" fillId="2" borderId="9" xfId="1" applyFont="1" applyFill="1" applyBorder="1" applyAlignment="1">
      <alignment horizontal="left" vertical="center" wrapText="1"/>
    </xf>
    <xf numFmtId="0" fontId="53" fillId="2" borderId="1" xfId="1" applyFont="1" applyFill="1" applyBorder="1" applyAlignment="1">
      <alignment horizontal="left" vertical="center" wrapText="1"/>
    </xf>
    <xf numFmtId="0" fontId="53" fillId="2" borderId="10" xfId="1" applyFont="1" applyFill="1" applyBorder="1" applyAlignment="1">
      <alignment horizontal="left" vertical="center" wrapText="1"/>
    </xf>
    <xf numFmtId="0" fontId="53" fillId="2" borderId="11" xfId="1" applyFont="1" applyFill="1" applyBorder="1" applyAlignment="1">
      <alignment horizontal="left" vertical="center" wrapText="1"/>
    </xf>
    <xf numFmtId="0" fontId="53" fillId="2" borderId="13" xfId="1" applyFont="1" applyFill="1" applyBorder="1" applyAlignment="1">
      <alignment horizontal="left" vertical="center" wrapText="1"/>
    </xf>
    <xf numFmtId="0" fontId="1" fillId="2" borderId="27" xfId="1" applyFill="1" applyBorder="1" applyAlignment="1">
      <alignment horizontal="center" vertical="center"/>
    </xf>
    <xf numFmtId="0" fontId="1" fillId="2" borderId="29" xfId="1" applyFill="1" applyBorder="1" applyAlignment="1">
      <alignment horizontal="center" vertical="center"/>
    </xf>
    <xf numFmtId="0" fontId="1" fillId="6" borderId="2" xfId="1" applyFill="1" applyBorder="1" applyAlignment="1" applyProtection="1">
      <alignment horizontal="center" vertical="center" wrapText="1"/>
      <protection locked="0"/>
    </xf>
    <xf numFmtId="0" fontId="1" fillId="6" borderId="4" xfId="1" applyFill="1" applyBorder="1" applyAlignment="1" applyProtection="1">
      <alignment horizontal="center" vertical="center" wrapText="1"/>
      <protection locked="0"/>
    </xf>
    <xf numFmtId="0" fontId="2" fillId="2" borderId="14" xfId="1" applyFont="1" applyFill="1" applyBorder="1" applyAlignment="1">
      <alignment horizontal="center" vertical="center" wrapText="1"/>
    </xf>
    <xf numFmtId="0" fontId="1" fillId="6" borderId="5" xfId="1" applyFill="1" applyBorder="1" applyAlignment="1" applyProtection="1">
      <alignment horizontal="left" vertical="center" wrapText="1"/>
      <protection locked="0"/>
    </xf>
    <xf numFmtId="0" fontId="2" fillId="2" borderId="21" xfId="1" applyFont="1" applyFill="1" applyBorder="1" applyAlignment="1">
      <alignment horizontal="center" vertical="center" wrapText="1"/>
    </xf>
    <xf numFmtId="0" fontId="2" fillId="2" borderId="23" xfId="1" applyFont="1" applyFill="1" applyBorder="1" applyAlignment="1">
      <alignment horizontal="center" vertical="center" wrapText="1"/>
    </xf>
    <xf numFmtId="171" fontId="1" fillId="6" borderId="2" xfId="5" applyNumberFormat="1" applyFont="1" applyFill="1" applyBorder="1" applyAlignment="1" applyProtection="1">
      <alignment horizontal="left" vertical="center" wrapText="1"/>
      <protection locked="0"/>
    </xf>
    <xf numFmtId="171" fontId="1" fillId="6" borderId="4" xfId="5" applyNumberFormat="1" applyFont="1" applyFill="1" applyBorder="1" applyAlignment="1" applyProtection="1">
      <alignment horizontal="left" vertical="center" wrapText="1"/>
      <protection locked="0"/>
    </xf>
    <xf numFmtId="3" fontId="4" fillId="2" borderId="2" xfId="1" applyNumberFormat="1" applyFont="1" applyFill="1" applyBorder="1" applyAlignment="1">
      <alignment horizontal="center" vertical="center" wrapText="1"/>
    </xf>
    <xf numFmtId="3" fontId="4" fillId="2" borderId="4" xfId="1" applyNumberFormat="1" applyFont="1" applyFill="1" applyBorder="1" applyAlignment="1">
      <alignment horizontal="center" vertical="center" wrapText="1"/>
    </xf>
    <xf numFmtId="0" fontId="4" fillId="2" borderId="2" xfId="1" applyFont="1" applyFill="1" applyBorder="1" applyAlignment="1">
      <alignment horizontal="center" vertical="center" wrapText="1"/>
    </xf>
    <xf numFmtId="0" fontId="4" fillId="2" borderId="4" xfId="1" applyFont="1" applyFill="1" applyBorder="1" applyAlignment="1">
      <alignment horizontal="center" vertical="center" wrapText="1"/>
    </xf>
    <xf numFmtId="0" fontId="1" fillId="2" borderId="2" xfId="1" applyFill="1" applyBorder="1" applyAlignment="1">
      <alignment horizontal="center" vertical="center" wrapText="1"/>
    </xf>
    <xf numFmtId="0" fontId="1" fillId="2" borderId="4" xfId="1" applyFill="1" applyBorder="1" applyAlignment="1">
      <alignment horizontal="center" vertical="center" wrapText="1"/>
    </xf>
    <xf numFmtId="0" fontId="2" fillId="2" borderId="22" xfId="1" applyFont="1" applyFill="1" applyBorder="1" applyAlignment="1">
      <alignment horizontal="center" vertical="center" wrapText="1"/>
    </xf>
    <xf numFmtId="0" fontId="1" fillId="2" borderId="3" xfId="1" applyFill="1" applyBorder="1" applyAlignment="1">
      <alignment horizontal="center" vertical="center" wrapText="1"/>
    </xf>
    <xf numFmtId="0" fontId="1" fillId="2" borderId="3" xfId="1" applyFill="1" applyBorder="1" applyAlignment="1">
      <alignment horizontal="left" vertical="center" wrapText="1"/>
    </xf>
    <xf numFmtId="0" fontId="1" fillId="2" borderId="5" xfId="1" applyFill="1" applyBorder="1" applyAlignment="1">
      <alignment horizontal="center" vertical="center"/>
    </xf>
    <xf numFmtId="0" fontId="2" fillId="2" borderId="15" xfId="1" applyFont="1" applyFill="1" applyBorder="1" applyAlignment="1">
      <alignment horizontal="center" vertical="center" wrapText="1"/>
    </xf>
    <xf numFmtId="0" fontId="1" fillId="2" borderId="5" xfId="1" applyFill="1" applyBorder="1" applyAlignment="1">
      <alignment horizontal="left" vertical="center"/>
    </xf>
    <xf numFmtId="0" fontId="10" fillId="2" borderId="5" xfId="1" applyFont="1" applyFill="1" applyBorder="1" applyAlignment="1">
      <alignment horizontal="left" vertical="center" indent="1"/>
    </xf>
    <xf numFmtId="0" fontId="10" fillId="2" borderId="8" xfId="1" applyFont="1" applyFill="1" applyBorder="1" applyAlignment="1">
      <alignment horizontal="center" vertical="center" wrapText="1"/>
    </xf>
    <xf numFmtId="0" fontId="10" fillId="2" borderId="6" xfId="1" applyFont="1" applyFill="1" applyBorder="1" applyAlignment="1">
      <alignment horizontal="center" vertical="center" wrapText="1"/>
    </xf>
    <xf numFmtId="0" fontId="10" fillId="2" borderId="9" xfId="1" applyFont="1" applyFill="1" applyBorder="1" applyAlignment="1">
      <alignment horizontal="center" vertical="center" wrapText="1"/>
    </xf>
    <xf numFmtId="0" fontId="10" fillId="2" borderId="1" xfId="1" applyFont="1" applyFill="1" applyBorder="1" applyAlignment="1">
      <alignment horizontal="center" vertical="center" wrapText="1"/>
    </xf>
    <xf numFmtId="0" fontId="10" fillId="2" borderId="0" xfId="1" applyFont="1" applyFill="1" applyAlignment="1">
      <alignment horizontal="center" vertical="center" wrapText="1"/>
    </xf>
    <xf numFmtId="0" fontId="10" fillId="2" borderId="10" xfId="1" applyFont="1" applyFill="1" applyBorder="1" applyAlignment="1">
      <alignment horizontal="center" vertical="center" wrapText="1"/>
    </xf>
    <xf numFmtId="0" fontId="10" fillId="2" borderId="11" xfId="1" applyFont="1" applyFill="1" applyBorder="1" applyAlignment="1">
      <alignment horizontal="center" vertical="center" wrapText="1"/>
    </xf>
    <xf numFmtId="0" fontId="10" fillId="2" borderId="12" xfId="1" applyFont="1" applyFill="1" applyBorder="1" applyAlignment="1">
      <alignment horizontal="center" vertical="center" wrapText="1"/>
    </xf>
    <xf numFmtId="0" fontId="10" fillId="2" borderId="13" xfId="1" applyFont="1" applyFill="1" applyBorder="1" applyAlignment="1">
      <alignment horizontal="center" vertical="center" wrapText="1"/>
    </xf>
    <xf numFmtId="0" fontId="8" fillId="2" borderId="2" xfId="1" applyFont="1" applyFill="1" applyBorder="1" applyAlignment="1" applyProtection="1">
      <alignment horizontal="center" vertical="center" wrapText="1"/>
      <protection hidden="1"/>
    </xf>
    <xf numFmtId="0" fontId="8" fillId="2" borderId="3" xfId="1" applyFont="1" applyFill="1" applyBorder="1" applyAlignment="1" applyProtection="1">
      <alignment horizontal="center" vertical="center" wrapText="1"/>
      <protection hidden="1"/>
    </xf>
    <xf numFmtId="0" fontId="2" fillId="2" borderId="14" xfId="1" applyFont="1" applyFill="1" applyBorder="1" applyAlignment="1">
      <alignment horizontal="center" vertical="center"/>
    </xf>
    <xf numFmtId="0" fontId="8" fillId="4" borderId="2" xfId="1" applyFont="1" applyFill="1" applyBorder="1" applyAlignment="1" applyProtection="1">
      <alignment vertical="center" wrapText="1"/>
      <protection locked="0" hidden="1"/>
    </xf>
    <xf numFmtId="0" fontId="8" fillId="4" borderId="3" xfId="1" applyFont="1" applyFill="1" applyBorder="1" applyAlignment="1" applyProtection="1">
      <alignment vertical="center" wrapText="1"/>
      <protection locked="0" hidden="1"/>
    </xf>
    <xf numFmtId="0" fontId="8" fillId="4" borderId="4" xfId="1" applyFont="1" applyFill="1" applyBorder="1" applyAlignment="1" applyProtection="1">
      <alignment vertical="center" wrapText="1"/>
      <protection locked="0" hidden="1"/>
    </xf>
    <xf numFmtId="0" fontId="8" fillId="2" borderId="8" xfId="1" applyFont="1" applyFill="1" applyBorder="1" applyAlignment="1" applyProtection="1">
      <alignment horizontal="center" vertical="center" wrapText="1"/>
      <protection hidden="1"/>
    </xf>
    <xf numFmtId="0" fontId="8" fillId="2" borderId="6" xfId="1" applyFont="1" applyFill="1" applyBorder="1" applyAlignment="1" applyProtection="1">
      <alignment horizontal="center" vertical="center" wrapText="1"/>
      <protection hidden="1"/>
    </xf>
    <xf numFmtId="0" fontId="8" fillId="2" borderId="9" xfId="1" applyFont="1" applyFill="1" applyBorder="1" applyAlignment="1" applyProtection="1">
      <alignment horizontal="center" vertical="center" wrapText="1"/>
      <protection hidden="1"/>
    </xf>
    <xf numFmtId="0" fontId="8" fillId="2" borderId="11" xfId="1" applyFont="1" applyFill="1" applyBorder="1" applyAlignment="1" applyProtection="1">
      <alignment horizontal="center" vertical="center" wrapText="1"/>
      <protection hidden="1"/>
    </xf>
    <xf numFmtId="0" fontId="8" fillId="2" borderId="12" xfId="1" applyFont="1" applyFill="1" applyBorder="1" applyAlignment="1" applyProtection="1">
      <alignment horizontal="center" vertical="center" wrapText="1"/>
      <protection hidden="1"/>
    </xf>
    <xf numFmtId="0" fontId="8" fillId="2" borderId="13" xfId="1" applyFont="1" applyFill="1" applyBorder="1" applyAlignment="1" applyProtection="1">
      <alignment horizontal="center" vertical="center" wrapText="1"/>
      <protection hidden="1"/>
    </xf>
    <xf numFmtId="0" fontId="8" fillId="2" borderId="5" xfId="1" applyFont="1" applyFill="1" applyBorder="1" applyAlignment="1" applyProtection="1">
      <alignment horizontal="left" vertical="center" wrapText="1" indent="1"/>
      <protection hidden="1"/>
    </xf>
    <xf numFmtId="0" fontId="8" fillId="2" borderId="2" xfId="1" applyFont="1" applyFill="1" applyBorder="1" applyAlignment="1" applyProtection="1">
      <alignment horizontal="left" vertical="center" wrapText="1" indent="1"/>
      <protection hidden="1"/>
    </xf>
    <xf numFmtId="0" fontId="8" fillId="2" borderId="16" xfId="1" applyFont="1" applyFill="1" applyBorder="1" applyAlignment="1">
      <alignment horizontal="center" vertical="center" wrapText="1"/>
    </xf>
    <xf numFmtId="0" fontId="8" fillId="2" borderId="20" xfId="1" applyFont="1" applyFill="1" applyBorder="1" applyAlignment="1">
      <alignment horizontal="center" vertical="center" wrapText="1"/>
    </xf>
    <xf numFmtId="0" fontId="8" fillId="2" borderId="17" xfId="1" applyFont="1" applyFill="1" applyBorder="1" applyAlignment="1">
      <alignment horizontal="center" vertical="center" wrapText="1"/>
    </xf>
    <xf numFmtId="0" fontId="8" fillId="2" borderId="33" xfId="1" applyFont="1" applyFill="1" applyBorder="1" applyAlignment="1">
      <alignment horizontal="center" vertical="center" wrapText="1"/>
    </xf>
    <xf numFmtId="0" fontId="8" fillId="2" borderId="0" xfId="1" applyFont="1" applyFill="1" applyAlignment="1">
      <alignment horizontal="center" vertical="center" wrapText="1"/>
    </xf>
    <xf numFmtId="0" fontId="8" fillId="2" borderId="34" xfId="1" applyFont="1" applyFill="1" applyBorder="1" applyAlignment="1">
      <alignment horizontal="center" vertical="center" wrapText="1"/>
    </xf>
    <xf numFmtId="0" fontId="8" fillId="2" borderId="18" xfId="1" applyFont="1" applyFill="1" applyBorder="1" applyAlignment="1">
      <alignment horizontal="center" vertical="center" wrapText="1"/>
    </xf>
    <xf numFmtId="0" fontId="8" fillId="2" borderId="24" xfId="1" applyFont="1" applyFill="1" applyBorder="1" applyAlignment="1">
      <alignment horizontal="center" vertical="center" wrapText="1"/>
    </xf>
    <xf numFmtId="0" fontId="8" fillId="2" borderId="19" xfId="1" applyFont="1" applyFill="1" applyBorder="1" applyAlignment="1">
      <alignment horizontal="center" vertical="center" wrapText="1"/>
    </xf>
    <xf numFmtId="0" fontId="8" fillId="2" borderId="8" xfId="1" applyFont="1" applyFill="1" applyBorder="1" applyAlignment="1">
      <alignment horizontal="center" vertical="center" wrapText="1"/>
    </xf>
    <xf numFmtId="0" fontId="8" fillId="2" borderId="6" xfId="1" applyFont="1" applyFill="1" applyBorder="1" applyAlignment="1">
      <alignment horizontal="center" vertical="center" wrapText="1"/>
    </xf>
    <xf numFmtId="0" fontId="8" fillId="2" borderId="9" xfId="1" applyFont="1" applyFill="1" applyBorder="1" applyAlignment="1">
      <alignment horizontal="center" vertical="center" wrapText="1"/>
    </xf>
    <xf numFmtId="0" fontId="8" fillId="2" borderId="1" xfId="1" applyFont="1" applyFill="1" applyBorder="1" applyAlignment="1">
      <alignment horizontal="center" vertical="center" wrapText="1"/>
    </xf>
    <xf numFmtId="0" fontId="8" fillId="2" borderId="10" xfId="1" applyFont="1" applyFill="1" applyBorder="1" applyAlignment="1">
      <alignment horizontal="center" vertical="center" wrapText="1"/>
    </xf>
    <xf numFmtId="0" fontId="8" fillId="2" borderId="11" xfId="1" applyFont="1" applyFill="1" applyBorder="1" applyAlignment="1">
      <alignment horizontal="center" vertical="center" wrapText="1"/>
    </xf>
    <xf numFmtId="0" fontId="8" fillId="2" borderId="12" xfId="1" applyFont="1" applyFill="1" applyBorder="1" applyAlignment="1">
      <alignment horizontal="center" vertical="center" wrapText="1"/>
    </xf>
    <xf numFmtId="0" fontId="8" fillId="2" borderId="13" xfId="1" applyFont="1" applyFill="1" applyBorder="1" applyAlignment="1">
      <alignment horizontal="center" vertical="center" wrapText="1"/>
    </xf>
    <xf numFmtId="0" fontId="8" fillId="6" borderId="8" xfId="1" applyFont="1" applyFill="1" applyBorder="1" applyAlignment="1" applyProtection="1">
      <alignment horizontal="left" vertical="center" wrapText="1"/>
      <protection locked="0"/>
    </xf>
    <xf numFmtId="0" fontId="8" fillId="6" borderId="6" xfId="1" applyFont="1" applyFill="1" applyBorder="1" applyAlignment="1" applyProtection="1">
      <alignment horizontal="left" vertical="center" wrapText="1"/>
      <protection locked="0"/>
    </xf>
    <xf numFmtId="0" fontId="8" fillId="6" borderId="9" xfId="1" applyFont="1" applyFill="1" applyBorder="1" applyAlignment="1" applyProtection="1">
      <alignment horizontal="left" vertical="center" wrapText="1"/>
      <protection locked="0"/>
    </xf>
    <xf numFmtId="0" fontId="8" fillId="6" borderId="1" xfId="1" applyFont="1" applyFill="1" applyBorder="1" applyAlignment="1" applyProtection="1">
      <alignment horizontal="left" vertical="center" wrapText="1"/>
      <protection locked="0"/>
    </xf>
    <xf numFmtId="0" fontId="8" fillId="6" borderId="0" xfId="1" applyFont="1" applyFill="1" applyAlignment="1" applyProtection="1">
      <alignment horizontal="left" vertical="center" wrapText="1"/>
      <protection locked="0"/>
    </xf>
    <xf numFmtId="0" fontId="8" fillId="6" borderId="10" xfId="1" applyFont="1" applyFill="1" applyBorder="1" applyAlignment="1" applyProtection="1">
      <alignment horizontal="left" vertical="center" wrapText="1"/>
      <protection locked="0"/>
    </xf>
    <xf numFmtId="0" fontId="8" fillId="6" borderId="11" xfId="1" applyFont="1" applyFill="1" applyBorder="1" applyAlignment="1" applyProtection="1">
      <alignment horizontal="left" vertical="center" wrapText="1"/>
      <protection locked="0"/>
    </xf>
    <xf numFmtId="0" fontId="8" fillId="6" borderId="12" xfId="1" applyFont="1" applyFill="1" applyBorder="1" applyAlignment="1" applyProtection="1">
      <alignment horizontal="left" vertical="center" wrapText="1"/>
      <protection locked="0"/>
    </xf>
    <xf numFmtId="0" fontId="8" fillId="6" borderId="13" xfId="1" applyFont="1" applyFill="1" applyBorder="1" applyAlignment="1" applyProtection="1">
      <alignment horizontal="left" vertical="center" wrapText="1"/>
      <protection locked="0"/>
    </xf>
    <xf numFmtId="0" fontId="8" fillId="2" borderId="4" xfId="1" applyFont="1" applyFill="1" applyBorder="1" applyAlignment="1" applyProtection="1">
      <alignment horizontal="center" vertical="center" wrapText="1"/>
      <protection hidden="1"/>
    </xf>
    <xf numFmtId="0" fontId="8" fillId="6" borderId="5" xfId="1" applyFont="1" applyFill="1" applyBorder="1" applyAlignment="1" applyProtection="1">
      <alignment horizontal="left" vertical="center" wrapText="1"/>
      <protection locked="0"/>
    </xf>
    <xf numFmtId="0" fontId="8" fillId="4" borderId="5" xfId="1" applyFont="1" applyFill="1" applyBorder="1" applyAlignment="1" applyProtection="1">
      <alignment horizontal="left" vertical="center" wrapText="1"/>
      <protection locked="0" hidden="1"/>
    </xf>
    <xf numFmtId="0" fontId="8" fillId="4" borderId="5" xfId="1" applyFont="1" applyFill="1" applyBorder="1" applyAlignment="1" applyProtection="1">
      <alignment horizontal="left" vertical="center" wrapText="1"/>
      <protection locked="0"/>
    </xf>
    <xf numFmtId="0" fontId="8" fillId="2" borderId="1" xfId="1" applyFont="1" applyFill="1" applyBorder="1" applyAlignment="1" applyProtection="1">
      <alignment horizontal="center" vertical="center" wrapText="1"/>
      <protection hidden="1"/>
    </xf>
    <xf numFmtId="0" fontId="8" fillId="2" borderId="0" xfId="1" applyFont="1" applyFill="1" applyAlignment="1" applyProtection="1">
      <alignment horizontal="center" vertical="center" wrapText="1"/>
      <protection hidden="1"/>
    </xf>
    <xf numFmtId="0" fontId="8" fillId="2" borderId="10" xfId="1" applyFont="1" applyFill="1" applyBorder="1" applyAlignment="1" applyProtection="1">
      <alignment horizontal="center" vertical="center" wrapText="1"/>
      <protection hidden="1"/>
    </xf>
    <xf numFmtId="0" fontId="8" fillId="2" borderId="2" xfId="1" applyFont="1" applyFill="1" applyBorder="1" applyAlignment="1" applyProtection="1">
      <alignment vertical="center" wrapText="1"/>
      <protection hidden="1"/>
    </xf>
    <xf numFmtId="0" fontId="8" fillId="2" borderId="3" xfId="1" applyFont="1" applyFill="1" applyBorder="1" applyAlignment="1" applyProtection="1">
      <alignment vertical="center" wrapText="1"/>
      <protection hidden="1"/>
    </xf>
    <xf numFmtId="0" fontId="8" fillId="2" borderId="4" xfId="1" applyFont="1" applyFill="1" applyBorder="1" applyAlignment="1" applyProtection="1">
      <alignment vertical="center" wrapText="1"/>
      <protection hidden="1"/>
    </xf>
    <xf numFmtId="0" fontId="23" fillId="6" borderId="14" xfId="1" applyFont="1" applyFill="1" applyBorder="1" applyAlignment="1" applyProtection="1">
      <alignment horizontal="center" vertical="center"/>
      <protection locked="0"/>
    </xf>
    <xf numFmtId="0" fontId="23" fillId="2" borderId="14" xfId="1" applyFont="1" applyFill="1" applyBorder="1" applyAlignment="1">
      <alignment horizontal="left" vertical="center" wrapText="1"/>
    </xf>
    <xf numFmtId="9" fontId="23" fillId="2" borderId="2" xfId="5" applyFont="1" applyFill="1" applyBorder="1" applyAlignment="1">
      <alignment horizontal="center" vertical="center" wrapText="1"/>
    </xf>
    <xf numFmtId="9" fontId="23" fillId="2" borderId="4" xfId="5" applyFont="1" applyFill="1" applyBorder="1" applyAlignment="1">
      <alignment horizontal="center" vertical="center" wrapText="1"/>
    </xf>
    <xf numFmtId="165" fontId="25" fillId="2" borderId="14" xfId="1" applyNumberFormat="1" applyFont="1" applyFill="1" applyBorder="1" applyAlignment="1">
      <alignment horizontal="center" vertical="center" wrapText="1"/>
    </xf>
    <xf numFmtId="0" fontId="23" fillId="4" borderId="14" xfId="1" applyFont="1" applyFill="1" applyBorder="1" applyAlignment="1" applyProtection="1">
      <alignment horizontal="center" vertical="center" wrapText="1"/>
      <protection locked="0"/>
    </xf>
    <xf numFmtId="0" fontId="23" fillId="2" borderId="0" xfId="1" applyFont="1" applyFill="1" applyAlignment="1">
      <alignment horizontal="center" vertical="top" wrapText="1"/>
    </xf>
    <xf numFmtId="0" fontId="23" fillId="6" borderId="14" xfId="1" applyFont="1" applyFill="1" applyBorder="1" applyAlignment="1" applyProtection="1">
      <alignment horizontal="center" vertical="center" wrapText="1"/>
      <protection locked="0"/>
    </xf>
    <xf numFmtId="0" fontId="49" fillId="2" borderId="0" xfId="1" applyFont="1" applyFill="1" applyAlignment="1">
      <alignment horizontal="left" vertical="center" wrapText="1"/>
    </xf>
    <xf numFmtId="0" fontId="20" fillId="2" borderId="2" xfId="1" applyFont="1" applyFill="1" applyBorder="1" applyAlignment="1">
      <alignment horizontal="center" vertical="center"/>
    </xf>
    <xf numFmtId="0" fontId="20" fillId="2" borderId="3" xfId="1" applyFont="1" applyFill="1" applyBorder="1" applyAlignment="1">
      <alignment horizontal="center" vertical="center"/>
    </xf>
    <xf numFmtId="0" fontId="20" fillId="2" borderId="4" xfId="1" applyFont="1" applyFill="1" applyBorder="1" applyAlignment="1">
      <alignment horizontal="center" vertical="center"/>
    </xf>
    <xf numFmtId="0" fontId="28" fillId="2" borderId="0" xfId="1" applyFont="1" applyFill="1" applyAlignment="1">
      <alignment horizontal="left" vertical="center" wrapText="1"/>
    </xf>
    <xf numFmtId="0" fontId="20" fillId="2" borderId="14" xfId="1" applyFont="1" applyFill="1" applyBorder="1" applyAlignment="1">
      <alignment horizontal="center" vertical="center" wrapText="1"/>
    </xf>
    <xf numFmtId="0" fontId="23" fillId="2" borderId="1" xfId="1" applyFont="1" applyFill="1" applyBorder="1" applyAlignment="1">
      <alignment horizontal="center" vertical="center" wrapText="1"/>
    </xf>
    <xf numFmtId="0" fontId="23" fillId="2" borderId="10" xfId="1" applyFont="1" applyFill="1" applyBorder="1" applyAlignment="1">
      <alignment horizontal="center" vertical="center" wrapText="1"/>
    </xf>
    <xf numFmtId="0" fontId="23" fillId="2" borderId="27" xfId="1" applyFont="1" applyFill="1" applyBorder="1" applyAlignment="1">
      <alignment horizontal="center" vertical="center" wrapText="1"/>
    </xf>
    <xf numFmtId="0" fontId="23" fillId="2" borderId="28" xfId="1" applyFont="1" applyFill="1" applyBorder="1" applyAlignment="1">
      <alignment horizontal="center" vertical="center" wrapText="1"/>
    </xf>
    <xf numFmtId="0" fontId="23" fillId="2" borderId="29" xfId="1" applyFont="1" applyFill="1" applyBorder="1" applyAlignment="1">
      <alignment horizontal="center" vertical="center" wrapText="1"/>
    </xf>
    <xf numFmtId="0" fontId="25" fillId="2" borderId="21" xfId="1" applyFont="1" applyFill="1" applyBorder="1" applyAlignment="1">
      <alignment horizontal="center" vertical="center"/>
    </xf>
    <xf numFmtId="0" fontId="25" fillId="2" borderId="23" xfId="1" applyFont="1" applyFill="1" applyBorder="1" applyAlignment="1">
      <alignment horizontal="center" vertical="center"/>
    </xf>
    <xf numFmtId="0" fontId="25" fillId="2" borderId="21" xfId="1" applyFont="1" applyFill="1" applyBorder="1" applyAlignment="1">
      <alignment horizontal="center" vertical="center" wrapText="1"/>
    </xf>
    <xf numFmtId="0" fontId="25" fillId="2" borderId="22" xfId="1" applyFont="1" applyFill="1" applyBorder="1" applyAlignment="1">
      <alignment horizontal="center" vertical="center" wrapText="1"/>
    </xf>
    <xf numFmtId="0" fontId="25" fillId="2" borderId="23" xfId="1" applyFont="1" applyFill="1" applyBorder="1" applyAlignment="1">
      <alignment horizontal="center" vertical="center" wrapText="1"/>
    </xf>
    <xf numFmtId="0" fontId="25" fillId="2" borderId="0" xfId="1" applyFont="1" applyFill="1" applyAlignment="1">
      <alignment horizontal="justify" vertical="center"/>
    </xf>
    <xf numFmtId="0" fontId="23" fillId="2" borderId="49" xfId="1" applyFont="1" applyFill="1" applyBorder="1" applyAlignment="1">
      <alignment horizontal="left" vertical="center" wrapText="1"/>
    </xf>
    <xf numFmtId="0" fontId="23" fillId="2" borderId="50" xfId="1" applyFont="1" applyFill="1" applyBorder="1" applyAlignment="1">
      <alignment horizontal="left" vertical="center" wrapText="1"/>
    </xf>
    <xf numFmtId="0" fontId="23" fillId="2" borderId="51" xfId="1" applyFont="1" applyFill="1" applyBorder="1" applyAlignment="1">
      <alignment horizontal="left" vertical="center" wrapText="1"/>
    </xf>
    <xf numFmtId="0" fontId="23" fillId="6" borderId="5" xfId="1" applyFont="1" applyFill="1" applyBorder="1" applyAlignment="1" applyProtection="1">
      <alignment horizontal="left" vertical="center" wrapText="1"/>
      <protection locked="0"/>
    </xf>
    <xf numFmtId="0" fontId="18" fillId="4" borderId="2" xfId="1" applyFont="1" applyFill="1" applyBorder="1" applyAlignment="1" applyProtection="1">
      <alignment horizontal="center" vertical="center" wrapText="1"/>
      <protection locked="0"/>
    </xf>
    <xf numFmtId="0" fontId="18" fillId="4" borderId="4" xfId="1" applyFont="1" applyFill="1" applyBorder="1" applyAlignment="1" applyProtection="1">
      <alignment horizontal="center" vertical="center" wrapText="1"/>
      <protection locked="0"/>
    </xf>
    <xf numFmtId="0" fontId="18" fillId="2" borderId="5" xfId="1" applyFont="1" applyFill="1" applyBorder="1" applyAlignment="1">
      <alignment horizontal="center" vertical="center" wrapText="1"/>
    </xf>
    <xf numFmtId="0" fontId="23" fillId="2" borderId="0" xfId="1" applyFont="1" applyFill="1" applyAlignment="1">
      <alignment horizontal="left" indent="2"/>
    </xf>
    <xf numFmtId="0" fontId="20" fillId="2" borderId="5" xfId="1" applyFont="1" applyFill="1" applyBorder="1" applyAlignment="1">
      <alignment horizontal="center" vertical="center" wrapText="1"/>
    </xf>
    <xf numFmtId="0" fontId="18" fillId="2" borderId="2" xfId="1" applyFont="1" applyFill="1" applyBorder="1" applyAlignment="1">
      <alignment horizontal="left" vertical="center" wrapText="1"/>
    </xf>
    <xf numFmtId="0" fontId="18" fillId="2" borderId="3" xfId="1" applyFont="1" applyFill="1" applyBorder="1" applyAlignment="1">
      <alignment horizontal="left" vertical="center" wrapText="1"/>
    </xf>
    <xf numFmtId="0" fontId="18" fillId="2" borderId="4" xfId="1" applyFont="1" applyFill="1" applyBorder="1" applyAlignment="1">
      <alignment horizontal="left" vertical="center" wrapText="1"/>
    </xf>
    <xf numFmtId="0" fontId="20" fillId="4" borderId="0" xfId="1" applyFont="1" applyFill="1" applyAlignment="1">
      <alignment horizontal="center" vertical="center"/>
    </xf>
    <xf numFmtId="0" fontId="18" fillId="4" borderId="2" xfId="1" applyFont="1" applyFill="1" applyBorder="1" applyAlignment="1" applyProtection="1">
      <alignment horizontal="center" vertical="center"/>
      <protection locked="0"/>
    </xf>
    <xf numFmtId="0" fontId="18" fillId="4" borderId="4" xfId="1" applyFont="1" applyFill="1" applyBorder="1" applyAlignment="1" applyProtection="1">
      <alignment horizontal="center" vertical="center"/>
      <protection locked="0"/>
    </xf>
    <xf numFmtId="0" fontId="20" fillId="2" borderId="27" xfId="1" applyFont="1" applyFill="1" applyBorder="1" applyAlignment="1">
      <alignment horizontal="center" vertical="center" wrapText="1"/>
    </xf>
    <xf numFmtId="0" fontId="20" fillId="2" borderId="29" xfId="1" applyFont="1" applyFill="1" applyBorder="1" applyAlignment="1">
      <alignment horizontal="center" vertical="center" wrapText="1"/>
    </xf>
    <xf numFmtId="0" fontId="20" fillId="2" borderId="8" xfId="1" applyFont="1" applyFill="1" applyBorder="1" applyAlignment="1">
      <alignment horizontal="center" vertical="center" wrapText="1"/>
    </xf>
    <xf numFmtId="0" fontId="20" fillId="2" borderId="6" xfId="1" applyFont="1" applyFill="1" applyBorder="1" applyAlignment="1">
      <alignment horizontal="center" vertical="center" wrapText="1"/>
    </xf>
    <xf numFmtId="0" fontId="20" fillId="2" borderId="9" xfId="1" applyFont="1" applyFill="1" applyBorder="1" applyAlignment="1">
      <alignment horizontal="center" vertical="center" wrapText="1"/>
    </xf>
    <xf numFmtId="0" fontId="20" fillId="2" borderId="11" xfId="1" applyFont="1" applyFill="1" applyBorder="1" applyAlignment="1">
      <alignment horizontal="center" vertical="center" wrapText="1"/>
    </xf>
    <xf numFmtId="0" fontId="20" fillId="2" borderId="12" xfId="1" applyFont="1" applyFill="1" applyBorder="1" applyAlignment="1">
      <alignment horizontal="center" vertical="center" wrapText="1"/>
    </xf>
    <xf numFmtId="0" fontId="20" fillId="2" borderId="13" xfId="1" applyFont="1" applyFill="1" applyBorder="1" applyAlignment="1">
      <alignment horizontal="center" vertical="center" wrapText="1"/>
    </xf>
    <xf numFmtId="0" fontId="23" fillId="2" borderId="12" xfId="1" applyFont="1" applyFill="1" applyBorder="1" applyAlignment="1">
      <alignment horizontal="left" vertical="center" wrapText="1"/>
    </xf>
    <xf numFmtId="0" fontId="23" fillId="6" borderId="5" xfId="1" applyFont="1" applyFill="1" applyBorder="1" applyAlignment="1" applyProtection="1">
      <alignment horizontal="center" vertical="center" wrapText="1"/>
      <protection locked="0"/>
    </xf>
    <xf numFmtId="0" fontId="18" fillId="2" borderId="5" xfId="1" applyFont="1" applyFill="1" applyBorder="1" applyAlignment="1">
      <alignment horizontal="center" vertical="center"/>
    </xf>
    <xf numFmtId="0" fontId="20" fillId="2" borderId="2" xfId="1" applyFont="1" applyFill="1" applyBorder="1" applyAlignment="1">
      <alignment vertical="center"/>
    </xf>
    <xf numFmtId="0" fontId="20" fillId="2" borderId="3" xfId="1" applyFont="1" applyFill="1" applyBorder="1" applyAlignment="1">
      <alignment vertical="center"/>
    </xf>
    <xf numFmtId="0" fontId="18" fillId="2" borderId="3" xfId="1" applyFont="1" applyFill="1" applyBorder="1" applyAlignment="1">
      <alignment vertical="center"/>
    </xf>
    <xf numFmtId="0" fontId="18" fillId="2" borderId="4" xfId="1" applyFont="1" applyFill="1" applyBorder="1" applyAlignment="1">
      <alignment vertical="center"/>
    </xf>
    <xf numFmtId="0" fontId="18" fillId="2" borderId="2" xfId="1" applyFont="1" applyFill="1" applyBorder="1" applyAlignment="1">
      <alignment horizontal="left" vertical="center"/>
    </xf>
    <xf numFmtId="0" fontId="18" fillId="2" borderId="3" xfId="1" applyFont="1" applyFill="1" applyBorder="1" applyAlignment="1">
      <alignment horizontal="left" vertical="center"/>
    </xf>
    <xf numFmtId="0" fontId="18" fillId="2" borderId="4" xfId="1" applyFont="1" applyFill="1" applyBorder="1" applyAlignment="1">
      <alignment horizontal="left" vertical="center"/>
    </xf>
    <xf numFmtId="0" fontId="18" fillId="2" borderId="2" xfId="1" applyFont="1" applyFill="1" applyBorder="1" applyAlignment="1">
      <alignment horizontal="center" vertical="center"/>
    </xf>
    <xf numFmtId="0" fontId="18" fillId="2" borderId="4" xfId="1" applyFont="1" applyFill="1" applyBorder="1" applyAlignment="1">
      <alignment horizontal="center" vertical="center"/>
    </xf>
    <xf numFmtId="0" fontId="18" fillId="2" borderId="2" xfId="1" applyFont="1" applyFill="1" applyBorder="1" applyAlignment="1">
      <alignment vertical="center"/>
    </xf>
    <xf numFmtId="0" fontId="20" fillId="2" borderId="16" xfId="1" applyFont="1" applyFill="1" applyBorder="1" applyAlignment="1">
      <alignment horizontal="center" vertical="center" wrapText="1"/>
    </xf>
    <xf numFmtId="0" fontId="20" fillId="2" borderId="20" xfId="1" applyFont="1" applyFill="1" applyBorder="1" applyAlignment="1">
      <alignment horizontal="center" vertical="center" wrapText="1"/>
    </xf>
    <xf numFmtId="0" fontId="20" fillId="2" borderId="17" xfId="1" applyFont="1" applyFill="1" applyBorder="1" applyAlignment="1">
      <alignment horizontal="center" vertical="center" wrapText="1"/>
    </xf>
    <xf numFmtId="0" fontId="20" fillId="2" borderId="33" xfId="1" applyFont="1" applyFill="1" applyBorder="1" applyAlignment="1">
      <alignment horizontal="center" vertical="center" wrapText="1"/>
    </xf>
    <xf numFmtId="0" fontId="20" fillId="2" borderId="0" xfId="1" applyFont="1" applyFill="1" applyAlignment="1">
      <alignment horizontal="center" vertical="center" wrapText="1"/>
    </xf>
    <xf numFmtId="0" fontId="20" fillId="2" borderId="34" xfId="1" applyFont="1" applyFill="1" applyBorder="1" applyAlignment="1">
      <alignment horizontal="center" vertical="center" wrapText="1"/>
    </xf>
    <xf numFmtId="0" fontId="20" fillId="2" borderId="18" xfId="1" applyFont="1" applyFill="1" applyBorder="1" applyAlignment="1">
      <alignment horizontal="center" vertical="center" wrapText="1"/>
    </xf>
    <xf numFmtId="0" fontId="20" fillId="2" borderId="24" xfId="1" applyFont="1" applyFill="1" applyBorder="1" applyAlignment="1">
      <alignment horizontal="center" vertical="center" wrapText="1"/>
    </xf>
    <xf numFmtId="0" fontId="20" fillId="2" borderId="19" xfId="1" applyFont="1" applyFill="1" applyBorder="1" applyAlignment="1">
      <alignment horizontal="center" vertical="center" wrapText="1"/>
    </xf>
    <xf numFmtId="0" fontId="20" fillId="2" borderId="14" xfId="1" applyFont="1" applyFill="1" applyBorder="1" applyAlignment="1">
      <alignment horizontal="center" vertical="center"/>
    </xf>
    <xf numFmtId="169" fontId="18" fillId="2" borderId="2" xfId="1" applyNumberFormat="1" applyFont="1" applyFill="1" applyBorder="1" applyAlignment="1">
      <alignment vertical="center"/>
    </xf>
    <xf numFmtId="169" fontId="18" fillId="2" borderId="2" xfId="6" applyNumberFormat="1" applyFont="1" applyFill="1" applyBorder="1" applyAlignment="1" applyProtection="1">
      <alignment horizontal="center" vertical="center" wrapText="1"/>
    </xf>
    <xf numFmtId="169" fontId="18" fillId="2" borderId="4" xfId="6" applyNumberFormat="1" applyFont="1" applyFill="1" applyBorder="1" applyAlignment="1" applyProtection="1">
      <alignment horizontal="center" vertical="center" wrapText="1"/>
    </xf>
    <xf numFmtId="0" fontId="20" fillId="2" borderId="0" xfId="1" applyFont="1" applyFill="1" applyAlignment="1">
      <alignment horizontal="right" vertical="center"/>
    </xf>
    <xf numFmtId="172" fontId="18" fillId="6" borderId="26" xfId="1" applyNumberFormat="1" applyFont="1" applyFill="1" applyBorder="1" applyAlignment="1" applyProtection="1">
      <alignment horizontal="center" vertical="center" wrapText="1"/>
      <protection locked="0"/>
    </xf>
    <xf numFmtId="172" fontId="18" fillId="6" borderId="30" xfId="1" applyNumberFormat="1" applyFont="1" applyFill="1" applyBorder="1" applyAlignment="1" applyProtection="1">
      <alignment horizontal="center" vertical="center" wrapText="1"/>
      <protection locked="0"/>
    </xf>
    <xf numFmtId="0" fontId="18" fillId="2" borderId="5" xfId="1" applyFont="1" applyFill="1" applyBorder="1" applyAlignment="1">
      <alignment horizontal="left" vertical="center" wrapText="1" indent="1"/>
    </xf>
    <xf numFmtId="172" fontId="18" fillId="2" borderId="5" xfId="1" applyNumberFormat="1" applyFont="1" applyFill="1" applyBorder="1" applyAlignment="1">
      <alignment horizontal="center" vertical="center"/>
    </xf>
    <xf numFmtId="172" fontId="18" fillId="2" borderId="26" xfId="1" applyNumberFormat="1" applyFont="1" applyFill="1" applyBorder="1" applyAlignment="1">
      <alignment horizontal="center" vertical="center"/>
    </xf>
    <xf numFmtId="172" fontId="18" fillId="2" borderId="30" xfId="1" applyNumberFormat="1" applyFont="1" applyFill="1" applyBorder="1" applyAlignment="1">
      <alignment horizontal="center" vertical="center"/>
    </xf>
    <xf numFmtId="0" fontId="20" fillId="2" borderId="6" xfId="1" applyFont="1" applyFill="1" applyBorder="1" applyAlignment="1">
      <alignment horizontal="right" vertical="center" indent="1"/>
    </xf>
    <xf numFmtId="0" fontId="20" fillId="2" borderId="7" xfId="1" applyFont="1" applyFill="1" applyBorder="1" applyAlignment="1">
      <alignment horizontal="right" vertical="center" indent="1"/>
    </xf>
    <xf numFmtId="169" fontId="18" fillId="2" borderId="26" xfId="1" applyNumberFormat="1" applyFont="1" applyFill="1" applyBorder="1" applyAlignment="1">
      <alignment horizontal="center" vertical="center"/>
    </xf>
    <xf numFmtId="0" fontId="18" fillId="2" borderId="30" xfId="1" applyFont="1" applyFill="1" applyBorder="1" applyAlignment="1">
      <alignment horizontal="center" vertical="center"/>
    </xf>
    <xf numFmtId="0" fontId="20" fillId="2" borderId="2" xfId="1" applyFont="1" applyFill="1" applyBorder="1" applyAlignment="1">
      <alignment horizontal="center" vertical="center" wrapText="1"/>
    </xf>
    <xf numFmtId="0" fontId="20" fillId="2" borderId="4" xfId="1" applyFont="1" applyFill="1" applyBorder="1" applyAlignment="1">
      <alignment horizontal="center" vertical="center" wrapText="1"/>
    </xf>
    <xf numFmtId="0" fontId="18" fillId="2" borderId="5" xfId="1" applyFont="1" applyFill="1" applyBorder="1" applyAlignment="1">
      <alignment vertical="center"/>
    </xf>
    <xf numFmtId="0" fontId="18" fillId="2" borderId="0" xfId="1" applyFont="1" applyFill="1" applyAlignment="1">
      <alignment horizontal="left" vertical="center" indent="1"/>
    </xf>
    <xf numFmtId="0" fontId="18" fillId="2" borderId="10" xfId="1" applyFont="1" applyFill="1" applyBorder="1" applyAlignment="1">
      <alignment horizontal="left" vertical="center" indent="1"/>
    </xf>
    <xf numFmtId="0" fontId="18" fillId="2" borderId="31" xfId="1" applyFont="1" applyFill="1" applyBorder="1"/>
    <xf numFmtId="0" fontId="18" fillId="2" borderId="32" xfId="1" applyFont="1" applyFill="1" applyBorder="1"/>
    <xf numFmtId="17" fontId="18" fillId="2" borderId="31" xfId="1" applyNumberFormat="1" applyFont="1" applyFill="1" applyBorder="1"/>
    <xf numFmtId="17" fontId="18" fillId="2" borderId="32" xfId="1" applyNumberFormat="1" applyFont="1" applyFill="1" applyBorder="1"/>
    <xf numFmtId="0" fontId="18" fillId="2" borderId="2" xfId="1" applyFont="1" applyFill="1" applyBorder="1"/>
    <xf numFmtId="0" fontId="18" fillId="2" borderId="4" xfId="1" applyFont="1" applyFill="1" applyBorder="1"/>
    <xf numFmtId="0" fontId="18" fillId="6" borderId="2" xfId="1" applyFont="1" applyFill="1" applyBorder="1"/>
    <xf numFmtId="0" fontId="18" fillId="6" borderId="4" xfId="1" applyFont="1" applyFill="1" applyBorder="1"/>
    <xf numFmtId="0" fontId="18" fillId="6" borderId="5" xfId="1" applyFont="1" applyFill="1" applyBorder="1" applyAlignment="1" applyProtection="1">
      <alignment horizontal="left" vertical="center" wrapText="1"/>
      <protection locked="0"/>
    </xf>
    <xf numFmtId="0" fontId="18" fillId="6" borderId="5" xfId="1" applyFont="1" applyFill="1" applyBorder="1" applyAlignment="1" applyProtection="1">
      <alignment horizontal="center" vertical="center" wrapText="1"/>
      <protection locked="0"/>
    </xf>
    <xf numFmtId="0" fontId="20" fillId="2" borderId="0" xfId="1" applyFont="1" applyFill="1" applyAlignment="1">
      <alignment horizontal="left" vertical="center" wrapText="1"/>
    </xf>
    <xf numFmtId="0" fontId="20" fillId="2" borderId="34" xfId="1" applyFont="1" applyFill="1" applyBorder="1" applyAlignment="1">
      <alignment horizontal="left" vertical="center" wrapText="1"/>
    </xf>
    <xf numFmtId="44" fontId="18" fillId="2" borderId="14" xfId="1" applyNumberFormat="1" applyFont="1" applyFill="1" applyBorder="1" applyAlignment="1">
      <alignment horizontal="center" vertical="center"/>
    </xf>
    <xf numFmtId="0" fontId="18" fillId="2" borderId="14" xfId="1" applyFont="1" applyFill="1" applyBorder="1" applyAlignment="1">
      <alignment horizontal="center" vertical="center"/>
    </xf>
    <xf numFmtId="171" fontId="18" fillId="2" borderId="2" xfId="5" applyNumberFormat="1" applyFont="1" applyFill="1" applyBorder="1" applyAlignment="1" applyProtection="1">
      <alignment horizontal="center" vertical="center"/>
    </xf>
    <xf numFmtId="171" fontId="18" fillId="2" borderId="4" xfId="5" applyNumberFormat="1" applyFont="1" applyFill="1" applyBorder="1" applyAlignment="1" applyProtection="1">
      <alignment horizontal="center" vertical="center"/>
    </xf>
    <xf numFmtId="0" fontId="20" fillId="2" borderId="0" xfId="1" applyFont="1" applyFill="1" applyAlignment="1">
      <alignment horizontal="right" vertical="center" indent="2"/>
    </xf>
    <xf numFmtId="0" fontId="20" fillId="2" borderId="34" xfId="1" applyFont="1" applyFill="1" applyBorder="1" applyAlignment="1">
      <alignment horizontal="right" vertical="center" indent="2"/>
    </xf>
    <xf numFmtId="172" fontId="18" fillId="6" borderId="2" xfId="6" applyNumberFormat="1" applyFont="1" applyFill="1" applyBorder="1" applyAlignment="1" applyProtection="1">
      <alignment horizontal="center" vertical="center"/>
      <protection locked="0"/>
    </xf>
    <xf numFmtId="172" fontId="18" fillId="6" borderId="4" xfId="6" applyNumberFormat="1" applyFont="1" applyFill="1" applyBorder="1" applyAlignment="1" applyProtection="1">
      <alignment horizontal="center" vertical="center"/>
      <protection locked="0"/>
    </xf>
    <xf numFmtId="0" fontId="18" fillId="2" borderId="5" xfId="1" applyFont="1" applyFill="1" applyBorder="1" applyAlignment="1">
      <alignment horizontal="left" vertical="center" indent="1"/>
    </xf>
    <xf numFmtId="169" fontId="18" fillId="2" borderId="14" xfId="1" applyNumberFormat="1" applyFont="1" applyFill="1" applyBorder="1" applyAlignment="1">
      <alignment horizontal="center" vertical="center"/>
    </xf>
    <xf numFmtId="172" fontId="18" fillId="6" borderId="2" xfId="6" applyNumberFormat="1" applyFont="1" applyFill="1" applyBorder="1" applyAlignment="1" applyProtection="1">
      <alignment horizontal="center" vertical="center" wrapText="1"/>
      <protection locked="0"/>
    </xf>
    <xf numFmtId="172" fontId="18" fillId="6" borderId="4" xfId="6" applyNumberFormat="1" applyFont="1" applyFill="1" applyBorder="1" applyAlignment="1" applyProtection="1">
      <alignment horizontal="center" vertical="center" wrapText="1"/>
      <protection locked="0"/>
    </xf>
    <xf numFmtId="44" fontId="18" fillId="2" borderId="14" xfId="6" applyFont="1" applyFill="1" applyBorder="1" applyAlignment="1" applyProtection="1">
      <alignment horizontal="center" vertical="center"/>
    </xf>
    <xf numFmtId="0" fontId="25" fillId="2" borderId="21" xfId="0" applyFont="1" applyFill="1" applyBorder="1" applyAlignment="1">
      <alignment horizontal="center" vertical="center" wrapText="1"/>
    </xf>
    <xf numFmtId="0" fontId="25" fillId="2" borderId="22" xfId="0" applyFont="1" applyFill="1" applyBorder="1" applyAlignment="1">
      <alignment horizontal="center" vertical="center" wrapText="1"/>
    </xf>
    <xf numFmtId="0" fontId="25" fillId="2" borderId="23" xfId="0" applyFont="1" applyFill="1" applyBorder="1" applyAlignment="1">
      <alignment horizontal="center" vertical="center" wrapText="1"/>
    </xf>
    <xf numFmtId="0" fontId="20" fillId="2" borderId="5" xfId="0" applyFont="1" applyFill="1" applyBorder="1" applyAlignment="1">
      <alignment horizontal="center" vertical="center" wrapText="1"/>
    </xf>
    <xf numFmtId="0" fontId="23" fillId="2" borderId="0" xfId="0" applyFont="1" applyFill="1" applyAlignment="1">
      <alignment horizontal="left" vertical="center" wrapText="1"/>
    </xf>
    <xf numFmtId="0" fontId="20" fillId="2" borderId="40" xfId="0" applyFont="1" applyFill="1" applyBorder="1" applyAlignment="1">
      <alignment horizontal="center" vertical="center" wrapText="1"/>
    </xf>
    <xf numFmtId="0" fontId="20" fillId="2" borderId="41" xfId="0" applyFont="1" applyFill="1" applyBorder="1" applyAlignment="1">
      <alignment horizontal="center" vertical="center" wrapText="1"/>
    </xf>
    <xf numFmtId="0" fontId="20" fillId="2" borderId="42" xfId="0" applyFont="1" applyFill="1" applyBorder="1" applyAlignment="1">
      <alignment horizontal="center" vertical="center" wrapText="1"/>
    </xf>
    <xf numFmtId="0" fontId="20" fillId="2" borderId="29" xfId="0" applyFont="1" applyFill="1" applyBorder="1" applyAlignment="1">
      <alignment horizontal="center" vertical="center" wrapText="1"/>
    </xf>
    <xf numFmtId="0" fontId="20" fillId="2" borderId="29" xfId="0" applyFont="1" applyFill="1" applyBorder="1" applyAlignment="1">
      <alignment horizontal="center" wrapText="1"/>
    </xf>
    <xf numFmtId="0" fontId="20" fillId="2" borderId="37" xfId="0" applyFont="1" applyFill="1" applyBorder="1" applyAlignment="1">
      <alignment horizontal="center" vertical="center" wrapText="1"/>
    </xf>
    <xf numFmtId="0" fontId="20" fillId="2" borderId="38" xfId="0" applyFont="1" applyFill="1" applyBorder="1" applyAlignment="1">
      <alignment horizontal="center" vertical="center" wrapText="1"/>
    </xf>
    <xf numFmtId="0" fontId="20" fillId="2" borderId="39" xfId="0" applyFont="1" applyFill="1" applyBorder="1" applyAlignment="1">
      <alignment horizontal="center" vertical="center" wrapText="1"/>
    </xf>
    <xf numFmtId="0" fontId="18" fillId="2" borderId="27" xfId="0" applyFont="1" applyFill="1" applyBorder="1" applyAlignment="1">
      <alignment horizontal="center" vertical="center" wrapText="1"/>
    </xf>
    <xf numFmtId="0" fontId="18" fillId="2" borderId="29" xfId="0" applyFont="1" applyFill="1" applyBorder="1" applyAlignment="1">
      <alignment horizontal="center" vertical="center" wrapText="1"/>
    </xf>
    <xf numFmtId="0" fontId="18" fillId="2" borderId="2" xfId="0" applyFont="1" applyFill="1" applyBorder="1" applyAlignment="1">
      <alignment horizontal="left" vertical="center" wrapText="1" indent="2"/>
    </xf>
    <xf numFmtId="0" fontId="18" fillId="2" borderId="3" xfId="0" applyFont="1" applyFill="1" applyBorder="1" applyAlignment="1">
      <alignment horizontal="left" vertical="center" wrapText="1" indent="2"/>
    </xf>
    <xf numFmtId="0" fontId="18" fillId="2" borderId="4" xfId="0" applyFont="1" applyFill="1" applyBorder="1" applyAlignment="1">
      <alignment horizontal="left" vertical="center" wrapText="1" indent="2"/>
    </xf>
    <xf numFmtId="0" fontId="25" fillId="2" borderId="5" xfId="0" applyFont="1" applyFill="1" applyBorder="1" applyAlignment="1">
      <alignment horizontal="left" vertical="center" wrapText="1" indent="1"/>
    </xf>
    <xf numFmtId="0" fontId="1" fillId="6" borderId="5" xfId="0" applyFont="1" applyFill="1" applyBorder="1" applyAlignment="1" applyProtection="1">
      <alignment horizontal="left" vertical="center" wrapText="1"/>
      <protection locked="0"/>
    </xf>
    <xf numFmtId="0" fontId="11" fillId="2" borderId="2" xfId="0" applyFont="1" applyFill="1" applyBorder="1" applyAlignment="1">
      <alignment horizontal="center" vertical="center"/>
    </xf>
    <xf numFmtId="0" fontId="11" fillId="2" borderId="4" xfId="0" applyFont="1" applyFill="1" applyBorder="1" applyAlignment="1">
      <alignment horizontal="center" vertical="center"/>
    </xf>
    <xf numFmtId="0" fontId="11" fillId="2" borderId="3" xfId="0" applyFont="1" applyFill="1" applyBorder="1" applyAlignment="1">
      <alignment horizontal="center" vertical="center"/>
    </xf>
    <xf numFmtId="0" fontId="7" fillId="2" borderId="21" xfId="0" applyFont="1" applyFill="1" applyBorder="1" applyAlignment="1">
      <alignment horizontal="center" vertical="center" wrapText="1"/>
    </xf>
    <xf numFmtId="0" fontId="7" fillId="2" borderId="23" xfId="0" applyFont="1" applyFill="1" applyBorder="1" applyAlignment="1">
      <alignment horizontal="center" vertical="center" wrapText="1"/>
    </xf>
    <xf numFmtId="0" fontId="7" fillId="2" borderId="14" xfId="0" applyFont="1" applyFill="1" applyBorder="1" applyAlignment="1">
      <alignment horizontal="center" vertical="center" wrapText="1"/>
    </xf>
    <xf numFmtId="0" fontId="1" fillId="2" borderId="5" xfId="0" applyFont="1" applyFill="1" applyBorder="1" applyAlignment="1">
      <alignment horizontal="left" vertical="center" wrapText="1" indent="1"/>
    </xf>
    <xf numFmtId="0" fontId="11" fillId="2" borderId="5" xfId="0" applyFont="1" applyFill="1" applyBorder="1" applyAlignment="1">
      <alignment horizontal="center" vertical="center"/>
    </xf>
    <xf numFmtId="0" fontId="7" fillId="2" borderId="14" xfId="0" applyFont="1" applyFill="1" applyBorder="1" applyAlignment="1">
      <alignment horizontal="left" vertical="center" wrapText="1"/>
    </xf>
    <xf numFmtId="0" fontId="18" fillId="6" borderId="5" xfId="0" applyFont="1" applyFill="1" applyBorder="1" applyAlignment="1" applyProtection="1">
      <alignment horizontal="left" vertical="center" indent="1"/>
      <protection locked="0"/>
    </xf>
    <xf numFmtId="0" fontId="18" fillId="6" borderId="5" xfId="0" applyFont="1" applyFill="1" applyBorder="1" applyAlignment="1" applyProtection="1">
      <alignment vertical="center"/>
      <protection locked="0"/>
    </xf>
    <xf numFmtId="0" fontId="25" fillId="2" borderId="5" xfId="0" applyFont="1" applyFill="1" applyBorder="1" applyAlignment="1">
      <alignment horizontal="left" vertical="center"/>
    </xf>
    <xf numFmtId="0" fontId="18" fillId="2" borderId="5" xfId="0" applyFont="1" applyFill="1" applyBorder="1" applyAlignment="1">
      <alignment horizontal="left" vertical="center"/>
    </xf>
    <xf numFmtId="0" fontId="25" fillId="2" borderId="14" xfId="0" applyFont="1" applyFill="1" applyBorder="1" applyAlignment="1">
      <alignment horizontal="center" vertical="center"/>
    </xf>
    <xf numFmtId="0" fontId="25" fillId="2" borderId="14" xfId="0" applyFont="1" applyFill="1" applyBorder="1" applyAlignment="1">
      <alignment horizontal="center" vertical="center" wrapText="1"/>
    </xf>
    <xf numFmtId="0" fontId="18" fillId="6" borderId="5" xfId="0" applyFont="1" applyFill="1" applyBorder="1" applyAlignment="1" applyProtection="1">
      <alignment horizontal="left" vertical="center" wrapText="1" indent="1"/>
      <protection locked="0"/>
    </xf>
    <xf numFmtId="0" fontId="23" fillId="4" borderId="2" xfId="0" applyFont="1" applyFill="1" applyBorder="1" applyAlignment="1" applyProtection="1">
      <alignment horizontal="left" vertical="center"/>
      <protection locked="0"/>
    </xf>
    <xf numFmtId="0" fontId="23" fillId="4" borderId="3" xfId="0" applyFont="1" applyFill="1" applyBorder="1" applyAlignment="1" applyProtection="1">
      <alignment horizontal="left" vertical="center"/>
      <protection locked="0"/>
    </xf>
    <xf numFmtId="0" fontId="23" fillId="4" borderId="4" xfId="0" applyFont="1" applyFill="1" applyBorder="1" applyAlignment="1" applyProtection="1">
      <alignment horizontal="left" vertical="center"/>
      <protection locked="0"/>
    </xf>
    <xf numFmtId="0" fontId="29" fillId="2" borderId="14" xfId="0" applyFont="1" applyFill="1" applyBorder="1" applyAlignment="1">
      <alignment horizontal="center" vertical="center" wrapText="1"/>
    </xf>
    <xf numFmtId="0" fontId="23" fillId="2" borderId="2" xfId="0" applyFont="1" applyFill="1" applyBorder="1" applyAlignment="1">
      <alignment horizontal="left" vertical="center"/>
    </xf>
    <xf numFmtId="0" fontId="23" fillId="2" borderId="3" xfId="0" applyFont="1" applyFill="1" applyBorder="1" applyAlignment="1">
      <alignment horizontal="left" vertical="center"/>
    </xf>
    <xf numFmtId="0" fontId="23" fillId="2" borderId="4" xfId="0" applyFont="1" applyFill="1" applyBorder="1" applyAlignment="1">
      <alignment horizontal="left" vertical="center"/>
    </xf>
    <xf numFmtId="0" fontId="18" fillId="6" borderId="2" xfId="0" applyFont="1" applyFill="1" applyBorder="1" applyAlignment="1" applyProtection="1">
      <alignment horizontal="center" vertical="center" wrapText="1"/>
      <protection locked="0"/>
    </xf>
    <xf numFmtId="0" fontId="18" fillId="6" borderId="3" xfId="0" applyFont="1" applyFill="1" applyBorder="1" applyAlignment="1" applyProtection="1">
      <alignment horizontal="center" vertical="center" wrapText="1"/>
      <protection locked="0"/>
    </xf>
    <xf numFmtId="0" fontId="18" fillId="6" borderId="4" xfId="0" applyFont="1" applyFill="1" applyBorder="1" applyAlignment="1" applyProtection="1">
      <alignment horizontal="center" vertical="center" wrapText="1"/>
      <protection locked="0"/>
    </xf>
    <xf numFmtId="0" fontId="29" fillId="2" borderId="0" xfId="0" applyFont="1" applyFill="1" applyAlignment="1">
      <alignment horizontal="left" vertical="center" wrapText="1"/>
    </xf>
    <xf numFmtId="0" fontId="18" fillId="6" borderId="11" xfId="0" applyFont="1" applyFill="1" applyBorder="1" applyAlignment="1" applyProtection="1">
      <alignment horizontal="center" vertical="center" wrapText="1"/>
      <protection locked="0"/>
    </xf>
    <xf numFmtId="0" fontId="18" fillId="6" borderId="12" xfId="0" applyFont="1" applyFill="1" applyBorder="1" applyAlignment="1" applyProtection="1">
      <alignment horizontal="center" vertical="center" wrapText="1"/>
      <protection locked="0"/>
    </xf>
    <xf numFmtId="0" fontId="18" fillId="6" borderId="13" xfId="0" applyFont="1" applyFill="1" applyBorder="1" applyAlignment="1" applyProtection="1">
      <alignment horizontal="center" vertical="center" wrapText="1"/>
      <protection locked="0"/>
    </xf>
    <xf numFmtId="0" fontId="29" fillId="2" borderId="21" xfId="0"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9" fillId="2" borderId="23" xfId="0" applyFont="1" applyFill="1" applyBorder="1" applyAlignment="1">
      <alignment horizontal="center" vertical="center" wrapText="1"/>
    </xf>
    <xf numFmtId="0" fontId="23" fillId="2" borderId="14" xfId="0" applyFont="1" applyFill="1" applyBorder="1" applyAlignment="1">
      <alignment horizontal="center" vertical="center"/>
    </xf>
    <xf numFmtId="0" fontId="25" fillId="2" borderId="2" xfId="0" applyFont="1" applyFill="1" applyBorder="1" applyAlignment="1">
      <alignment horizontal="left" vertical="center"/>
    </xf>
    <xf numFmtId="0" fontId="25" fillId="2" borderId="3" xfId="0" applyFont="1" applyFill="1" applyBorder="1" applyAlignment="1">
      <alignment horizontal="left" vertical="center"/>
    </xf>
    <xf numFmtId="0" fontId="25" fillId="2" borderId="4" xfId="0" applyFont="1" applyFill="1" applyBorder="1" applyAlignment="1">
      <alignment horizontal="left"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0" fontId="23" fillId="2" borderId="4" xfId="0" applyFont="1" applyFill="1" applyBorder="1" applyAlignment="1">
      <alignment horizontal="center" vertical="center"/>
    </xf>
    <xf numFmtId="0" fontId="23" fillId="6" borderId="2" xfId="0" applyFont="1" applyFill="1" applyBorder="1" applyAlignment="1" applyProtection="1">
      <alignment horizontal="left" vertical="center" wrapText="1"/>
      <protection locked="0"/>
    </xf>
    <xf numFmtId="0" fontId="23" fillId="6" borderId="3" xfId="0" applyFont="1" applyFill="1" applyBorder="1" applyAlignment="1" applyProtection="1">
      <alignment horizontal="left" vertical="center" wrapText="1"/>
      <protection locked="0"/>
    </xf>
    <xf numFmtId="0" fontId="23" fillId="6" borderId="4" xfId="0" applyFont="1" applyFill="1" applyBorder="1" applyAlignment="1" applyProtection="1">
      <alignment horizontal="left" vertical="center" wrapText="1"/>
      <protection locked="0"/>
    </xf>
    <xf numFmtId="0" fontId="23" fillId="6" borderId="2" xfId="0" applyFont="1" applyFill="1" applyBorder="1" applyAlignment="1" applyProtection="1">
      <alignment horizontal="center" vertical="center" wrapText="1"/>
      <protection locked="0"/>
    </xf>
    <xf numFmtId="0" fontId="23" fillId="6" borderId="3" xfId="0" applyFont="1" applyFill="1" applyBorder="1" applyAlignment="1" applyProtection="1">
      <alignment horizontal="center" vertical="center" wrapText="1"/>
      <protection locked="0"/>
    </xf>
    <xf numFmtId="0" fontId="23" fillId="6" borderId="4" xfId="0" applyFont="1" applyFill="1" applyBorder="1" applyAlignment="1" applyProtection="1">
      <alignment horizontal="center" vertical="center" wrapText="1"/>
      <protection locked="0"/>
    </xf>
    <xf numFmtId="0" fontId="25" fillId="2" borderId="2" xfId="0" applyFont="1" applyFill="1" applyBorder="1" applyAlignment="1">
      <alignment horizontal="left" vertical="center" wrapText="1"/>
    </xf>
    <xf numFmtId="0" fontId="25" fillId="2" borderId="3" xfId="0" applyFont="1" applyFill="1" applyBorder="1" applyAlignment="1">
      <alignment horizontal="left" vertical="center" wrapText="1"/>
    </xf>
    <xf numFmtId="0" fontId="25" fillId="2" borderId="4" xfId="0" applyFont="1" applyFill="1" applyBorder="1" applyAlignment="1">
      <alignment horizontal="left" vertical="center" wrapText="1"/>
    </xf>
    <xf numFmtId="0" fontId="23" fillId="2" borderId="2" xfId="0" applyFont="1" applyFill="1" applyBorder="1" applyAlignment="1">
      <alignment horizontal="center" vertical="center" wrapText="1"/>
    </xf>
    <xf numFmtId="0" fontId="23" fillId="2" borderId="3" xfId="0" applyFont="1" applyFill="1" applyBorder="1" applyAlignment="1">
      <alignment horizontal="center" vertical="center" wrapText="1"/>
    </xf>
    <xf numFmtId="0" fontId="23" fillId="2" borderId="4" xfId="0" applyFont="1" applyFill="1" applyBorder="1" applyAlignment="1">
      <alignment horizontal="center" vertical="center" wrapText="1"/>
    </xf>
    <xf numFmtId="0" fontId="18" fillId="2" borderId="8"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18" fillId="2" borderId="9"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0" xfId="0" applyFont="1" applyFill="1" applyAlignment="1">
      <alignment horizontal="center" vertical="center" wrapText="1"/>
    </xf>
    <xf numFmtId="0" fontId="18" fillId="2" borderId="10" xfId="0" applyFont="1" applyFill="1" applyBorder="1" applyAlignment="1">
      <alignment horizontal="center" vertical="center" wrapText="1"/>
    </xf>
    <xf numFmtId="0" fontId="18" fillId="2" borderId="11"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18" fillId="2" borderId="13" xfId="0" applyFont="1" applyFill="1" applyBorder="1" applyAlignment="1">
      <alignment horizontal="center" vertical="center" wrapText="1"/>
    </xf>
    <xf numFmtId="0" fontId="18" fillId="2" borderId="5" xfId="0" applyFont="1" applyFill="1" applyBorder="1" applyAlignment="1">
      <alignment horizontal="left" vertical="center" wrapText="1"/>
    </xf>
    <xf numFmtId="0" fontId="23" fillId="2" borderId="2" xfId="0" applyFont="1" applyFill="1" applyBorder="1" applyAlignment="1">
      <alignment horizontal="left" vertical="center" wrapText="1" indent="1"/>
    </xf>
    <xf numFmtId="0" fontId="23" fillId="2" borderId="3" xfId="0" applyFont="1" applyFill="1" applyBorder="1" applyAlignment="1">
      <alignment horizontal="left" vertical="center" wrapText="1" indent="1"/>
    </xf>
    <xf numFmtId="0" fontId="23" fillId="2" borderId="4" xfId="0" applyFont="1" applyFill="1" applyBorder="1" applyAlignment="1">
      <alignment horizontal="left" vertical="center" wrapText="1" indent="1"/>
    </xf>
    <xf numFmtId="0" fontId="23" fillId="2" borderId="2" xfId="0" applyFont="1" applyFill="1" applyBorder="1" applyAlignment="1">
      <alignment horizontal="left" vertical="center" wrapText="1"/>
    </xf>
    <xf numFmtId="0" fontId="23" fillId="2" borderId="3" xfId="0" applyFont="1" applyFill="1" applyBorder="1" applyAlignment="1">
      <alignment horizontal="left" vertical="center" wrapText="1"/>
    </xf>
    <xf numFmtId="0" fontId="23" fillId="2" borderId="4" xfId="0" applyFont="1" applyFill="1" applyBorder="1" applyAlignment="1">
      <alignment horizontal="left" vertical="center" wrapText="1"/>
    </xf>
    <xf numFmtId="0" fontId="23" fillId="5" borderId="2" xfId="0" applyFont="1" applyFill="1" applyBorder="1" applyAlignment="1">
      <alignment horizontal="left" vertical="center" wrapText="1"/>
    </xf>
    <xf numFmtId="0" fontId="23" fillId="5" borderId="3" xfId="0" applyFont="1" applyFill="1" applyBorder="1" applyAlignment="1">
      <alignment horizontal="left" vertical="center" wrapText="1"/>
    </xf>
    <xf numFmtId="0" fontId="23" fillId="5" borderId="4" xfId="0" applyFont="1" applyFill="1" applyBorder="1" applyAlignment="1">
      <alignment horizontal="left" vertical="center" wrapText="1"/>
    </xf>
    <xf numFmtId="0" fontId="18" fillId="5" borderId="5" xfId="0" applyFont="1" applyFill="1" applyBorder="1" applyAlignment="1">
      <alignment horizontal="center" vertical="center"/>
    </xf>
    <xf numFmtId="0" fontId="18" fillId="2" borderId="5" xfId="0" applyFont="1" applyFill="1" applyBorder="1" applyAlignment="1">
      <alignment horizontal="center" vertical="center" wrapText="1"/>
    </xf>
    <xf numFmtId="0" fontId="23" fillId="2" borderId="5" xfId="0" applyFont="1" applyFill="1" applyBorder="1" applyAlignment="1">
      <alignment horizontal="left" vertical="center" wrapText="1" indent="1"/>
    </xf>
    <xf numFmtId="0" fontId="25" fillId="5" borderId="5" xfId="0" applyFont="1" applyFill="1" applyBorder="1" applyAlignment="1">
      <alignment horizontal="left" vertical="center" wrapText="1"/>
    </xf>
    <xf numFmtId="0" fontId="18" fillId="2" borderId="5" xfId="0" applyFont="1" applyFill="1" applyBorder="1" applyAlignment="1">
      <alignment horizontal="center" vertical="center"/>
    </xf>
    <xf numFmtId="0" fontId="18" fillId="5" borderId="5" xfId="0" applyFont="1" applyFill="1" applyBorder="1" applyAlignment="1">
      <alignment horizontal="left" vertical="center"/>
    </xf>
    <xf numFmtId="0" fontId="23" fillId="6" borderId="8" xfId="0" applyFont="1" applyFill="1" applyBorder="1" applyAlignment="1" applyProtection="1">
      <alignment horizontal="left" vertical="top" wrapText="1" indent="1"/>
      <protection locked="0"/>
    </xf>
    <xf numFmtId="0" fontId="23" fillId="6" borderId="6" xfId="0" applyFont="1" applyFill="1" applyBorder="1" applyAlignment="1" applyProtection="1">
      <alignment horizontal="left" vertical="top" wrapText="1" indent="1"/>
      <protection locked="0"/>
    </xf>
    <xf numFmtId="0" fontId="23" fillId="6" borderId="9" xfId="0" applyFont="1" applyFill="1" applyBorder="1" applyAlignment="1" applyProtection="1">
      <alignment horizontal="left" vertical="top" wrapText="1" indent="1"/>
      <protection locked="0"/>
    </xf>
    <xf numFmtId="0" fontId="23" fillId="6" borderId="1" xfId="0" applyFont="1" applyFill="1" applyBorder="1" applyAlignment="1" applyProtection="1">
      <alignment horizontal="left" vertical="top" wrapText="1" indent="1"/>
      <protection locked="0"/>
    </xf>
    <xf numFmtId="0" fontId="23" fillId="6" borderId="0" xfId="0" applyFont="1" applyFill="1" applyAlignment="1" applyProtection="1">
      <alignment horizontal="left" vertical="top" wrapText="1" indent="1"/>
      <protection locked="0"/>
    </xf>
    <xf numFmtId="0" fontId="23" fillId="6" borderId="10" xfId="0" applyFont="1" applyFill="1" applyBorder="1" applyAlignment="1" applyProtection="1">
      <alignment horizontal="left" vertical="top" wrapText="1" indent="1"/>
      <protection locked="0"/>
    </xf>
    <xf numFmtId="0" fontId="23" fillId="6" borderId="11" xfId="0" applyFont="1" applyFill="1" applyBorder="1" applyAlignment="1" applyProtection="1">
      <alignment horizontal="left" vertical="top" wrapText="1" indent="1"/>
      <protection locked="0"/>
    </xf>
    <xf numFmtId="0" fontId="23" fillId="6" borderId="12" xfId="0" applyFont="1" applyFill="1" applyBorder="1" applyAlignment="1" applyProtection="1">
      <alignment horizontal="left" vertical="top" wrapText="1" indent="1"/>
      <protection locked="0"/>
    </xf>
    <xf numFmtId="0" fontId="23" fillId="6" borderId="13" xfId="0" applyFont="1" applyFill="1" applyBorder="1" applyAlignment="1" applyProtection="1">
      <alignment horizontal="left" vertical="top" wrapText="1" indent="1"/>
      <protection locked="0"/>
    </xf>
    <xf numFmtId="0" fontId="23" fillId="2" borderId="11" xfId="0" applyFont="1" applyFill="1" applyBorder="1" applyAlignment="1">
      <alignment horizontal="center" vertical="center"/>
    </xf>
    <xf numFmtId="0" fontId="23" fillId="2" borderId="12" xfId="0" applyFont="1" applyFill="1" applyBorder="1" applyAlignment="1">
      <alignment horizontal="center" vertical="center"/>
    </xf>
    <xf numFmtId="0" fontId="23" fillId="2" borderId="13" xfId="0" applyFont="1" applyFill="1" applyBorder="1" applyAlignment="1">
      <alignment horizontal="center" vertical="center"/>
    </xf>
    <xf numFmtId="0" fontId="14" fillId="2" borderId="0" xfId="0" applyFont="1" applyFill="1" applyAlignment="1">
      <alignment horizontal="left" indent="1"/>
    </xf>
    <xf numFmtId="0" fontId="23" fillId="2" borderId="1" xfId="0" applyFont="1" applyFill="1" applyBorder="1"/>
    <xf numFmtId="0" fontId="23" fillId="2" borderId="0" xfId="0" applyFont="1" applyFill="1"/>
    <xf numFmtId="0" fontId="23" fillId="2" borderId="10" xfId="0" applyFont="1" applyFill="1" applyBorder="1"/>
    <xf numFmtId="0" fontId="18" fillId="2" borderId="0" xfId="0" applyFont="1" applyFill="1"/>
    <xf numFmtId="0" fontId="14" fillId="2" borderId="0" xfId="0" applyFont="1" applyFill="1" applyAlignment="1">
      <alignment horizontal="left" indent="6"/>
    </xf>
    <xf numFmtId="0" fontId="14" fillId="2" borderId="10" xfId="0" applyFont="1" applyFill="1" applyBorder="1" applyAlignment="1">
      <alignment horizontal="left" indent="6"/>
    </xf>
    <xf numFmtId="0" fontId="8" fillId="2" borderId="5" xfId="0" applyFont="1" applyFill="1" applyBorder="1" applyAlignment="1">
      <alignment horizontal="left" vertical="center" wrapText="1" indent="1"/>
    </xf>
    <xf numFmtId="0" fontId="52" fillId="3" borderId="0" xfId="0" applyFont="1" applyFill="1" applyAlignment="1">
      <alignment horizontal="left" vertical="center"/>
    </xf>
    <xf numFmtId="0" fontId="2" fillId="2" borderId="14" xfId="0" applyFont="1" applyFill="1" applyBorder="1" applyAlignment="1">
      <alignment horizontal="center" vertical="center"/>
    </xf>
  </cellXfs>
  <cellStyles count="7">
    <cellStyle name="Hipervínculo" xfId="3" builtinId="8"/>
    <cellStyle name="Millares" xfId="4" builtinId="3"/>
    <cellStyle name="Moneda" xfId="6" builtinId="4"/>
    <cellStyle name="Normal" xfId="0" builtinId="0"/>
    <cellStyle name="Normal 2" xfId="1" xr:uid="{00000000-0005-0000-0000-000004000000}"/>
    <cellStyle name="Normal 2 2 2" xfId="2" xr:uid="{00000000-0005-0000-0000-000005000000}"/>
    <cellStyle name="Porcentaje" xfId="5" builtinId="5"/>
  </cellStyles>
  <dxfs count="313">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bgColor theme="0"/>
        </patternFill>
      </fill>
    </dxf>
    <dxf>
      <font>
        <color theme="0"/>
      </font>
    </dxf>
    <dxf>
      <font>
        <color theme="0"/>
      </font>
    </dxf>
    <dxf>
      <font>
        <color theme="0"/>
      </font>
    </dxf>
    <dxf>
      <font>
        <color theme="0"/>
      </font>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1"/>
      </font>
      <fill>
        <patternFill>
          <bgColor theme="9" tint="0.79998168889431442"/>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FF000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fill>
        <patternFill>
          <bgColor theme="9" tint="0.79998168889431442"/>
        </patternFill>
      </fill>
    </dxf>
    <dxf>
      <font>
        <color theme="0"/>
      </font>
    </dxf>
    <dxf>
      <font>
        <color rgb="FF9C0006"/>
      </font>
      <fill>
        <patternFill>
          <bgColor rgb="FFFFC7CE"/>
        </patternFill>
      </fill>
    </dxf>
    <dxf>
      <font>
        <color rgb="FF9C0006"/>
      </font>
      <fill>
        <patternFill>
          <bgColor rgb="FFFFC7CE"/>
        </patternFill>
      </fill>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41009928106813"/>
          <c:y val="0.14751111111111109"/>
          <c:w val="0.74189535547187024"/>
          <c:h val="0.71086674760358703"/>
        </c:manualLayout>
      </c:layout>
      <c:barChart>
        <c:barDir val="bar"/>
        <c:grouping val="stacked"/>
        <c:varyColors val="0"/>
        <c:ser>
          <c:idx val="0"/>
          <c:order val="0"/>
          <c:spPr>
            <a:solidFill>
              <a:schemeClr val="accent1"/>
            </a:solidFill>
            <a:ln>
              <a:noFill/>
            </a:ln>
            <a:effectLst/>
          </c:spPr>
          <c:invertIfNegative val="0"/>
          <c:cat>
            <c:strRef>
              <c:f>Horizonte!$C$31:$C$35</c:f>
              <c:strCache>
                <c:ptCount val="5"/>
                <c:pt idx="0">
                  <c:v>Contratación de Expediente Técnico</c:v>
                </c:pt>
                <c:pt idx="1">
                  <c:v>Expediente técnico del PI de CIAI</c:v>
                </c:pt>
                <c:pt idx="2">
                  <c:v>Contratación de ejecución física</c:v>
                </c:pt>
                <c:pt idx="3">
                  <c:v>Ejecución física del PI del CIAI</c:v>
                </c:pt>
                <c:pt idx="4">
                  <c:v>Operación del CIAI</c:v>
                </c:pt>
              </c:strCache>
            </c:strRef>
          </c:cat>
          <c:val>
            <c:numRef>
              <c:f>Horizonte!$D$31:$D$35</c:f>
              <c:numCache>
                <c:formatCode>General</c:formatCode>
                <c:ptCount val="5"/>
              </c:numCache>
            </c:numRef>
          </c:val>
          <c:extLst>
            <c:ext xmlns:c16="http://schemas.microsoft.com/office/drawing/2014/chart" uri="{C3380CC4-5D6E-409C-BE32-E72D297353CC}">
              <c16:uniqueId val="{00000000-02BA-9040-9BA5-64A18A4F93F7}"/>
            </c:ext>
          </c:extLst>
        </c:ser>
        <c:ser>
          <c:idx val="1"/>
          <c:order val="1"/>
          <c:spPr>
            <a:noFill/>
            <a:ln>
              <a:noFill/>
            </a:ln>
            <a:effectLst/>
          </c:spPr>
          <c:invertIfNegative val="0"/>
          <c:cat>
            <c:strRef>
              <c:f>Horizonte!$C$31:$C$35</c:f>
              <c:strCache>
                <c:ptCount val="5"/>
                <c:pt idx="0">
                  <c:v>Contratación de Expediente Técnico</c:v>
                </c:pt>
                <c:pt idx="1">
                  <c:v>Expediente técnico del PI de CIAI</c:v>
                </c:pt>
                <c:pt idx="2">
                  <c:v>Contratación de ejecución física</c:v>
                </c:pt>
                <c:pt idx="3">
                  <c:v>Ejecución física del PI del CIAI</c:v>
                </c:pt>
                <c:pt idx="4">
                  <c:v>Operación del CIAI</c:v>
                </c:pt>
              </c:strCache>
            </c:strRef>
          </c:cat>
          <c:val>
            <c:numRef>
              <c:f>Horizonte!$E$31:$E$35</c:f>
              <c:numCache>
                <c:formatCode>m/d/yyyy</c:formatCode>
                <c:ptCount val="5"/>
                <c:pt idx="0">
                  <c:v>0</c:v>
                </c:pt>
                <c:pt idx="1">
                  <c:v>0</c:v>
                </c:pt>
                <c:pt idx="2">
                  <c:v>0</c:v>
                </c:pt>
                <c:pt idx="3">
                  <c:v>0</c:v>
                </c:pt>
                <c:pt idx="4">
                  <c:v>0</c:v>
                </c:pt>
              </c:numCache>
            </c:numRef>
          </c:val>
          <c:extLst>
            <c:ext xmlns:c16="http://schemas.microsoft.com/office/drawing/2014/chart" uri="{C3380CC4-5D6E-409C-BE32-E72D297353CC}">
              <c16:uniqueId val="{00000002-02BA-9040-9BA5-64A18A4F93F7}"/>
            </c:ext>
          </c:extLst>
        </c:ser>
        <c:ser>
          <c:idx val="2"/>
          <c:order val="2"/>
          <c:spPr>
            <a:solidFill>
              <a:schemeClr val="accent3"/>
            </a:solidFill>
            <a:ln>
              <a:noFill/>
            </a:ln>
            <a:effectLst/>
          </c:spPr>
          <c:invertIfNegative val="0"/>
          <c:cat>
            <c:strRef>
              <c:f>Horizonte!$C$31:$C$35</c:f>
              <c:strCache>
                <c:ptCount val="5"/>
                <c:pt idx="0">
                  <c:v>Contratación de Expediente Técnico</c:v>
                </c:pt>
                <c:pt idx="1">
                  <c:v>Expediente técnico del PI de CIAI</c:v>
                </c:pt>
                <c:pt idx="2">
                  <c:v>Contratación de ejecución física</c:v>
                </c:pt>
                <c:pt idx="3">
                  <c:v>Ejecución física del PI del CIAI</c:v>
                </c:pt>
                <c:pt idx="4">
                  <c:v>Operación del CIAI</c:v>
                </c:pt>
              </c:strCache>
            </c:strRef>
          </c:cat>
          <c:val>
            <c:numRef>
              <c:f>Horizonte!$G$31:$G$35</c:f>
              <c:numCache>
                <c:formatCode>_(* #,##0.00_);_(* \(#,##0.00\);_(* "-"??_);_(@_)</c:formatCode>
                <c:ptCount val="5"/>
                <c:pt idx="0">
                  <c:v>0</c:v>
                </c:pt>
                <c:pt idx="1">
                  <c:v>0</c:v>
                </c:pt>
                <c:pt idx="2">
                  <c:v>0</c:v>
                </c:pt>
                <c:pt idx="3">
                  <c:v>0</c:v>
                </c:pt>
                <c:pt idx="4">
                  <c:v>3650</c:v>
                </c:pt>
              </c:numCache>
            </c:numRef>
          </c:val>
          <c:extLst>
            <c:ext xmlns:c16="http://schemas.microsoft.com/office/drawing/2014/chart" uri="{C3380CC4-5D6E-409C-BE32-E72D297353CC}">
              <c16:uniqueId val="{00000003-02BA-9040-9BA5-64A18A4F93F7}"/>
            </c:ext>
          </c:extLst>
        </c:ser>
        <c:dLbls>
          <c:showLegendKey val="0"/>
          <c:showVal val="0"/>
          <c:showCatName val="0"/>
          <c:showSerName val="0"/>
          <c:showPercent val="0"/>
          <c:showBubbleSize val="0"/>
        </c:dLbls>
        <c:gapWidth val="182"/>
        <c:overlap val="100"/>
        <c:axId val="537605152"/>
        <c:axId val="537609464"/>
      </c:barChart>
      <c:catAx>
        <c:axId val="53760515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537609464"/>
        <c:crosses val="autoZero"/>
        <c:auto val="1"/>
        <c:lblAlgn val="ctr"/>
        <c:lblOffset val="100"/>
        <c:noMultiLvlLbl val="0"/>
      </c:catAx>
      <c:valAx>
        <c:axId val="537609464"/>
        <c:scaling>
          <c:orientation val="minMax"/>
          <c:min val="45152"/>
        </c:scaling>
        <c:delete val="0"/>
        <c:axPos val="t"/>
        <c:majorGridlines>
          <c:spPr>
            <a:ln w="9525" cap="flat" cmpd="sng" algn="ctr">
              <a:solidFill>
                <a:schemeClr val="tx1">
                  <a:lumMod val="15000"/>
                  <a:lumOff val="85000"/>
                </a:schemeClr>
              </a:solidFill>
              <a:round/>
            </a:ln>
            <a:effectLst/>
          </c:spPr>
        </c:majorGridlines>
        <c:numFmt formatCode="mmm/yy"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537605152"/>
        <c:crosses val="autoZero"/>
        <c:crossBetween val="between"/>
        <c:majorUnit val="365"/>
        <c:minorUnit val="9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730251</xdr:colOff>
      <xdr:row>26</xdr:row>
      <xdr:rowOff>148165</xdr:rowOff>
    </xdr:from>
    <xdr:to>
      <xdr:col>12</xdr:col>
      <xdr:colOff>459362</xdr:colOff>
      <xdr:row>44</xdr:row>
      <xdr:rowOff>116416</xdr:rowOff>
    </xdr:to>
    <xdr:graphicFrame macro="">
      <xdr:nvGraphicFramePr>
        <xdr:cNvPr id="4" name="Gráfico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0.01156</cdr:x>
      <cdr:y>0.14006</cdr:y>
    </cdr:from>
    <cdr:to>
      <cdr:x>0.98527</cdr:x>
      <cdr:y>0.67787</cdr:y>
    </cdr:to>
    <cdr:sp macro="" textlink="">
      <cdr:nvSpPr>
        <cdr:cNvPr id="3" name="Rectángulo 2">
          <a:extLst xmlns:a="http://schemas.openxmlformats.org/drawingml/2006/main">
            <a:ext uri="{FF2B5EF4-FFF2-40B4-BE49-F238E27FC236}">
              <a16:creationId xmlns:a16="http://schemas.microsoft.com/office/drawing/2014/main" id="{9E55DA12-D135-AD49-BDC7-1C586AEC3CEA}"/>
            </a:ext>
          </a:extLst>
        </cdr:cNvPr>
        <cdr:cNvSpPr/>
      </cdr:nvSpPr>
      <cdr:spPr>
        <a:xfrm xmlns:a="http://schemas.openxmlformats.org/drawingml/2006/main">
          <a:off x="127000" y="529169"/>
          <a:ext cx="10696682" cy="2032000"/>
        </a:xfrm>
        <a:prstGeom xmlns:a="http://schemas.openxmlformats.org/drawingml/2006/main" prst="rect">
          <a:avLst/>
        </a:prstGeom>
        <a:solidFill xmlns:a="http://schemas.openxmlformats.org/drawingml/2006/main">
          <a:schemeClr val="bg1">
            <a:lumMod val="85000"/>
            <a:alpha val="10000"/>
          </a:schemeClr>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s-PE"/>
        </a:p>
      </cdr:txBody>
    </cdr:sp>
  </cdr:relSizeAnchor>
  <cdr:relSizeAnchor xmlns:cdr="http://schemas.openxmlformats.org/drawingml/2006/chartDrawing">
    <cdr:from>
      <cdr:x>0.01282</cdr:x>
      <cdr:y>0.70308</cdr:y>
    </cdr:from>
    <cdr:to>
      <cdr:x>0.98262</cdr:x>
      <cdr:y>0.86524</cdr:y>
    </cdr:to>
    <cdr:sp macro="" textlink="">
      <cdr:nvSpPr>
        <cdr:cNvPr id="4" name="Rectángulo 3">
          <a:extLst xmlns:a="http://schemas.openxmlformats.org/drawingml/2006/main">
            <a:ext uri="{FF2B5EF4-FFF2-40B4-BE49-F238E27FC236}">
              <a16:creationId xmlns:a16="http://schemas.microsoft.com/office/drawing/2014/main" id="{9E55DA12-D135-AD49-BDC7-1C586AEC3CEA}"/>
            </a:ext>
          </a:extLst>
        </cdr:cNvPr>
        <cdr:cNvSpPr/>
      </cdr:nvSpPr>
      <cdr:spPr>
        <a:xfrm xmlns:a="http://schemas.openxmlformats.org/drawingml/2006/main">
          <a:off x="140795" y="2656418"/>
          <a:ext cx="10653737" cy="612670"/>
        </a:xfrm>
        <a:prstGeom xmlns:a="http://schemas.openxmlformats.org/drawingml/2006/main" prst="rect">
          <a:avLst/>
        </a:prstGeom>
        <a:solidFill xmlns:a="http://schemas.openxmlformats.org/drawingml/2006/main">
          <a:schemeClr val="bg1">
            <a:lumMod val="50000"/>
            <a:alpha val="10000"/>
          </a:schemeClr>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s-PE"/>
        </a:p>
      </cdr:txBody>
    </cdr:sp>
  </cdr:relSizeAnchor>
  <cdr:relSizeAnchor xmlns:cdr="http://schemas.openxmlformats.org/drawingml/2006/chartDrawing">
    <cdr:from>
      <cdr:x>0.01289</cdr:x>
      <cdr:y>0.13464</cdr:y>
    </cdr:from>
    <cdr:to>
      <cdr:x>0.18831</cdr:x>
      <cdr:y>0.2258</cdr:y>
    </cdr:to>
    <cdr:sp macro="" textlink="">
      <cdr:nvSpPr>
        <cdr:cNvPr id="6" name="CuadroTexto 1">
          <a:extLst xmlns:a="http://schemas.openxmlformats.org/drawingml/2006/main">
            <a:ext uri="{FF2B5EF4-FFF2-40B4-BE49-F238E27FC236}">
              <a16:creationId xmlns:a16="http://schemas.microsoft.com/office/drawing/2014/main" id="{E876039F-01C7-6E46-80E0-634F1E67141A}"/>
            </a:ext>
          </a:extLst>
        </cdr:cNvPr>
        <cdr:cNvSpPr txBox="1"/>
      </cdr:nvSpPr>
      <cdr:spPr>
        <a:xfrm xmlns:a="http://schemas.openxmlformats.org/drawingml/2006/main">
          <a:off x="114300" y="384742"/>
          <a:ext cx="1555750" cy="26049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ES_tradnl" sz="1100" b="1"/>
            <a:t>Fase de Ejecución</a:t>
          </a:r>
        </a:p>
      </cdr:txBody>
    </cdr:sp>
  </cdr:relSizeAnchor>
  <cdr:relSizeAnchor xmlns:cdr="http://schemas.openxmlformats.org/drawingml/2006/chartDrawing">
    <cdr:from>
      <cdr:x>0.01766</cdr:x>
      <cdr:y>0.69634</cdr:y>
    </cdr:from>
    <cdr:to>
      <cdr:x>0.19308</cdr:x>
      <cdr:y>0.7875</cdr:y>
    </cdr:to>
    <cdr:sp macro="" textlink="">
      <cdr:nvSpPr>
        <cdr:cNvPr id="7" name="CuadroTexto 1">
          <a:extLst xmlns:a="http://schemas.openxmlformats.org/drawingml/2006/main">
            <a:ext uri="{FF2B5EF4-FFF2-40B4-BE49-F238E27FC236}">
              <a16:creationId xmlns:a16="http://schemas.microsoft.com/office/drawing/2014/main" id="{E876039F-01C7-6E46-80E0-634F1E67141A}"/>
            </a:ext>
          </a:extLst>
        </cdr:cNvPr>
        <cdr:cNvSpPr txBox="1"/>
      </cdr:nvSpPr>
      <cdr:spPr>
        <a:xfrm xmlns:a="http://schemas.openxmlformats.org/drawingml/2006/main">
          <a:off x="156633" y="1989785"/>
          <a:ext cx="1555750" cy="26049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ES_tradnl" sz="1100" b="1"/>
            <a:t>Fase de Funcionamiento</a:t>
          </a:r>
        </a:p>
      </cdr:txBody>
    </cdr:sp>
  </cdr:relSizeAnchor>
</c:userShape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hyperlink" Target="https://sigrid.cenepred.gob.pe/sigridv3/" TargetMode="External"/><Relationship Id="rId7" Type="http://schemas.openxmlformats.org/officeDocument/2006/relationships/hyperlink" Target="https://www.cunamas.gob.pe/inicio/cobertura-de-servicios/" TargetMode="External"/><Relationship Id="rId2" Type="http://schemas.openxmlformats.org/officeDocument/2006/relationships/hyperlink" Target="https://censos2017.inei.gob.pe/redatam/" TargetMode="External"/><Relationship Id="rId1" Type="http://schemas.openxmlformats.org/officeDocument/2006/relationships/hyperlink" Target="https://www.senamhi.gob.pe/?&amp;p=estaciones" TargetMode="External"/><Relationship Id="rId6" Type="http://schemas.openxmlformats.org/officeDocument/2006/relationships/hyperlink" Target="https://www.cunamas.gob.pe/inicio/cobertura-de-servicios/" TargetMode="External"/><Relationship Id="rId5" Type="http://schemas.openxmlformats.org/officeDocument/2006/relationships/hyperlink" Target="https://estadist.inei.gob.pe/map" TargetMode="External"/><Relationship Id="rId4" Type="http://schemas.openxmlformats.org/officeDocument/2006/relationships/hyperlink" Target="https://earth.google.com/web/"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google.com/maps"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7">
    <tabColor rgb="FFFF0000"/>
  </sheetPr>
  <dimension ref="C2:AP77"/>
  <sheetViews>
    <sheetView zoomScale="110" zoomScaleNormal="110" workbookViewId="0">
      <selection activeCell="AE8" sqref="AE8"/>
    </sheetView>
  </sheetViews>
  <sheetFormatPr baseColWidth="10" defaultColWidth="2.33203125" defaultRowHeight="15"/>
  <cols>
    <col min="1" max="3" width="2.33203125" style="408"/>
    <col min="4" max="5" width="3.6640625" style="408" bestFit="1" customWidth="1"/>
    <col min="6" max="16" width="2.33203125" style="408"/>
    <col min="17" max="17" width="3" style="408" bestFit="1" customWidth="1"/>
    <col min="18" max="18" width="2.44140625" style="408" bestFit="1" customWidth="1"/>
    <col min="19" max="16384" width="2.33203125" style="408"/>
  </cols>
  <sheetData>
    <row r="2" spans="4:42">
      <c r="D2" s="408" t="s">
        <v>247</v>
      </c>
      <c r="E2" s="408" t="s">
        <v>246</v>
      </c>
      <c r="G2" s="408" t="s">
        <v>3930</v>
      </c>
      <c r="H2" s="408" t="s">
        <v>3977</v>
      </c>
      <c r="J2" s="408" t="s">
        <v>3990</v>
      </c>
      <c r="L2" s="408" t="s">
        <v>4011</v>
      </c>
      <c r="N2" s="408" t="s">
        <v>4018</v>
      </c>
      <c r="P2" s="408" t="s">
        <v>4039</v>
      </c>
      <c r="Q2" s="408" t="s">
        <v>4048</v>
      </c>
      <c r="S2" s="408" t="s">
        <v>4168</v>
      </c>
      <c r="U2" s="408" t="s">
        <v>4208</v>
      </c>
      <c r="W2" s="408" t="s">
        <v>4225</v>
      </c>
      <c r="Y2" s="408" t="s">
        <v>4247</v>
      </c>
      <c r="AA2" s="408" t="s">
        <v>4258</v>
      </c>
      <c r="AC2" s="408" t="s">
        <v>4334</v>
      </c>
      <c r="AE2" s="408" t="s">
        <v>4385</v>
      </c>
      <c r="AG2" s="408" t="s">
        <v>4382</v>
      </c>
      <c r="AI2" s="408" t="s">
        <v>4407</v>
      </c>
      <c r="AK2" s="408" t="s">
        <v>4411</v>
      </c>
      <c r="AM2" s="408" t="s">
        <v>4423</v>
      </c>
      <c r="AO2" s="408" t="s">
        <v>4422</v>
      </c>
    </row>
    <row r="3" spans="4:42">
      <c r="D3" s="409">
        <v>0.05</v>
      </c>
      <c r="E3" s="409">
        <v>0.9</v>
      </c>
      <c r="G3" s="408" t="s">
        <v>69</v>
      </c>
      <c r="H3" s="408" t="s">
        <v>3979</v>
      </c>
      <c r="J3" s="408" t="s">
        <v>3991</v>
      </c>
      <c r="L3" s="408" t="s">
        <v>4012</v>
      </c>
      <c r="N3" s="408" t="s">
        <v>4016</v>
      </c>
      <c r="P3" s="408" t="s">
        <v>4040</v>
      </c>
      <c r="Q3" s="408">
        <v>20</v>
      </c>
      <c r="R3" s="408">
        <v>1</v>
      </c>
      <c r="S3" s="408" t="s">
        <v>4164</v>
      </c>
      <c r="U3" s="273" t="s">
        <v>4370</v>
      </c>
      <c r="W3" s="273" t="s">
        <v>4226</v>
      </c>
      <c r="X3" s="273"/>
      <c r="Y3" s="273" t="s">
        <v>4248</v>
      </c>
      <c r="AA3" s="408" t="s">
        <v>78</v>
      </c>
      <c r="AC3" s="408" t="s">
        <v>4402</v>
      </c>
      <c r="AE3" s="408" t="s">
        <v>4508</v>
      </c>
      <c r="AG3" s="408" t="s">
        <v>4383</v>
      </c>
      <c r="AI3" s="408" t="s">
        <v>66</v>
      </c>
      <c r="AK3" s="408" t="s">
        <v>4031</v>
      </c>
      <c r="AM3" s="408" t="s">
        <v>205</v>
      </c>
      <c r="AO3" s="408" t="s">
        <v>216</v>
      </c>
    </row>
    <row r="4" spans="4:42">
      <c r="D4" s="409">
        <v>0.1</v>
      </c>
      <c r="E4" s="409">
        <v>0.7</v>
      </c>
      <c r="G4" s="408" t="s">
        <v>70</v>
      </c>
      <c r="H4" s="408" t="s">
        <v>4180</v>
      </c>
      <c r="J4" s="408" t="s">
        <v>3993</v>
      </c>
      <c r="L4" s="408" t="s">
        <v>4013</v>
      </c>
      <c r="N4" s="408" t="s">
        <v>4017</v>
      </c>
      <c r="P4" s="408" t="s">
        <v>4042</v>
      </c>
      <c r="Q4" s="408">
        <v>20</v>
      </c>
      <c r="R4" s="408">
        <v>2</v>
      </c>
      <c r="S4" s="408" t="s">
        <v>4165</v>
      </c>
      <c r="U4" s="273" t="s">
        <v>4207</v>
      </c>
      <c r="W4" s="408" t="s">
        <v>4227</v>
      </c>
      <c r="Y4" s="408" t="s">
        <v>4249</v>
      </c>
      <c r="AA4" s="408" t="s">
        <v>79</v>
      </c>
      <c r="AC4" s="408" t="s">
        <v>4403</v>
      </c>
      <c r="AE4" s="408" t="s">
        <v>4505</v>
      </c>
      <c r="AG4" s="408" t="s">
        <v>4388</v>
      </c>
      <c r="AI4" s="408" t="s">
        <v>137</v>
      </c>
      <c r="AK4" s="408" t="s">
        <v>4033</v>
      </c>
      <c r="AM4" s="408" t="s">
        <v>206</v>
      </c>
      <c r="AO4" s="408" t="s">
        <v>217</v>
      </c>
      <c r="AP4" s="408" t="s">
        <v>204</v>
      </c>
    </row>
    <row r="5" spans="4:42">
      <c r="D5" s="409">
        <v>0.2</v>
      </c>
      <c r="E5" s="409">
        <v>0.5</v>
      </c>
      <c r="H5" s="408" t="s">
        <v>4380</v>
      </c>
      <c r="J5" s="408" t="s">
        <v>3992</v>
      </c>
      <c r="L5" s="408" t="s">
        <v>4014</v>
      </c>
      <c r="P5" s="408" t="s">
        <v>4041</v>
      </c>
      <c r="Q5" s="408">
        <v>32</v>
      </c>
      <c r="R5" s="408">
        <v>3</v>
      </c>
      <c r="S5" s="408" t="s">
        <v>4166</v>
      </c>
      <c r="U5" s="273"/>
      <c r="AA5" s="408" t="s">
        <v>80</v>
      </c>
      <c r="AC5" s="408" t="s">
        <v>4404</v>
      </c>
      <c r="AE5" s="408" t="s">
        <v>4509</v>
      </c>
      <c r="AI5" s="408" t="s">
        <v>4462</v>
      </c>
      <c r="AK5" s="408" t="s">
        <v>4034</v>
      </c>
      <c r="AM5" s="408" t="s">
        <v>207</v>
      </c>
      <c r="AO5" s="408" t="s">
        <v>218</v>
      </c>
    </row>
    <row r="6" spans="4:42">
      <c r="D6" s="409">
        <v>0.4</v>
      </c>
      <c r="E6" s="409">
        <v>0.3</v>
      </c>
      <c r="H6" s="408" t="s">
        <v>4181</v>
      </c>
      <c r="L6" s="408" t="s">
        <v>4015</v>
      </c>
      <c r="P6" s="408" t="s">
        <v>4043</v>
      </c>
      <c r="Q6" s="408">
        <v>40</v>
      </c>
      <c r="R6" s="408">
        <v>4</v>
      </c>
      <c r="S6" s="408" t="s">
        <v>4167</v>
      </c>
      <c r="AC6" s="408" t="s">
        <v>4401</v>
      </c>
      <c r="AE6" s="408" t="s">
        <v>4507</v>
      </c>
      <c r="AI6" s="408" t="s">
        <v>4408</v>
      </c>
      <c r="AK6" s="408" t="s">
        <v>4030</v>
      </c>
      <c r="AM6" s="408" t="s">
        <v>208</v>
      </c>
      <c r="AO6" s="408" t="s">
        <v>219</v>
      </c>
    </row>
    <row r="7" spans="4:42">
      <c r="D7" s="409">
        <v>0.8</v>
      </c>
      <c r="E7" s="409">
        <v>0.1</v>
      </c>
      <c r="P7" s="408" t="s">
        <v>4044</v>
      </c>
      <c r="Q7" s="408">
        <v>52</v>
      </c>
      <c r="R7" s="408">
        <v>5</v>
      </c>
      <c r="AC7" s="408" t="s">
        <v>4335</v>
      </c>
      <c r="AE7" s="408" t="s">
        <v>4551</v>
      </c>
      <c r="AK7" s="408" t="s">
        <v>4029</v>
      </c>
      <c r="AM7" s="408" t="s">
        <v>209</v>
      </c>
      <c r="AO7" s="408" t="s">
        <v>220</v>
      </c>
    </row>
    <row r="8" spans="4:42">
      <c r="P8" s="408" t="s">
        <v>4045</v>
      </c>
      <c r="Q8" s="408">
        <v>60</v>
      </c>
      <c r="R8" s="408">
        <v>6</v>
      </c>
      <c r="AC8" s="408" t="s">
        <v>4405</v>
      </c>
      <c r="AE8" s="408" t="s">
        <v>4504</v>
      </c>
      <c r="AK8" s="408" t="s">
        <v>4032</v>
      </c>
    </row>
    <row r="9" spans="4:42">
      <c r="P9" s="408" t="s">
        <v>4046</v>
      </c>
      <c r="Q9" s="408">
        <v>72</v>
      </c>
      <c r="R9" s="408">
        <v>7</v>
      </c>
      <c r="AC9" s="408" t="s">
        <v>4535</v>
      </c>
      <c r="AK9" s="408" t="s">
        <v>4384</v>
      </c>
    </row>
    <row r="10" spans="4:42">
      <c r="P10" s="408" t="s">
        <v>4047</v>
      </c>
      <c r="Q10" s="408">
        <v>82</v>
      </c>
      <c r="R10" s="408">
        <v>8</v>
      </c>
    </row>
    <row r="16" spans="4:42">
      <c r="D16" s="408" t="s">
        <v>3938</v>
      </c>
      <c r="E16" s="408" t="s">
        <v>3942</v>
      </c>
      <c r="F16" s="408" t="s">
        <v>3943</v>
      </c>
      <c r="G16" s="408" t="s">
        <v>3944</v>
      </c>
      <c r="H16" s="408" t="s">
        <v>3953</v>
      </c>
      <c r="J16" s="408" t="s">
        <v>3962</v>
      </c>
      <c r="K16" s="408" t="s">
        <v>3963</v>
      </c>
      <c r="L16" s="408" t="s">
        <v>106</v>
      </c>
      <c r="M16" s="408" t="s">
        <v>108</v>
      </c>
      <c r="N16" s="408" t="s">
        <v>3974</v>
      </c>
      <c r="O16" s="408" t="s">
        <v>29</v>
      </c>
      <c r="P16" s="408" t="s">
        <v>3977</v>
      </c>
    </row>
    <row r="17" spans="3:16">
      <c r="C17" s="408" t="s">
        <v>3979</v>
      </c>
      <c r="D17" s="408" t="str">
        <f>+"Niños y niñas, entre 6 y 36 meses de edad, acceden a una inadecuada prestación del servicio de cuidado diurno en la localidad de "&amp;'Unidad Productora'!L20&amp;", distrito de "&amp;'Unidad Productora'!J20&amp;", provincia de "&amp;'Unidad Productora'!H20&amp;", departamento de "&amp;'Unidad Productora'!E20</f>
        <v xml:space="preserve">Niños y niñas, entre 6 y 36 meses de edad, acceden a una inadecuada prestación del servicio de cuidado diurno en la localidad de , distrito de , provincia de , departamento de </v>
      </c>
      <c r="E17" s="408" t="s">
        <v>3941</v>
      </c>
      <c r="F17" s="408" t="s">
        <v>3945</v>
      </c>
      <c r="G17" s="408" t="s">
        <v>3949</v>
      </c>
      <c r="H17" s="408" t="s">
        <v>3954</v>
      </c>
      <c r="I17" s="408" t="s">
        <v>3957</v>
      </c>
      <c r="J17" s="408" t="str">
        <f>+"Niños y niñas, entre 6 y 36 meses de edad, acceden a una adecuada prestación del servicio de cuidado diurno en la localidad de "&amp;'Unidad Productora'!L20&amp;", distrito de "&amp;'Unidad Productora'!J20&amp;", provincia de "&amp;'Unidad Productora'!H20&amp;", departamento de "&amp;'Unidad Productora'!E20</f>
        <v xml:space="preserve">Niños y niñas, entre 6 y 36 meses de edad, acceden a una adecuada prestación del servicio de cuidado diurno en la localidad de , distrito de , provincia de , departamento de </v>
      </c>
      <c r="K17" s="408" t="s">
        <v>3964</v>
      </c>
      <c r="L17" s="408" t="s">
        <v>3968</v>
      </c>
      <c r="M17" s="408" t="s">
        <v>4360</v>
      </c>
      <c r="N17" s="408" t="s">
        <v>3975</v>
      </c>
      <c r="O17" s="408" t="s">
        <v>4178</v>
      </c>
      <c r="P17" s="408" t="s">
        <v>3979</v>
      </c>
    </row>
    <row r="18" spans="3:16">
      <c r="C18" s="408" t="s">
        <v>4180</v>
      </c>
      <c r="D18" s="408" t="str">
        <f>+"Niños y niñas, entre 6 y 36 meses de edad, acceden a una inadecuada prestación del servicio de cuidado diurno en la localidad de "&amp;'Unidad Productora'!L20&amp;", distrito de "&amp;'Unidad Productora'!J20&amp;", provincia de "&amp;'Unidad Productora'!H20&amp;", departamento de "&amp;'Unidad Productora'!E20</f>
        <v xml:space="preserve">Niños y niñas, entre 6 y 36 meses de edad, acceden a una inadecuada prestación del servicio de cuidado diurno en la localidad de , distrito de , provincia de , departamento de </v>
      </c>
      <c r="E18" s="408" t="s">
        <v>3941</v>
      </c>
      <c r="F18" s="408" t="s">
        <v>3946</v>
      </c>
      <c r="G18" s="408" t="s">
        <v>3950</v>
      </c>
      <c r="H18" s="408" t="s">
        <v>4469</v>
      </c>
      <c r="I18" s="408" t="s">
        <v>3958</v>
      </c>
      <c r="J18" s="408" t="str">
        <f>+"Niños y niñas, entre 6 y 36 meses de edad, acceden a una adecuada prestación del servicio de cuidado diurno en la localidad de "&amp;'Unidad Productora'!L20&amp;", distrito de "&amp;'Unidad Productora'!J20&amp;", provincia de "&amp;'Unidad Productora'!H20&amp;", departamento de "&amp;'Unidad Productora'!E20</f>
        <v xml:space="preserve">Niños y niñas, entre 6 y 36 meses de edad, acceden a una adecuada prestación del servicio de cuidado diurno en la localidad de , distrito de , provincia de , departamento de </v>
      </c>
      <c r="K18" s="408" t="s">
        <v>3965</v>
      </c>
      <c r="L18" s="408" t="s">
        <v>4470</v>
      </c>
      <c r="M18" s="408" t="s">
        <v>4397</v>
      </c>
      <c r="N18" s="408" t="s">
        <v>3975</v>
      </c>
      <c r="O18" s="408" t="s">
        <v>4178</v>
      </c>
      <c r="P18" s="408" t="s">
        <v>4180</v>
      </c>
    </row>
    <row r="19" spans="3:16">
      <c r="C19" s="408" t="s">
        <v>4380</v>
      </c>
      <c r="D19" s="408" t="str">
        <f>+"Niños y niñas, entre 6 y 36 meses de edad, acceden a una inadecuada prestación del servicio de cuidado diurno en la localidad de "&amp;'Unidad Productora'!L20&amp;", distrito de "&amp;'Unidad Productora'!J20&amp;", provincia de "&amp;'Unidad Productora'!H20&amp;", departamento de "&amp;'Unidad Productora'!E20</f>
        <v xml:space="preserve">Niños y niñas, entre 6 y 36 meses de edad, acceden a una inadecuada prestación del servicio de cuidado diurno en la localidad de , distrito de , provincia de , departamento de </v>
      </c>
      <c r="E19" s="408" t="s">
        <v>3941</v>
      </c>
      <c r="F19" s="408" t="s">
        <v>3947</v>
      </c>
      <c r="G19" s="408" t="s">
        <v>3951</v>
      </c>
      <c r="H19" s="408" t="s">
        <v>3955</v>
      </c>
      <c r="I19" s="408" t="s">
        <v>3959</v>
      </c>
      <c r="J19" s="408" t="str">
        <f>+"Niños y niñas, entre 6 y 36 meses de edad, acceden a una adecuada prestación del servicio de cuidado diurno en la localidad de "&amp;'Unidad Productora'!L20&amp;", distrito de "&amp;'Unidad Productora'!J20&amp;", provincia de "&amp;'Unidad Productora'!H20&amp;", departamento de "&amp;'Unidad Productora'!E20</f>
        <v xml:space="preserve">Niños y niñas, entre 6 y 36 meses de edad, acceden a una adecuada prestación del servicio de cuidado diurno en la localidad de , distrito de , provincia de , departamento de </v>
      </c>
      <c r="K19" s="408" t="s">
        <v>3966</v>
      </c>
      <c r="L19" s="408" t="s">
        <v>3969</v>
      </c>
      <c r="M19" s="408" t="s">
        <v>4398</v>
      </c>
      <c r="N19" s="408" t="s">
        <v>3975</v>
      </c>
      <c r="O19" s="408" t="s">
        <v>4178</v>
      </c>
      <c r="P19" s="408" t="s">
        <v>4380</v>
      </c>
    </row>
    <row r="20" spans="3:16">
      <c r="C20" s="408" t="s">
        <v>4181</v>
      </c>
      <c r="D20" s="408" t="str">
        <f>+"Niños y niñas, entre 6 y 36 meses de edad, acceden a una inadecuada prestación del servicio de cuidado diurno en la localidad de "&amp;'Unidad Productora'!L20&amp;", distrito de "&amp;'Unidad Productora'!J20&amp;", provincia de "&amp;'Unidad Productora'!H20&amp;", departamento de "&amp;'Unidad Productora'!E20</f>
        <v xml:space="preserve">Niños y niñas, entre 6 y 36 meses de edad, acceden a una inadecuada prestación del servicio de cuidado diurno en la localidad de , distrito de , provincia de , departamento de </v>
      </c>
      <c r="E20" s="408" t="s">
        <v>3941</v>
      </c>
      <c r="F20" s="408" t="s">
        <v>3948</v>
      </c>
      <c r="G20" s="408" t="s">
        <v>3952</v>
      </c>
      <c r="H20" s="408" t="s">
        <v>3956</v>
      </c>
      <c r="I20" s="408" t="s">
        <v>3960</v>
      </c>
      <c r="J20" s="408" t="str">
        <f>+"Niños y niñas, entre 6 y 36 meses de edad, acceden a una adecuada prestación del servicio de cuidado diurno en la localidad de "&amp;'Unidad Productora'!L20&amp;", distrito de "&amp;'Unidad Productora'!J20&amp;", provincia de "&amp;'Unidad Productora'!H20&amp;", departamento de "&amp;'Unidad Productora'!E20</f>
        <v xml:space="preserve">Niños y niñas, entre 6 y 36 meses de edad, acceden a una adecuada prestación del servicio de cuidado diurno en la localidad de , distrito de , provincia de , departamento de </v>
      </c>
      <c r="K20" s="408" t="s">
        <v>3967</v>
      </c>
      <c r="L20" s="408" t="s">
        <v>4483</v>
      </c>
      <c r="M20" s="408" t="s">
        <v>4399</v>
      </c>
      <c r="N20" s="408" t="s">
        <v>3975</v>
      </c>
      <c r="O20" s="408" t="s">
        <v>4178</v>
      </c>
      <c r="P20" s="408" t="s">
        <v>4181</v>
      </c>
    </row>
    <row r="21" spans="3:16">
      <c r="C21" s="408" t="s">
        <v>3978</v>
      </c>
      <c r="D21" s="408" t="str">
        <f>+"Niños y niñas, entre 6 y 36 meses de edad, no acceden al servicio de cuidado diurno en la localidad de "&amp;'Unidad Productora'!L20&amp;", distrito de "&amp;'Unidad Productora'!J20&amp;", provincia de "&amp;'Unidad Productora'!H20&amp;", departamento de "&amp;'Unidad Productora'!E20</f>
        <v xml:space="preserve">Niños y niñas, entre 6 y 36 meses de edad, no acceden al servicio de cuidado diurno en la localidad de , distrito de , provincia de , departamento de </v>
      </c>
      <c r="E21" s="408" t="s">
        <v>3940</v>
      </c>
      <c r="J21" s="408" t="str">
        <f>+"Niños y niñas, entre 6 y 36 meses de edad, acceden al servicio de cuidado diurno en la localidad de "&amp;'Unidad Productora'!L20&amp;", distrito de "&amp;'Unidad Productora'!J20&amp;", provincia de "&amp;'Unidad Productora'!H20&amp;", departamento de "&amp;'Unidad Productora'!E20</f>
        <v xml:space="preserve">Niños y niñas, entre 6 y 36 meses de edad, acceden al servicio de cuidado diurno en la localidad de , distrito de , provincia de , departamento de </v>
      </c>
      <c r="L21" s="408" t="s">
        <v>3970</v>
      </c>
      <c r="M21" s="408" t="s">
        <v>4467</v>
      </c>
      <c r="N21" s="408" t="s">
        <v>3976</v>
      </c>
      <c r="O21" s="408" t="s">
        <v>4179</v>
      </c>
      <c r="P21" s="410" t="s">
        <v>3978</v>
      </c>
    </row>
    <row r="22" spans="3:16">
      <c r="L22" s="408" t="s">
        <v>4468</v>
      </c>
    </row>
    <row r="23" spans="3:16">
      <c r="L23" s="408" t="s">
        <v>3971</v>
      </c>
    </row>
    <row r="24" spans="3:16">
      <c r="L24" s="408" t="s">
        <v>4482</v>
      </c>
      <c r="M24" s="408" t="s">
        <v>4400</v>
      </c>
    </row>
    <row r="27" spans="3:16">
      <c r="M27" s="408" t="s">
        <v>4532</v>
      </c>
    </row>
    <row r="28" spans="3:16">
      <c r="M28" s="408" t="s">
        <v>4510</v>
      </c>
    </row>
    <row r="30" spans="3:16">
      <c r="M30" s="408" t="s">
        <v>4360</v>
      </c>
    </row>
    <row r="31" spans="3:16">
      <c r="M31" s="408" t="s">
        <v>4397</v>
      </c>
    </row>
    <row r="32" spans="3:16">
      <c r="M32" s="408" t="s">
        <v>4398</v>
      </c>
    </row>
    <row r="33" spans="3:31">
      <c r="M33" s="408" t="s">
        <v>4399</v>
      </c>
    </row>
    <row r="34" spans="3:31">
      <c r="M34" s="408" t="s">
        <v>4467</v>
      </c>
    </row>
    <row r="37" spans="3:31">
      <c r="M37" s="408" t="s">
        <v>4400</v>
      </c>
    </row>
    <row r="40" spans="3:31">
      <c r="M40" s="408" t="s">
        <v>4484</v>
      </c>
    </row>
    <row r="41" spans="3:31">
      <c r="M41" s="408" t="s">
        <v>3972</v>
      </c>
    </row>
    <row r="42" spans="3:31">
      <c r="M42" s="408" t="s">
        <v>3973</v>
      </c>
    </row>
    <row r="44" spans="3:31" ht="51.95" customHeight="1">
      <c r="D44" s="408" t="e">
        <f>+VLOOKUP('Problema-Objetivo'!B8,D17:E21,2,FALSE)</f>
        <v>#N/A</v>
      </c>
    </row>
    <row r="47" spans="3:31" s="411" customFormat="1" ht="15" customHeight="1">
      <c r="M47" s="408"/>
      <c r="AC47" s="408"/>
      <c r="AE47" s="408"/>
    </row>
    <row r="48" spans="3:31" s="411" customFormat="1" ht="32.1" customHeight="1">
      <c r="C48" s="411" t="e">
        <f>+VLOOKUP('Problema-Objetivo'!F12,$H$17:$I$24,2,FALSE)</f>
        <v>#N/A</v>
      </c>
      <c r="D48" s="421" t="e">
        <f>+VLOOKUP('Problema-Objetivo'!B12,F17:G20,2,FALSE)</f>
        <v>#N/A</v>
      </c>
      <c r="M48" s="408"/>
      <c r="AC48" s="408"/>
      <c r="AE48" s="408"/>
    </row>
    <row r="49" spans="3:31" s="411" customFormat="1" ht="32.1" customHeight="1">
      <c r="C49" s="411" t="e">
        <f>+VLOOKUP('Problema-Objetivo'!F13,$H$17:$I$24,2,FALSE)</f>
        <v>#N/A</v>
      </c>
      <c r="D49" s="421"/>
    </row>
    <row r="50" spans="3:31" s="411" customFormat="1" ht="32.1" customHeight="1">
      <c r="C50" s="411" t="e">
        <f>+VLOOKUP('Problema-Objetivo'!F14,$H$17:$I$24,2,FALSE)</f>
        <v>#N/A</v>
      </c>
      <c r="D50" s="421"/>
    </row>
    <row r="51" spans="3:31" s="411" customFormat="1" ht="32.1" customHeight="1">
      <c r="C51" s="411" t="e">
        <f>+VLOOKUP('Problema-Objetivo'!F15,$H$17:$I$24,2,FALSE)</f>
        <v>#N/A</v>
      </c>
      <c r="D51" s="412" t="e">
        <f>+VLOOKUP('Problema-Objetivo'!B15,F17:G20,2,FALSE)</f>
        <v>#N/A</v>
      </c>
    </row>
    <row r="52" spans="3:31">
      <c r="M52" s="411"/>
      <c r="AC52" s="411"/>
      <c r="AE52" s="411"/>
    </row>
    <row r="53" spans="3:31">
      <c r="M53" s="411"/>
      <c r="AC53" s="411"/>
      <c r="AE53" s="411"/>
    </row>
    <row r="54" spans="3:31">
      <c r="J54" s="408" t="s">
        <v>4505</v>
      </c>
    </row>
    <row r="55" spans="3:31">
      <c r="J55" s="408" t="s">
        <v>4506</v>
      </c>
      <c r="R55" s="413"/>
      <c r="S55" s="413"/>
      <c r="T55" s="413"/>
    </row>
    <row r="56" spans="3:31">
      <c r="J56" s="408" t="s">
        <v>4507</v>
      </c>
      <c r="R56" s="413"/>
      <c r="S56" s="413"/>
      <c r="T56" s="413"/>
    </row>
    <row r="57" spans="3:31">
      <c r="J57" s="408" t="s">
        <v>4504</v>
      </c>
      <c r="R57" s="414"/>
      <c r="S57" s="415"/>
      <c r="T57" s="414"/>
    </row>
    <row r="58" spans="3:31">
      <c r="R58" s="414"/>
      <c r="S58" s="414"/>
      <c r="T58" s="414"/>
    </row>
    <row r="59" spans="3:31" ht="42.95" customHeight="1">
      <c r="R59" s="414"/>
      <c r="S59" s="416"/>
      <c r="T59" s="414"/>
    </row>
    <row r="60" spans="3:31">
      <c r="R60" s="413"/>
      <c r="S60" s="413"/>
      <c r="T60" s="413"/>
    </row>
    <row r="61" spans="3:31">
      <c r="R61" s="413"/>
      <c r="S61" s="413"/>
      <c r="T61" s="413"/>
    </row>
    <row r="62" spans="3:31">
      <c r="R62" s="413"/>
      <c r="S62" s="413"/>
      <c r="T62" s="413"/>
    </row>
    <row r="63" spans="3:31">
      <c r="R63" s="413"/>
      <c r="S63" s="413"/>
      <c r="T63" s="413"/>
    </row>
    <row r="64" spans="3:31">
      <c r="R64" s="417"/>
      <c r="S64" s="417"/>
      <c r="T64" s="417"/>
    </row>
    <row r="65" spans="18:20">
      <c r="R65" s="414"/>
      <c r="S65" s="414"/>
      <c r="T65" s="414"/>
    </row>
    <row r="66" spans="18:20">
      <c r="R66" s="413"/>
      <c r="S66" s="413"/>
      <c r="T66" s="413"/>
    </row>
    <row r="67" spans="18:20">
      <c r="R67" s="413"/>
      <c r="S67" s="413"/>
      <c r="T67" s="413"/>
    </row>
    <row r="68" spans="18:20">
      <c r="R68" s="413"/>
      <c r="S68" s="413"/>
      <c r="T68" s="413"/>
    </row>
    <row r="69" spans="18:20">
      <c r="R69" s="413"/>
      <c r="S69" s="413"/>
      <c r="T69" s="413"/>
    </row>
    <row r="70" spans="18:20">
      <c r="R70" s="413"/>
      <c r="S70" s="413"/>
      <c r="T70" s="413"/>
    </row>
    <row r="71" spans="18:20">
      <c r="R71" s="413"/>
      <c r="S71" s="413"/>
      <c r="T71" s="413"/>
    </row>
    <row r="72" spans="18:20">
      <c r="R72" s="413"/>
      <c r="S72" s="413"/>
      <c r="T72" s="413"/>
    </row>
    <row r="73" spans="18:20" ht="15.95" customHeight="1">
      <c r="R73" s="413"/>
      <c r="S73" s="413"/>
      <c r="T73" s="413"/>
    </row>
    <row r="74" spans="18:20" ht="15.95" customHeight="1">
      <c r="R74" s="413"/>
      <c r="S74" s="413"/>
      <c r="T74" s="413"/>
    </row>
    <row r="75" spans="18:20">
      <c r="R75" s="413"/>
      <c r="S75" s="413"/>
      <c r="T75" s="413"/>
    </row>
    <row r="76" spans="18:20">
      <c r="R76" s="413"/>
      <c r="S76" s="413"/>
      <c r="T76" s="413"/>
    </row>
    <row r="77" spans="18:20">
      <c r="R77" s="413"/>
      <c r="S77" s="413"/>
      <c r="T77" s="413"/>
    </row>
  </sheetData>
  <sortState xmlns:xlrd2="http://schemas.microsoft.com/office/spreadsheetml/2017/richdata2" ref="AK3:AK12">
    <sortCondition ref="AK3:AK12"/>
  </sortState>
  <mergeCells count="1">
    <mergeCell ref="D48:D50"/>
  </mergeCells>
  <phoneticPr fontId="17"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dimension ref="A1:BT49"/>
  <sheetViews>
    <sheetView topLeftCell="AO1" zoomScale="107" workbookViewId="0">
      <selection activeCell="K44" sqref="K44:T44"/>
    </sheetView>
  </sheetViews>
  <sheetFormatPr baseColWidth="10" defaultColWidth="10.6640625" defaultRowHeight="35.1" customHeight="1"/>
  <cols>
    <col min="1" max="1" width="4.88671875" style="27" customWidth="1"/>
    <col min="2" max="2" width="41.44140625" style="27" customWidth="1"/>
    <col min="3" max="5" width="10.6640625" style="27" customWidth="1"/>
    <col min="6" max="6" width="4.88671875" style="27" customWidth="1"/>
    <col min="7" max="7" width="41.44140625" style="27" customWidth="1"/>
    <col min="8" max="10" width="10.6640625" style="27" customWidth="1"/>
    <col min="11" max="11" width="4.88671875" style="27" customWidth="1"/>
    <col min="12" max="12" width="41.44140625" style="27" customWidth="1"/>
    <col min="13" max="15" width="10.6640625" style="27" customWidth="1"/>
    <col min="16" max="16" width="4.88671875" style="27" customWidth="1"/>
    <col min="17" max="17" width="41.44140625" style="27" customWidth="1"/>
    <col min="18" max="20" width="10.6640625" style="27" customWidth="1"/>
    <col min="21" max="21" width="4.88671875" style="27" customWidth="1"/>
    <col min="22" max="22" width="41.44140625" style="27" customWidth="1"/>
    <col min="23" max="24" width="10.6640625" style="27" customWidth="1"/>
    <col min="25" max="25" width="10.6640625" style="28" customWidth="1"/>
    <col min="26" max="26" width="4.88671875" style="27" customWidth="1"/>
    <col min="27" max="27" width="41.44140625" style="27" customWidth="1"/>
    <col min="28" max="30" width="10.6640625" style="27" customWidth="1"/>
    <col min="31" max="31" width="4.88671875" style="27" customWidth="1"/>
    <col min="32" max="32" width="41.44140625" style="27" customWidth="1"/>
    <col min="33" max="35" width="10.6640625" style="27" customWidth="1"/>
    <col min="36" max="36" width="4.88671875" style="27" customWidth="1"/>
    <col min="37" max="37" width="41.44140625" style="27" customWidth="1"/>
    <col min="38" max="39" width="10.6640625" style="27" customWidth="1"/>
    <col min="40" max="40" width="9.88671875" style="27" customWidth="1"/>
    <col min="41" max="41" width="24.6640625" style="44" customWidth="1"/>
    <col min="42" max="42" width="7.5546875" style="44" customWidth="1"/>
    <col min="43" max="43" width="34.6640625" style="46" customWidth="1"/>
    <col min="44" max="51" width="9.5546875" style="44" customWidth="1"/>
    <col min="52" max="52" width="10.6640625" style="27"/>
    <col min="53" max="53" width="10.6640625" style="27" customWidth="1"/>
    <col min="54" max="54" width="13.109375" style="27" customWidth="1"/>
    <col min="55" max="60" width="10.6640625" style="27" customWidth="1"/>
    <col min="61" max="61" width="29.6640625" style="166" customWidth="1"/>
    <col min="62" max="62" width="75.88671875" style="166" customWidth="1"/>
    <col min="63" max="63" width="29.6640625" style="171" customWidth="1"/>
    <col min="64" max="71" width="9.5546875" style="171" customWidth="1"/>
    <col min="72" max="16384" width="10.6640625" style="27"/>
  </cols>
  <sheetData>
    <row r="1" spans="1:72" ht="35.1" customHeight="1">
      <c r="A1" s="425" t="s">
        <v>4087</v>
      </c>
      <c r="B1" s="425"/>
      <c r="C1" s="425"/>
      <c r="D1" s="425"/>
      <c r="E1" s="26"/>
      <c r="F1" s="425" t="s">
        <v>4088</v>
      </c>
      <c r="G1" s="425"/>
      <c r="H1" s="425"/>
      <c r="I1" s="425"/>
      <c r="J1" s="26"/>
      <c r="K1" s="425" t="s">
        <v>4089</v>
      </c>
      <c r="L1" s="425"/>
      <c r="M1" s="425"/>
      <c r="N1" s="425"/>
      <c r="P1" s="425" t="s">
        <v>4090</v>
      </c>
      <c r="Q1" s="425"/>
      <c r="R1" s="425"/>
      <c r="S1" s="425"/>
      <c r="BI1" s="166" t="s">
        <v>4442</v>
      </c>
    </row>
    <row r="2" spans="1:72" ht="35.1" customHeight="1">
      <c r="U2" s="55" t="s">
        <v>4095</v>
      </c>
      <c r="V2" s="56"/>
      <c r="W2" s="56"/>
      <c r="X2" s="56"/>
      <c r="Y2" s="27"/>
      <c r="Z2" s="55" t="s">
        <v>4049</v>
      </c>
      <c r="AA2" s="55"/>
      <c r="AB2" s="55"/>
      <c r="AC2" s="55"/>
      <c r="AE2" s="55" t="s">
        <v>4050</v>
      </c>
      <c r="AF2" s="55"/>
      <c r="AG2" s="55"/>
      <c r="AH2" s="55"/>
      <c r="AJ2" s="55" t="s">
        <v>4051</v>
      </c>
      <c r="AK2" s="57"/>
      <c r="AL2" s="57"/>
      <c r="AM2" s="57"/>
      <c r="AN2" s="57"/>
      <c r="AO2" s="73"/>
      <c r="AP2" s="73"/>
      <c r="AQ2" s="74"/>
      <c r="AR2" s="75" t="s">
        <v>4040</v>
      </c>
      <c r="AS2" s="75" t="s">
        <v>4042</v>
      </c>
      <c r="AT2" s="75" t="s">
        <v>4041</v>
      </c>
      <c r="AU2" s="75" t="s">
        <v>4043</v>
      </c>
      <c r="AV2" s="75" t="s">
        <v>4044</v>
      </c>
      <c r="AW2" s="75" t="s">
        <v>4045</v>
      </c>
      <c r="AX2" s="75" t="s">
        <v>4046</v>
      </c>
      <c r="AY2" s="75" t="s">
        <v>4047</v>
      </c>
      <c r="BB2" s="27" t="s">
        <v>4122</v>
      </c>
      <c r="BI2" s="25" t="s">
        <v>4433</v>
      </c>
      <c r="BJ2" s="25" t="s">
        <v>29</v>
      </c>
      <c r="BK2" s="66" t="s">
        <v>4434</v>
      </c>
      <c r="BL2" s="66" t="str">
        <f>+AR2</f>
        <v>Tipo I-A</v>
      </c>
      <c r="BM2" s="66" t="str">
        <f t="shared" ref="BM2:BS2" si="0">+AS2</f>
        <v>Tipo I-B</v>
      </c>
      <c r="BN2" s="66" t="str">
        <f t="shared" si="0"/>
        <v>Tipo II-A</v>
      </c>
      <c r="BO2" s="66" t="str">
        <f t="shared" si="0"/>
        <v>Tipo II-B</v>
      </c>
      <c r="BP2" s="66" t="str">
        <f t="shared" si="0"/>
        <v>Tipo III-A</v>
      </c>
      <c r="BQ2" s="66" t="str">
        <f t="shared" si="0"/>
        <v>Tipo III-B</v>
      </c>
      <c r="BR2" s="66" t="str">
        <f t="shared" si="0"/>
        <v>Tipo IV-A</v>
      </c>
      <c r="BS2" s="66" t="str">
        <f t="shared" si="0"/>
        <v>Tipo IV-B</v>
      </c>
    </row>
    <row r="3" spans="1:72" s="68" customFormat="1" ht="35.1" customHeight="1">
      <c r="A3" s="66"/>
      <c r="B3" s="67" t="s">
        <v>4052</v>
      </c>
      <c r="C3" s="67" t="s">
        <v>4056</v>
      </c>
      <c r="D3" s="67" t="s">
        <v>4055</v>
      </c>
      <c r="F3" s="66"/>
      <c r="G3" s="67" t="s">
        <v>4052</v>
      </c>
      <c r="H3" s="67" t="s">
        <v>4056</v>
      </c>
      <c r="I3" s="67" t="s">
        <v>4055</v>
      </c>
      <c r="K3" s="66"/>
      <c r="L3" s="67" t="s">
        <v>4052</v>
      </c>
      <c r="M3" s="67" t="s">
        <v>4056</v>
      </c>
      <c r="N3" s="67" t="s">
        <v>4055</v>
      </c>
      <c r="P3" s="66"/>
      <c r="Q3" s="67" t="s">
        <v>4052</v>
      </c>
      <c r="R3" s="67" t="s">
        <v>4056</v>
      </c>
      <c r="S3" s="67" t="s">
        <v>4055</v>
      </c>
      <c r="U3" s="29"/>
      <c r="V3" s="29" t="s">
        <v>4052</v>
      </c>
      <c r="W3" s="29" t="s">
        <v>4053</v>
      </c>
      <c r="X3" s="29" t="s">
        <v>4055</v>
      </c>
      <c r="Z3" s="29"/>
      <c r="AA3" s="29" t="s">
        <v>4052</v>
      </c>
      <c r="AB3" s="29" t="s">
        <v>4054</v>
      </c>
      <c r="AC3" s="29" t="s">
        <v>4055</v>
      </c>
      <c r="AE3" s="67"/>
      <c r="AF3" s="69" t="s">
        <v>4091</v>
      </c>
      <c r="AG3" s="69" t="s">
        <v>4092</v>
      </c>
      <c r="AH3" s="69" t="s">
        <v>4093</v>
      </c>
      <c r="AJ3" s="37"/>
      <c r="AK3" s="29" t="s">
        <v>4052</v>
      </c>
      <c r="AL3" s="29" t="s">
        <v>4056</v>
      </c>
      <c r="AM3" s="29" t="s">
        <v>4055</v>
      </c>
      <c r="AN3" s="58"/>
      <c r="AO3" s="25" t="s">
        <v>4098</v>
      </c>
      <c r="AP3" s="25" t="s">
        <v>4121</v>
      </c>
      <c r="AQ3" s="25" t="s">
        <v>4099</v>
      </c>
      <c r="AR3" s="25" t="s">
        <v>4010</v>
      </c>
      <c r="AS3" s="25" t="s">
        <v>4010</v>
      </c>
      <c r="AT3" s="25" t="s">
        <v>4010</v>
      </c>
      <c r="AU3" s="25" t="s">
        <v>4010</v>
      </c>
      <c r="AV3" s="25" t="s">
        <v>4010</v>
      </c>
      <c r="AW3" s="25" t="s">
        <v>4010</v>
      </c>
      <c r="AX3" s="25" t="s">
        <v>4010</v>
      </c>
      <c r="AY3" s="25" t="s">
        <v>4010</v>
      </c>
      <c r="BB3" s="426" t="s">
        <v>4123</v>
      </c>
      <c r="BC3" s="427"/>
      <c r="BD3" s="428"/>
      <c r="BE3" s="77">
        <v>20</v>
      </c>
      <c r="BI3" s="167" t="s">
        <v>4229</v>
      </c>
      <c r="BJ3" s="169" t="str">
        <f>+'Análisis Técnico'!G56</f>
        <v xml:space="preserve">Espacio físico donde se brinda la atención integral a los niños (bebes, gateadores y caminantes), en este espacio se encuentran organizados las áreas de juego y cuidado. </v>
      </c>
      <c r="BK3" s="169" t="s">
        <v>4440</v>
      </c>
      <c r="BL3" s="170">
        <f>+AR4</f>
        <v>50.4</v>
      </c>
      <c r="BM3" s="170">
        <f t="shared" ref="BM3:BS3" si="1">+AS4</f>
        <v>50.4</v>
      </c>
      <c r="BN3" s="170">
        <f t="shared" si="1"/>
        <v>50.4</v>
      </c>
      <c r="BO3" s="170">
        <f t="shared" si="1"/>
        <v>50.4</v>
      </c>
      <c r="BP3" s="170">
        <f t="shared" si="1"/>
        <v>50.4</v>
      </c>
      <c r="BQ3" s="170">
        <f t="shared" si="1"/>
        <v>50.4</v>
      </c>
      <c r="BR3" s="170">
        <f t="shared" si="1"/>
        <v>50.4</v>
      </c>
      <c r="BS3" s="170">
        <f t="shared" si="1"/>
        <v>50.4</v>
      </c>
      <c r="BT3" s="173"/>
    </row>
    <row r="4" spans="1:72" ht="35.1" customHeight="1">
      <c r="A4" s="423" t="s">
        <v>4065</v>
      </c>
      <c r="B4" s="47" t="s">
        <v>4058</v>
      </c>
      <c r="C4" s="48">
        <v>50.4</v>
      </c>
      <c r="D4" s="50">
        <v>20</v>
      </c>
      <c r="F4" s="423" t="s">
        <v>4065</v>
      </c>
      <c r="G4" s="47" t="s">
        <v>4058</v>
      </c>
      <c r="H4" s="48">
        <v>50.4</v>
      </c>
      <c r="I4" s="50">
        <v>20</v>
      </c>
      <c r="K4" s="423" t="s">
        <v>4065</v>
      </c>
      <c r="L4" s="47" t="s">
        <v>4058</v>
      </c>
      <c r="M4" s="48">
        <v>50.4</v>
      </c>
      <c r="N4" s="50">
        <v>20</v>
      </c>
      <c r="P4" s="423" t="s">
        <v>4065</v>
      </c>
      <c r="Q4" s="47" t="s">
        <v>4058</v>
      </c>
      <c r="R4" s="48">
        <v>50.4</v>
      </c>
      <c r="S4" s="50">
        <v>20</v>
      </c>
      <c r="U4" s="424" t="s">
        <v>4057</v>
      </c>
      <c r="V4" s="30" t="s">
        <v>4058</v>
      </c>
      <c r="W4" s="31">
        <v>50.4</v>
      </c>
      <c r="X4" s="32">
        <v>20</v>
      </c>
      <c r="Y4" s="27"/>
      <c r="Z4" s="422" t="s">
        <v>4057</v>
      </c>
      <c r="AA4" s="30" t="s">
        <v>4058</v>
      </c>
      <c r="AB4" s="33">
        <v>50.4</v>
      </c>
      <c r="AC4" s="32">
        <v>20</v>
      </c>
      <c r="AE4" s="422" t="s">
        <v>4059</v>
      </c>
      <c r="AF4" s="30" t="s">
        <v>4058</v>
      </c>
      <c r="AG4" s="34">
        <v>50.4</v>
      </c>
      <c r="AH4" s="32">
        <v>20</v>
      </c>
      <c r="AJ4" s="422" t="s">
        <v>4060</v>
      </c>
      <c r="AK4" s="30" t="s">
        <v>4058</v>
      </c>
      <c r="AL4" s="33">
        <v>50.4</v>
      </c>
      <c r="AM4" s="35">
        <v>20</v>
      </c>
      <c r="AN4" s="59"/>
      <c r="AO4" s="52" t="s">
        <v>4096</v>
      </c>
      <c r="AP4" s="50" t="s">
        <v>4100</v>
      </c>
      <c r="AQ4" s="168" t="s">
        <v>4058</v>
      </c>
      <c r="AR4" s="63">
        <f>+_xlfn.IFNA(VLOOKUP($AQ4,$B$4:$C$30,2,FALSE),"")</f>
        <v>50.4</v>
      </c>
      <c r="AS4" s="63">
        <f>+_xlfn.IFNA(VLOOKUP($AQ4,$G$4:$H$30,2,FALSE),"")</f>
        <v>50.4</v>
      </c>
      <c r="AT4" s="63">
        <f>+_xlfn.IFNA(VLOOKUP($AQ4,$L$4:$M$30,2,FALSE),"")</f>
        <v>50.4</v>
      </c>
      <c r="AU4" s="63">
        <f t="shared" ref="AU4:AU9" si="2">+_xlfn.IFNA(VLOOKUP($AQ4,$Q$4:$R$30,2,FALSE),"")</f>
        <v>50.4</v>
      </c>
      <c r="AV4" s="63">
        <f t="shared" ref="AV4:AV12" si="3">+_xlfn.IFNA(VLOOKUP($AQ4,$V$4:$W$30,2,FALSE),"")</f>
        <v>50.4</v>
      </c>
      <c r="AW4" s="63">
        <f t="shared" ref="AW4:AW12" si="4">+_xlfn.IFNA(VLOOKUP($AQ4,$AA$4:$AB$30,2,FALSE),"")</f>
        <v>50.4</v>
      </c>
      <c r="AX4" s="63">
        <f t="shared" ref="AX4:AX13" si="5">+_xlfn.IFNA(VLOOKUP($AQ4,$AF$4:$AG$30,2,FALSE),"")</f>
        <v>50.4</v>
      </c>
      <c r="AY4" s="63">
        <f>+_xlfn.IFNA(VLOOKUP($AQ4,$AK$4:$AL$30,2,FALSE),"")</f>
        <v>50.4</v>
      </c>
      <c r="BB4" s="426" t="s">
        <v>4124</v>
      </c>
      <c r="BC4" s="427"/>
      <c r="BD4" s="428"/>
      <c r="BE4" s="77">
        <v>9</v>
      </c>
      <c r="BI4" s="167" t="s">
        <v>4232</v>
      </c>
      <c r="BJ4" s="169" t="str">
        <f>+'Análisis Técnico'!G57</f>
        <v xml:space="preserve">Espacio donde se realizan los juegos de los niños y actividades lúdicas, este espacio también es utilizado como comedor para la atención alimentaria de los niños . </v>
      </c>
      <c r="BK4" s="169" t="s">
        <v>4441</v>
      </c>
      <c r="BL4" s="170">
        <f>+AR16</f>
        <v>0</v>
      </c>
      <c r="BM4" s="170">
        <f t="shared" ref="BM4:BS4" si="6">+AS16</f>
        <v>15</v>
      </c>
      <c r="BN4" s="170">
        <f t="shared" si="6"/>
        <v>24</v>
      </c>
      <c r="BO4" s="170">
        <f t="shared" si="6"/>
        <v>30</v>
      </c>
      <c r="BP4" s="170">
        <f t="shared" si="6"/>
        <v>39</v>
      </c>
      <c r="BQ4" s="170">
        <f t="shared" si="6"/>
        <v>45</v>
      </c>
      <c r="BR4" s="170">
        <f t="shared" si="6"/>
        <v>54</v>
      </c>
      <c r="BS4" s="170">
        <f t="shared" si="6"/>
        <v>60</v>
      </c>
      <c r="BT4" s="173"/>
    </row>
    <row r="5" spans="1:72" ht="35.1" customHeight="1">
      <c r="A5" s="423"/>
      <c r="B5" s="47" t="s">
        <v>4062</v>
      </c>
      <c r="C5" s="48">
        <v>8.1999999999999993</v>
      </c>
      <c r="D5" s="50" t="s">
        <v>4063</v>
      </c>
      <c r="F5" s="423"/>
      <c r="G5" s="47" t="s">
        <v>4062</v>
      </c>
      <c r="H5" s="48">
        <v>8.1999999999999993</v>
      </c>
      <c r="I5" s="50" t="s">
        <v>4063</v>
      </c>
      <c r="K5" s="423"/>
      <c r="L5" s="47" t="s">
        <v>4062</v>
      </c>
      <c r="M5" s="48">
        <v>8.1999999999999993</v>
      </c>
      <c r="N5" s="50" t="s">
        <v>4063</v>
      </c>
      <c r="P5" s="423"/>
      <c r="Q5" s="47" t="s">
        <v>4062</v>
      </c>
      <c r="R5" s="48">
        <v>8.1999999999999993</v>
      </c>
      <c r="S5" s="50" t="s">
        <v>4063</v>
      </c>
      <c r="U5" s="424"/>
      <c r="V5" s="30" t="s">
        <v>4061</v>
      </c>
      <c r="W5" s="31">
        <v>8.1999999999999993</v>
      </c>
      <c r="X5" s="30" t="s">
        <v>4063</v>
      </c>
      <c r="Y5" s="27"/>
      <c r="Z5" s="422"/>
      <c r="AA5" s="30" t="s">
        <v>4062</v>
      </c>
      <c r="AB5" s="33">
        <v>8.1999999999999993</v>
      </c>
      <c r="AC5" s="30" t="s">
        <v>4063</v>
      </c>
      <c r="AE5" s="422"/>
      <c r="AF5" s="53" t="s">
        <v>4062</v>
      </c>
      <c r="AG5" s="34">
        <v>8.1999999999999993</v>
      </c>
      <c r="AH5" s="30" t="s">
        <v>4063</v>
      </c>
      <c r="AJ5" s="422"/>
      <c r="AK5" s="30" t="s">
        <v>4062</v>
      </c>
      <c r="AL5" s="33">
        <v>8.1999999999999993</v>
      </c>
      <c r="AM5" s="37" t="s">
        <v>4063</v>
      </c>
      <c r="AN5" s="60"/>
      <c r="AO5" s="52" t="s">
        <v>4096</v>
      </c>
      <c r="AP5" s="50" t="s">
        <v>4101</v>
      </c>
      <c r="AQ5" s="62" t="s">
        <v>4062</v>
      </c>
      <c r="AR5" s="63">
        <f>+_xlfn.IFNA(VLOOKUP($AQ5,$B$4:$C$30,2,FALSE),"")</f>
        <v>8.1999999999999993</v>
      </c>
      <c r="AS5" s="63">
        <f>+_xlfn.IFNA(VLOOKUP($AQ5,$G$4:$H$30,2,FALSE),"")</f>
        <v>8.1999999999999993</v>
      </c>
      <c r="AT5" s="63">
        <f>+_xlfn.IFNA(VLOOKUP($AQ5,$L$4:$M$30,2,FALSE),"")</f>
        <v>8.1999999999999993</v>
      </c>
      <c r="AU5" s="63">
        <f t="shared" si="2"/>
        <v>8.1999999999999993</v>
      </c>
      <c r="AV5" s="63">
        <f t="shared" si="3"/>
        <v>8.1999999999999993</v>
      </c>
      <c r="AW5" s="63">
        <f t="shared" si="4"/>
        <v>8.1999999999999993</v>
      </c>
      <c r="AX5" s="63">
        <f t="shared" si="5"/>
        <v>8.1999999999999993</v>
      </c>
      <c r="AY5" s="63">
        <f t="shared" ref="AY5:AY30" si="7">+_xlfn.IFNA(VLOOKUP($AQ5,$AK$4:$AL$30,2,FALSE),"")</f>
        <v>8.1999999999999993</v>
      </c>
      <c r="BB5" s="426" t="s">
        <v>4125</v>
      </c>
      <c r="BC5" s="427"/>
      <c r="BD5" s="428"/>
      <c r="BE5" s="77">
        <v>2.5</v>
      </c>
      <c r="BI5" s="167" t="s">
        <v>4234</v>
      </c>
      <c r="BJ5" s="169" t="str">
        <f>+'Análisis Técnico'!G58</f>
        <v xml:space="preserve">Espacio exterior destinado al encuentro y recreación activa entre niñas y niños, cuidadoras, así como de familias usuarias, organizado y equipado para las actividades. </v>
      </c>
      <c r="BK5" s="169" t="s">
        <v>4435</v>
      </c>
      <c r="BL5" s="170">
        <f>+AR24</f>
        <v>20.16</v>
      </c>
      <c r="BM5" s="170">
        <f t="shared" ref="BM5:BS5" si="8">+AS24</f>
        <v>20.16</v>
      </c>
      <c r="BN5" s="170">
        <f t="shared" si="8"/>
        <v>32.64</v>
      </c>
      <c r="BO5" s="170">
        <f t="shared" si="8"/>
        <v>40.32</v>
      </c>
      <c r="BP5" s="170">
        <f t="shared" si="8"/>
        <v>52.8</v>
      </c>
      <c r="BQ5" s="170">
        <f t="shared" si="8"/>
        <v>60.48</v>
      </c>
      <c r="BR5" s="170">
        <f t="shared" si="8"/>
        <v>72.959999999999994</v>
      </c>
      <c r="BS5" s="170">
        <f t="shared" si="8"/>
        <v>80.64</v>
      </c>
      <c r="BT5" s="173"/>
    </row>
    <row r="6" spans="1:72" ht="35.1" customHeight="1">
      <c r="A6" s="423"/>
      <c r="B6" s="47" t="s">
        <v>4066</v>
      </c>
      <c r="C6" s="48">
        <v>1</v>
      </c>
      <c r="D6" s="50" t="s">
        <v>4063</v>
      </c>
      <c r="F6" s="423"/>
      <c r="G6" s="47" t="s">
        <v>4066</v>
      </c>
      <c r="H6" s="48">
        <v>1</v>
      </c>
      <c r="I6" s="50" t="s">
        <v>4063</v>
      </c>
      <c r="K6" s="423"/>
      <c r="L6" s="47" t="s">
        <v>4066</v>
      </c>
      <c r="M6" s="48">
        <v>1</v>
      </c>
      <c r="N6" s="50" t="s">
        <v>4063</v>
      </c>
      <c r="P6" s="423"/>
      <c r="Q6" s="47" t="s">
        <v>4066</v>
      </c>
      <c r="R6" s="48">
        <v>1</v>
      </c>
      <c r="S6" s="50" t="s">
        <v>4063</v>
      </c>
      <c r="U6" s="424"/>
      <c r="V6" s="30" t="s">
        <v>4066</v>
      </c>
      <c r="W6" s="31">
        <v>1</v>
      </c>
      <c r="X6" s="30" t="s">
        <v>4063</v>
      </c>
      <c r="Y6" s="27"/>
      <c r="Z6" s="422"/>
      <c r="AA6" s="30" t="s">
        <v>4066</v>
      </c>
      <c r="AB6" s="33">
        <v>1</v>
      </c>
      <c r="AC6" s="30" t="s">
        <v>4063</v>
      </c>
      <c r="AE6" s="422"/>
      <c r="AF6" s="30" t="s">
        <v>4066</v>
      </c>
      <c r="AG6" s="30">
        <v>1</v>
      </c>
      <c r="AH6" s="30" t="s">
        <v>4063</v>
      </c>
      <c r="AJ6" s="422"/>
      <c r="AK6" s="30" t="s">
        <v>4066</v>
      </c>
      <c r="AL6" s="33">
        <v>1</v>
      </c>
      <c r="AM6" s="37" t="s">
        <v>4063</v>
      </c>
      <c r="AN6" s="60"/>
      <c r="AO6" s="52" t="s">
        <v>4096</v>
      </c>
      <c r="AP6" s="50" t="s">
        <v>4102</v>
      </c>
      <c r="AQ6" s="62" t="s">
        <v>4066</v>
      </c>
      <c r="AR6" s="63">
        <f>+_xlfn.IFNA(VLOOKUP($AQ6,$B$4:$C$30,2,FALSE),"")</f>
        <v>1</v>
      </c>
      <c r="AS6" s="63">
        <f>+_xlfn.IFNA(VLOOKUP($AQ6,$G$4:$H$30,2,FALSE),"")</f>
        <v>1</v>
      </c>
      <c r="AT6" s="63">
        <f>+_xlfn.IFNA(VLOOKUP($AQ6,$L$4:$M$30,2,FALSE),"")</f>
        <v>1</v>
      </c>
      <c r="AU6" s="63">
        <f t="shared" si="2"/>
        <v>1</v>
      </c>
      <c r="AV6" s="63">
        <f t="shared" si="3"/>
        <v>1</v>
      </c>
      <c r="AW6" s="63">
        <f t="shared" si="4"/>
        <v>1</v>
      </c>
      <c r="AX6" s="63">
        <f t="shared" si="5"/>
        <v>1</v>
      </c>
      <c r="AY6" s="63">
        <f t="shared" si="7"/>
        <v>1</v>
      </c>
      <c r="BB6" s="426" t="s">
        <v>4126</v>
      </c>
      <c r="BC6" s="427"/>
      <c r="BD6" s="428"/>
      <c r="BE6" s="77">
        <v>1</v>
      </c>
      <c r="BI6" s="167" t="s">
        <v>4230</v>
      </c>
      <c r="BJ6" s="169" t="str">
        <f>+'Análisis Técnico'!G59</f>
        <v xml:space="preserve">Espacios destinados a actividades de apoyo a las funciones que se realizan en el establecimiento, tales como: área para tanque séptico y pozo percolador, depósito de materiales, patio de servicio, cuarto de tableros, caseta de vigilancia, área de guardado para coches para bebes, espacio de cambio de pañales). </v>
      </c>
      <c r="BK6" s="169" t="s">
        <v>4436</v>
      </c>
      <c r="BL6" s="170">
        <f>+AR17+AR18+AR19+AR20+AR21+AR22+AR23</f>
        <v>20.520000000000003</v>
      </c>
      <c r="BM6" s="170">
        <f t="shared" ref="BM6:BS6" si="9">+AS17+AS18+AS19+AS20+AS21+AS22+AS23</f>
        <v>22.32</v>
      </c>
      <c r="BN6" s="170">
        <f t="shared" si="9"/>
        <v>25.32</v>
      </c>
      <c r="BO6" s="170">
        <f t="shared" si="9"/>
        <v>25.32</v>
      </c>
      <c r="BP6" s="170">
        <f t="shared" si="9"/>
        <v>28.319999999999997</v>
      </c>
      <c r="BQ6" s="170">
        <f t="shared" si="9"/>
        <v>28.319999999999997</v>
      </c>
      <c r="BR6" s="170">
        <f t="shared" si="9"/>
        <v>31.319999999999997</v>
      </c>
      <c r="BS6" s="170">
        <f t="shared" si="9"/>
        <v>31.319999999999997</v>
      </c>
      <c r="BT6" s="173"/>
    </row>
    <row r="7" spans="1:72" ht="35.1" customHeight="1">
      <c r="A7" s="423" t="s">
        <v>4068</v>
      </c>
      <c r="B7" s="47" t="s">
        <v>4069</v>
      </c>
      <c r="C7" s="48">
        <v>1.8</v>
      </c>
      <c r="D7" s="50" t="s">
        <v>4063</v>
      </c>
      <c r="F7" s="423"/>
      <c r="G7" s="53" t="s">
        <v>4079</v>
      </c>
      <c r="H7" s="48">
        <v>15</v>
      </c>
      <c r="I7" s="49"/>
      <c r="K7" s="423"/>
      <c r="L7" s="47" t="s">
        <v>4067</v>
      </c>
      <c r="M7" s="48">
        <v>31.2</v>
      </c>
      <c r="N7" s="52">
        <v>12</v>
      </c>
      <c r="P7" s="423"/>
      <c r="Q7" s="47" t="s">
        <v>4067</v>
      </c>
      <c r="R7" s="48">
        <v>50.4</v>
      </c>
      <c r="S7" s="50">
        <v>20</v>
      </c>
      <c r="U7" s="424"/>
      <c r="V7" s="30" t="s">
        <v>4067</v>
      </c>
      <c r="W7" s="34">
        <v>50.4</v>
      </c>
      <c r="X7" s="32">
        <v>20</v>
      </c>
      <c r="Y7" s="27"/>
      <c r="Z7" s="422"/>
      <c r="AA7" s="30" t="s">
        <v>4067</v>
      </c>
      <c r="AB7" s="33">
        <v>50.4</v>
      </c>
      <c r="AC7" s="32">
        <v>20</v>
      </c>
      <c r="AE7" s="422"/>
      <c r="AF7" s="30" t="s">
        <v>4067</v>
      </c>
      <c r="AG7" s="30">
        <v>50.4</v>
      </c>
      <c r="AH7" s="32">
        <v>20</v>
      </c>
      <c r="AJ7" s="422"/>
      <c r="AK7" s="30" t="s">
        <v>4067</v>
      </c>
      <c r="AL7" s="33">
        <v>50.4</v>
      </c>
      <c r="AM7" s="35">
        <v>20</v>
      </c>
      <c r="AN7" s="59"/>
      <c r="AO7" s="52" t="s">
        <v>4096</v>
      </c>
      <c r="AP7" s="50" t="s">
        <v>4103</v>
      </c>
      <c r="AQ7" s="168" t="s">
        <v>4067</v>
      </c>
      <c r="AR7" s="64"/>
      <c r="AS7" s="64"/>
      <c r="AT7" s="63">
        <f>+_xlfn.IFNA(VLOOKUP($AQ7,$L$4:$M$30,2,FALSE),"")</f>
        <v>31.2</v>
      </c>
      <c r="AU7" s="63">
        <f t="shared" si="2"/>
        <v>50.4</v>
      </c>
      <c r="AV7" s="63">
        <f t="shared" si="3"/>
        <v>50.4</v>
      </c>
      <c r="AW7" s="63">
        <f t="shared" si="4"/>
        <v>50.4</v>
      </c>
      <c r="AX7" s="63">
        <f t="shared" si="5"/>
        <v>50.4</v>
      </c>
      <c r="AY7" s="63">
        <f t="shared" si="7"/>
        <v>50.4</v>
      </c>
      <c r="BB7" s="426" t="s">
        <v>4127</v>
      </c>
      <c r="BC7" s="427"/>
      <c r="BD7" s="428"/>
      <c r="BE7" s="77">
        <v>2.5</v>
      </c>
      <c r="BI7" s="167" t="s">
        <v>4236</v>
      </c>
      <c r="BJ7" s="169" t="str">
        <f>+'Análisis Técnico'!G60</f>
        <v xml:space="preserve">Espacio físico utilizado para la preparación de raciones alimenticias de los usuarios. </v>
      </c>
      <c r="BK7" s="169" t="s">
        <v>4438</v>
      </c>
      <c r="BL7" s="170">
        <f>+BE3+BE7+BE8+BE9+BE10+BE11</f>
        <v>28.919999999999998</v>
      </c>
      <c r="BM7" s="170">
        <f>+BL7</f>
        <v>28.919999999999998</v>
      </c>
      <c r="BN7" s="170">
        <f t="shared" ref="BN7:BS7" si="10">+BM7</f>
        <v>28.919999999999998</v>
      </c>
      <c r="BO7" s="170">
        <f t="shared" si="10"/>
        <v>28.919999999999998</v>
      </c>
      <c r="BP7" s="170">
        <f t="shared" si="10"/>
        <v>28.919999999999998</v>
      </c>
      <c r="BQ7" s="170">
        <f t="shared" si="10"/>
        <v>28.919999999999998</v>
      </c>
      <c r="BR7" s="170">
        <f t="shared" si="10"/>
        <v>28.919999999999998</v>
      </c>
      <c r="BS7" s="170">
        <f t="shared" si="10"/>
        <v>28.919999999999998</v>
      </c>
      <c r="BT7" s="173"/>
    </row>
    <row r="8" spans="1:72" ht="35.1" customHeight="1">
      <c r="A8" s="423"/>
      <c r="B8" s="47" t="s">
        <v>4082</v>
      </c>
      <c r="C8" s="48">
        <v>4</v>
      </c>
      <c r="D8" s="50" t="s">
        <v>4063</v>
      </c>
      <c r="F8" s="423" t="s">
        <v>4068</v>
      </c>
      <c r="G8" s="47" t="s">
        <v>4069</v>
      </c>
      <c r="H8" s="48">
        <v>2.7</v>
      </c>
      <c r="I8" s="50" t="s">
        <v>4063</v>
      </c>
      <c r="K8" s="423"/>
      <c r="L8" s="53" t="s">
        <v>4062</v>
      </c>
      <c r="M8" s="48">
        <v>6.4</v>
      </c>
      <c r="N8" s="54" t="s">
        <v>4063</v>
      </c>
      <c r="P8" s="423"/>
      <c r="Q8" s="47" t="s">
        <v>4062</v>
      </c>
      <c r="R8" s="48">
        <v>8.1999999999999993</v>
      </c>
      <c r="S8" s="54" t="s">
        <v>4063</v>
      </c>
      <c r="U8" s="424"/>
      <c r="V8" s="30" t="s">
        <v>4062</v>
      </c>
      <c r="W8" s="34">
        <v>8.1999999999999993</v>
      </c>
      <c r="X8" s="30" t="s">
        <v>4063</v>
      </c>
      <c r="Y8" s="27"/>
      <c r="Z8" s="422"/>
      <c r="AA8" s="30" t="s">
        <v>4062</v>
      </c>
      <c r="AB8" s="33">
        <v>8.1999999999999993</v>
      </c>
      <c r="AC8" s="30" t="s">
        <v>4063</v>
      </c>
      <c r="AE8" s="422"/>
      <c r="AF8" s="30" t="s">
        <v>4094</v>
      </c>
      <c r="AG8" s="34">
        <v>8.1999999999999993</v>
      </c>
      <c r="AH8" s="30" t="s">
        <v>4063</v>
      </c>
      <c r="AJ8" s="422"/>
      <c r="AK8" s="30" t="s">
        <v>4062</v>
      </c>
      <c r="AL8" s="33">
        <v>8.1999999999999993</v>
      </c>
      <c r="AM8" s="37" t="s">
        <v>4063</v>
      </c>
      <c r="AN8" s="60"/>
      <c r="AO8" s="52" t="s">
        <v>4096</v>
      </c>
      <c r="AP8" s="50" t="s">
        <v>4104</v>
      </c>
      <c r="AQ8" s="62" t="s">
        <v>4062</v>
      </c>
      <c r="AR8" s="64"/>
      <c r="AS8" s="64"/>
      <c r="AT8" s="65">
        <f>+M8</f>
        <v>6.4</v>
      </c>
      <c r="AU8" s="63">
        <f t="shared" si="2"/>
        <v>8.1999999999999993</v>
      </c>
      <c r="AV8" s="63">
        <f t="shared" si="3"/>
        <v>8.1999999999999993</v>
      </c>
      <c r="AW8" s="63">
        <f t="shared" si="4"/>
        <v>8.1999999999999993</v>
      </c>
      <c r="AX8" s="63">
        <f t="shared" si="5"/>
        <v>8.1999999999999993</v>
      </c>
      <c r="AY8" s="63">
        <f t="shared" si="7"/>
        <v>8.1999999999999993</v>
      </c>
      <c r="BB8" s="426" t="s">
        <v>4128</v>
      </c>
      <c r="BC8" s="427"/>
      <c r="BD8" s="428"/>
      <c r="BE8" s="77">
        <v>3</v>
      </c>
      <c r="BI8" s="167" t="s">
        <v>4238</v>
      </c>
      <c r="BJ8" s="169" t="str">
        <f>+'Análisis Técnico'!G61</f>
        <v xml:space="preserve">Espacio físico destinado para el acopio de los insumos alimenticios dentro de la cadena de suministros. </v>
      </c>
      <c r="BK8" s="169" t="s">
        <v>4439</v>
      </c>
      <c r="BL8" s="170">
        <f>+BE4+BE5+BE6</f>
        <v>12.5</v>
      </c>
      <c r="BM8" s="170">
        <f>+BL8</f>
        <v>12.5</v>
      </c>
      <c r="BN8" s="170">
        <f t="shared" ref="BN8:BS8" si="11">+BM8</f>
        <v>12.5</v>
      </c>
      <c r="BO8" s="170">
        <f t="shared" si="11"/>
        <v>12.5</v>
      </c>
      <c r="BP8" s="170">
        <f t="shared" si="11"/>
        <v>12.5</v>
      </c>
      <c r="BQ8" s="170">
        <f t="shared" si="11"/>
        <v>12.5</v>
      </c>
      <c r="BR8" s="170">
        <f t="shared" si="11"/>
        <v>12.5</v>
      </c>
      <c r="BS8" s="170">
        <f t="shared" si="11"/>
        <v>12.5</v>
      </c>
      <c r="BT8" s="173"/>
    </row>
    <row r="9" spans="1:72" ht="35.1" customHeight="1">
      <c r="A9" s="423"/>
      <c r="B9" s="47" t="s">
        <v>4071</v>
      </c>
      <c r="C9" s="48">
        <v>3</v>
      </c>
      <c r="D9" s="50" t="s">
        <v>4063</v>
      </c>
      <c r="F9" s="423"/>
      <c r="G9" s="53" t="s">
        <v>4082</v>
      </c>
      <c r="H9" s="48">
        <v>4</v>
      </c>
      <c r="I9" s="50" t="s">
        <v>4063</v>
      </c>
      <c r="K9" s="423"/>
      <c r="L9" s="47" t="s">
        <v>4066</v>
      </c>
      <c r="M9" s="48">
        <v>1</v>
      </c>
      <c r="N9" s="54" t="s">
        <v>4063</v>
      </c>
      <c r="P9" s="423"/>
      <c r="Q9" s="47" t="s">
        <v>4066</v>
      </c>
      <c r="R9" s="48">
        <v>1</v>
      </c>
      <c r="S9" s="54" t="s">
        <v>4063</v>
      </c>
      <c r="U9" s="424"/>
      <c r="V9" s="30" t="s">
        <v>4066</v>
      </c>
      <c r="W9" s="34">
        <v>1</v>
      </c>
      <c r="X9" s="30" t="s">
        <v>4063</v>
      </c>
      <c r="Y9" s="27"/>
      <c r="Z9" s="422"/>
      <c r="AA9" s="30" t="s">
        <v>4066</v>
      </c>
      <c r="AB9" s="33">
        <v>1</v>
      </c>
      <c r="AC9" s="30" t="s">
        <v>4063</v>
      </c>
      <c r="AE9" s="422"/>
      <c r="AF9" s="30" t="s">
        <v>4066</v>
      </c>
      <c r="AG9" s="32">
        <v>1</v>
      </c>
      <c r="AH9" s="30" t="s">
        <v>4063</v>
      </c>
      <c r="AJ9" s="422"/>
      <c r="AK9" s="30" t="s">
        <v>4066</v>
      </c>
      <c r="AL9" s="33">
        <v>1</v>
      </c>
      <c r="AM9" s="37" t="s">
        <v>4063</v>
      </c>
      <c r="AN9" s="60"/>
      <c r="AO9" s="52" t="s">
        <v>4096</v>
      </c>
      <c r="AP9" s="50" t="s">
        <v>4105</v>
      </c>
      <c r="AQ9" s="62" t="s">
        <v>4066</v>
      </c>
      <c r="AR9" s="64"/>
      <c r="AS9" s="64"/>
      <c r="AT9" s="63">
        <f>+_xlfn.IFNA(VLOOKUP($AQ9,$L$4:$M$30,2,FALSE),"")</f>
        <v>1</v>
      </c>
      <c r="AU9" s="63">
        <f t="shared" si="2"/>
        <v>1</v>
      </c>
      <c r="AV9" s="63">
        <f t="shared" si="3"/>
        <v>1</v>
      </c>
      <c r="AW9" s="63">
        <f t="shared" si="4"/>
        <v>1</v>
      </c>
      <c r="AX9" s="63">
        <f t="shared" si="5"/>
        <v>1</v>
      </c>
      <c r="AY9" s="63">
        <f t="shared" si="7"/>
        <v>1</v>
      </c>
      <c r="BB9" s="426" t="s">
        <v>4129</v>
      </c>
      <c r="BC9" s="427"/>
      <c r="BD9" s="428"/>
      <c r="BE9" s="77">
        <v>0.72</v>
      </c>
      <c r="BI9" s="167" t="s">
        <v>4240</v>
      </c>
      <c r="BJ9" s="169" t="str">
        <f>+'Análisis Técnico'!G62</f>
        <v xml:space="preserve">Activo para la protección de la unidad productora. Elemento fijo y seguro que rodea y delimita la propiedad o sus sectores. Cuenta con espacios de acceso al interior del mismo. </v>
      </c>
      <c r="BK9" s="169"/>
      <c r="BL9" s="170"/>
      <c r="BM9" s="170"/>
      <c r="BN9" s="170"/>
      <c r="BO9" s="170"/>
      <c r="BP9" s="170"/>
      <c r="BQ9" s="170"/>
      <c r="BR9" s="170"/>
      <c r="BS9" s="170"/>
    </row>
    <row r="10" spans="1:72" ht="35.1" customHeight="1">
      <c r="A10" s="423"/>
      <c r="B10" s="47" t="s">
        <v>4073</v>
      </c>
      <c r="C10" s="48">
        <v>1.2</v>
      </c>
      <c r="D10" s="50" t="s">
        <v>4063</v>
      </c>
      <c r="F10" s="423"/>
      <c r="G10" s="47" t="s">
        <v>4071</v>
      </c>
      <c r="H10" s="48">
        <v>3</v>
      </c>
      <c r="I10" s="50" t="s">
        <v>4063</v>
      </c>
      <c r="K10" s="423"/>
      <c r="L10" s="53" t="s">
        <v>4079</v>
      </c>
      <c r="M10" s="48">
        <v>24</v>
      </c>
      <c r="N10" s="54" t="s">
        <v>4063</v>
      </c>
      <c r="P10" s="423"/>
      <c r="Q10" s="53" t="s">
        <v>4079</v>
      </c>
      <c r="R10" s="48">
        <v>30</v>
      </c>
      <c r="S10" s="54" t="s">
        <v>4063</v>
      </c>
      <c r="U10" s="424"/>
      <c r="V10" s="30" t="s">
        <v>4070</v>
      </c>
      <c r="W10" s="34">
        <v>31.2</v>
      </c>
      <c r="X10" s="32">
        <v>12</v>
      </c>
      <c r="Y10" s="27"/>
      <c r="Z10" s="422"/>
      <c r="AA10" s="30" t="s">
        <v>4070</v>
      </c>
      <c r="AB10" s="33">
        <v>50.4</v>
      </c>
      <c r="AC10" s="32">
        <v>20</v>
      </c>
      <c r="AE10" s="422"/>
      <c r="AF10" s="30" t="s">
        <v>4070</v>
      </c>
      <c r="AG10" s="34">
        <v>50.4</v>
      </c>
      <c r="AH10" s="32">
        <v>20</v>
      </c>
      <c r="AJ10" s="422"/>
      <c r="AK10" s="30" t="s">
        <v>4070</v>
      </c>
      <c r="AL10" s="33">
        <v>50.4</v>
      </c>
      <c r="AM10" s="35">
        <v>20</v>
      </c>
      <c r="AN10" s="59"/>
      <c r="AO10" s="52" t="s">
        <v>4096</v>
      </c>
      <c r="AP10" s="50" t="s">
        <v>4106</v>
      </c>
      <c r="AQ10" s="168" t="s">
        <v>4070</v>
      </c>
      <c r="AR10" s="64"/>
      <c r="AS10" s="64"/>
      <c r="AT10" s="64"/>
      <c r="AU10" s="64"/>
      <c r="AV10" s="63">
        <f t="shared" si="3"/>
        <v>31.2</v>
      </c>
      <c r="AW10" s="63">
        <f t="shared" si="4"/>
        <v>50.4</v>
      </c>
      <c r="AX10" s="63">
        <f t="shared" si="5"/>
        <v>50.4</v>
      </c>
      <c r="AY10" s="63">
        <f t="shared" si="7"/>
        <v>50.4</v>
      </c>
      <c r="BB10" s="426" t="s">
        <v>4130</v>
      </c>
      <c r="BC10" s="427"/>
      <c r="BD10" s="428"/>
      <c r="BE10" s="77">
        <v>1.5</v>
      </c>
      <c r="BI10" s="167" t="s">
        <v>4242</v>
      </c>
      <c r="BJ10" s="169" t="str">
        <f>+'Análisis Técnico'!G63</f>
        <v xml:space="preserve">Activo para la protección de la unidad productora. Estructura rígida destinada a contener masas de suelo u otros materiales sueltos proporcionando estabilidad. </v>
      </c>
      <c r="BK10" s="169"/>
      <c r="BL10" s="170"/>
      <c r="BM10" s="170"/>
      <c r="BN10" s="170"/>
      <c r="BO10" s="170"/>
      <c r="BP10" s="170"/>
      <c r="BQ10" s="170"/>
      <c r="BR10" s="170"/>
      <c r="BS10" s="170"/>
    </row>
    <row r="11" spans="1:72" ht="35.1" customHeight="1">
      <c r="A11" s="423"/>
      <c r="B11" s="47" t="s">
        <v>4074</v>
      </c>
      <c r="C11" s="48">
        <v>0.72</v>
      </c>
      <c r="D11" s="50" t="s">
        <v>4063</v>
      </c>
      <c r="F11" s="423"/>
      <c r="G11" s="47" t="s">
        <v>4073</v>
      </c>
      <c r="H11" s="48">
        <v>1.2</v>
      </c>
      <c r="I11" s="50" t="s">
        <v>4063</v>
      </c>
      <c r="K11" s="423" t="s">
        <v>4068</v>
      </c>
      <c r="L11" s="47" t="s">
        <v>4069</v>
      </c>
      <c r="M11" s="48">
        <v>2.7</v>
      </c>
      <c r="N11" s="50" t="s">
        <v>4063</v>
      </c>
      <c r="P11" s="423" t="s">
        <v>4068</v>
      </c>
      <c r="Q11" s="47" t="s">
        <v>4069</v>
      </c>
      <c r="R11" s="48">
        <v>2.7</v>
      </c>
      <c r="S11" s="50" t="s">
        <v>4063</v>
      </c>
      <c r="U11" s="424"/>
      <c r="V11" s="53" t="s">
        <v>4072</v>
      </c>
      <c r="W11" s="34">
        <v>6.4</v>
      </c>
      <c r="X11" s="30"/>
      <c r="Y11" s="27"/>
      <c r="Z11" s="422"/>
      <c r="AA11" s="53" t="s">
        <v>4072</v>
      </c>
      <c r="AB11" s="33">
        <v>8.1999999999999993</v>
      </c>
      <c r="AC11" s="30" t="s">
        <v>4063</v>
      </c>
      <c r="AE11" s="422"/>
      <c r="AF11" s="53" t="s">
        <v>4072</v>
      </c>
      <c r="AG11" s="34">
        <v>8.1999999999999993</v>
      </c>
      <c r="AH11" s="30" t="s">
        <v>4063</v>
      </c>
      <c r="AJ11" s="422"/>
      <c r="AK11" s="30" t="s">
        <v>4072</v>
      </c>
      <c r="AL11" s="33">
        <v>8.1999999999999993</v>
      </c>
      <c r="AM11" s="37" t="s">
        <v>4063</v>
      </c>
      <c r="AN11" s="60"/>
      <c r="AO11" s="52" t="s">
        <v>4096</v>
      </c>
      <c r="AP11" s="50" t="s">
        <v>4107</v>
      </c>
      <c r="AQ11" s="62" t="s">
        <v>4072</v>
      </c>
      <c r="AR11" s="64"/>
      <c r="AS11" s="64"/>
      <c r="AT11" s="64"/>
      <c r="AU11" s="64"/>
      <c r="AV11" s="63">
        <f t="shared" si="3"/>
        <v>6.4</v>
      </c>
      <c r="AW11" s="63">
        <f t="shared" si="4"/>
        <v>8.1999999999999993</v>
      </c>
      <c r="AX11" s="63">
        <f t="shared" si="5"/>
        <v>8.1999999999999993</v>
      </c>
      <c r="AY11" s="63">
        <f t="shared" si="7"/>
        <v>8.1999999999999993</v>
      </c>
      <c r="BB11" s="426" t="s">
        <v>4437</v>
      </c>
      <c r="BC11" s="427"/>
      <c r="BD11" s="428"/>
      <c r="BE11" s="77">
        <v>1.2</v>
      </c>
      <c r="BI11" s="167" t="s">
        <v>4427</v>
      </c>
      <c r="BJ11" s="169">
        <f>+'Análisis Técnico'!G64</f>
        <v>0</v>
      </c>
      <c r="BK11" s="169" t="s">
        <v>4443</v>
      </c>
      <c r="BL11" s="170">
        <f>+AR5+AR6+AR8+AR9+AR11+AR12+AR14+AR15</f>
        <v>9.1999999999999993</v>
      </c>
      <c r="BM11" s="170">
        <f t="shared" ref="BM11:BS11" si="12">+AS5+AS6+AS8+AS9+AS11+AS12+AS14+AS15</f>
        <v>9.1999999999999993</v>
      </c>
      <c r="BN11" s="170">
        <f t="shared" si="12"/>
        <v>16.600000000000001</v>
      </c>
      <c r="BO11" s="170">
        <f t="shared" si="12"/>
        <v>18.399999999999999</v>
      </c>
      <c r="BP11" s="170">
        <f t="shared" si="12"/>
        <v>25.799999999999997</v>
      </c>
      <c r="BQ11" s="170">
        <f t="shared" si="12"/>
        <v>27.599999999999998</v>
      </c>
      <c r="BR11" s="170">
        <f t="shared" si="12"/>
        <v>35</v>
      </c>
      <c r="BS11" s="170">
        <f t="shared" si="12"/>
        <v>36.799999999999997</v>
      </c>
      <c r="BT11" s="173"/>
    </row>
    <row r="12" spans="1:72" ht="35.1" customHeight="1">
      <c r="A12" s="423"/>
      <c r="B12" s="47" t="s">
        <v>4076</v>
      </c>
      <c r="C12" s="48">
        <v>1.8</v>
      </c>
      <c r="D12" s="50" t="s">
        <v>4063</v>
      </c>
      <c r="F12" s="423"/>
      <c r="G12" s="47" t="s">
        <v>4074</v>
      </c>
      <c r="H12" s="48">
        <v>0.72</v>
      </c>
      <c r="I12" s="50" t="s">
        <v>4063</v>
      </c>
      <c r="K12" s="423"/>
      <c r="L12" s="53" t="s">
        <v>4082</v>
      </c>
      <c r="M12" s="48">
        <v>4</v>
      </c>
      <c r="N12" s="50" t="s">
        <v>4063</v>
      </c>
      <c r="P12" s="423"/>
      <c r="Q12" s="53" t="s">
        <v>4082</v>
      </c>
      <c r="R12" s="48">
        <v>4</v>
      </c>
      <c r="S12" s="50" t="s">
        <v>4063</v>
      </c>
      <c r="U12" s="424"/>
      <c r="V12" s="30" t="s">
        <v>4066</v>
      </c>
      <c r="W12" s="31">
        <v>1</v>
      </c>
      <c r="X12" s="30" t="s">
        <v>4063</v>
      </c>
      <c r="Y12" s="27"/>
      <c r="Z12" s="422"/>
      <c r="AA12" s="30" t="s">
        <v>4066</v>
      </c>
      <c r="AB12" s="33">
        <v>1</v>
      </c>
      <c r="AC12" s="30" t="s">
        <v>4063</v>
      </c>
      <c r="AE12" s="422"/>
      <c r="AF12" s="30" t="s">
        <v>4066</v>
      </c>
      <c r="AG12" s="32">
        <v>1</v>
      </c>
      <c r="AH12" s="30" t="s">
        <v>4063</v>
      </c>
      <c r="AJ12" s="422"/>
      <c r="AK12" s="30" t="s">
        <v>4066</v>
      </c>
      <c r="AL12" s="33">
        <v>1</v>
      </c>
      <c r="AM12" s="37" t="s">
        <v>4063</v>
      </c>
      <c r="AN12" s="60"/>
      <c r="AO12" s="52" t="s">
        <v>4096</v>
      </c>
      <c r="AP12" s="50" t="s">
        <v>4108</v>
      </c>
      <c r="AQ12" s="62" t="s">
        <v>4066</v>
      </c>
      <c r="AR12" s="64"/>
      <c r="AS12" s="64"/>
      <c r="AT12" s="64"/>
      <c r="AU12" s="64"/>
      <c r="AV12" s="63">
        <f t="shared" si="3"/>
        <v>1</v>
      </c>
      <c r="AW12" s="63">
        <f t="shared" si="4"/>
        <v>1</v>
      </c>
      <c r="AX12" s="63">
        <f t="shared" si="5"/>
        <v>1</v>
      </c>
      <c r="AY12" s="63">
        <f t="shared" si="7"/>
        <v>1</v>
      </c>
      <c r="BE12" s="172">
        <f>SUM(BE3:BE11)</f>
        <v>41.42</v>
      </c>
      <c r="BT12" s="173"/>
    </row>
    <row r="13" spans="1:72" ht="35.1" customHeight="1">
      <c r="A13" s="423"/>
      <c r="B13" s="47" t="s">
        <v>4077</v>
      </c>
      <c r="C13" s="48">
        <v>8</v>
      </c>
      <c r="D13" s="50" t="s">
        <v>4063</v>
      </c>
      <c r="F13" s="423"/>
      <c r="G13" s="47" t="s">
        <v>4076</v>
      </c>
      <c r="H13" s="48">
        <v>2.7</v>
      </c>
      <c r="I13" s="50" t="s">
        <v>4063</v>
      </c>
      <c r="K13" s="423"/>
      <c r="L13" s="47" t="s">
        <v>4071</v>
      </c>
      <c r="M13" s="48">
        <v>6</v>
      </c>
      <c r="N13" s="50" t="s">
        <v>4063</v>
      </c>
      <c r="P13" s="423"/>
      <c r="Q13" s="47" t="s">
        <v>4071</v>
      </c>
      <c r="R13" s="48">
        <v>6</v>
      </c>
      <c r="S13" s="50" t="s">
        <v>4063</v>
      </c>
      <c r="U13" s="424"/>
      <c r="V13" s="53" t="s">
        <v>4079</v>
      </c>
      <c r="W13" s="31">
        <v>39</v>
      </c>
      <c r="X13" s="30" t="s">
        <v>4063</v>
      </c>
      <c r="Y13" s="27"/>
      <c r="Z13" s="422"/>
      <c r="AA13" s="53" t="s">
        <v>4079</v>
      </c>
      <c r="AB13" s="33">
        <v>45</v>
      </c>
      <c r="AC13" s="30" t="s">
        <v>4063</v>
      </c>
      <c r="AE13" s="422"/>
      <c r="AF13" s="30" t="s">
        <v>4075</v>
      </c>
      <c r="AG13" s="34">
        <v>31.2</v>
      </c>
      <c r="AH13" s="32">
        <v>12</v>
      </c>
      <c r="AJ13" s="422"/>
      <c r="AK13" s="30" t="s">
        <v>4075</v>
      </c>
      <c r="AL13" s="33">
        <v>50.4</v>
      </c>
      <c r="AM13" s="35">
        <v>20</v>
      </c>
      <c r="AN13" s="59"/>
      <c r="AO13" s="52" t="s">
        <v>4096</v>
      </c>
      <c r="AP13" s="50" t="s">
        <v>4109</v>
      </c>
      <c r="AQ13" s="168" t="s">
        <v>4075</v>
      </c>
      <c r="AR13" s="64"/>
      <c r="AS13" s="64"/>
      <c r="AT13" s="64"/>
      <c r="AU13" s="64"/>
      <c r="AV13" s="64"/>
      <c r="AW13" s="64"/>
      <c r="AX13" s="63">
        <f t="shared" si="5"/>
        <v>31.2</v>
      </c>
      <c r="AY13" s="63">
        <f t="shared" si="7"/>
        <v>50.4</v>
      </c>
      <c r="BT13" s="36"/>
    </row>
    <row r="14" spans="1:72" ht="35.1" customHeight="1">
      <c r="A14" s="423"/>
      <c r="B14" s="47" t="s">
        <v>4078</v>
      </c>
      <c r="C14" s="48">
        <v>20.16</v>
      </c>
      <c r="D14" s="47"/>
      <c r="F14" s="423"/>
      <c r="G14" s="47" t="s">
        <v>4077</v>
      </c>
      <c r="H14" s="48">
        <v>8</v>
      </c>
      <c r="I14" s="50" t="s">
        <v>4063</v>
      </c>
      <c r="K14" s="423"/>
      <c r="L14" s="47" t="s">
        <v>4073</v>
      </c>
      <c r="M14" s="48">
        <v>1.2</v>
      </c>
      <c r="N14" s="50" t="s">
        <v>4063</v>
      </c>
      <c r="P14" s="423"/>
      <c r="Q14" s="47" t="s">
        <v>4073</v>
      </c>
      <c r="R14" s="48">
        <v>1.2</v>
      </c>
      <c r="S14" s="50" t="s">
        <v>4063</v>
      </c>
      <c r="U14" s="422" t="s">
        <v>4080</v>
      </c>
      <c r="V14" s="30" t="s">
        <v>4069</v>
      </c>
      <c r="W14" s="31">
        <v>2.7</v>
      </c>
      <c r="X14" s="30" t="s">
        <v>4063</v>
      </c>
      <c r="Y14" s="27"/>
      <c r="Z14" s="422" t="s">
        <v>4080</v>
      </c>
      <c r="AA14" s="53" t="s">
        <v>4069</v>
      </c>
      <c r="AB14" s="33">
        <v>2.7</v>
      </c>
      <c r="AC14" s="30" t="s">
        <v>4063</v>
      </c>
      <c r="AE14" s="422"/>
      <c r="AF14" s="30" t="s">
        <v>4064</v>
      </c>
      <c r="AG14" s="34">
        <v>6.4</v>
      </c>
      <c r="AH14" s="30" t="s">
        <v>4063</v>
      </c>
      <c r="AJ14" s="422"/>
      <c r="AK14" s="30" t="s">
        <v>4062</v>
      </c>
      <c r="AL14" s="33">
        <v>8.1999999999999993</v>
      </c>
      <c r="AM14" s="37" t="s">
        <v>4063</v>
      </c>
      <c r="AN14" s="60"/>
      <c r="AO14" s="52" t="s">
        <v>4096</v>
      </c>
      <c r="AP14" s="50" t="s">
        <v>4110</v>
      </c>
      <c r="AQ14" s="62" t="s">
        <v>4062</v>
      </c>
      <c r="AR14" s="64"/>
      <c r="AS14" s="64"/>
      <c r="AT14" s="64"/>
      <c r="AU14" s="64"/>
      <c r="AV14" s="64"/>
      <c r="AW14" s="64"/>
      <c r="AX14" s="65">
        <f>+AG14</f>
        <v>6.4</v>
      </c>
      <c r="AY14" s="63">
        <f t="shared" si="7"/>
        <v>8.1999999999999993</v>
      </c>
      <c r="BB14" s="27" t="s">
        <v>4336</v>
      </c>
    </row>
    <row r="15" spans="1:72" ht="35.1" customHeight="1">
      <c r="F15" s="423"/>
      <c r="G15" s="47" t="s">
        <v>4078</v>
      </c>
      <c r="H15" s="48">
        <v>20.16</v>
      </c>
      <c r="I15" s="47"/>
      <c r="K15" s="423"/>
      <c r="L15" s="47" t="s">
        <v>4074</v>
      </c>
      <c r="M15" s="48">
        <v>0.72</v>
      </c>
      <c r="N15" s="50" t="s">
        <v>4063</v>
      </c>
      <c r="P15" s="423"/>
      <c r="Q15" s="47" t="s">
        <v>4074</v>
      </c>
      <c r="R15" s="48">
        <v>0.72</v>
      </c>
      <c r="S15" s="50" t="s">
        <v>4063</v>
      </c>
      <c r="U15" s="422"/>
      <c r="V15" s="53" t="s">
        <v>4082</v>
      </c>
      <c r="W15" s="34">
        <v>4</v>
      </c>
      <c r="X15" s="30" t="s">
        <v>4063</v>
      </c>
      <c r="Y15" s="27"/>
      <c r="Z15" s="422"/>
      <c r="AA15" s="53" t="s">
        <v>4082</v>
      </c>
      <c r="AB15" s="33">
        <v>4</v>
      </c>
      <c r="AC15" s="30" t="s">
        <v>4063</v>
      </c>
      <c r="AE15" s="422"/>
      <c r="AF15" s="30" t="s">
        <v>4066</v>
      </c>
      <c r="AG15" s="34">
        <v>1</v>
      </c>
      <c r="AH15" s="30" t="s">
        <v>4063</v>
      </c>
      <c r="AJ15" s="422"/>
      <c r="AK15" s="30" t="s">
        <v>4066</v>
      </c>
      <c r="AL15" s="33">
        <v>1</v>
      </c>
      <c r="AM15" s="37" t="s">
        <v>4063</v>
      </c>
      <c r="AN15" s="60"/>
      <c r="AO15" s="52" t="s">
        <v>4096</v>
      </c>
      <c r="AP15" s="50" t="s">
        <v>4111</v>
      </c>
      <c r="AQ15" s="62" t="s">
        <v>4066</v>
      </c>
      <c r="AR15" s="64"/>
      <c r="AS15" s="64"/>
      <c r="AT15" s="64"/>
      <c r="AU15" s="64"/>
      <c r="AV15" s="64"/>
      <c r="AW15" s="64"/>
      <c r="AX15" s="63">
        <f t="shared" ref="AX15:AX30" si="13">+_xlfn.IFNA(VLOOKUP($AQ15,$AF$4:$AG$30,2,FALSE),"")</f>
        <v>1</v>
      </c>
      <c r="AY15" s="63">
        <f t="shared" si="7"/>
        <v>1</v>
      </c>
      <c r="BB15" s="27" t="s">
        <v>4062</v>
      </c>
    </row>
    <row r="16" spans="1:72" ht="35.1" customHeight="1">
      <c r="B16" s="47" t="s">
        <v>4081</v>
      </c>
      <c r="C16" s="48">
        <v>72.12</v>
      </c>
      <c r="K16" s="423"/>
      <c r="L16" s="47" t="s">
        <v>4076</v>
      </c>
      <c r="M16" s="48">
        <v>2.7</v>
      </c>
      <c r="N16" s="50" t="s">
        <v>4063</v>
      </c>
      <c r="P16" s="423"/>
      <c r="Q16" s="47" t="s">
        <v>4076</v>
      </c>
      <c r="R16" s="48">
        <v>2.7</v>
      </c>
      <c r="S16" s="50" t="s">
        <v>4063</v>
      </c>
      <c r="U16" s="422"/>
      <c r="V16" s="30" t="s">
        <v>4071</v>
      </c>
      <c r="W16" s="34">
        <v>9</v>
      </c>
      <c r="X16" s="30" t="s">
        <v>4063</v>
      </c>
      <c r="Y16" s="27"/>
      <c r="Z16" s="422"/>
      <c r="AA16" s="30" t="s">
        <v>4071</v>
      </c>
      <c r="AB16" s="33">
        <v>9</v>
      </c>
      <c r="AC16" s="30" t="s">
        <v>4063</v>
      </c>
      <c r="AE16" s="422"/>
      <c r="AF16" s="30" t="s">
        <v>4079</v>
      </c>
      <c r="AG16" s="34">
        <v>54</v>
      </c>
      <c r="AH16" s="30" t="s">
        <v>4063</v>
      </c>
      <c r="AJ16" s="422"/>
      <c r="AK16" s="30" t="s">
        <v>4079</v>
      </c>
      <c r="AL16" s="33">
        <v>60</v>
      </c>
      <c r="AM16" s="37" t="s">
        <v>4063</v>
      </c>
      <c r="AN16" s="60"/>
      <c r="AO16" s="52" t="s">
        <v>4096</v>
      </c>
      <c r="AP16" s="50" t="s">
        <v>4112</v>
      </c>
      <c r="AQ16" s="168" t="s">
        <v>4079</v>
      </c>
      <c r="AR16" s="64"/>
      <c r="AS16" s="63">
        <f t="shared" ref="AS16:AS30" si="14">+_xlfn.IFNA(VLOOKUP($AQ16,$G$4:$H$30,2,FALSE),"")</f>
        <v>15</v>
      </c>
      <c r="AT16" s="63">
        <f t="shared" ref="AT16:AT30" si="15">+_xlfn.IFNA(VLOOKUP($AQ16,$L$4:$M$30,2,FALSE),"")</f>
        <v>24</v>
      </c>
      <c r="AU16" s="63">
        <f t="shared" ref="AU16:AU30" si="16">+_xlfn.IFNA(VLOOKUP($AQ16,$Q$4:$R$30,2,FALSE),"")</f>
        <v>30</v>
      </c>
      <c r="AV16" s="63">
        <f t="shared" ref="AV16:AV30" si="17">+_xlfn.IFNA(VLOOKUP($AQ16,$V$4:$W$30,2,FALSE),"")</f>
        <v>39</v>
      </c>
      <c r="AW16" s="63">
        <f t="shared" ref="AW16:AW30" si="18">+_xlfn.IFNA(VLOOKUP($AQ16,$AA$4:$AB$30,2,FALSE),"")</f>
        <v>45</v>
      </c>
      <c r="AX16" s="63">
        <f t="shared" si="13"/>
        <v>54</v>
      </c>
      <c r="AY16" s="63">
        <f t="shared" si="7"/>
        <v>60</v>
      </c>
      <c r="BB16" s="27" t="s">
        <v>4066</v>
      </c>
    </row>
    <row r="17" spans="2:54" ht="35.1" customHeight="1">
      <c r="B17" s="49" t="s">
        <v>4085</v>
      </c>
      <c r="C17" s="48">
        <v>14.42</v>
      </c>
      <c r="G17" s="47" t="s">
        <v>4081</v>
      </c>
      <c r="H17" s="48">
        <v>88.92</v>
      </c>
      <c r="K17" s="423"/>
      <c r="L17" s="47" t="s">
        <v>4077</v>
      </c>
      <c r="M17" s="48">
        <v>8</v>
      </c>
      <c r="N17" s="50" t="s">
        <v>4063</v>
      </c>
      <c r="P17" s="423"/>
      <c r="Q17" s="47" t="s">
        <v>4077</v>
      </c>
      <c r="R17" s="48">
        <v>8</v>
      </c>
      <c r="S17" s="50" t="s">
        <v>4063</v>
      </c>
      <c r="U17" s="422"/>
      <c r="V17" s="30" t="s">
        <v>4073</v>
      </c>
      <c r="W17" s="31">
        <v>1.2</v>
      </c>
      <c r="X17" s="30" t="s">
        <v>4063</v>
      </c>
      <c r="Y17" s="27"/>
      <c r="Z17" s="422"/>
      <c r="AA17" s="53" t="s">
        <v>4073</v>
      </c>
      <c r="AB17" s="33">
        <v>1.2</v>
      </c>
      <c r="AC17" s="30" t="s">
        <v>4063</v>
      </c>
      <c r="AE17" s="422" t="s">
        <v>4080</v>
      </c>
      <c r="AF17" s="30" t="s">
        <v>4069</v>
      </c>
      <c r="AG17" s="34">
        <v>2.7</v>
      </c>
      <c r="AH17" s="30" t="s">
        <v>4063</v>
      </c>
      <c r="AJ17" s="422" t="s">
        <v>4080</v>
      </c>
      <c r="AK17" s="30" t="s">
        <v>4069</v>
      </c>
      <c r="AL17" s="33">
        <v>2.7</v>
      </c>
      <c r="AM17" s="37" t="s">
        <v>4063</v>
      </c>
      <c r="AN17" s="60"/>
      <c r="AO17" s="52" t="s">
        <v>4097</v>
      </c>
      <c r="AP17" s="50" t="s">
        <v>4113</v>
      </c>
      <c r="AQ17" s="168" t="s">
        <v>4069</v>
      </c>
      <c r="AR17" s="63">
        <f t="shared" ref="AR17:AR24" si="19">+_xlfn.IFNA(VLOOKUP($AQ17,$B$4:$C$30,2,FALSE),"")</f>
        <v>1.8</v>
      </c>
      <c r="AS17" s="63">
        <f t="shared" si="14"/>
        <v>2.7</v>
      </c>
      <c r="AT17" s="63">
        <f t="shared" si="15"/>
        <v>2.7</v>
      </c>
      <c r="AU17" s="63">
        <f t="shared" si="16"/>
        <v>2.7</v>
      </c>
      <c r="AV17" s="63">
        <f t="shared" si="17"/>
        <v>2.7</v>
      </c>
      <c r="AW17" s="63">
        <f t="shared" si="18"/>
        <v>2.7</v>
      </c>
      <c r="AX17" s="63">
        <f t="shared" si="13"/>
        <v>2.7</v>
      </c>
      <c r="AY17" s="63">
        <f t="shared" si="7"/>
        <v>2.7</v>
      </c>
      <c r="BB17" s="27" t="s">
        <v>4066</v>
      </c>
    </row>
    <row r="18" spans="2:54" ht="35.1" customHeight="1">
      <c r="B18" s="49" t="s">
        <v>4083</v>
      </c>
      <c r="C18" s="48">
        <v>86.54</v>
      </c>
      <c r="D18" s="36"/>
      <c r="G18" s="49" t="s">
        <v>4085</v>
      </c>
      <c r="H18" s="48">
        <v>17.78</v>
      </c>
      <c r="K18" s="423"/>
      <c r="L18" s="47" t="s">
        <v>4078</v>
      </c>
      <c r="M18" s="48">
        <v>32.64</v>
      </c>
      <c r="N18" s="47"/>
      <c r="P18" s="423"/>
      <c r="Q18" s="47" t="s">
        <v>4078</v>
      </c>
      <c r="R18" s="48">
        <v>40.32</v>
      </c>
      <c r="S18" s="47"/>
      <c r="U18" s="422"/>
      <c r="V18" s="30" t="s">
        <v>4074</v>
      </c>
      <c r="W18" s="34">
        <v>0.72</v>
      </c>
      <c r="X18" s="30" t="s">
        <v>4063</v>
      </c>
      <c r="Y18" s="27"/>
      <c r="Z18" s="422"/>
      <c r="AA18" s="30" t="s">
        <v>4074</v>
      </c>
      <c r="AB18" s="33">
        <v>0.72</v>
      </c>
      <c r="AC18" s="30" t="s">
        <v>4063</v>
      </c>
      <c r="AE18" s="422"/>
      <c r="AF18" s="53" t="s">
        <v>4082</v>
      </c>
      <c r="AG18" s="34">
        <v>4</v>
      </c>
      <c r="AH18" s="30" t="s">
        <v>4063</v>
      </c>
      <c r="AJ18" s="422"/>
      <c r="AK18" s="30" t="s">
        <v>4082</v>
      </c>
      <c r="AL18" s="33">
        <v>4</v>
      </c>
      <c r="AM18" s="37" t="s">
        <v>4063</v>
      </c>
      <c r="AN18" s="60"/>
      <c r="AO18" s="52" t="s">
        <v>4097</v>
      </c>
      <c r="AP18" s="50" t="s">
        <v>4114</v>
      </c>
      <c r="AQ18" s="168" t="s">
        <v>4082</v>
      </c>
      <c r="AR18" s="63">
        <f t="shared" si="19"/>
        <v>4</v>
      </c>
      <c r="AS18" s="63">
        <f t="shared" si="14"/>
        <v>4</v>
      </c>
      <c r="AT18" s="63">
        <f t="shared" si="15"/>
        <v>4</v>
      </c>
      <c r="AU18" s="63">
        <f t="shared" si="16"/>
        <v>4</v>
      </c>
      <c r="AV18" s="63">
        <f t="shared" si="17"/>
        <v>4</v>
      </c>
      <c r="AW18" s="63">
        <f t="shared" si="18"/>
        <v>4</v>
      </c>
      <c r="AX18" s="63">
        <f t="shared" si="13"/>
        <v>4</v>
      </c>
      <c r="AY18" s="63">
        <f t="shared" si="7"/>
        <v>4</v>
      </c>
      <c r="BB18" s="27" t="s">
        <v>4079</v>
      </c>
    </row>
    <row r="19" spans="2:54" ht="35.1" customHeight="1">
      <c r="B19" s="49" t="s">
        <v>4086</v>
      </c>
      <c r="C19" s="48">
        <v>37.090000000000003</v>
      </c>
      <c r="G19" s="49" t="s">
        <v>4083</v>
      </c>
      <c r="H19" s="51">
        <v>106.7</v>
      </c>
      <c r="U19" s="422"/>
      <c r="V19" s="53" t="s">
        <v>4076</v>
      </c>
      <c r="W19" s="34">
        <v>2.7</v>
      </c>
      <c r="X19" s="30" t="s">
        <v>4063</v>
      </c>
      <c r="Y19" s="27"/>
      <c r="Z19" s="422"/>
      <c r="AA19" s="53" t="s">
        <v>4076</v>
      </c>
      <c r="AB19" s="33">
        <v>2.7</v>
      </c>
      <c r="AC19" s="30" t="s">
        <v>4063</v>
      </c>
      <c r="AE19" s="422"/>
      <c r="AF19" s="30" t="s">
        <v>4071</v>
      </c>
      <c r="AG19" s="34">
        <v>12</v>
      </c>
      <c r="AH19" s="30" t="s">
        <v>4063</v>
      </c>
      <c r="AJ19" s="422"/>
      <c r="AK19" s="30" t="s">
        <v>4071</v>
      </c>
      <c r="AL19" s="33">
        <v>12</v>
      </c>
      <c r="AM19" s="37" t="s">
        <v>4063</v>
      </c>
      <c r="AN19" s="60"/>
      <c r="AO19" s="52" t="s">
        <v>4097</v>
      </c>
      <c r="AP19" s="50" t="s">
        <v>4115</v>
      </c>
      <c r="AQ19" s="168" t="s">
        <v>4071</v>
      </c>
      <c r="AR19" s="63">
        <f t="shared" si="19"/>
        <v>3</v>
      </c>
      <c r="AS19" s="63">
        <f t="shared" si="14"/>
        <v>3</v>
      </c>
      <c r="AT19" s="63">
        <f t="shared" si="15"/>
        <v>6</v>
      </c>
      <c r="AU19" s="63">
        <f t="shared" si="16"/>
        <v>6</v>
      </c>
      <c r="AV19" s="63">
        <f t="shared" si="17"/>
        <v>9</v>
      </c>
      <c r="AW19" s="63">
        <f t="shared" si="18"/>
        <v>9</v>
      </c>
      <c r="AX19" s="63">
        <f t="shared" si="13"/>
        <v>12</v>
      </c>
      <c r="AY19" s="63">
        <f t="shared" si="7"/>
        <v>12</v>
      </c>
      <c r="BB19" s="27" t="s">
        <v>4069</v>
      </c>
    </row>
    <row r="20" spans="2:54" ht="35.1" customHeight="1">
      <c r="B20" s="47" t="s">
        <v>4084</v>
      </c>
      <c r="C20" s="48">
        <v>123.63</v>
      </c>
      <c r="G20" s="49" t="s">
        <v>4086</v>
      </c>
      <c r="H20" s="48">
        <v>45.73</v>
      </c>
      <c r="L20" s="47" t="s">
        <v>4081</v>
      </c>
      <c r="M20" s="48">
        <v>139.52000000000001</v>
      </c>
      <c r="P20" s="38"/>
      <c r="Q20" s="47" t="s">
        <v>4081</v>
      </c>
      <c r="R20" s="48">
        <v>166.52</v>
      </c>
      <c r="U20" s="422"/>
      <c r="V20" s="30" t="s">
        <v>4077</v>
      </c>
      <c r="W20" s="34">
        <v>8</v>
      </c>
      <c r="X20" s="30" t="s">
        <v>4063</v>
      </c>
      <c r="Y20" s="27"/>
      <c r="Z20" s="422"/>
      <c r="AA20" s="30" t="s">
        <v>4077</v>
      </c>
      <c r="AB20" s="33">
        <v>8</v>
      </c>
      <c r="AC20" s="30" t="s">
        <v>4063</v>
      </c>
      <c r="AE20" s="422"/>
      <c r="AF20" s="30" t="s">
        <v>4073</v>
      </c>
      <c r="AG20" s="34">
        <v>1.2</v>
      </c>
      <c r="AH20" s="30" t="s">
        <v>4063</v>
      </c>
      <c r="AJ20" s="422"/>
      <c r="AK20" s="30" t="s">
        <v>4073</v>
      </c>
      <c r="AL20" s="33">
        <v>1.2</v>
      </c>
      <c r="AM20" s="37" t="s">
        <v>4063</v>
      </c>
      <c r="AN20" s="60"/>
      <c r="AO20" s="52" t="s">
        <v>4097</v>
      </c>
      <c r="AP20" s="50" t="s">
        <v>4116</v>
      </c>
      <c r="AQ20" s="168" t="s">
        <v>4073</v>
      </c>
      <c r="AR20" s="63">
        <f t="shared" si="19"/>
        <v>1.2</v>
      </c>
      <c r="AS20" s="63">
        <f t="shared" si="14"/>
        <v>1.2</v>
      </c>
      <c r="AT20" s="63">
        <f t="shared" si="15"/>
        <v>1.2</v>
      </c>
      <c r="AU20" s="63">
        <f t="shared" si="16"/>
        <v>1.2</v>
      </c>
      <c r="AV20" s="63">
        <f t="shared" si="17"/>
        <v>1.2</v>
      </c>
      <c r="AW20" s="63">
        <f t="shared" si="18"/>
        <v>1.2</v>
      </c>
      <c r="AX20" s="63">
        <f t="shared" si="13"/>
        <v>1.2</v>
      </c>
      <c r="AY20" s="63">
        <f t="shared" si="7"/>
        <v>1.2</v>
      </c>
      <c r="BB20" s="27" t="s">
        <v>4082</v>
      </c>
    </row>
    <row r="21" spans="2:54" ht="35.1" customHeight="1">
      <c r="G21" s="47" t="s">
        <v>4084</v>
      </c>
      <c r="H21" s="51">
        <v>152.43</v>
      </c>
      <c r="L21" s="49" t="s">
        <v>4085</v>
      </c>
      <c r="M21" s="48">
        <v>27.9</v>
      </c>
      <c r="P21" s="38"/>
      <c r="Q21" s="49" t="s">
        <v>4085</v>
      </c>
      <c r="R21" s="48">
        <v>33.299999999999997</v>
      </c>
      <c r="U21" s="422"/>
      <c r="V21" s="53" t="s">
        <v>4078</v>
      </c>
      <c r="W21" s="31">
        <v>52.8</v>
      </c>
      <c r="X21" s="30"/>
      <c r="Y21" s="27"/>
      <c r="Z21" s="422"/>
      <c r="AA21" s="53" t="s">
        <v>4078</v>
      </c>
      <c r="AB21" s="33">
        <v>60.48</v>
      </c>
      <c r="AC21" s="30" t="s">
        <v>4063</v>
      </c>
      <c r="AE21" s="422"/>
      <c r="AF21" s="30" t="s">
        <v>4074</v>
      </c>
      <c r="AG21" s="34">
        <v>0.72</v>
      </c>
      <c r="AH21" s="30" t="s">
        <v>4063</v>
      </c>
      <c r="AJ21" s="422"/>
      <c r="AK21" s="30" t="s">
        <v>4074</v>
      </c>
      <c r="AL21" s="33">
        <v>0.72</v>
      </c>
      <c r="AM21" s="37" t="s">
        <v>4063</v>
      </c>
      <c r="AN21" s="60"/>
      <c r="AO21" s="52" t="s">
        <v>4097</v>
      </c>
      <c r="AP21" s="50" t="s">
        <v>4117</v>
      </c>
      <c r="AQ21" s="168" t="s">
        <v>4074</v>
      </c>
      <c r="AR21" s="63">
        <f t="shared" si="19"/>
        <v>0.72</v>
      </c>
      <c r="AS21" s="63">
        <f t="shared" si="14"/>
        <v>0.72</v>
      </c>
      <c r="AT21" s="63">
        <f t="shared" si="15"/>
        <v>0.72</v>
      </c>
      <c r="AU21" s="63">
        <f t="shared" si="16"/>
        <v>0.72</v>
      </c>
      <c r="AV21" s="63">
        <f t="shared" si="17"/>
        <v>0.72</v>
      </c>
      <c r="AW21" s="63">
        <f t="shared" si="18"/>
        <v>0.72</v>
      </c>
      <c r="AX21" s="63">
        <f t="shared" si="13"/>
        <v>0.72</v>
      </c>
      <c r="AY21" s="63">
        <f t="shared" si="7"/>
        <v>0.72</v>
      </c>
      <c r="BB21" s="27" t="s">
        <v>4071</v>
      </c>
    </row>
    <row r="22" spans="2:54" ht="35.1" customHeight="1">
      <c r="L22" s="49" t="s">
        <v>4083</v>
      </c>
      <c r="M22" s="51">
        <v>167.42</v>
      </c>
      <c r="P22" s="38"/>
      <c r="Q22" s="49" t="s">
        <v>4083</v>
      </c>
      <c r="R22" s="51">
        <v>199.82</v>
      </c>
      <c r="U22" s="39"/>
      <c r="V22" s="39"/>
      <c r="W22" s="39"/>
      <c r="X22" s="39"/>
      <c r="Y22" s="27"/>
      <c r="Z22" s="40"/>
      <c r="AA22" s="40"/>
      <c r="AB22" s="41"/>
      <c r="AC22" s="41"/>
      <c r="AE22" s="422"/>
      <c r="AF22" s="53" t="s">
        <v>4076</v>
      </c>
      <c r="AG22" s="34">
        <v>2.7</v>
      </c>
      <c r="AH22" s="30" t="s">
        <v>4063</v>
      </c>
      <c r="AJ22" s="422"/>
      <c r="AK22" s="53" t="s">
        <v>4076</v>
      </c>
      <c r="AL22" s="33">
        <v>2.7</v>
      </c>
      <c r="AM22" s="37" t="s">
        <v>4063</v>
      </c>
      <c r="AN22" s="60"/>
      <c r="AO22" s="52" t="s">
        <v>4097</v>
      </c>
      <c r="AP22" s="50" t="s">
        <v>4118</v>
      </c>
      <c r="AQ22" s="168" t="s">
        <v>4076</v>
      </c>
      <c r="AR22" s="63">
        <f t="shared" si="19"/>
        <v>1.8</v>
      </c>
      <c r="AS22" s="63">
        <f t="shared" si="14"/>
        <v>2.7</v>
      </c>
      <c r="AT22" s="63">
        <f t="shared" si="15"/>
        <v>2.7</v>
      </c>
      <c r="AU22" s="63">
        <f t="shared" si="16"/>
        <v>2.7</v>
      </c>
      <c r="AV22" s="63">
        <f t="shared" si="17"/>
        <v>2.7</v>
      </c>
      <c r="AW22" s="63">
        <f t="shared" si="18"/>
        <v>2.7</v>
      </c>
      <c r="AX22" s="63">
        <f t="shared" si="13"/>
        <v>2.7</v>
      </c>
      <c r="AY22" s="63">
        <f t="shared" si="7"/>
        <v>2.7</v>
      </c>
      <c r="BB22" s="27" t="s">
        <v>4073</v>
      </c>
    </row>
    <row r="23" spans="2:54" ht="35.1" customHeight="1">
      <c r="L23" s="49" t="s">
        <v>4086</v>
      </c>
      <c r="M23" s="48">
        <v>71.150000000000006</v>
      </c>
      <c r="P23" s="38"/>
      <c r="Q23" s="49" t="s">
        <v>4086</v>
      </c>
      <c r="R23" s="48">
        <v>85.64</v>
      </c>
      <c r="U23" s="39"/>
      <c r="V23" s="42" t="s">
        <v>4081</v>
      </c>
      <c r="W23" s="43">
        <v>217.12</v>
      </c>
      <c r="X23" s="39"/>
      <c r="Y23" s="27"/>
      <c r="Z23" s="40"/>
      <c r="AA23" s="42" t="s">
        <v>4081</v>
      </c>
      <c r="AB23" s="43">
        <v>244.12</v>
      </c>
      <c r="AE23" s="422"/>
      <c r="AF23" s="30" t="s">
        <v>4077</v>
      </c>
      <c r="AG23" s="34">
        <v>8</v>
      </c>
      <c r="AH23" s="30" t="s">
        <v>4063</v>
      </c>
      <c r="AJ23" s="422"/>
      <c r="AK23" s="30" t="s">
        <v>4077</v>
      </c>
      <c r="AL23" s="33">
        <v>8</v>
      </c>
      <c r="AM23" s="37" t="s">
        <v>4063</v>
      </c>
      <c r="AN23" s="60"/>
      <c r="AO23" s="52" t="s">
        <v>4097</v>
      </c>
      <c r="AP23" s="50" t="s">
        <v>4119</v>
      </c>
      <c r="AQ23" s="168" t="s">
        <v>4077</v>
      </c>
      <c r="AR23" s="63">
        <f t="shared" si="19"/>
        <v>8</v>
      </c>
      <c r="AS23" s="63">
        <f t="shared" si="14"/>
        <v>8</v>
      </c>
      <c r="AT23" s="63">
        <f t="shared" si="15"/>
        <v>8</v>
      </c>
      <c r="AU23" s="63">
        <f t="shared" si="16"/>
        <v>8</v>
      </c>
      <c r="AV23" s="63">
        <f t="shared" si="17"/>
        <v>8</v>
      </c>
      <c r="AW23" s="63">
        <f t="shared" si="18"/>
        <v>8</v>
      </c>
      <c r="AX23" s="63">
        <f t="shared" si="13"/>
        <v>8</v>
      </c>
      <c r="AY23" s="63">
        <f t="shared" si="7"/>
        <v>8</v>
      </c>
      <c r="BB23" s="27" t="s">
        <v>4074</v>
      </c>
    </row>
    <row r="24" spans="2:54" ht="35.1" customHeight="1">
      <c r="L24" s="47" t="s">
        <v>4084</v>
      </c>
      <c r="M24" s="51">
        <v>239.17</v>
      </c>
      <c r="P24" s="38"/>
      <c r="Q24" s="47" t="s">
        <v>4084</v>
      </c>
      <c r="R24" s="51">
        <v>285.45999999999998</v>
      </c>
      <c r="U24" s="39"/>
      <c r="V24" s="42" t="s">
        <v>4085</v>
      </c>
      <c r="W24" s="43">
        <v>43.42</v>
      </c>
      <c r="X24" s="39"/>
      <c r="Y24" s="27"/>
      <c r="Z24" s="40"/>
      <c r="AA24" s="42" t="s">
        <v>4085</v>
      </c>
      <c r="AB24" s="43">
        <v>48.82</v>
      </c>
      <c r="AE24" s="422"/>
      <c r="AF24" s="30" t="s">
        <v>4078</v>
      </c>
      <c r="AG24" s="34">
        <v>72.959999999999994</v>
      </c>
      <c r="AH24" s="30" t="s">
        <v>4063</v>
      </c>
      <c r="AJ24" s="422"/>
      <c r="AK24" s="53" t="s">
        <v>4078</v>
      </c>
      <c r="AL24" s="33">
        <v>80.64</v>
      </c>
      <c r="AM24" s="37" t="s">
        <v>4063</v>
      </c>
      <c r="AN24" s="60"/>
      <c r="AO24" s="52" t="s">
        <v>4097</v>
      </c>
      <c r="AP24" s="50" t="s">
        <v>4120</v>
      </c>
      <c r="AQ24" s="168" t="s">
        <v>4078</v>
      </c>
      <c r="AR24" s="63">
        <f t="shared" si="19"/>
        <v>20.16</v>
      </c>
      <c r="AS24" s="63">
        <f t="shared" si="14"/>
        <v>20.16</v>
      </c>
      <c r="AT24" s="63">
        <f t="shared" si="15"/>
        <v>32.64</v>
      </c>
      <c r="AU24" s="63">
        <f t="shared" si="16"/>
        <v>40.32</v>
      </c>
      <c r="AV24" s="63">
        <f t="shared" si="17"/>
        <v>52.8</v>
      </c>
      <c r="AW24" s="63">
        <f t="shared" si="18"/>
        <v>60.48</v>
      </c>
      <c r="AX24" s="63">
        <f t="shared" si="13"/>
        <v>72.959999999999994</v>
      </c>
      <c r="AY24" s="63">
        <f t="shared" si="7"/>
        <v>80.64</v>
      </c>
      <c r="BB24" s="27" t="s">
        <v>4076</v>
      </c>
    </row>
    <row r="25" spans="2:54" ht="35.1" customHeight="1">
      <c r="U25" s="39"/>
      <c r="V25" s="42" t="s">
        <v>4083</v>
      </c>
      <c r="W25" s="42">
        <v>260.54000000000002</v>
      </c>
      <c r="X25" s="39"/>
      <c r="Y25" s="27"/>
      <c r="Z25" s="40"/>
      <c r="AA25" s="42" t="s">
        <v>4083</v>
      </c>
      <c r="AB25" s="42">
        <v>292.94</v>
      </c>
      <c r="AE25" s="40"/>
      <c r="AF25" s="40"/>
      <c r="AG25" s="40"/>
      <c r="AH25" s="41"/>
      <c r="AJ25" s="41"/>
      <c r="AK25" s="41"/>
      <c r="AL25" s="41"/>
      <c r="AM25" s="41"/>
      <c r="AN25" s="41"/>
      <c r="AR25" s="45" t="str">
        <f t="shared" ref="AR25:AR30" si="20">+_xlfn.IFNA(VLOOKUP(AQ25,$B$4:$C$30,2,FALSE),"")</f>
        <v/>
      </c>
      <c r="AS25" s="45" t="str">
        <f t="shared" si="14"/>
        <v/>
      </c>
      <c r="AT25" s="45" t="str">
        <f t="shared" si="15"/>
        <v/>
      </c>
      <c r="AU25" s="45" t="str">
        <f t="shared" si="16"/>
        <v/>
      </c>
      <c r="AV25" s="45" t="str">
        <f t="shared" si="17"/>
        <v/>
      </c>
      <c r="AW25" s="45" t="str">
        <f t="shared" si="18"/>
        <v/>
      </c>
      <c r="AX25" s="45" t="str">
        <f t="shared" si="13"/>
        <v/>
      </c>
      <c r="AY25" s="45" t="str">
        <f t="shared" si="7"/>
        <v/>
      </c>
    </row>
    <row r="26" spans="2:54" ht="35.1" customHeight="1">
      <c r="U26" s="39"/>
      <c r="V26" s="42" t="s">
        <v>4086</v>
      </c>
      <c r="W26" s="42">
        <v>111.66</v>
      </c>
      <c r="X26" s="39"/>
      <c r="Y26" s="27"/>
      <c r="Z26" s="40"/>
      <c r="AA26" s="42" t="s">
        <v>4086</v>
      </c>
      <c r="AB26" s="42">
        <v>125.55</v>
      </c>
      <c r="AE26" s="41"/>
      <c r="AF26" s="42" t="s">
        <v>4081</v>
      </c>
      <c r="AG26" s="42">
        <v>294.72000000000003</v>
      </c>
      <c r="AH26" s="41"/>
      <c r="AJ26" s="41"/>
      <c r="AK26" s="42" t="s">
        <v>4081</v>
      </c>
      <c r="AL26" s="43">
        <v>321.72000000000003</v>
      </c>
      <c r="AM26" s="41"/>
      <c r="AN26" s="41"/>
      <c r="AP26" s="52"/>
      <c r="AQ26" s="61" t="s">
        <v>4081</v>
      </c>
      <c r="AR26" s="63">
        <f>+_xlfn.IFNA(VLOOKUP(AQ26,$B$4:$C$30,2,FALSE),"")</f>
        <v>72.12</v>
      </c>
      <c r="AS26" s="63">
        <f t="shared" si="14"/>
        <v>88.92</v>
      </c>
      <c r="AT26" s="63">
        <f t="shared" si="15"/>
        <v>139.52000000000001</v>
      </c>
      <c r="AU26" s="63">
        <f t="shared" si="16"/>
        <v>166.52</v>
      </c>
      <c r="AV26" s="63">
        <f t="shared" si="17"/>
        <v>217.12</v>
      </c>
      <c r="AW26" s="63">
        <f t="shared" si="18"/>
        <v>244.12</v>
      </c>
      <c r="AX26" s="63">
        <f t="shared" si="13"/>
        <v>294.72000000000003</v>
      </c>
      <c r="AY26" s="63">
        <f t="shared" si="7"/>
        <v>321.72000000000003</v>
      </c>
    </row>
    <row r="27" spans="2:54" ht="35.1" customHeight="1">
      <c r="U27" s="39"/>
      <c r="V27" s="42" t="s">
        <v>4084</v>
      </c>
      <c r="W27" s="42">
        <v>372.2</v>
      </c>
      <c r="X27" s="39"/>
      <c r="Y27" s="27"/>
      <c r="Z27" s="40"/>
      <c r="AA27" s="42" t="s">
        <v>4084</v>
      </c>
      <c r="AB27" s="42">
        <v>418.49</v>
      </c>
      <c r="AE27" s="41"/>
      <c r="AF27" s="42" t="s">
        <v>4085</v>
      </c>
      <c r="AG27" s="42">
        <v>58.94</v>
      </c>
      <c r="AH27" s="41"/>
      <c r="AJ27" s="41"/>
      <c r="AK27" s="42" t="s">
        <v>4085</v>
      </c>
      <c r="AL27" s="43">
        <v>64.34</v>
      </c>
      <c r="AM27" s="41"/>
      <c r="AN27" s="41"/>
      <c r="AP27" s="52"/>
      <c r="AQ27" s="61" t="s">
        <v>4085</v>
      </c>
      <c r="AR27" s="63">
        <f t="shared" si="20"/>
        <v>14.42</v>
      </c>
      <c r="AS27" s="63">
        <f t="shared" si="14"/>
        <v>17.78</v>
      </c>
      <c r="AT27" s="63">
        <f t="shared" si="15"/>
        <v>27.9</v>
      </c>
      <c r="AU27" s="63">
        <f t="shared" si="16"/>
        <v>33.299999999999997</v>
      </c>
      <c r="AV27" s="63">
        <f t="shared" si="17"/>
        <v>43.42</v>
      </c>
      <c r="AW27" s="63">
        <f t="shared" si="18"/>
        <v>48.82</v>
      </c>
      <c r="AX27" s="63">
        <f t="shared" si="13"/>
        <v>58.94</v>
      </c>
      <c r="AY27" s="63">
        <f t="shared" si="7"/>
        <v>64.34</v>
      </c>
    </row>
    <row r="28" spans="2:54" ht="35.1" customHeight="1">
      <c r="U28" s="39"/>
      <c r="V28" s="28"/>
      <c r="W28" s="28"/>
      <c r="X28" s="39"/>
      <c r="Y28" s="27"/>
      <c r="AE28" s="41"/>
      <c r="AF28" s="42" t="s">
        <v>4083</v>
      </c>
      <c r="AG28" s="42">
        <v>353.66</v>
      </c>
      <c r="AH28" s="41"/>
      <c r="AJ28" s="41"/>
      <c r="AK28" s="42" t="s">
        <v>4083</v>
      </c>
      <c r="AL28" s="42">
        <v>385.06</v>
      </c>
      <c r="AM28" s="41"/>
      <c r="AN28" s="41"/>
      <c r="AP28" s="52"/>
      <c r="AQ28" s="61" t="s">
        <v>4083</v>
      </c>
      <c r="AR28" s="63">
        <f t="shared" si="20"/>
        <v>86.54</v>
      </c>
      <c r="AS28" s="63">
        <f t="shared" si="14"/>
        <v>106.7</v>
      </c>
      <c r="AT28" s="63">
        <f t="shared" si="15"/>
        <v>167.42</v>
      </c>
      <c r="AU28" s="63">
        <f t="shared" si="16"/>
        <v>199.82</v>
      </c>
      <c r="AV28" s="63">
        <f t="shared" si="17"/>
        <v>260.54000000000002</v>
      </c>
      <c r="AW28" s="63">
        <f t="shared" si="18"/>
        <v>292.94</v>
      </c>
      <c r="AX28" s="63">
        <f t="shared" si="13"/>
        <v>353.66</v>
      </c>
      <c r="AY28" s="63">
        <f t="shared" si="7"/>
        <v>385.06</v>
      </c>
      <c r="BB28" s="78"/>
    </row>
    <row r="29" spans="2:54" ht="35.1" customHeight="1">
      <c r="U29" s="39"/>
      <c r="X29" s="39"/>
      <c r="Y29" s="27"/>
      <c r="AE29" s="41"/>
      <c r="AF29" s="42" t="s">
        <v>4086</v>
      </c>
      <c r="AG29" s="42">
        <v>151.57</v>
      </c>
      <c r="AH29" s="41"/>
      <c r="AJ29" s="41"/>
      <c r="AK29" s="42" t="s">
        <v>4086</v>
      </c>
      <c r="AL29" s="42">
        <v>165.45</v>
      </c>
      <c r="AM29" s="41"/>
      <c r="AN29" s="41"/>
      <c r="AO29" s="72">
        <v>0.42799999999999999</v>
      </c>
      <c r="AP29" s="76"/>
      <c r="AQ29" s="71" t="s">
        <v>4086</v>
      </c>
      <c r="AR29" s="63">
        <f t="shared" si="20"/>
        <v>37.090000000000003</v>
      </c>
      <c r="AS29" s="63">
        <f t="shared" si="14"/>
        <v>45.73</v>
      </c>
      <c r="AT29" s="63">
        <f t="shared" si="15"/>
        <v>71.150000000000006</v>
      </c>
      <c r="AU29" s="63">
        <f t="shared" si="16"/>
        <v>85.64</v>
      </c>
      <c r="AV29" s="63">
        <f t="shared" si="17"/>
        <v>111.66</v>
      </c>
      <c r="AW29" s="63">
        <f t="shared" si="18"/>
        <v>125.55</v>
      </c>
      <c r="AX29" s="63">
        <f t="shared" si="13"/>
        <v>151.57</v>
      </c>
      <c r="AY29" s="63">
        <f t="shared" si="7"/>
        <v>165.45</v>
      </c>
    </row>
    <row r="30" spans="2:54" ht="35.1" customHeight="1">
      <c r="U30" s="39"/>
      <c r="X30" s="39"/>
      <c r="Y30" s="27"/>
      <c r="AE30" s="40"/>
      <c r="AF30" s="42" t="s">
        <v>4084</v>
      </c>
      <c r="AG30" s="42">
        <v>505.23</v>
      </c>
      <c r="AH30" s="41"/>
      <c r="AJ30" s="41"/>
      <c r="AK30" s="42" t="s">
        <v>4084</v>
      </c>
      <c r="AL30" s="42">
        <v>551.51</v>
      </c>
      <c r="AM30" s="41"/>
      <c r="AN30" s="41"/>
      <c r="AP30" s="52"/>
      <c r="AQ30" s="61" t="s">
        <v>4084</v>
      </c>
      <c r="AR30" s="63">
        <f t="shared" si="20"/>
        <v>123.63</v>
      </c>
      <c r="AS30" s="63">
        <f t="shared" si="14"/>
        <v>152.43</v>
      </c>
      <c r="AT30" s="63">
        <f t="shared" si="15"/>
        <v>239.17</v>
      </c>
      <c r="AU30" s="63">
        <f t="shared" si="16"/>
        <v>285.45999999999998</v>
      </c>
      <c r="AV30" s="63">
        <f t="shared" si="17"/>
        <v>372.2</v>
      </c>
      <c r="AW30" s="63">
        <f t="shared" si="18"/>
        <v>418.49</v>
      </c>
      <c r="AX30" s="63">
        <f t="shared" si="13"/>
        <v>505.23</v>
      </c>
      <c r="AY30" s="63">
        <f t="shared" si="7"/>
        <v>551.51</v>
      </c>
    </row>
    <row r="31" spans="2:54" ht="35.1" customHeight="1">
      <c r="U31" s="28"/>
      <c r="X31" s="28"/>
      <c r="Y31" s="27"/>
      <c r="AE31" s="40"/>
      <c r="AH31" s="41"/>
      <c r="AJ31" s="41"/>
      <c r="AM31" s="41"/>
      <c r="AN31" s="41"/>
    </row>
    <row r="32" spans="2:54" ht="35.1" customHeight="1">
      <c r="Y32" s="27"/>
      <c r="AE32" s="40"/>
      <c r="AH32" s="41"/>
      <c r="AJ32" s="41"/>
      <c r="AM32" s="41"/>
      <c r="AN32" s="41"/>
      <c r="AR32" s="45"/>
      <c r="AS32" s="45"/>
      <c r="AT32" s="45"/>
      <c r="AU32" s="45"/>
      <c r="AV32" s="45"/>
      <c r="AW32" s="45"/>
      <c r="AX32" s="45"/>
      <c r="AY32" s="45"/>
    </row>
    <row r="33" spans="25:51" ht="35.1" customHeight="1">
      <c r="Y33" s="27"/>
      <c r="AE33" s="40"/>
      <c r="AH33" s="41"/>
      <c r="AJ33" s="41"/>
    </row>
    <row r="34" spans="25:51" ht="35.1" customHeight="1">
      <c r="Y34" s="27"/>
      <c r="AR34" s="45"/>
      <c r="AS34" s="45"/>
      <c r="AT34" s="45"/>
      <c r="AU34" s="45"/>
      <c r="AV34" s="45"/>
      <c r="AW34" s="45"/>
      <c r="AX34" s="45"/>
      <c r="AY34" s="45"/>
    </row>
    <row r="35" spans="25:51" ht="35.1" customHeight="1">
      <c r="Y35" s="27"/>
    </row>
    <row r="36" spans="25:51" ht="35.1" customHeight="1">
      <c r="Y36" s="27"/>
      <c r="AR36" s="45"/>
      <c r="AS36" s="45"/>
      <c r="AT36" s="45"/>
      <c r="AU36" s="45"/>
      <c r="AV36" s="45"/>
      <c r="AW36" s="45"/>
      <c r="AX36" s="45"/>
      <c r="AY36" s="45"/>
    </row>
    <row r="37" spans="25:51" ht="35.1" customHeight="1">
      <c r="Y37" s="39"/>
    </row>
    <row r="38" spans="25:51" ht="35.1" customHeight="1">
      <c r="Y38" s="39"/>
      <c r="AR38" s="70" t="s">
        <v>4040</v>
      </c>
      <c r="AS38" s="70" t="s">
        <v>4042</v>
      </c>
      <c r="AT38" s="70" t="s">
        <v>4041</v>
      </c>
      <c r="AU38" s="70" t="s">
        <v>4043</v>
      </c>
      <c r="AV38" s="70" t="s">
        <v>4044</v>
      </c>
      <c r="AW38" s="70" t="s">
        <v>4045</v>
      </c>
      <c r="AX38" s="70" t="s">
        <v>4046</v>
      </c>
      <c r="AY38" s="70" t="s">
        <v>4047</v>
      </c>
    </row>
    <row r="39" spans="25:51" ht="35.1" customHeight="1">
      <c r="Y39" s="39"/>
      <c r="AQ39" s="46" t="s">
        <v>4217</v>
      </c>
      <c r="AR39" s="44">
        <v>20</v>
      </c>
      <c r="AS39" s="44">
        <v>20</v>
      </c>
      <c r="AT39" s="44">
        <v>32</v>
      </c>
      <c r="AU39" s="44">
        <v>40</v>
      </c>
      <c r="AV39" s="44">
        <v>52</v>
      </c>
      <c r="AW39" s="44">
        <v>60</v>
      </c>
      <c r="AX39" s="44">
        <v>72</v>
      </c>
      <c r="AY39" s="44">
        <v>82</v>
      </c>
    </row>
    <row r="40" spans="25:51" ht="35.1" customHeight="1">
      <c r="Y40" s="39"/>
      <c r="AQ40" s="46" t="str">
        <f>+AQ30</f>
        <v>Área de Terreno mínima</v>
      </c>
      <c r="AR40" s="45">
        <v>123.63</v>
      </c>
      <c r="AS40" s="45">
        <v>152.43</v>
      </c>
      <c r="AT40" s="45">
        <v>239.17</v>
      </c>
      <c r="AU40" s="45">
        <v>285.45999999999998</v>
      </c>
      <c r="AV40" s="45">
        <v>372.2</v>
      </c>
      <c r="AW40" s="45">
        <v>418.49</v>
      </c>
      <c r="AX40" s="45">
        <v>505.23</v>
      </c>
      <c r="AY40" s="45">
        <v>551.51</v>
      </c>
    </row>
    <row r="41" spans="25:51" ht="35.1" customHeight="1">
      <c r="Y41" s="39"/>
      <c r="AT41" s="44" t="s">
        <v>4420</v>
      </c>
      <c r="AV41" s="44">
        <v>0</v>
      </c>
      <c r="AW41" s="44" t="s">
        <v>4420</v>
      </c>
    </row>
    <row r="42" spans="25:51" ht="35.1" customHeight="1">
      <c r="Y42" s="39"/>
      <c r="AR42" s="70"/>
      <c r="AS42" s="44">
        <v>20</v>
      </c>
      <c r="AT42" s="70" t="s">
        <v>4040</v>
      </c>
      <c r="AV42" s="45">
        <v>123.63</v>
      </c>
      <c r="AW42" s="70" t="s">
        <v>4040</v>
      </c>
      <c r="AX42" s="44">
        <v>1</v>
      </c>
    </row>
    <row r="43" spans="25:51" ht="35.1" customHeight="1">
      <c r="Y43" s="39"/>
      <c r="AR43" s="70"/>
      <c r="AS43" s="44">
        <v>20</v>
      </c>
      <c r="AT43" s="70" t="s">
        <v>4042</v>
      </c>
      <c r="AV43" s="45">
        <v>152.43</v>
      </c>
      <c r="AW43" s="70" t="s">
        <v>4042</v>
      </c>
      <c r="AX43" s="44">
        <v>2</v>
      </c>
    </row>
    <row r="44" spans="25:51" ht="35.1" customHeight="1">
      <c r="Y44" s="39"/>
      <c r="AR44" s="70"/>
      <c r="AS44" s="44">
        <v>32</v>
      </c>
      <c r="AT44" s="70" t="s">
        <v>4041</v>
      </c>
      <c r="AV44" s="45">
        <v>239.17</v>
      </c>
      <c r="AW44" s="70" t="s">
        <v>4041</v>
      </c>
      <c r="AX44" s="44">
        <v>3</v>
      </c>
    </row>
    <row r="45" spans="25:51" ht="35.1" customHeight="1">
      <c r="Y45" s="39"/>
      <c r="AR45" s="70"/>
      <c r="AS45" s="44">
        <v>40</v>
      </c>
      <c r="AT45" s="70" t="s">
        <v>4043</v>
      </c>
      <c r="AV45" s="45">
        <v>285.45999999999998</v>
      </c>
      <c r="AW45" s="70" t="s">
        <v>4043</v>
      </c>
      <c r="AX45" s="44">
        <v>4</v>
      </c>
    </row>
    <row r="46" spans="25:51" ht="35.1" customHeight="1">
      <c r="AR46" s="70"/>
      <c r="AS46" s="44">
        <v>52</v>
      </c>
      <c r="AT46" s="70" t="s">
        <v>4044</v>
      </c>
      <c r="AV46" s="45">
        <v>372.2</v>
      </c>
      <c r="AW46" s="70" t="s">
        <v>4044</v>
      </c>
      <c r="AX46" s="44">
        <v>5</v>
      </c>
    </row>
    <row r="47" spans="25:51" ht="35.1" customHeight="1">
      <c r="AR47" s="70"/>
      <c r="AS47" s="44">
        <v>60</v>
      </c>
      <c r="AT47" s="70" t="s">
        <v>4045</v>
      </c>
      <c r="AV47" s="45">
        <v>418.49</v>
      </c>
      <c r="AW47" s="70" t="s">
        <v>4045</v>
      </c>
      <c r="AX47" s="44">
        <v>6</v>
      </c>
    </row>
    <row r="48" spans="25:51" ht="35.1" customHeight="1">
      <c r="AR48" s="70"/>
      <c r="AS48" s="44">
        <v>72</v>
      </c>
      <c r="AT48" s="70" t="s">
        <v>4046</v>
      </c>
      <c r="AV48" s="45">
        <v>505.23</v>
      </c>
      <c r="AW48" s="70" t="s">
        <v>4046</v>
      </c>
      <c r="AX48" s="44">
        <v>7</v>
      </c>
    </row>
    <row r="49" spans="44:50" ht="35.1" customHeight="1">
      <c r="AR49" s="70"/>
      <c r="AS49" s="44">
        <v>82</v>
      </c>
      <c r="AT49" s="70" t="s">
        <v>4047</v>
      </c>
      <c r="AV49" s="45">
        <v>551.51</v>
      </c>
      <c r="AW49" s="70" t="s">
        <v>4047</v>
      </c>
      <c r="AX49" s="44">
        <v>8</v>
      </c>
    </row>
  </sheetData>
  <mergeCells count="29">
    <mergeCell ref="BB9:BD9"/>
    <mergeCell ref="BB10:BD10"/>
    <mergeCell ref="BB11:BD11"/>
    <mergeCell ref="BB4:BD4"/>
    <mergeCell ref="BB5:BD5"/>
    <mergeCell ref="BB6:BD6"/>
    <mergeCell ref="BB7:BD7"/>
    <mergeCell ref="BB8:BD8"/>
    <mergeCell ref="A1:D1"/>
    <mergeCell ref="F1:I1"/>
    <mergeCell ref="K1:N1"/>
    <mergeCell ref="P1:S1"/>
    <mergeCell ref="BB3:BD3"/>
    <mergeCell ref="A7:A14"/>
    <mergeCell ref="A4:A6"/>
    <mergeCell ref="F4:F7"/>
    <mergeCell ref="K4:K10"/>
    <mergeCell ref="P4:P10"/>
    <mergeCell ref="AJ17:AJ24"/>
    <mergeCell ref="AJ4:AJ16"/>
    <mergeCell ref="K11:K18"/>
    <mergeCell ref="P11:P18"/>
    <mergeCell ref="F8:F15"/>
    <mergeCell ref="AE4:AE16"/>
    <mergeCell ref="AE17:AE24"/>
    <mergeCell ref="Z4:Z13"/>
    <mergeCell ref="Z14:Z21"/>
    <mergeCell ref="U4:U13"/>
    <mergeCell ref="U14:U21"/>
  </mergeCells>
  <phoneticPr fontId="17" type="noConversion"/>
  <conditionalFormatting sqref="BE3:BE11">
    <cfRule type="cellIs" dxfId="312" priority="1" operator="equal">
      <formula>0</formula>
    </cfRule>
  </conditionalFormatting>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
  <dimension ref="B2:AA60"/>
  <sheetViews>
    <sheetView topLeftCell="A16" zoomScale="116" zoomScaleNormal="116" zoomScaleSheetLayoutView="135" workbookViewId="0">
      <selection activeCell="X45" sqref="X45"/>
    </sheetView>
  </sheetViews>
  <sheetFormatPr baseColWidth="10" defaultColWidth="4.44140625" defaultRowHeight="18" customHeight="1"/>
  <cols>
    <col min="1" max="6" width="4.44140625" style="2"/>
    <col min="7" max="7" width="12.33203125" style="2" customWidth="1"/>
    <col min="8" max="8" width="4.44140625" style="2"/>
    <col min="9" max="9" width="2.33203125" style="2" customWidth="1"/>
    <col min="10" max="12" width="4.44140625" style="2"/>
    <col min="13" max="13" width="2.33203125" style="2" customWidth="1"/>
    <col min="14" max="16" width="4.44140625" style="2"/>
    <col min="17" max="17" width="2.33203125" style="2" customWidth="1"/>
    <col min="18" max="18" width="6" style="2" customWidth="1"/>
    <col min="19" max="19" width="2.33203125" style="2" customWidth="1"/>
    <col min="20" max="20" width="5.33203125" style="2" customWidth="1"/>
    <col min="21" max="21" width="4.44140625" style="2"/>
    <col min="22" max="22" width="6.33203125" style="2" customWidth="1"/>
    <col min="23" max="16384" width="4.44140625" style="2"/>
  </cols>
  <sheetData>
    <row r="2" spans="2:21" s="10" customFormat="1" ht="18" customHeight="1">
      <c r="B2" s="10" t="s">
        <v>0</v>
      </c>
      <c r="U2" s="144"/>
    </row>
    <row r="3" spans="2:21" s="13" customFormat="1" ht="18" customHeight="1">
      <c r="B3" s="11"/>
      <c r="C3" s="11"/>
      <c r="D3" s="12"/>
      <c r="E3" s="12"/>
      <c r="F3" s="12"/>
      <c r="G3" s="12"/>
      <c r="H3" s="12"/>
      <c r="I3" s="12"/>
      <c r="J3" s="12"/>
      <c r="K3" s="12"/>
    </row>
    <row r="4" spans="2:21" s="13" customFormat="1" ht="20.100000000000001" customHeight="1">
      <c r="B4" s="21" t="s">
        <v>3986</v>
      </c>
      <c r="C4" s="22"/>
      <c r="D4" s="23"/>
      <c r="E4" s="23"/>
      <c r="F4" s="23"/>
      <c r="G4" s="23"/>
      <c r="H4" s="23"/>
      <c r="I4" s="23"/>
      <c r="J4" s="23"/>
      <c r="K4" s="23"/>
      <c r="L4" s="24"/>
      <c r="M4" s="24"/>
      <c r="N4" s="24"/>
      <c r="O4" s="24"/>
      <c r="P4" s="24"/>
      <c r="Q4" s="24"/>
      <c r="R4" s="24"/>
      <c r="S4" s="24"/>
      <c r="T4" s="24"/>
    </row>
    <row r="5" spans="2:21" s="13" customFormat="1" ht="18" customHeight="1">
      <c r="B5" s="11"/>
      <c r="C5" s="11"/>
      <c r="D5" s="12"/>
      <c r="E5" s="12"/>
      <c r="F5" s="12"/>
      <c r="G5" s="12"/>
      <c r="H5" s="12"/>
      <c r="I5" s="12"/>
      <c r="J5" s="12"/>
      <c r="K5" s="12"/>
    </row>
    <row r="6" spans="2:21" s="13" customFormat="1" ht="18" customHeight="1">
      <c r="B6" s="14" t="s">
        <v>1</v>
      </c>
    </row>
    <row r="7" spans="2:21" s="13" customFormat="1" ht="18" customHeight="1">
      <c r="B7" s="14"/>
    </row>
    <row r="8" spans="2:21" s="15" customFormat="1" ht="18" customHeight="1">
      <c r="B8" s="13" t="s">
        <v>2</v>
      </c>
      <c r="C8" s="13"/>
      <c r="D8" s="13"/>
      <c r="E8" s="13"/>
      <c r="F8" s="13"/>
      <c r="H8" s="438"/>
      <c r="I8" s="439"/>
      <c r="J8" s="439"/>
      <c r="K8" s="439"/>
      <c r="L8" s="439"/>
      <c r="M8" s="439"/>
      <c r="N8" s="439"/>
      <c r="O8" s="439"/>
      <c r="P8" s="439"/>
      <c r="Q8" s="439"/>
      <c r="R8" s="439"/>
      <c r="S8" s="439"/>
      <c r="T8" s="440"/>
    </row>
    <row r="9" spans="2:21" s="13" customFormat="1" ht="3" customHeight="1">
      <c r="B9" s="15"/>
      <c r="C9" s="15"/>
      <c r="D9" s="15"/>
      <c r="E9" s="15"/>
      <c r="F9" s="15"/>
      <c r="H9" s="18"/>
      <c r="I9" s="18"/>
      <c r="J9" s="18"/>
      <c r="K9" s="18"/>
      <c r="L9" s="18"/>
      <c r="M9" s="18"/>
      <c r="N9" s="18"/>
      <c r="O9" s="18"/>
      <c r="P9" s="18"/>
      <c r="Q9" s="18"/>
    </row>
    <row r="10" spans="2:21" s="15" customFormat="1" ht="18" customHeight="1">
      <c r="B10" s="13" t="s">
        <v>3</v>
      </c>
      <c r="C10" s="13"/>
      <c r="D10" s="13"/>
      <c r="E10" s="13"/>
      <c r="F10" s="13"/>
      <c r="H10" s="441"/>
      <c r="I10" s="442"/>
      <c r="J10" s="442"/>
      <c r="K10" s="442"/>
      <c r="L10" s="442"/>
      <c r="M10" s="442"/>
      <c r="N10" s="442"/>
      <c r="O10" s="442"/>
      <c r="P10" s="442"/>
      <c r="Q10" s="442"/>
      <c r="R10" s="442"/>
      <c r="S10" s="442"/>
      <c r="T10" s="443"/>
    </row>
    <row r="11" spans="2:21" s="13" customFormat="1" ht="3" customHeight="1">
      <c r="B11" s="15"/>
      <c r="C11" s="15"/>
      <c r="D11" s="15"/>
      <c r="E11" s="15"/>
      <c r="F11" s="15"/>
      <c r="H11" s="18"/>
      <c r="I11" s="18"/>
      <c r="J11" s="18"/>
      <c r="K11" s="18"/>
      <c r="L11" s="18"/>
      <c r="M11" s="18"/>
      <c r="N11" s="18"/>
      <c r="O11" s="18"/>
      <c r="P11" s="18"/>
      <c r="Q11" s="18"/>
    </row>
    <row r="12" spans="2:21" s="16" customFormat="1" ht="18" customHeight="1">
      <c r="B12" s="13" t="s">
        <v>3994</v>
      </c>
      <c r="C12" s="13"/>
      <c r="D12" s="13"/>
      <c r="E12" s="13"/>
      <c r="F12" s="13"/>
      <c r="H12" s="441"/>
      <c r="I12" s="442"/>
      <c r="J12" s="442"/>
      <c r="K12" s="442"/>
      <c r="L12" s="442"/>
      <c r="M12" s="442"/>
      <c r="N12" s="442"/>
      <c r="O12" s="442"/>
      <c r="P12" s="442"/>
      <c r="Q12" s="442"/>
      <c r="R12" s="442"/>
      <c r="S12" s="442"/>
      <c r="T12" s="443"/>
    </row>
    <row r="13" spans="2:21" s="13" customFormat="1" ht="3" customHeight="1">
      <c r="B13" s="15"/>
      <c r="C13" s="15"/>
      <c r="D13" s="15"/>
      <c r="E13" s="15"/>
      <c r="F13" s="15"/>
      <c r="H13" s="18"/>
      <c r="I13" s="18"/>
      <c r="J13" s="18"/>
      <c r="K13" s="18"/>
      <c r="L13" s="18"/>
      <c r="M13" s="18"/>
      <c r="N13" s="18"/>
      <c r="O13" s="18"/>
      <c r="P13" s="18"/>
      <c r="Q13" s="18"/>
    </row>
    <row r="14" spans="2:21" s="15" customFormat="1" ht="18" customHeight="1">
      <c r="B14" s="13" t="s">
        <v>4364</v>
      </c>
      <c r="C14" s="13"/>
      <c r="D14" s="13"/>
      <c r="E14" s="13"/>
      <c r="F14" s="13"/>
      <c r="H14" s="441"/>
      <c r="I14" s="442"/>
      <c r="J14" s="442"/>
      <c r="K14" s="442"/>
      <c r="L14" s="442"/>
      <c r="M14" s="442"/>
      <c r="N14" s="442"/>
      <c r="O14" s="442"/>
      <c r="P14" s="442"/>
      <c r="Q14" s="442"/>
      <c r="R14" s="442"/>
      <c r="S14" s="442"/>
      <c r="T14" s="443"/>
    </row>
    <row r="15" spans="2:21" s="13" customFormat="1" ht="18" customHeight="1">
      <c r="B15" s="15"/>
    </row>
    <row r="16" spans="2:21" s="13" customFormat="1" ht="18" customHeight="1">
      <c r="B16" s="14" t="s">
        <v>4035</v>
      </c>
    </row>
    <row r="17" spans="2:20" s="13" customFormat="1" ht="18" customHeight="1">
      <c r="B17" s="14"/>
    </row>
    <row r="18" spans="2:20" s="15" customFormat="1" ht="18" customHeight="1">
      <c r="B18" s="13" t="s">
        <v>2</v>
      </c>
      <c r="C18" s="13"/>
      <c r="D18" s="13"/>
      <c r="E18" s="13"/>
      <c r="F18" s="13"/>
      <c r="H18" s="438"/>
      <c r="I18" s="439"/>
      <c r="J18" s="439"/>
      <c r="K18" s="439"/>
      <c r="L18" s="439"/>
      <c r="M18" s="439"/>
      <c r="N18" s="439"/>
      <c r="O18" s="439"/>
      <c r="P18" s="439"/>
      <c r="Q18" s="439"/>
      <c r="R18" s="439"/>
      <c r="S18" s="439"/>
      <c r="T18" s="440"/>
    </row>
    <row r="19" spans="2:20" s="13" customFormat="1" ht="3" customHeight="1">
      <c r="B19" s="15"/>
      <c r="C19" s="15"/>
      <c r="D19" s="15"/>
      <c r="E19" s="15"/>
      <c r="F19" s="15"/>
      <c r="H19" s="18"/>
      <c r="I19" s="18"/>
      <c r="J19" s="18"/>
      <c r="K19" s="18"/>
      <c r="L19" s="18"/>
      <c r="M19" s="18"/>
      <c r="N19" s="18"/>
      <c r="O19" s="18"/>
      <c r="P19" s="18"/>
      <c r="Q19" s="18"/>
    </row>
    <row r="20" spans="2:20" s="15" customFormat="1" ht="18" customHeight="1">
      <c r="B20" s="13" t="s">
        <v>3</v>
      </c>
      <c r="C20" s="13"/>
      <c r="D20" s="13"/>
      <c r="E20" s="13"/>
      <c r="F20" s="13"/>
      <c r="H20" s="441"/>
      <c r="I20" s="442"/>
      <c r="J20" s="442"/>
      <c r="K20" s="442"/>
      <c r="L20" s="442"/>
      <c r="M20" s="442"/>
      <c r="N20" s="442"/>
      <c r="O20" s="442"/>
      <c r="P20" s="442"/>
      <c r="Q20" s="442"/>
      <c r="R20" s="442"/>
      <c r="S20" s="442"/>
      <c r="T20" s="443"/>
    </row>
    <row r="21" spans="2:20" s="13" customFormat="1" ht="3" customHeight="1">
      <c r="B21" s="15"/>
      <c r="C21" s="15"/>
      <c r="D21" s="15"/>
      <c r="E21" s="15"/>
      <c r="F21" s="15"/>
      <c r="H21" s="18"/>
      <c r="I21" s="18"/>
      <c r="J21" s="18"/>
      <c r="K21" s="18"/>
      <c r="L21" s="18"/>
      <c r="M21" s="18"/>
      <c r="N21" s="18"/>
      <c r="O21" s="18"/>
      <c r="P21" s="18"/>
      <c r="Q21" s="18"/>
    </row>
    <row r="22" spans="2:20" s="16" customFormat="1" ht="18" customHeight="1">
      <c r="B22" s="13" t="s">
        <v>4362</v>
      </c>
      <c r="C22" s="13"/>
      <c r="D22" s="13"/>
      <c r="E22" s="13"/>
      <c r="F22" s="13"/>
      <c r="H22" s="441"/>
      <c r="I22" s="442"/>
      <c r="J22" s="442"/>
      <c r="K22" s="442"/>
      <c r="L22" s="442"/>
      <c r="M22" s="442"/>
      <c r="N22" s="442"/>
      <c r="O22" s="442"/>
      <c r="P22" s="442"/>
      <c r="Q22" s="442"/>
      <c r="R22" s="442"/>
      <c r="S22" s="442"/>
      <c r="T22" s="443"/>
    </row>
    <row r="23" spans="2:20" s="13" customFormat="1" ht="3" customHeight="1">
      <c r="B23" s="15"/>
      <c r="C23" s="15"/>
      <c r="D23" s="15"/>
      <c r="E23" s="15"/>
      <c r="F23" s="15"/>
      <c r="H23" s="18"/>
      <c r="I23" s="18"/>
      <c r="J23" s="18"/>
      <c r="K23" s="18"/>
      <c r="L23" s="18"/>
      <c r="M23" s="18"/>
      <c r="N23" s="18"/>
      <c r="O23" s="18"/>
      <c r="P23" s="18"/>
      <c r="Q23" s="18"/>
    </row>
    <row r="24" spans="2:20" s="15" customFormat="1" ht="18" customHeight="1">
      <c r="B24" s="13" t="s">
        <v>4363</v>
      </c>
      <c r="C24" s="13"/>
      <c r="D24" s="13"/>
      <c r="E24" s="13"/>
      <c r="F24" s="13"/>
      <c r="H24" s="441"/>
      <c r="I24" s="442"/>
      <c r="J24" s="442"/>
      <c r="K24" s="442"/>
      <c r="L24" s="442"/>
      <c r="M24" s="442"/>
      <c r="N24" s="442"/>
      <c r="O24" s="442"/>
      <c r="P24" s="442"/>
      <c r="Q24" s="442"/>
      <c r="R24" s="442"/>
      <c r="S24" s="442"/>
      <c r="T24" s="443"/>
    </row>
    <row r="25" spans="2:20" s="13" customFormat="1" ht="18" customHeight="1">
      <c r="B25" s="15"/>
    </row>
    <row r="26" spans="2:20" s="13" customFormat="1" ht="18" customHeight="1">
      <c r="B26" s="15"/>
    </row>
    <row r="27" spans="2:20" s="13" customFormat="1" ht="20.100000000000001" customHeight="1">
      <c r="B27" s="21" t="s">
        <v>3987</v>
      </c>
      <c r="C27" s="22"/>
      <c r="D27" s="23"/>
      <c r="E27" s="23"/>
      <c r="F27" s="23"/>
      <c r="G27" s="23"/>
      <c r="H27" s="23"/>
      <c r="I27" s="23"/>
      <c r="J27" s="23"/>
      <c r="K27" s="23"/>
      <c r="L27" s="24"/>
      <c r="M27" s="24"/>
      <c r="N27" s="24"/>
      <c r="O27" s="24"/>
      <c r="P27" s="24"/>
      <c r="Q27" s="24"/>
      <c r="R27" s="24"/>
      <c r="S27" s="24"/>
      <c r="T27" s="24"/>
    </row>
    <row r="28" spans="2:20" s="13" customFormat="1" ht="18" customHeight="1"/>
    <row r="29" spans="2:20" s="13" customFormat="1" ht="18" customHeight="1">
      <c r="B29" s="454" t="s">
        <v>5</v>
      </c>
      <c r="C29" s="454"/>
      <c r="D29" s="454"/>
      <c r="E29" s="454"/>
      <c r="F29" s="15"/>
      <c r="H29" s="444" t="s">
        <v>3981</v>
      </c>
      <c r="I29" s="445"/>
      <c r="J29" s="445"/>
      <c r="K29" s="445"/>
      <c r="L29" s="445"/>
      <c r="M29" s="445"/>
      <c r="N29" s="445"/>
      <c r="O29" s="445"/>
      <c r="P29" s="445"/>
      <c r="Q29" s="445"/>
      <c r="R29" s="445"/>
      <c r="S29" s="445"/>
      <c r="T29" s="446"/>
    </row>
    <row r="30" spans="2:20" s="13" customFormat="1" ht="3" customHeight="1">
      <c r="B30" s="15"/>
      <c r="C30" s="15"/>
      <c r="D30" s="15"/>
      <c r="E30" s="15"/>
      <c r="F30" s="15"/>
      <c r="H30" s="15"/>
      <c r="I30" s="15"/>
      <c r="J30" s="15"/>
      <c r="K30" s="15"/>
      <c r="L30" s="15"/>
      <c r="M30" s="15"/>
      <c r="N30" s="15"/>
      <c r="O30" s="15"/>
      <c r="P30" s="15"/>
      <c r="Q30" s="15"/>
      <c r="R30" s="15"/>
      <c r="S30" s="15"/>
      <c r="T30" s="15"/>
    </row>
    <row r="31" spans="2:20" s="13" customFormat="1" ht="18" customHeight="1">
      <c r="B31" s="454" t="s">
        <v>6</v>
      </c>
      <c r="C31" s="454"/>
      <c r="D31" s="454"/>
      <c r="E31" s="454"/>
      <c r="F31" s="15"/>
      <c r="H31" s="444" t="s">
        <v>3982</v>
      </c>
      <c r="I31" s="445"/>
      <c r="J31" s="445"/>
      <c r="K31" s="445"/>
      <c r="L31" s="445"/>
      <c r="M31" s="445"/>
      <c r="N31" s="445"/>
      <c r="O31" s="445"/>
      <c r="P31" s="445"/>
      <c r="Q31" s="445"/>
      <c r="R31" s="445"/>
      <c r="S31" s="445"/>
      <c r="T31" s="446"/>
    </row>
    <row r="32" spans="2:20" s="13" customFormat="1" ht="3" customHeight="1">
      <c r="B32" s="15"/>
      <c r="C32" s="15"/>
      <c r="D32" s="15"/>
      <c r="E32" s="15"/>
      <c r="F32" s="15"/>
      <c r="H32" s="15"/>
      <c r="I32" s="15"/>
      <c r="J32" s="15"/>
      <c r="K32" s="15"/>
      <c r="L32" s="15"/>
      <c r="M32" s="15"/>
      <c r="N32" s="15"/>
      <c r="O32" s="15"/>
      <c r="P32" s="15"/>
      <c r="Q32" s="15"/>
      <c r="R32" s="15"/>
      <c r="S32" s="15"/>
      <c r="T32" s="15"/>
    </row>
    <row r="33" spans="2:20" s="13" customFormat="1" ht="18" customHeight="1">
      <c r="B33" s="454" t="s">
        <v>7</v>
      </c>
      <c r="C33" s="454"/>
      <c r="D33" s="454"/>
      <c r="E33" s="454"/>
      <c r="F33" s="15"/>
      <c r="H33" s="444" t="s">
        <v>3983</v>
      </c>
      <c r="I33" s="445"/>
      <c r="J33" s="445"/>
      <c r="K33" s="445"/>
      <c r="L33" s="445"/>
      <c r="M33" s="445"/>
      <c r="N33" s="445"/>
      <c r="O33" s="445"/>
      <c r="P33" s="445"/>
      <c r="Q33" s="445"/>
      <c r="R33" s="445"/>
      <c r="S33" s="445"/>
      <c r="T33" s="446"/>
    </row>
    <row r="34" spans="2:20" s="13" customFormat="1" ht="3" customHeight="1">
      <c r="B34" s="15"/>
      <c r="C34" s="15"/>
      <c r="D34" s="15"/>
      <c r="E34" s="15"/>
      <c r="F34" s="15"/>
      <c r="H34" s="15"/>
      <c r="I34" s="15"/>
      <c r="J34" s="15"/>
      <c r="K34" s="15"/>
      <c r="L34" s="15"/>
      <c r="M34" s="15"/>
      <c r="N34" s="15"/>
      <c r="O34" s="15"/>
      <c r="P34" s="15"/>
      <c r="Q34" s="15"/>
      <c r="R34" s="15"/>
      <c r="S34" s="15"/>
      <c r="T34" s="15"/>
    </row>
    <row r="35" spans="2:20" s="13" customFormat="1" ht="18" customHeight="1">
      <c r="B35" s="454" t="s">
        <v>8</v>
      </c>
      <c r="C35" s="454"/>
      <c r="D35" s="454"/>
      <c r="E35" s="454"/>
      <c r="F35" s="15"/>
      <c r="H35" s="444" t="s">
        <v>3984</v>
      </c>
      <c r="I35" s="445"/>
      <c r="J35" s="445"/>
      <c r="K35" s="445"/>
      <c r="L35" s="445"/>
      <c r="M35" s="445"/>
      <c r="N35" s="445"/>
      <c r="O35" s="445"/>
      <c r="P35" s="445"/>
      <c r="Q35" s="445"/>
      <c r="R35" s="445"/>
      <c r="S35" s="445"/>
      <c r="T35" s="446"/>
    </row>
    <row r="36" spans="2:20" s="13" customFormat="1" ht="3" customHeight="1">
      <c r="B36" s="15"/>
      <c r="C36" s="15"/>
      <c r="D36" s="15"/>
      <c r="E36" s="15"/>
      <c r="F36" s="15"/>
      <c r="H36" s="15"/>
      <c r="I36" s="15"/>
      <c r="J36" s="15"/>
      <c r="K36" s="15"/>
      <c r="L36" s="15"/>
      <c r="M36" s="15"/>
      <c r="N36" s="15"/>
      <c r="O36" s="15"/>
      <c r="P36" s="15"/>
      <c r="Q36" s="15"/>
      <c r="R36" s="15"/>
      <c r="S36" s="15"/>
      <c r="T36" s="15"/>
    </row>
    <row r="37" spans="2:20" s="13" customFormat="1" ht="18" customHeight="1">
      <c r="B37" s="456" t="s">
        <v>9</v>
      </c>
      <c r="C37" s="456"/>
      <c r="D37" s="456"/>
      <c r="E37" s="456"/>
      <c r="F37" s="16"/>
      <c r="H37" s="444" t="s">
        <v>3985</v>
      </c>
      <c r="I37" s="445"/>
      <c r="J37" s="445"/>
      <c r="K37" s="445"/>
      <c r="L37" s="445"/>
      <c r="M37" s="445"/>
      <c r="N37" s="445"/>
      <c r="O37" s="445"/>
      <c r="P37" s="445"/>
      <c r="Q37" s="445"/>
      <c r="R37" s="445"/>
      <c r="S37" s="445"/>
      <c r="T37" s="446"/>
    </row>
    <row r="38" spans="2:20" s="13" customFormat="1" ht="18" customHeight="1"/>
    <row r="39" spans="2:20" s="13" customFormat="1" ht="18" customHeight="1"/>
    <row r="40" spans="2:20" s="13" customFormat="1" ht="20.100000000000001" customHeight="1">
      <c r="B40" s="21" t="s">
        <v>3988</v>
      </c>
      <c r="C40" s="22"/>
      <c r="D40" s="23"/>
      <c r="E40" s="23"/>
      <c r="F40" s="23"/>
      <c r="G40" s="23"/>
      <c r="H40" s="23"/>
      <c r="I40" s="23"/>
      <c r="J40" s="23"/>
      <c r="K40" s="23"/>
      <c r="L40" s="24"/>
      <c r="M40" s="24"/>
      <c r="N40" s="24"/>
      <c r="O40" s="24"/>
      <c r="P40" s="24"/>
      <c r="Q40" s="24"/>
      <c r="R40" s="24"/>
      <c r="S40" s="24"/>
      <c r="T40" s="24"/>
    </row>
    <row r="41" spans="2:20" s="13" customFormat="1" ht="18" customHeight="1">
      <c r="B41" s="145"/>
      <c r="C41" s="12"/>
      <c r="D41" s="12"/>
      <c r="E41" s="12"/>
      <c r="F41" s="12"/>
      <c r="G41" s="12"/>
      <c r="H41" s="12"/>
      <c r="I41" s="12"/>
      <c r="J41" s="12"/>
    </row>
    <row r="42" spans="2:20" s="13" customFormat="1" ht="36" customHeight="1">
      <c r="B42" s="455" t="s">
        <v>10</v>
      </c>
      <c r="C42" s="455"/>
      <c r="D42" s="455"/>
      <c r="E42" s="20"/>
      <c r="F42" s="447" t="s">
        <v>11</v>
      </c>
      <c r="G42" s="447"/>
      <c r="H42" s="447"/>
      <c r="I42" s="447"/>
      <c r="J42" s="20"/>
      <c r="K42" s="447" t="s">
        <v>12</v>
      </c>
      <c r="L42" s="447"/>
      <c r="M42" s="447"/>
      <c r="N42" s="447"/>
      <c r="O42" s="447"/>
      <c r="P42" s="447"/>
      <c r="Q42" s="447"/>
      <c r="R42" s="447"/>
      <c r="S42" s="447"/>
      <c r="T42" s="447"/>
    </row>
    <row r="43" spans="2:20" s="13" customFormat="1" ht="6.95" customHeight="1"/>
    <row r="44" spans="2:20" s="18" customFormat="1" ht="62.1" customHeight="1">
      <c r="B44" s="438"/>
      <c r="C44" s="439"/>
      <c r="D44" s="440"/>
      <c r="F44" s="435" t="str">
        <f>+IF(B44="","","del Servicio de Cuidado Infantil en el Centro Infantil de Atención Integral (CIAI)")</f>
        <v/>
      </c>
      <c r="G44" s="436"/>
      <c r="H44" s="436"/>
      <c r="I44" s="437"/>
      <c r="K44" s="435" t="str">
        <f>+IF(B44="","","en la localidad de "&amp;'Unidad Productora'!L20&amp;", distrito de "&amp;'Unidad Productora'!J20&amp;", provincia de "&amp;'Unidad Productora'!H20&amp;", departamento de "&amp;'Unidad Productora'!E20)</f>
        <v/>
      </c>
      <c r="L44" s="436"/>
      <c r="M44" s="436"/>
      <c r="N44" s="436"/>
      <c r="O44" s="436"/>
      <c r="P44" s="436"/>
      <c r="Q44" s="436"/>
      <c r="R44" s="436"/>
      <c r="S44" s="436"/>
      <c r="T44" s="437"/>
    </row>
    <row r="45" spans="2:20" s="13" customFormat="1" ht="18" customHeight="1"/>
    <row r="46" spans="2:20" s="13" customFormat="1" ht="18" customHeight="1"/>
    <row r="47" spans="2:20" s="13" customFormat="1" ht="20.100000000000001" customHeight="1">
      <c r="B47" s="21" t="s">
        <v>3989</v>
      </c>
      <c r="C47" s="22"/>
      <c r="D47" s="23"/>
      <c r="E47" s="23"/>
      <c r="F47" s="23"/>
      <c r="G47" s="23"/>
      <c r="H47" s="23"/>
      <c r="I47" s="23"/>
      <c r="J47" s="23"/>
      <c r="K47" s="23"/>
      <c r="L47" s="24"/>
      <c r="M47" s="24"/>
      <c r="N47" s="24"/>
      <c r="O47" s="24"/>
      <c r="P47" s="24"/>
      <c r="Q47" s="24"/>
      <c r="R47" s="24"/>
      <c r="S47" s="24"/>
      <c r="T47" s="24"/>
    </row>
    <row r="48" spans="2:20" s="13" customFormat="1" ht="18" customHeight="1"/>
    <row r="49" spans="2:27" s="18" customFormat="1" ht="18" customHeight="1">
      <c r="B49" s="448" t="s">
        <v>13</v>
      </c>
      <c r="C49" s="448"/>
      <c r="D49" s="448"/>
      <c r="E49" s="448"/>
      <c r="F49" s="448"/>
      <c r="G49" s="448"/>
      <c r="H49" s="448"/>
      <c r="I49" s="448"/>
      <c r="J49" s="448"/>
      <c r="K49" s="448"/>
      <c r="M49" s="432" t="str">
        <f>+IF(B44="","","Servicio de cuidado diurno")</f>
        <v/>
      </c>
      <c r="N49" s="433"/>
      <c r="O49" s="433"/>
      <c r="P49" s="433"/>
      <c r="Q49" s="433"/>
      <c r="R49" s="433"/>
      <c r="S49" s="433"/>
      <c r="T49" s="434"/>
      <c r="U49" s="13"/>
      <c r="V49" s="13"/>
      <c r="W49" s="13"/>
      <c r="X49" s="13"/>
      <c r="Y49" s="13"/>
      <c r="Z49" s="13"/>
      <c r="AA49" s="13"/>
    </row>
    <row r="50" spans="2:27" s="13" customFormat="1" ht="18" customHeight="1">
      <c r="B50" s="146"/>
      <c r="C50" s="12"/>
      <c r="D50" s="12"/>
      <c r="E50" s="12"/>
      <c r="F50" s="12"/>
      <c r="G50" s="12"/>
      <c r="H50" s="12"/>
      <c r="I50" s="12"/>
      <c r="J50" s="12"/>
    </row>
    <row r="51" spans="2:27" s="18" customFormat="1" ht="36.950000000000003" customHeight="1">
      <c r="B51" s="453" t="s">
        <v>14</v>
      </c>
      <c r="C51" s="453"/>
      <c r="D51" s="453"/>
      <c r="E51" s="453"/>
      <c r="F51" s="453"/>
      <c r="G51" s="453"/>
      <c r="H51" s="453"/>
      <c r="J51" s="449" t="s">
        <v>15</v>
      </c>
      <c r="K51" s="449"/>
      <c r="L51" s="449"/>
      <c r="N51" s="449" t="s">
        <v>16</v>
      </c>
      <c r="O51" s="449"/>
      <c r="P51" s="449"/>
      <c r="R51" s="18" t="s">
        <v>17</v>
      </c>
      <c r="T51" s="18" t="s">
        <v>18</v>
      </c>
    </row>
    <row r="52" spans="2:27" s="18" customFormat="1" ht="6" customHeight="1"/>
    <row r="53" spans="2:27" s="18" customFormat="1" ht="65.099999999999994" customHeight="1">
      <c r="B53" s="450" t="str">
        <f>+'Problema-Objetivo'!F8</f>
        <v/>
      </c>
      <c r="C53" s="451"/>
      <c r="D53" s="451"/>
      <c r="E53" s="451"/>
      <c r="F53" s="451"/>
      <c r="G53" s="451"/>
      <c r="H53" s="452"/>
      <c r="I53" s="19"/>
      <c r="J53" s="435" t="str">
        <f>+IF(B44="","","Centro Infantil de Atención Integral (CIAI)")</f>
        <v/>
      </c>
      <c r="K53" s="436"/>
      <c r="L53" s="437"/>
      <c r="M53" s="19"/>
      <c r="N53" s="435" t="str">
        <f>+IF(B44="","","Distrito de "&amp;'Unidad Productora'!J20)</f>
        <v/>
      </c>
      <c r="O53" s="436"/>
      <c r="P53" s="437"/>
      <c r="Q53" s="19"/>
      <c r="R53" s="147" t="str">
        <f ca="1">IF(B44="","",TODAY())</f>
        <v/>
      </c>
      <c r="S53" s="19"/>
      <c r="T53" s="198"/>
    </row>
    <row r="54" spans="2:27" s="13" customFormat="1" ht="18" customHeight="1">
      <c r="B54" s="146"/>
      <c r="C54" s="12"/>
      <c r="D54" s="12"/>
      <c r="E54" s="12"/>
      <c r="U54" s="18"/>
      <c r="V54" s="18"/>
      <c r="W54" s="18"/>
      <c r="X54" s="18"/>
      <c r="Y54" s="18"/>
      <c r="Z54" s="18"/>
      <c r="AA54" s="18"/>
    </row>
    <row r="55" spans="2:27" s="13" customFormat="1" ht="18" customHeight="1">
      <c r="B55" s="448" t="s">
        <v>19</v>
      </c>
      <c r="C55" s="448"/>
      <c r="D55" s="448"/>
      <c r="E55" s="448"/>
      <c r="F55" s="448" t="s">
        <v>20</v>
      </c>
      <c r="G55" s="448"/>
      <c r="H55" s="448"/>
      <c r="I55" s="448"/>
      <c r="J55" s="448"/>
      <c r="K55" s="448"/>
      <c r="L55" s="17"/>
      <c r="M55" s="429"/>
      <c r="N55" s="430"/>
      <c r="O55" s="430"/>
      <c r="P55" s="430"/>
      <c r="Q55" s="430"/>
      <c r="R55" s="430"/>
      <c r="S55" s="430"/>
      <c r="T55" s="431"/>
      <c r="U55" s="18"/>
      <c r="V55" s="18"/>
      <c r="W55" s="18"/>
      <c r="X55" s="18"/>
      <c r="Y55" s="18"/>
      <c r="Z55" s="18"/>
      <c r="AA55" s="18"/>
    </row>
    <row r="56" spans="2:27" s="13" customFormat="1" ht="18" customHeight="1">
      <c r="B56" s="146"/>
      <c r="C56" s="12"/>
      <c r="D56" s="12"/>
      <c r="E56" s="12"/>
      <c r="U56" s="18"/>
      <c r="V56" s="18"/>
      <c r="W56" s="18"/>
      <c r="X56" s="18"/>
      <c r="Y56" s="18"/>
      <c r="Z56" s="18"/>
      <c r="AA56" s="18"/>
    </row>
    <row r="57" spans="2:27" s="13" customFormat="1" ht="18" customHeight="1">
      <c r="B57" s="11"/>
      <c r="C57" s="11"/>
      <c r="D57" s="12"/>
      <c r="E57" s="12"/>
      <c r="F57" s="12"/>
      <c r="G57" s="12"/>
      <c r="H57" s="12"/>
      <c r="I57" s="12"/>
      <c r="J57" s="12"/>
      <c r="K57" s="12"/>
      <c r="U57" s="18"/>
      <c r="V57" s="18"/>
      <c r="W57" s="18"/>
      <c r="X57" s="18"/>
      <c r="Y57" s="18"/>
      <c r="Z57" s="18"/>
      <c r="AA57" s="18"/>
    </row>
    <row r="58" spans="2:27" s="13" customFormat="1" ht="18" customHeight="1">
      <c r="B58" s="11"/>
      <c r="C58" s="11"/>
      <c r="D58" s="12"/>
      <c r="E58" s="12"/>
      <c r="F58" s="12"/>
      <c r="G58" s="12"/>
      <c r="H58" s="12"/>
      <c r="I58" s="12"/>
      <c r="J58" s="12"/>
      <c r="K58" s="12"/>
    </row>
    <row r="59" spans="2:27" s="15" customFormat="1" ht="18" customHeight="1"/>
    <row r="60" spans="2:27" s="13" customFormat="1" ht="18" customHeight="1">
      <c r="B60" s="17"/>
      <c r="C60" s="17"/>
      <c r="D60" s="17"/>
      <c r="E60" s="17"/>
      <c r="F60" s="17"/>
      <c r="G60" s="17"/>
      <c r="H60" s="17"/>
      <c r="I60" s="17"/>
      <c r="J60" s="17"/>
    </row>
  </sheetData>
  <sheetProtection sheet="1" objects="1" scenarios="1"/>
  <dataConsolidate/>
  <mergeCells count="34">
    <mergeCell ref="H18:T18"/>
    <mergeCell ref="H20:T20"/>
    <mergeCell ref="H22:T22"/>
    <mergeCell ref="H24:T24"/>
    <mergeCell ref="B29:E29"/>
    <mergeCell ref="B31:E31"/>
    <mergeCell ref="B44:D44"/>
    <mergeCell ref="B42:D42"/>
    <mergeCell ref="F44:I44"/>
    <mergeCell ref="B33:E33"/>
    <mergeCell ref="B35:E35"/>
    <mergeCell ref="B37:E37"/>
    <mergeCell ref="F42:I42"/>
    <mergeCell ref="N51:P51"/>
    <mergeCell ref="J53:L53"/>
    <mergeCell ref="N53:P53"/>
    <mergeCell ref="B53:H53"/>
    <mergeCell ref="B51:H51"/>
    <mergeCell ref="M55:T55"/>
    <mergeCell ref="M49:T49"/>
    <mergeCell ref="K44:T44"/>
    <mergeCell ref="H8:T8"/>
    <mergeCell ref="H10:T10"/>
    <mergeCell ref="H12:T12"/>
    <mergeCell ref="H14:T14"/>
    <mergeCell ref="H29:T29"/>
    <mergeCell ref="H31:T31"/>
    <mergeCell ref="H33:T33"/>
    <mergeCell ref="H35:T35"/>
    <mergeCell ref="H37:T37"/>
    <mergeCell ref="K42:T42"/>
    <mergeCell ref="B55:K55"/>
    <mergeCell ref="B49:K49"/>
    <mergeCell ref="J51:L51"/>
  </mergeCells>
  <dataValidations count="2">
    <dataValidation type="list" allowBlank="1" showInputMessage="1" showErrorMessage="1" sqref="B44" xr:uid="{00000000-0002-0000-0200-000000000000}">
      <formula1>Naturaleza</formula1>
    </dataValidation>
    <dataValidation type="list" allowBlank="1" showInputMessage="1" showErrorMessage="1" sqref="H8 H18" xr:uid="{00000000-0002-0000-0200-000001000000}">
      <formula1>NivelGobierno</formula1>
    </dataValidation>
  </dataValidations>
  <pageMargins left="0.7" right="0.7" top="0.75" bottom="0.75" header="0.3" footer="0.3"/>
  <pageSetup paperSize="9" scale="74" orientation="portrait" horizontalDpi="0" verticalDpi="0"/>
  <colBreaks count="1" manualBreakCount="1">
    <brk id="21"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2"/>
  <dimension ref="B2:Z83"/>
  <sheetViews>
    <sheetView zoomScale="110" zoomScaleNormal="110" workbookViewId="0">
      <selection activeCell="O40" sqref="O40:V41"/>
    </sheetView>
  </sheetViews>
  <sheetFormatPr baseColWidth="10" defaultColWidth="5.88671875" defaultRowHeight="18" customHeight="1"/>
  <cols>
    <col min="1" max="1" width="5.88671875" style="2"/>
    <col min="2" max="8" width="5.5546875" style="2" customWidth="1"/>
    <col min="9" max="9" width="7.44140625" style="2" customWidth="1"/>
    <col min="10" max="22" width="5.5546875" style="2" customWidth="1"/>
    <col min="23" max="16384" width="5.88671875" style="2"/>
  </cols>
  <sheetData>
    <row r="2" spans="2:23" s="199" customFormat="1" ht="18" customHeight="1">
      <c r="B2" s="199" t="s">
        <v>4475</v>
      </c>
      <c r="U2" s="200"/>
    </row>
    <row r="3" spans="2:23" s="13" customFormat="1" ht="18" customHeight="1">
      <c r="B3" s="20"/>
      <c r="C3" s="17"/>
      <c r="D3" s="17"/>
      <c r="E3" s="17"/>
      <c r="F3" s="17"/>
      <c r="G3" s="17"/>
      <c r="H3" s="17"/>
      <c r="I3" s="17"/>
      <c r="J3" s="17"/>
    </row>
    <row r="4" spans="2:23" s="13" customFormat="1" ht="20.100000000000001" customHeight="1">
      <c r="B4" s="21" t="s">
        <v>21</v>
      </c>
      <c r="C4" s="22"/>
      <c r="D4" s="23"/>
      <c r="E4" s="23"/>
      <c r="F4" s="23"/>
      <c r="G4" s="23"/>
      <c r="H4" s="23"/>
      <c r="I4" s="23"/>
      <c r="J4" s="23"/>
      <c r="K4" s="23"/>
      <c r="L4" s="24"/>
      <c r="M4" s="24"/>
      <c r="N4" s="24"/>
      <c r="O4" s="24"/>
      <c r="P4" s="24"/>
      <c r="Q4" s="24"/>
      <c r="R4" s="24"/>
      <c r="S4" s="24"/>
      <c r="T4" s="24"/>
      <c r="U4" s="24"/>
      <c r="V4" s="24"/>
    </row>
    <row r="5" spans="2:23" s="13" customFormat="1" ht="18" customHeight="1"/>
    <row r="6" spans="2:23" s="13" customFormat="1" ht="30" customHeight="1">
      <c r="B6" s="201" t="s">
        <v>22</v>
      </c>
      <c r="C6" s="494" t="s">
        <v>27</v>
      </c>
      <c r="D6" s="494"/>
      <c r="E6" s="494"/>
      <c r="F6" s="494"/>
      <c r="G6" s="493" t="s">
        <v>23</v>
      </c>
      <c r="H6" s="493"/>
      <c r="I6" s="493"/>
      <c r="J6" s="493"/>
      <c r="K6" s="493" t="s">
        <v>24</v>
      </c>
      <c r="L6" s="493" t="s">
        <v>24</v>
      </c>
      <c r="M6" s="493"/>
      <c r="N6" s="493"/>
      <c r="O6" s="493" t="s">
        <v>25</v>
      </c>
      <c r="P6" s="493"/>
      <c r="Q6" s="493"/>
      <c r="R6" s="493"/>
      <c r="S6" s="494" t="s">
        <v>26</v>
      </c>
      <c r="T6" s="494"/>
      <c r="U6" s="494"/>
      <c r="V6" s="494"/>
      <c r="W6" s="19"/>
    </row>
    <row r="7" spans="2:23" s="18" customFormat="1" ht="18" customHeight="1">
      <c r="B7" s="202">
        <v>1</v>
      </c>
      <c r="C7" s="498"/>
      <c r="D7" s="469"/>
      <c r="E7" s="469"/>
      <c r="F7" s="470"/>
      <c r="G7" s="471" t="str">
        <f>+IF(C7="","",VLOOKUP(C7,UBIGEO,4,FALSE))</f>
        <v/>
      </c>
      <c r="H7" s="472"/>
      <c r="I7" s="472"/>
      <c r="J7" s="473"/>
      <c r="K7" s="471" t="str">
        <f>+IF(C7="","",VLOOKUP(C7,UBIGEO,3,FALSE))</f>
        <v/>
      </c>
      <c r="L7" s="472"/>
      <c r="M7" s="472"/>
      <c r="N7" s="473"/>
      <c r="O7" s="471" t="str">
        <f>+IF(C7="","",VLOOKUP(C7,UBIGEO,2,FALSE))</f>
        <v/>
      </c>
      <c r="P7" s="472"/>
      <c r="Q7" s="472"/>
      <c r="R7" s="473"/>
      <c r="S7" s="477"/>
      <c r="T7" s="478"/>
      <c r="U7" s="478"/>
      <c r="V7" s="479"/>
    </row>
    <row r="8" spans="2:23" s="18" customFormat="1" ht="18" customHeight="1">
      <c r="B8" s="202">
        <v>2</v>
      </c>
      <c r="C8" s="468"/>
      <c r="D8" s="469"/>
      <c r="E8" s="469"/>
      <c r="F8" s="470"/>
      <c r="G8" s="471" t="str">
        <f>+IF(C8="","",VLOOKUP(C8,UBIGEO,4,FALSE))</f>
        <v/>
      </c>
      <c r="H8" s="472"/>
      <c r="I8" s="472"/>
      <c r="J8" s="473"/>
      <c r="K8" s="471" t="str">
        <f>+IF(C8="","",VLOOKUP(C8,UBIGEO,3,FALSE))</f>
        <v/>
      </c>
      <c r="L8" s="472"/>
      <c r="M8" s="472"/>
      <c r="N8" s="473"/>
      <c r="O8" s="471" t="str">
        <f>+IF(C8="","",VLOOKUP(C8,UBIGEO,2,FALSE))</f>
        <v/>
      </c>
      <c r="P8" s="472"/>
      <c r="Q8" s="472"/>
      <c r="R8" s="473"/>
      <c r="S8" s="477"/>
      <c r="T8" s="478"/>
      <c r="U8" s="478"/>
      <c r="V8" s="479"/>
    </row>
    <row r="9" spans="2:23" s="18" customFormat="1" ht="18" customHeight="1">
      <c r="B9" s="202">
        <v>3</v>
      </c>
      <c r="C9" s="468"/>
      <c r="D9" s="469"/>
      <c r="E9" s="469"/>
      <c r="F9" s="470"/>
      <c r="G9" s="471" t="str">
        <f>+IF(C9="","",VLOOKUP(C9,UBIGEO,4,FALSE))</f>
        <v/>
      </c>
      <c r="H9" s="472"/>
      <c r="I9" s="472"/>
      <c r="J9" s="473"/>
      <c r="K9" s="471" t="str">
        <f>+IF(C9="","",VLOOKUP(C9,UBIGEO,3,FALSE))</f>
        <v/>
      </c>
      <c r="L9" s="472"/>
      <c r="M9" s="472"/>
      <c r="N9" s="473"/>
      <c r="O9" s="471" t="str">
        <f>+IF(C9="","",VLOOKUP(C9,UBIGEO,2,FALSE))</f>
        <v/>
      </c>
      <c r="P9" s="472"/>
      <c r="Q9" s="472"/>
      <c r="R9" s="473"/>
      <c r="S9" s="477"/>
      <c r="T9" s="478"/>
      <c r="U9" s="478"/>
      <c r="V9" s="479"/>
    </row>
    <row r="10" spans="2:23" s="18" customFormat="1" ht="18" customHeight="1">
      <c r="B10" s="202">
        <v>4</v>
      </c>
      <c r="C10" s="468"/>
      <c r="D10" s="469"/>
      <c r="E10" s="469"/>
      <c r="F10" s="470"/>
      <c r="G10" s="471" t="str">
        <f>+IF(C10="","",VLOOKUP(C10,UBIGEO,4,FALSE))</f>
        <v/>
      </c>
      <c r="H10" s="472"/>
      <c r="I10" s="472"/>
      <c r="J10" s="473"/>
      <c r="K10" s="471" t="str">
        <f>+IF(C10="","",VLOOKUP(C10,UBIGEO,3,FALSE))</f>
        <v/>
      </c>
      <c r="L10" s="472"/>
      <c r="M10" s="472"/>
      <c r="N10" s="473"/>
      <c r="O10" s="471" t="str">
        <f>+IF(C10="","",VLOOKUP(C10,UBIGEO,2,FALSE))</f>
        <v/>
      </c>
      <c r="P10" s="472"/>
      <c r="Q10" s="472"/>
      <c r="R10" s="473"/>
      <c r="S10" s="477"/>
      <c r="T10" s="478"/>
      <c r="U10" s="478"/>
      <c r="V10" s="479"/>
    </row>
    <row r="11" spans="2:23" s="18" customFormat="1" ht="18" customHeight="1">
      <c r="B11" s="202">
        <v>5</v>
      </c>
      <c r="C11" s="468"/>
      <c r="D11" s="469"/>
      <c r="E11" s="469"/>
      <c r="F11" s="470"/>
      <c r="G11" s="471" t="str">
        <f>+IF(C11="","",VLOOKUP(C11,UBIGEO,4,FALSE))</f>
        <v/>
      </c>
      <c r="H11" s="472"/>
      <c r="I11" s="472"/>
      <c r="J11" s="473"/>
      <c r="K11" s="471" t="str">
        <f>+IF(C11="","",VLOOKUP(C11,UBIGEO,3,FALSE))</f>
        <v/>
      </c>
      <c r="L11" s="472"/>
      <c r="M11" s="472"/>
      <c r="N11" s="473"/>
      <c r="O11" s="471" t="str">
        <f>+IF(C11="","",VLOOKUP(C11,UBIGEO,2,FALSE))</f>
        <v/>
      </c>
      <c r="P11" s="472"/>
      <c r="Q11" s="472"/>
      <c r="R11" s="473"/>
      <c r="S11" s="477"/>
      <c r="T11" s="478"/>
      <c r="U11" s="478"/>
      <c r="V11" s="479"/>
    </row>
    <row r="12" spans="2:23" s="13" customFormat="1" ht="18" customHeight="1">
      <c r="B12" s="13" t="s">
        <v>3997</v>
      </c>
    </row>
    <row r="13" spans="2:23" s="13" customFormat="1" ht="18" customHeight="1"/>
    <row r="14" spans="2:23" s="13" customFormat="1" ht="18" customHeight="1"/>
    <row r="15" spans="2:23" s="13" customFormat="1" ht="20.100000000000001" customHeight="1">
      <c r="B15" s="21" t="s">
        <v>3995</v>
      </c>
      <c r="C15" s="22"/>
      <c r="D15" s="23"/>
      <c r="E15" s="23"/>
      <c r="F15" s="23"/>
      <c r="G15" s="23"/>
      <c r="H15" s="23"/>
      <c r="I15" s="23"/>
      <c r="J15" s="23"/>
      <c r="K15" s="23"/>
      <c r="L15" s="24"/>
      <c r="M15" s="24"/>
      <c r="N15" s="24"/>
      <c r="O15" s="24"/>
      <c r="P15" s="24"/>
      <c r="Q15" s="24"/>
      <c r="R15" s="24"/>
      <c r="S15" s="24"/>
      <c r="T15" s="24"/>
      <c r="U15" s="24"/>
      <c r="V15" s="24"/>
    </row>
    <row r="16" spans="2:23" s="13" customFormat="1" ht="18" customHeight="1"/>
    <row r="17" spans="2:23" s="13" customFormat="1" ht="30" customHeight="1">
      <c r="B17" s="201" t="s">
        <v>22</v>
      </c>
      <c r="C17" s="494" t="s">
        <v>27</v>
      </c>
      <c r="D17" s="494"/>
      <c r="E17" s="494"/>
      <c r="F17" s="494"/>
      <c r="G17" s="493" t="s">
        <v>23</v>
      </c>
      <c r="H17" s="493"/>
      <c r="I17" s="493"/>
      <c r="J17" s="493"/>
      <c r="K17" s="493" t="s">
        <v>24</v>
      </c>
      <c r="L17" s="493" t="s">
        <v>24</v>
      </c>
      <c r="M17" s="493"/>
      <c r="N17" s="493"/>
      <c r="O17" s="493" t="s">
        <v>25</v>
      </c>
      <c r="P17" s="493"/>
      <c r="Q17" s="493"/>
      <c r="R17" s="493"/>
      <c r="S17" s="494" t="s">
        <v>26</v>
      </c>
      <c r="T17" s="494"/>
      <c r="U17" s="494"/>
      <c r="V17" s="494"/>
      <c r="W17" s="19"/>
    </row>
    <row r="18" spans="2:23" s="18" customFormat="1" ht="18" customHeight="1">
      <c r="B18" s="202">
        <v>1</v>
      </c>
      <c r="C18" s="498"/>
      <c r="D18" s="469"/>
      <c r="E18" s="469"/>
      <c r="F18" s="470"/>
      <c r="G18" s="471" t="str">
        <f>+IF(C18="","",VLOOKUP(C18,UBIGEO,4,FALSE))</f>
        <v/>
      </c>
      <c r="H18" s="472"/>
      <c r="I18" s="472"/>
      <c r="J18" s="473"/>
      <c r="K18" s="471" t="str">
        <f>+IF(C18="","",VLOOKUP(C18,UBIGEO,3,FALSE))</f>
        <v/>
      </c>
      <c r="L18" s="472"/>
      <c r="M18" s="472"/>
      <c r="N18" s="473"/>
      <c r="O18" s="471" t="str">
        <f>+IF(C18="","",VLOOKUP(C18,UBIGEO,2,FALSE))</f>
        <v/>
      </c>
      <c r="P18" s="472"/>
      <c r="Q18" s="472"/>
      <c r="R18" s="473"/>
      <c r="S18" s="477"/>
      <c r="T18" s="478"/>
      <c r="U18" s="478"/>
      <c r="V18" s="479"/>
    </row>
    <row r="19" spans="2:23" s="18" customFormat="1" ht="18" customHeight="1">
      <c r="B19" s="202">
        <v>2</v>
      </c>
      <c r="C19" s="468"/>
      <c r="D19" s="469"/>
      <c r="E19" s="469"/>
      <c r="F19" s="470"/>
      <c r="G19" s="471" t="str">
        <f>+IF(C19="","",VLOOKUP(C19,UBIGEO,4,FALSE))</f>
        <v/>
      </c>
      <c r="H19" s="472"/>
      <c r="I19" s="472"/>
      <c r="J19" s="473"/>
      <c r="K19" s="471" t="str">
        <f>+IF(C19="","",VLOOKUP(C19,UBIGEO,3,FALSE))</f>
        <v/>
      </c>
      <c r="L19" s="472"/>
      <c r="M19" s="472"/>
      <c r="N19" s="473"/>
      <c r="O19" s="471" t="str">
        <f>+IF(C19="","",VLOOKUP(C19,UBIGEO,2,FALSE))</f>
        <v/>
      </c>
      <c r="P19" s="472"/>
      <c r="Q19" s="472"/>
      <c r="R19" s="473"/>
      <c r="S19" s="477"/>
      <c r="T19" s="478"/>
      <c r="U19" s="478"/>
      <c r="V19" s="479"/>
    </row>
    <row r="20" spans="2:23" s="18" customFormat="1" ht="18" customHeight="1">
      <c r="B20" s="202">
        <v>3</v>
      </c>
      <c r="C20" s="468"/>
      <c r="D20" s="469"/>
      <c r="E20" s="469"/>
      <c r="F20" s="470"/>
      <c r="G20" s="471" t="str">
        <f>+IF(C20="","",VLOOKUP(C20,UBIGEO,4,FALSE))</f>
        <v/>
      </c>
      <c r="H20" s="472"/>
      <c r="I20" s="472"/>
      <c r="J20" s="473"/>
      <c r="K20" s="471" t="str">
        <f>+IF(C20="","",VLOOKUP(C20,UBIGEO,3,FALSE))</f>
        <v/>
      </c>
      <c r="L20" s="472"/>
      <c r="M20" s="472"/>
      <c r="N20" s="473"/>
      <c r="O20" s="471" t="str">
        <f>+IF(C20="","",VLOOKUP(C20,UBIGEO,2,FALSE))</f>
        <v/>
      </c>
      <c r="P20" s="472"/>
      <c r="Q20" s="472"/>
      <c r="R20" s="473"/>
      <c r="S20" s="477"/>
      <c r="T20" s="478"/>
      <c r="U20" s="478"/>
      <c r="V20" s="479"/>
    </row>
    <row r="21" spans="2:23" s="18" customFormat="1" ht="18" customHeight="1">
      <c r="B21" s="202">
        <v>4</v>
      </c>
      <c r="C21" s="468"/>
      <c r="D21" s="469"/>
      <c r="E21" s="469"/>
      <c r="F21" s="470"/>
      <c r="G21" s="471" t="str">
        <f>+IF(C21="","",VLOOKUP(C21,UBIGEO,4,FALSE))</f>
        <v/>
      </c>
      <c r="H21" s="472"/>
      <c r="I21" s="472"/>
      <c r="J21" s="473"/>
      <c r="K21" s="471" t="str">
        <f>+IF(C21="","",VLOOKUP(C21,UBIGEO,3,FALSE))</f>
        <v/>
      </c>
      <c r="L21" s="472"/>
      <c r="M21" s="472"/>
      <c r="N21" s="473"/>
      <c r="O21" s="471" t="str">
        <f>+IF(C21="","",VLOOKUP(C21,UBIGEO,2,FALSE))</f>
        <v/>
      </c>
      <c r="P21" s="472"/>
      <c r="Q21" s="472"/>
      <c r="R21" s="473"/>
      <c r="S21" s="477"/>
      <c r="T21" s="478"/>
      <c r="U21" s="478"/>
      <c r="V21" s="479"/>
    </row>
    <row r="22" spans="2:23" s="18" customFormat="1" ht="18" customHeight="1">
      <c r="B22" s="202">
        <v>5</v>
      </c>
      <c r="C22" s="468"/>
      <c r="D22" s="469"/>
      <c r="E22" s="469"/>
      <c r="F22" s="470"/>
      <c r="G22" s="471" t="str">
        <f>+IF(C22="","",VLOOKUP(C22,UBIGEO,4,FALSE))</f>
        <v/>
      </c>
      <c r="H22" s="472"/>
      <c r="I22" s="472"/>
      <c r="J22" s="473"/>
      <c r="K22" s="471" t="str">
        <f>+IF(C22="","",VLOOKUP(C22,UBIGEO,3,FALSE))</f>
        <v/>
      </c>
      <c r="L22" s="472"/>
      <c r="M22" s="472"/>
      <c r="N22" s="473"/>
      <c r="O22" s="471" t="str">
        <f>+IF(C22="","",VLOOKUP(C22,UBIGEO,2,FALSE))</f>
        <v/>
      </c>
      <c r="P22" s="472"/>
      <c r="Q22" s="472"/>
      <c r="R22" s="473"/>
      <c r="S22" s="477"/>
      <c r="T22" s="478"/>
      <c r="U22" s="478"/>
      <c r="V22" s="479"/>
    </row>
    <row r="23" spans="2:23" s="13" customFormat="1" ht="18" customHeight="1">
      <c r="B23" s="13" t="s">
        <v>3996</v>
      </c>
      <c r="C23" s="17"/>
    </row>
    <row r="24" spans="2:23" s="13" customFormat="1" ht="18" customHeight="1">
      <c r="C24" s="17"/>
    </row>
    <row r="25" spans="2:23" s="13" customFormat="1" ht="18" customHeight="1"/>
    <row r="26" spans="2:23" s="13" customFormat="1" ht="20.100000000000001" customHeight="1">
      <c r="B26" s="21" t="s">
        <v>4001</v>
      </c>
      <c r="C26" s="22"/>
      <c r="D26" s="23"/>
      <c r="E26" s="23"/>
      <c r="F26" s="23"/>
      <c r="G26" s="23"/>
      <c r="H26" s="23"/>
      <c r="I26" s="23"/>
      <c r="J26" s="23"/>
      <c r="K26" s="23"/>
      <c r="L26" s="24"/>
      <c r="M26" s="24"/>
      <c r="N26" s="24"/>
      <c r="O26" s="24"/>
      <c r="P26" s="24"/>
      <c r="Q26" s="24"/>
      <c r="R26" s="24"/>
      <c r="S26" s="24"/>
      <c r="T26" s="24"/>
      <c r="U26" s="24"/>
      <c r="V26" s="24"/>
    </row>
    <row r="27" spans="2:23" s="13" customFormat="1" ht="18" customHeight="1">
      <c r="B27" s="203"/>
      <c r="C27" s="17"/>
    </row>
    <row r="28" spans="2:23" s="13" customFormat="1" ht="294" customHeight="1">
      <c r="B28" s="486"/>
      <c r="C28" s="487"/>
      <c r="D28" s="487"/>
      <c r="E28" s="487"/>
      <c r="F28" s="487"/>
      <c r="G28" s="487"/>
      <c r="H28" s="487"/>
      <c r="I28" s="487"/>
      <c r="J28" s="487"/>
      <c r="K28" s="487"/>
      <c r="L28" s="487"/>
      <c r="M28" s="487"/>
      <c r="N28" s="487"/>
      <c r="O28" s="487"/>
      <c r="P28" s="487"/>
      <c r="Q28" s="488"/>
      <c r="R28" s="435" t="str">
        <f>+"Leyenda
Mapa de macrolocalización del CIAI de la localidad/centro poblado de "&amp;S7&amp;", del distrito de "&amp;O7&amp;", provincia de "&amp;K7&amp;", departamento de "&amp;G7</f>
        <v xml:space="preserve">Leyenda
Mapa de macrolocalización del CIAI de la localidad/centro poblado de , del distrito de , provincia de , departamento de </v>
      </c>
      <c r="S28" s="433"/>
      <c r="T28" s="433"/>
      <c r="U28" s="433"/>
      <c r="V28" s="434"/>
    </row>
    <row r="29" spans="2:23" s="13" customFormat="1" ht="18" customHeight="1">
      <c r="B29" s="15" t="s">
        <v>4000</v>
      </c>
      <c r="C29" s="17"/>
      <c r="D29" s="17"/>
      <c r="E29" s="17"/>
      <c r="J29" s="204" t="s">
        <v>3999</v>
      </c>
      <c r="R29" s="205"/>
      <c r="S29" s="205"/>
      <c r="T29" s="205"/>
      <c r="U29" s="205"/>
      <c r="V29" s="205"/>
    </row>
    <row r="30" spans="2:23" s="13" customFormat="1" ht="18" customHeight="1">
      <c r="B30" s="15"/>
      <c r="C30" s="17"/>
      <c r="D30" s="17"/>
      <c r="E30" s="17"/>
      <c r="J30" s="204" t="s">
        <v>4522</v>
      </c>
      <c r="R30" s="205"/>
      <c r="S30" s="205"/>
      <c r="T30" s="205"/>
      <c r="U30" s="205"/>
      <c r="V30" s="205"/>
    </row>
    <row r="31" spans="2:23" s="13" customFormat="1" ht="18" customHeight="1">
      <c r="B31" s="15"/>
      <c r="C31" s="17"/>
      <c r="D31" s="17"/>
      <c r="E31" s="17"/>
      <c r="R31" s="205"/>
      <c r="S31" s="205"/>
      <c r="T31" s="205"/>
      <c r="U31" s="205"/>
      <c r="V31" s="205"/>
    </row>
    <row r="32" spans="2:23" s="13" customFormat="1" ht="294" customHeight="1">
      <c r="B32" s="486"/>
      <c r="C32" s="487"/>
      <c r="D32" s="487"/>
      <c r="E32" s="487"/>
      <c r="F32" s="487"/>
      <c r="G32" s="487"/>
      <c r="H32" s="487"/>
      <c r="I32" s="487"/>
      <c r="J32" s="487"/>
      <c r="K32" s="487"/>
      <c r="L32" s="487"/>
      <c r="M32" s="487"/>
      <c r="N32" s="487"/>
      <c r="O32" s="487"/>
      <c r="P32" s="487"/>
      <c r="Q32" s="488"/>
      <c r="R32" s="435" t="str">
        <f>+"Leyenda
Mapa de microlocalización del CIAI de la localidad/centro poblado de "&amp;S7&amp;", del distrito de "&amp;O7&amp;", provincia de "&amp;K7&amp;", departamento de "&amp;G7</f>
        <v xml:space="preserve">Leyenda
Mapa de microlocalización del CIAI de la localidad/centro poblado de , del distrito de , provincia de , departamento de </v>
      </c>
      <c r="S32" s="436"/>
      <c r="T32" s="436"/>
      <c r="U32" s="436"/>
      <c r="V32" s="437"/>
    </row>
    <row r="33" spans="2:23" s="13" customFormat="1" ht="18" customHeight="1">
      <c r="B33" s="432" t="s">
        <v>28</v>
      </c>
      <c r="C33" s="433"/>
      <c r="D33" s="433"/>
      <c r="E33" s="433"/>
      <c r="F33" s="434"/>
      <c r="G33" s="495"/>
      <c r="H33" s="496"/>
      <c r="I33" s="496"/>
      <c r="J33" s="496"/>
      <c r="K33" s="496"/>
      <c r="L33" s="496"/>
      <c r="M33" s="496"/>
      <c r="N33" s="496"/>
      <c r="O33" s="496"/>
      <c r="P33" s="496"/>
      <c r="Q33" s="497"/>
      <c r="R33" s="490"/>
      <c r="S33" s="491"/>
      <c r="T33" s="491"/>
      <c r="U33" s="491"/>
      <c r="V33" s="492"/>
    </row>
    <row r="34" spans="2:23" s="13" customFormat="1" ht="18" customHeight="1">
      <c r="B34" s="15" t="s">
        <v>4523</v>
      </c>
      <c r="C34" s="17"/>
      <c r="D34" s="17"/>
      <c r="E34" s="17"/>
      <c r="J34" s="204" t="s">
        <v>3998</v>
      </c>
    </row>
    <row r="35" spans="2:23" s="13" customFormat="1" ht="18" customHeight="1">
      <c r="J35" s="204" t="s">
        <v>4522</v>
      </c>
    </row>
    <row r="36" spans="2:23" s="13" customFormat="1" ht="18" customHeight="1"/>
    <row r="37" spans="2:23" s="13" customFormat="1" ht="20.100000000000001" customHeight="1">
      <c r="B37" s="21" t="s">
        <v>3933</v>
      </c>
      <c r="C37" s="22"/>
      <c r="D37" s="23"/>
      <c r="E37" s="23"/>
      <c r="F37" s="23"/>
      <c r="G37" s="23"/>
      <c r="H37" s="23"/>
      <c r="I37" s="23"/>
      <c r="J37" s="23"/>
      <c r="K37" s="23"/>
      <c r="L37" s="24"/>
      <c r="M37" s="24"/>
      <c r="N37" s="24"/>
      <c r="O37" s="24"/>
      <c r="P37" s="24"/>
      <c r="Q37" s="24"/>
      <c r="R37" s="24"/>
      <c r="S37" s="24"/>
      <c r="T37" s="24"/>
      <c r="U37" s="24"/>
      <c r="V37" s="24"/>
    </row>
    <row r="38" spans="2:23" s="13" customFormat="1" ht="18" customHeight="1">
      <c r="B38" s="20"/>
      <c r="C38" s="17"/>
      <c r="D38" s="17"/>
      <c r="E38" s="17"/>
      <c r="F38" s="17"/>
      <c r="G38" s="17"/>
      <c r="H38" s="17"/>
      <c r="I38" s="17"/>
      <c r="J38" s="17"/>
    </row>
    <row r="39" spans="2:23" s="13" customFormat="1" ht="18" customHeight="1">
      <c r="B39" s="20" t="s">
        <v>4036</v>
      </c>
    </row>
    <row r="40" spans="2:23" s="13" customFormat="1" ht="18" customHeight="1">
      <c r="B40" s="480" t="s">
        <v>30</v>
      </c>
      <c r="C40" s="481"/>
      <c r="D40" s="482"/>
      <c r="E40" s="480" t="s">
        <v>3923</v>
      </c>
      <c r="F40" s="481"/>
      <c r="G40" s="481"/>
      <c r="H40" s="482"/>
      <c r="I40" s="480" t="s">
        <v>31</v>
      </c>
      <c r="J40" s="481"/>
      <c r="K40" s="482"/>
      <c r="L40" s="480" t="s">
        <v>3922</v>
      </c>
      <c r="M40" s="481"/>
      <c r="N40" s="482"/>
      <c r="O40" s="480" t="s">
        <v>4553</v>
      </c>
      <c r="P40" s="481"/>
      <c r="Q40" s="481"/>
      <c r="R40" s="481"/>
      <c r="S40" s="481"/>
      <c r="T40" s="481"/>
      <c r="U40" s="481"/>
      <c r="V40" s="482"/>
    </row>
    <row r="41" spans="2:23" s="13" customFormat="1" ht="18" customHeight="1">
      <c r="B41" s="483"/>
      <c r="C41" s="484"/>
      <c r="D41" s="485"/>
      <c r="E41" s="483"/>
      <c r="F41" s="484"/>
      <c r="G41" s="484"/>
      <c r="H41" s="485"/>
      <c r="I41" s="483"/>
      <c r="J41" s="484"/>
      <c r="K41" s="485"/>
      <c r="L41" s="483"/>
      <c r="M41" s="484"/>
      <c r="N41" s="485"/>
      <c r="O41" s="483"/>
      <c r="P41" s="484"/>
      <c r="Q41" s="484"/>
      <c r="R41" s="484"/>
      <c r="S41" s="484"/>
      <c r="T41" s="484"/>
      <c r="U41" s="484"/>
      <c r="V41" s="485"/>
    </row>
    <row r="42" spans="2:23" s="17" customFormat="1" ht="42.95" customHeight="1">
      <c r="B42" s="500"/>
      <c r="C42" s="500"/>
      <c r="D42" s="500"/>
      <c r="E42" s="500"/>
      <c r="F42" s="500"/>
      <c r="G42" s="500"/>
      <c r="H42" s="500"/>
      <c r="I42" s="499"/>
      <c r="J42" s="500"/>
      <c r="K42" s="500"/>
      <c r="L42" s="477"/>
      <c r="M42" s="478"/>
      <c r="N42" s="479"/>
      <c r="O42" s="477"/>
      <c r="P42" s="478"/>
      <c r="Q42" s="478"/>
      <c r="R42" s="478"/>
      <c r="S42" s="478"/>
      <c r="T42" s="478"/>
      <c r="U42" s="478"/>
      <c r="V42" s="479"/>
      <c r="W42" s="13"/>
    </row>
    <row r="43" spans="2:23" s="17" customFormat="1" ht="18" customHeight="1">
      <c r="B43" s="494" t="s">
        <v>4476</v>
      </c>
      <c r="C43" s="494"/>
      <c r="D43" s="435"/>
      <c r="E43" s="504" t="s">
        <v>3924</v>
      </c>
      <c r="F43" s="505"/>
      <c r="G43" s="505"/>
      <c r="H43" s="505"/>
      <c r="I43" s="505"/>
      <c r="J43" s="505"/>
      <c r="K43" s="505"/>
      <c r="L43" s="505"/>
      <c r="M43" s="505"/>
      <c r="N43" s="505"/>
      <c r="O43" s="505"/>
      <c r="P43" s="505"/>
      <c r="Q43" s="505"/>
      <c r="R43" s="505"/>
      <c r="S43" s="505"/>
      <c r="T43" s="505"/>
      <c r="U43" s="505"/>
      <c r="V43" s="506"/>
      <c r="W43" s="13"/>
    </row>
    <row r="44" spans="2:23" s="13" customFormat="1" ht="18" customHeight="1"/>
    <row r="45" spans="2:23" s="13" customFormat="1" ht="32.1" customHeight="1">
      <c r="B45" s="489" t="s">
        <v>3932</v>
      </c>
      <c r="C45" s="489"/>
      <c r="D45" s="489"/>
      <c r="E45" s="489"/>
      <c r="F45" s="489"/>
      <c r="G45" s="489"/>
      <c r="H45" s="489"/>
      <c r="I45" s="489"/>
      <c r="J45" s="489"/>
      <c r="K45" s="489"/>
      <c r="L45" s="489"/>
      <c r="M45" s="489"/>
      <c r="N45" s="489"/>
      <c r="O45" s="489"/>
      <c r="P45" s="489"/>
      <c r="Q45" s="489"/>
      <c r="R45" s="489"/>
      <c r="S45" s="489"/>
      <c r="T45" s="489"/>
      <c r="U45" s="489"/>
      <c r="V45" s="489"/>
    </row>
    <row r="46" spans="2:23" s="206" customFormat="1" ht="15.75">
      <c r="B46" s="474" t="s">
        <v>4524</v>
      </c>
      <c r="C46" s="475"/>
      <c r="D46" s="475"/>
      <c r="E46" s="475"/>
      <c r="F46" s="475"/>
      <c r="G46" s="475"/>
      <c r="H46" s="475"/>
      <c r="I46" s="475"/>
      <c r="J46" s="475"/>
      <c r="K46" s="475"/>
      <c r="L46" s="475"/>
      <c r="M46" s="475"/>
      <c r="N46" s="475"/>
      <c r="O46" s="475"/>
      <c r="P46" s="475"/>
      <c r="Q46" s="475"/>
      <c r="R46" s="475"/>
      <c r="S46" s="475"/>
      <c r="T46" s="475"/>
      <c r="U46" s="475"/>
      <c r="V46" s="476"/>
    </row>
    <row r="47" spans="2:23" s="205" customFormat="1" ht="144" customHeight="1">
      <c r="B47" s="507"/>
      <c r="C47" s="508"/>
      <c r="D47" s="508"/>
      <c r="E47" s="508"/>
      <c r="F47" s="508"/>
      <c r="G47" s="508"/>
      <c r="H47" s="508"/>
      <c r="I47" s="508"/>
      <c r="J47" s="508"/>
      <c r="K47" s="508"/>
      <c r="L47" s="508"/>
      <c r="M47" s="508"/>
      <c r="N47" s="508"/>
      <c r="O47" s="508"/>
      <c r="P47" s="508"/>
      <c r="Q47" s="508"/>
      <c r="R47" s="508"/>
      <c r="S47" s="508"/>
      <c r="T47" s="508"/>
      <c r="U47" s="508"/>
      <c r="V47" s="509"/>
    </row>
    <row r="48" spans="2:23" s="206" customFormat="1" ht="15.75">
      <c r="B48" s="474" t="s">
        <v>4525</v>
      </c>
      <c r="C48" s="475"/>
      <c r="D48" s="475"/>
      <c r="E48" s="475"/>
      <c r="F48" s="475"/>
      <c r="G48" s="475"/>
      <c r="H48" s="475"/>
      <c r="I48" s="475"/>
      <c r="J48" s="475"/>
      <c r="K48" s="475"/>
      <c r="L48" s="475"/>
      <c r="M48" s="475"/>
      <c r="N48" s="475"/>
      <c r="O48" s="475"/>
      <c r="P48" s="475"/>
      <c r="Q48" s="475"/>
      <c r="R48" s="475"/>
      <c r="S48" s="475"/>
      <c r="T48" s="475"/>
      <c r="U48" s="475"/>
      <c r="V48" s="476"/>
    </row>
    <row r="49" spans="2:26" s="205" customFormat="1" ht="144" customHeight="1">
      <c r="B49" s="507"/>
      <c r="C49" s="508"/>
      <c r="D49" s="508"/>
      <c r="E49" s="508"/>
      <c r="F49" s="508"/>
      <c r="G49" s="508"/>
      <c r="H49" s="508"/>
      <c r="I49" s="508"/>
      <c r="J49" s="508"/>
      <c r="K49" s="508"/>
      <c r="L49" s="508"/>
      <c r="M49" s="508"/>
      <c r="N49" s="508"/>
      <c r="O49" s="508"/>
      <c r="P49" s="508"/>
      <c r="Q49" s="508"/>
      <c r="R49" s="508"/>
      <c r="S49" s="508"/>
      <c r="T49" s="508"/>
      <c r="U49" s="508"/>
      <c r="V49" s="509"/>
    </row>
    <row r="50" spans="2:26" s="206" customFormat="1" ht="15.75">
      <c r="B50" s="474" t="s">
        <v>4526</v>
      </c>
      <c r="C50" s="475"/>
      <c r="D50" s="475"/>
      <c r="E50" s="475"/>
      <c r="F50" s="475"/>
      <c r="G50" s="475"/>
      <c r="H50" s="475"/>
      <c r="I50" s="475"/>
      <c r="J50" s="475"/>
      <c r="K50" s="475"/>
      <c r="L50" s="475"/>
      <c r="M50" s="475"/>
      <c r="N50" s="475"/>
      <c r="O50" s="475"/>
      <c r="P50" s="475"/>
      <c r="Q50" s="475"/>
      <c r="R50" s="475"/>
      <c r="S50" s="475"/>
      <c r="T50" s="475"/>
      <c r="U50" s="475"/>
      <c r="V50" s="476"/>
    </row>
    <row r="51" spans="2:26" s="205" customFormat="1" ht="158.1" customHeight="1">
      <c r="B51" s="507"/>
      <c r="C51" s="508"/>
      <c r="D51" s="508"/>
      <c r="E51" s="508"/>
      <c r="F51" s="508"/>
      <c r="G51" s="508"/>
      <c r="H51" s="508"/>
      <c r="I51" s="508"/>
      <c r="J51" s="508"/>
      <c r="K51" s="508"/>
      <c r="L51" s="508"/>
      <c r="M51" s="508"/>
      <c r="N51" s="508"/>
      <c r="O51" s="508"/>
      <c r="P51" s="508"/>
      <c r="Q51" s="508"/>
      <c r="R51" s="508"/>
      <c r="S51" s="508"/>
      <c r="T51" s="508"/>
      <c r="U51" s="508"/>
      <c r="V51" s="509"/>
    </row>
    <row r="52" spans="2:26" s="13" customFormat="1" ht="18" customHeight="1"/>
    <row r="53" spans="2:26" s="13" customFormat="1" ht="18" customHeight="1">
      <c r="B53" s="20" t="s">
        <v>3934</v>
      </c>
    </row>
    <row r="54" spans="2:26" s="13" customFormat="1" ht="33" customHeight="1">
      <c r="B54" s="494" t="s">
        <v>32</v>
      </c>
      <c r="C54" s="494"/>
      <c r="D54" s="494"/>
      <c r="E54" s="494"/>
      <c r="F54" s="494"/>
      <c r="G54" s="494"/>
      <c r="H54" s="435" t="s">
        <v>3935</v>
      </c>
      <c r="I54" s="436"/>
      <c r="J54" s="436"/>
      <c r="K54" s="437"/>
      <c r="L54" s="435" t="s">
        <v>3937</v>
      </c>
      <c r="M54" s="436"/>
      <c r="N54" s="437"/>
      <c r="O54" s="435" t="s">
        <v>3936</v>
      </c>
      <c r="P54" s="436"/>
      <c r="Q54" s="436"/>
      <c r="R54" s="436"/>
      <c r="S54" s="436"/>
      <c r="T54" s="436"/>
      <c r="U54" s="436"/>
      <c r="V54" s="437"/>
    </row>
    <row r="55" spans="2:26" s="13" customFormat="1" ht="54" customHeight="1">
      <c r="B55" s="466" t="s">
        <v>3926</v>
      </c>
      <c r="C55" s="466"/>
      <c r="D55" s="466"/>
      <c r="E55" s="466"/>
      <c r="F55" s="466"/>
      <c r="G55" s="466"/>
      <c r="H55" s="477"/>
      <c r="I55" s="478"/>
      <c r="J55" s="478"/>
      <c r="K55" s="479"/>
      <c r="L55" s="477"/>
      <c r="M55" s="478"/>
      <c r="N55" s="479"/>
      <c r="O55" s="477"/>
      <c r="P55" s="478"/>
      <c r="Q55" s="478"/>
      <c r="R55" s="478"/>
      <c r="S55" s="478"/>
      <c r="T55" s="478"/>
      <c r="U55" s="478"/>
      <c r="V55" s="479"/>
    </row>
    <row r="56" spans="2:26" s="13" customFormat="1" ht="54" customHeight="1">
      <c r="B56" s="466" t="s">
        <v>3927</v>
      </c>
      <c r="C56" s="466"/>
      <c r="D56" s="466"/>
      <c r="E56" s="466"/>
      <c r="F56" s="466"/>
      <c r="G56" s="466"/>
      <c r="H56" s="477"/>
      <c r="I56" s="478"/>
      <c r="J56" s="478"/>
      <c r="K56" s="479"/>
      <c r="L56" s="477"/>
      <c r="M56" s="478"/>
      <c r="N56" s="479"/>
      <c r="O56" s="477"/>
      <c r="P56" s="478"/>
      <c r="Q56" s="478"/>
      <c r="R56" s="478"/>
      <c r="S56" s="478"/>
      <c r="T56" s="478"/>
      <c r="U56" s="478"/>
      <c r="V56" s="479"/>
    </row>
    <row r="57" spans="2:26" s="13" customFormat="1" ht="54" customHeight="1">
      <c r="B57" s="466" t="s">
        <v>3928</v>
      </c>
      <c r="C57" s="466"/>
      <c r="D57" s="466"/>
      <c r="E57" s="466"/>
      <c r="F57" s="466"/>
      <c r="G57" s="466"/>
      <c r="H57" s="477"/>
      <c r="I57" s="478"/>
      <c r="J57" s="478"/>
      <c r="K57" s="479"/>
      <c r="L57" s="477"/>
      <c r="M57" s="478"/>
      <c r="N57" s="479"/>
      <c r="O57" s="477"/>
      <c r="P57" s="478"/>
      <c r="Q57" s="478"/>
      <c r="R57" s="478"/>
      <c r="S57" s="478"/>
      <c r="T57" s="478"/>
      <c r="U57" s="478"/>
      <c r="V57" s="479"/>
    </row>
    <row r="58" spans="2:26" s="13" customFormat="1" ht="54" customHeight="1">
      <c r="B58" s="461" t="s">
        <v>3929</v>
      </c>
      <c r="C58" s="461"/>
      <c r="D58" s="461"/>
      <c r="E58" s="461"/>
      <c r="F58" s="461"/>
      <c r="G58" s="461"/>
      <c r="H58" s="457"/>
      <c r="I58" s="458"/>
      <c r="J58" s="458"/>
      <c r="K58" s="459"/>
      <c r="L58" s="457"/>
      <c r="M58" s="458"/>
      <c r="N58" s="459"/>
      <c r="O58" s="457"/>
      <c r="P58" s="458"/>
      <c r="Q58" s="458"/>
      <c r="R58" s="458"/>
      <c r="S58" s="458"/>
      <c r="T58" s="458"/>
      <c r="U58" s="458"/>
      <c r="V58" s="459"/>
    </row>
    <row r="59" spans="2:26" s="17" customFormat="1" ht="18" customHeight="1">
      <c r="B59" s="466" t="s">
        <v>4476</v>
      </c>
      <c r="C59" s="466"/>
      <c r="D59" s="466"/>
      <c r="E59" s="466"/>
      <c r="F59" s="466"/>
      <c r="G59" s="466"/>
      <c r="H59" s="467" t="s">
        <v>3925</v>
      </c>
      <c r="I59" s="467"/>
      <c r="J59" s="467"/>
      <c r="K59" s="467"/>
      <c r="L59" s="467"/>
      <c r="M59" s="467"/>
      <c r="N59" s="467"/>
      <c r="O59" s="467"/>
      <c r="P59" s="467"/>
      <c r="Q59" s="467"/>
      <c r="R59" s="467"/>
      <c r="S59" s="467"/>
      <c r="T59" s="467"/>
      <c r="U59" s="467"/>
      <c r="V59" s="467"/>
      <c r="W59" s="13"/>
      <c r="X59" s="13"/>
      <c r="Y59" s="13"/>
      <c r="Z59" s="13"/>
    </row>
    <row r="60" spans="2:26" s="13" customFormat="1" ht="18" customHeight="1"/>
    <row r="61" spans="2:26" s="13" customFormat="1" ht="20.100000000000001" customHeight="1">
      <c r="B61" s="21" t="s">
        <v>33</v>
      </c>
      <c r="C61" s="22"/>
      <c r="D61" s="23"/>
      <c r="E61" s="23"/>
      <c r="F61" s="23"/>
      <c r="G61" s="23"/>
      <c r="H61" s="23"/>
      <c r="I61" s="23"/>
      <c r="J61" s="23"/>
      <c r="K61" s="23"/>
      <c r="L61" s="24"/>
      <c r="M61" s="24"/>
      <c r="N61" s="24"/>
      <c r="O61" s="24"/>
      <c r="P61" s="24"/>
      <c r="Q61" s="24"/>
      <c r="R61" s="24"/>
      <c r="S61" s="24"/>
      <c r="T61" s="24"/>
      <c r="U61" s="24"/>
      <c r="V61" s="24"/>
    </row>
    <row r="62" spans="2:26" s="13" customFormat="1" ht="18" customHeight="1">
      <c r="B62" s="20"/>
      <c r="C62" s="17"/>
      <c r="D62" s="17"/>
      <c r="E62" s="17"/>
      <c r="F62" s="17"/>
      <c r="G62" s="17"/>
      <c r="H62" s="17"/>
      <c r="I62" s="17"/>
      <c r="J62" s="17"/>
    </row>
    <row r="63" spans="2:26" s="13" customFormat="1" ht="50.1" customHeight="1">
      <c r="B63" s="465" t="s">
        <v>34</v>
      </c>
      <c r="C63" s="465"/>
      <c r="D63" s="465"/>
      <c r="E63" s="465"/>
      <c r="F63" s="465"/>
      <c r="G63" s="435" t="s">
        <v>35</v>
      </c>
      <c r="H63" s="436"/>
      <c r="I63" s="436"/>
      <c r="J63" s="436"/>
      <c r="K63" s="436"/>
      <c r="L63" s="436"/>
      <c r="M63" s="436"/>
      <c r="N63" s="437"/>
      <c r="O63" s="435" t="s">
        <v>36</v>
      </c>
      <c r="P63" s="436"/>
      <c r="Q63" s="436"/>
      <c r="R63" s="436"/>
      <c r="S63" s="436"/>
      <c r="T63" s="436"/>
      <c r="U63" s="436"/>
      <c r="V63" s="437"/>
    </row>
    <row r="64" spans="2:26" s="13" customFormat="1" ht="50.1" customHeight="1">
      <c r="B64" s="465"/>
      <c r="C64" s="465"/>
      <c r="D64" s="465"/>
      <c r="E64" s="465"/>
      <c r="F64" s="465"/>
      <c r="G64" s="202" t="s">
        <v>37</v>
      </c>
      <c r="H64" s="435" t="s">
        <v>38</v>
      </c>
      <c r="I64" s="436"/>
      <c r="J64" s="436"/>
      <c r="K64" s="436"/>
      <c r="L64" s="436"/>
      <c r="M64" s="436"/>
      <c r="N64" s="437"/>
      <c r="O64" s="202" t="s">
        <v>39</v>
      </c>
      <c r="P64" s="435" t="s">
        <v>40</v>
      </c>
      <c r="Q64" s="436"/>
      <c r="R64" s="436"/>
      <c r="S64" s="436"/>
      <c r="T64" s="436"/>
      <c r="U64" s="436"/>
      <c r="V64" s="437"/>
    </row>
    <row r="65" spans="2:22" s="13" customFormat="1" ht="18" customHeight="1">
      <c r="G65" s="17"/>
      <c r="H65" s="17"/>
      <c r="I65" s="17"/>
      <c r="J65" s="17"/>
      <c r="K65" s="17"/>
      <c r="L65" s="17"/>
      <c r="M65" s="17"/>
      <c r="N65" s="17"/>
      <c r="O65" s="17"/>
      <c r="P65" s="17"/>
      <c r="Q65" s="17"/>
      <c r="R65" s="17"/>
      <c r="S65" s="17"/>
      <c r="T65" s="17"/>
      <c r="U65" s="17"/>
      <c r="V65" s="17"/>
    </row>
    <row r="66" spans="2:22" s="13" customFormat="1" ht="18" customHeight="1">
      <c r="B66" s="460" t="s">
        <v>41</v>
      </c>
      <c r="C66" s="460"/>
      <c r="D66" s="460"/>
      <c r="E66" s="460"/>
      <c r="F66" s="460"/>
      <c r="G66" s="148"/>
      <c r="H66" s="462"/>
      <c r="I66" s="463"/>
      <c r="J66" s="463"/>
      <c r="K66" s="463"/>
      <c r="L66" s="463"/>
      <c r="M66" s="463"/>
      <c r="N66" s="464"/>
      <c r="O66" s="148"/>
      <c r="P66" s="462"/>
      <c r="Q66" s="463"/>
      <c r="R66" s="463"/>
      <c r="S66" s="463"/>
      <c r="T66" s="463"/>
      <c r="U66" s="463"/>
      <c r="V66" s="464"/>
    </row>
    <row r="67" spans="2:22" s="13" customFormat="1" ht="18" customHeight="1">
      <c r="B67" s="460" t="s">
        <v>42</v>
      </c>
      <c r="C67" s="460"/>
      <c r="D67" s="460"/>
      <c r="E67" s="460"/>
      <c r="F67" s="460"/>
      <c r="G67" s="148"/>
      <c r="H67" s="462"/>
      <c r="I67" s="463"/>
      <c r="J67" s="463"/>
      <c r="K67" s="463"/>
      <c r="L67" s="463"/>
      <c r="M67" s="463"/>
      <c r="N67" s="464"/>
      <c r="O67" s="148"/>
      <c r="P67" s="462"/>
      <c r="Q67" s="463"/>
      <c r="R67" s="463"/>
      <c r="S67" s="463"/>
      <c r="T67" s="463"/>
      <c r="U67" s="463"/>
      <c r="V67" s="464"/>
    </row>
    <row r="68" spans="2:22" s="13" customFormat="1" ht="18" customHeight="1">
      <c r="B68" s="460" t="s">
        <v>43</v>
      </c>
      <c r="C68" s="460"/>
      <c r="D68" s="460"/>
      <c r="E68" s="460"/>
      <c r="F68" s="460"/>
      <c r="G68" s="148"/>
      <c r="H68" s="462"/>
      <c r="I68" s="463"/>
      <c r="J68" s="463"/>
      <c r="K68" s="463"/>
      <c r="L68" s="463"/>
      <c r="M68" s="463"/>
      <c r="N68" s="464"/>
      <c r="O68" s="148"/>
      <c r="P68" s="462"/>
      <c r="Q68" s="463"/>
      <c r="R68" s="463"/>
      <c r="S68" s="463"/>
      <c r="T68" s="463"/>
      <c r="U68" s="463"/>
      <c r="V68" s="464"/>
    </row>
    <row r="69" spans="2:22" s="13" customFormat="1" ht="18" customHeight="1">
      <c r="B69" s="460" t="s">
        <v>44</v>
      </c>
      <c r="C69" s="460"/>
      <c r="D69" s="460"/>
      <c r="E69" s="460"/>
      <c r="F69" s="460"/>
      <c r="G69" s="148"/>
      <c r="H69" s="462"/>
      <c r="I69" s="463"/>
      <c r="J69" s="463"/>
      <c r="K69" s="463"/>
      <c r="L69" s="463"/>
      <c r="M69" s="463"/>
      <c r="N69" s="464"/>
      <c r="O69" s="148"/>
      <c r="P69" s="462"/>
      <c r="Q69" s="463"/>
      <c r="R69" s="463"/>
      <c r="S69" s="463"/>
      <c r="T69" s="463"/>
      <c r="U69" s="463"/>
      <c r="V69" s="464"/>
    </row>
    <row r="70" spans="2:22" s="13" customFormat="1" ht="18" customHeight="1">
      <c r="B70" s="460" t="s">
        <v>45</v>
      </c>
      <c r="C70" s="460"/>
      <c r="D70" s="460"/>
      <c r="E70" s="460"/>
      <c r="F70" s="460"/>
      <c r="G70" s="148"/>
      <c r="H70" s="462"/>
      <c r="I70" s="463"/>
      <c r="J70" s="463"/>
      <c r="K70" s="463"/>
      <c r="L70" s="463"/>
      <c r="M70" s="463"/>
      <c r="N70" s="464"/>
      <c r="O70" s="148"/>
      <c r="P70" s="462"/>
      <c r="Q70" s="463"/>
      <c r="R70" s="463"/>
      <c r="S70" s="463"/>
      <c r="T70" s="463"/>
      <c r="U70" s="463"/>
      <c r="V70" s="464"/>
    </row>
    <row r="71" spans="2:22" s="13" customFormat="1" ht="18" customHeight="1">
      <c r="B71" s="460" t="s">
        <v>46</v>
      </c>
      <c r="C71" s="460"/>
      <c r="D71" s="460"/>
      <c r="E71" s="460"/>
      <c r="F71" s="460"/>
      <c r="G71" s="148"/>
      <c r="H71" s="462"/>
      <c r="I71" s="463"/>
      <c r="J71" s="463"/>
      <c r="K71" s="463"/>
      <c r="L71" s="463"/>
      <c r="M71" s="463"/>
      <c r="N71" s="464"/>
      <c r="O71" s="148"/>
      <c r="P71" s="462"/>
      <c r="Q71" s="463"/>
      <c r="R71" s="463"/>
      <c r="S71" s="463"/>
      <c r="T71" s="463"/>
      <c r="U71" s="463"/>
      <c r="V71" s="464"/>
    </row>
    <row r="72" spans="2:22" s="13" customFormat="1" ht="18" customHeight="1">
      <c r="B72" s="460" t="s">
        <v>47</v>
      </c>
      <c r="C72" s="460"/>
      <c r="D72" s="460"/>
      <c r="E72" s="460"/>
      <c r="F72" s="460"/>
      <c r="G72" s="148"/>
      <c r="H72" s="462"/>
      <c r="I72" s="463"/>
      <c r="J72" s="463"/>
      <c r="K72" s="463"/>
      <c r="L72" s="463"/>
      <c r="M72" s="463"/>
      <c r="N72" s="464"/>
      <c r="O72" s="148"/>
      <c r="P72" s="462"/>
      <c r="Q72" s="463"/>
      <c r="R72" s="463"/>
      <c r="S72" s="463"/>
      <c r="T72" s="463"/>
      <c r="U72" s="463"/>
      <c r="V72" s="464"/>
    </row>
    <row r="73" spans="2:22" s="13" customFormat="1" ht="18" customHeight="1">
      <c r="B73" s="460" t="s">
        <v>48</v>
      </c>
      <c r="C73" s="460"/>
      <c r="D73" s="460"/>
      <c r="E73" s="460"/>
      <c r="F73" s="460"/>
      <c r="G73" s="148"/>
      <c r="H73" s="462"/>
      <c r="I73" s="463"/>
      <c r="J73" s="463"/>
      <c r="K73" s="463"/>
      <c r="L73" s="463"/>
      <c r="M73" s="463"/>
      <c r="N73" s="464"/>
      <c r="O73" s="148"/>
      <c r="P73" s="462"/>
      <c r="Q73" s="463"/>
      <c r="R73" s="463"/>
      <c r="S73" s="463"/>
      <c r="T73" s="463"/>
      <c r="U73" s="463"/>
      <c r="V73" s="464"/>
    </row>
    <row r="74" spans="2:22" s="13" customFormat="1" ht="18" customHeight="1">
      <c r="B74" s="460" t="s">
        <v>49</v>
      </c>
      <c r="C74" s="460"/>
      <c r="D74" s="460"/>
      <c r="E74" s="460"/>
      <c r="F74" s="460"/>
      <c r="G74" s="148"/>
      <c r="H74" s="462"/>
      <c r="I74" s="463"/>
      <c r="J74" s="463"/>
      <c r="K74" s="463"/>
      <c r="L74" s="463"/>
      <c r="M74" s="463"/>
      <c r="N74" s="464"/>
      <c r="O74" s="148"/>
      <c r="P74" s="462"/>
      <c r="Q74" s="463"/>
      <c r="R74" s="463"/>
      <c r="S74" s="463"/>
      <c r="T74" s="463"/>
      <c r="U74" s="463"/>
      <c r="V74" s="464"/>
    </row>
    <row r="75" spans="2:22" s="13" customFormat="1" ht="18" customHeight="1">
      <c r="B75" s="460" t="s">
        <v>50</v>
      </c>
      <c r="C75" s="460"/>
      <c r="D75" s="460"/>
      <c r="E75" s="460"/>
      <c r="F75" s="460"/>
      <c r="G75" s="148"/>
      <c r="H75" s="462"/>
      <c r="I75" s="463"/>
      <c r="J75" s="463"/>
      <c r="K75" s="463"/>
      <c r="L75" s="463"/>
      <c r="M75" s="463"/>
      <c r="N75" s="464"/>
      <c r="O75" s="148"/>
      <c r="P75" s="462"/>
      <c r="Q75" s="463"/>
      <c r="R75" s="463"/>
      <c r="S75" s="463"/>
      <c r="T75" s="463"/>
      <c r="U75" s="463"/>
      <c r="V75" s="464"/>
    </row>
    <row r="76" spans="2:22" s="13" customFormat="1" ht="18" customHeight="1">
      <c r="B76" s="460" t="s">
        <v>51</v>
      </c>
      <c r="C76" s="460"/>
      <c r="D76" s="460"/>
      <c r="E76" s="460"/>
      <c r="F76" s="460"/>
      <c r="G76" s="148"/>
      <c r="H76" s="462"/>
      <c r="I76" s="463"/>
      <c r="J76" s="463"/>
      <c r="K76" s="463"/>
      <c r="L76" s="463"/>
      <c r="M76" s="463"/>
      <c r="N76" s="464"/>
      <c r="O76" s="148"/>
      <c r="P76" s="462"/>
      <c r="Q76" s="463"/>
      <c r="R76" s="463"/>
      <c r="S76" s="463"/>
      <c r="T76" s="463"/>
      <c r="U76" s="463"/>
      <c r="V76" s="464"/>
    </row>
    <row r="77" spans="2:22" s="13" customFormat="1" ht="18" customHeight="1">
      <c r="B77" s="460" t="s">
        <v>52</v>
      </c>
      <c r="C77" s="460"/>
      <c r="D77" s="460"/>
      <c r="E77" s="460"/>
      <c r="F77" s="460"/>
      <c r="G77" s="148"/>
      <c r="H77" s="462"/>
      <c r="I77" s="463"/>
      <c r="J77" s="463"/>
      <c r="K77" s="463"/>
      <c r="L77" s="463"/>
      <c r="M77" s="463"/>
      <c r="N77" s="464"/>
      <c r="O77" s="148"/>
      <c r="P77" s="462"/>
      <c r="Q77" s="463"/>
      <c r="R77" s="463"/>
      <c r="S77" s="463"/>
      <c r="T77" s="463"/>
      <c r="U77" s="463"/>
      <c r="V77" s="464"/>
    </row>
    <row r="78" spans="2:22" s="13" customFormat="1" ht="18" customHeight="1">
      <c r="B78" s="460" t="s">
        <v>53</v>
      </c>
      <c r="C78" s="460"/>
      <c r="D78" s="460"/>
      <c r="E78" s="460"/>
      <c r="F78" s="460"/>
      <c r="G78" s="148"/>
      <c r="H78" s="462"/>
      <c r="I78" s="463"/>
      <c r="J78" s="463"/>
      <c r="K78" s="463"/>
      <c r="L78" s="463"/>
      <c r="M78" s="463"/>
      <c r="N78" s="464"/>
      <c r="O78" s="148"/>
      <c r="P78" s="462"/>
      <c r="Q78" s="463"/>
      <c r="R78" s="463"/>
      <c r="S78" s="463"/>
      <c r="T78" s="463"/>
      <c r="U78" s="463"/>
      <c r="V78" s="464"/>
    </row>
    <row r="79" spans="2:22" s="13" customFormat="1" ht="18" customHeight="1">
      <c r="B79" s="460" t="s">
        <v>54</v>
      </c>
      <c r="C79" s="460"/>
      <c r="D79" s="460"/>
      <c r="E79" s="460"/>
      <c r="F79" s="460"/>
      <c r="G79" s="148"/>
      <c r="H79" s="462"/>
      <c r="I79" s="463"/>
      <c r="J79" s="463"/>
      <c r="K79" s="463"/>
      <c r="L79" s="463"/>
      <c r="M79" s="463"/>
      <c r="N79" s="464"/>
      <c r="O79" s="148"/>
      <c r="P79" s="462"/>
      <c r="Q79" s="463"/>
      <c r="R79" s="463"/>
      <c r="S79" s="463"/>
      <c r="T79" s="463"/>
      <c r="U79" s="463"/>
      <c r="V79" s="464"/>
    </row>
    <row r="80" spans="2:22" s="13" customFormat="1" ht="18" customHeight="1">
      <c r="B80" s="460" t="s">
        <v>55</v>
      </c>
      <c r="C80" s="460"/>
      <c r="D80" s="460"/>
      <c r="E80" s="460"/>
      <c r="F80" s="460"/>
      <c r="G80" s="148"/>
      <c r="H80" s="462"/>
      <c r="I80" s="463"/>
      <c r="J80" s="463"/>
      <c r="K80" s="463"/>
      <c r="L80" s="463"/>
      <c r="M80" s="463"/>
      <c r="N80" s="464"/>
      <c r="O80" s="148"/>
      <c r="P80" s="462"/>
      <c r="Q80" s="463"/>
      <c r="R80" s="463"/>
      <c r="S80" s="463"/>
      <c r="T80" s="463"/>
      <c r="U80" s="463"/>
      <c r="V80" s="464"/>
    </row>
    <row r="81" spans="2:22" s="13" customFormat="1" ht="18" customHeight="1">
      <c r="B81" s="460" t="s">
        <v>56</v>
      </c>
      <c r="C81" s="460"/>
      <c r="D81" s="460"/>
      <c r="E81" s="460"/>
      <c r="F81" s="460"/>
      <c r="G81" s="148"/>
      <c r="H81" s="462"/>
      <c r="I81" s="463"/>
      <c r="J81" s="463"/>
      <c r="K81" s="463"/>
      <c r="L81" s="463"/>
      <c r="M81" s="463"/>
      <c r="N81" s="464"/>
      <c r="O81" s="148"/>
      <c r="P81" s="462"/>
      <c r="Q81" s="463"/>
      <c r="R81" s="463"/>
      <c r="S81" s="463"/>
      <c r="T81" s="463"/>
      <c r="U81" s="463"/>
      <c r="V81" s="464"/>
    </row>
    <row r="82" spans="2:22" s="17" customFormat="1" ht="18" customHeight="1">
      <c r="B82" s="435" t="s">
        <v>4396</v>
      </c>
      <c r="C82" s="436"/>
      <c r="D82" s="436"/>
      <c r="E82" s="436"/>
      <c r="F82" s="436"/>
      <c r="G82" s="501" t="s">
        <v>3931</v>
      </c>
      <c r="H82" s="502"/>
      <c r="I82" s="502"/>
      <c r="J82" s="502"/>
      <c r="K82" s="502"/>
      <c r="L82" s="502"/>
      <c r="M82" s="502"/>
      <c r="N82" s="502"/>
      <c r="O82" s="502"/>
      <c r="P82" s="502"/>
      <c r="Q82" s="502"/>
      <c r="R82" s="502"/>
      <c r="S82" s="502"/>
      <c r="T82" s="502"/>
      <c r="U82" s="502"/>
      <c r="V82" s="503"/>
    </row>
    <row r="83" spans="2:22" s="13" customFormat="1" ht="18" customHeight="1"/>
  </sheetData>
  <sheetProtection sheet="1" objects="1" scenarios="1"/>
  <mergeCells count="163">
    <mergeCell ref="B82:F82"/>
    <mergeCell ref="G82:V82"/>
    <mergeCell ref="L40:N41"/>
    <mergeCell ref="L42:N42"/>
    <mergeCell ref="E43:V43"/>
    <mergeCell ref="B51:V51"/>
    <mergeCell ref="B47:V47"/>
    <mergeCell ref="B49:V49"/>
    <mergeCell ref="H54:K54"/>
    <mergeCell ref="L54:N54"/>
    <mergeCell ref="L55:N55"/>
    <mergeCell ref="H55:K55"/>
    <mergeCell ref="H56:K56"/>
    <mergeCell ref="L56:N56"/>
    <mergeCell ref="H57:K57"/>
    <mergeCell ref="L57:N57"/>
    <mergeCell ref="H58:K58"/>
    <mergeCell ref="L58:N58"/>
    <mergeCell ref="O54:V54"/>
    <mergeCell ref="H77:N77"/>
    <mergeCell ref="B43:D43"/>
    <mergeCell ref="B54:G54"/>
    <mergeCell ref="B42:D42"/>
    <mergeCell ref="E42:H42"/>
    <mergeCell ref="O18:R18"/>
    <mergeCell ref="S18:V18"/>
    <mergeCell ref="K21:N21"/>
    <mergeCell ref="O21:R21"/>
    <mergeCell ref="P75:V75"/>
    <mergeCell ref="P76:V76"/>
    <mergeCell ref="P77:V77"/>
    <mergeCell ref="P78:V78"/>
    <mergeCell ref="G63:N63"/>
    <mergeCell ref="H64:N64"/>
    <mergeCell ref="O63:V63"/>
    <mergeCell ref="P64:V64"/>
    <mergeCell ref="H66:N66"/>
    <mergeCell ref="H67:N67"/>
    <mergeCell ref="H68:N68"/>
    <mergeCell ref="H69:N69"/>
    <mergeCell ref="H70:N70"/>
    <mergeCell ref="H71:N71"/>
    <mergeCell ref="H72:N72"/>
    <mergeCell ref="H73:N73"/>
    <mergeCell ref="H74:N74"/>
    <mergeCell ref="H75:N75"/>
    <mergeCell ref="H76:N76"/>
    <mergeCell ref="O20:R20"/>
    <mergeCell ref="K9:N9"/>
    <mergeCell ref="O9:R9"/>
    <mergeCell ref="S9:V9"/>
    <mergeCell ref="C10:F10"/>
    <mergeCell ref="G10:J10"/>
    <mergeCell ref="K10:N10"/>
    <mergeCell ref="O10:R10"/>
    <mergeCell ref="S10:V10"/>
    <mergeCell ref="K17:N17"/>
    <mergeCell ref="O17:R17"/>
    <mergeCell ref="S17:V17"/>
    <mergeCell ref="C17:F17"/>
    <mergeCell ref="S20:V20"/>
    <mergeCell ref="K19:N19"/>
    <mergeCell ref="O19:R19"/>
    <mergeCell ref="H80:N80"/>
    <mergeCell ref="H81:N81"/>
    <mergeCell ref="P71:V71"/>
    <mergeCell ref="P72:V72"/>
    <mergeCell ref="G22:J22"/>
    <mergeCell ref="K22:N22"/>
    <mergeCell ref="O22:R22"/>
    <mergeCell ref="S22:V22"/>
    <mergeCell ref="P81:V81"/>
    <mergeCell ref="P66:V66"/>
    <mergeCell ref="P67:V67"/>
    <mergeCell ref="H78:N78"/>
    <mergeCell ref="H79:N79"/>
    <mergeCell ref="P73:V73"/>
    <mergeCell ref="P74:V74"/>
    <mergeCell ref="P79:V79"/>
    <mergeCell ref="P80:V80"/>
    <mergeCell ref="S19:V19"/>
    <mergeCell ref="R28:V28"/>
    <mergeCell ref="I42:K42"/>
    <mergeCell ref="S21:V21"/>
    <mergeCell ref="C18:F18"/>
    <mergeCell ref="G18:J18"/>
    <mergeCell ref="G11:J11"/>
    <mergeCell ref="C20:F20"/>
    <mergeCell ref="C19:F19"/>
    <mergeCell ref="G20:J20"/>
    <mergeCell ref="G19:J19"/>
    <mergeCell ref="G17:J17"/>
    <mergeCell ref="K20:N20"/>
    <mergeCell ref="K18:N18"/>
    <mergeCell ref="G6:J6"/>
    <mergeCell ref="K6:N6"/>
    <mergeCell ref="O6:R6"/>
    <mergeCell ref="S6:V6"/>
    <mergeCell ref="K11:N11"/>
    <mergeCell ref="O11:R11"/>
    <mergeCell ref="S11:V11"/>
    <mergeCell ref="B28:Q28"/>
    <mergeCell ref="G33:Q33"/>
    <mergeCell ref="C6:F6"/>
    <mergeCell ref="G7:J7"/>
    <mergeCell ref="K7:N7"/>
    <mergeCell ref="O7:R7"/>
    <mergeCell ref="S7:V7"/>
    <mergeCell ref="C7:F7"/>
    <mergeCell ref="C8:F8"/>
    <mergeCell ref="G8:J8"/>
    <mergeCell ref="K8:N8"/>
    <mergeCell ref="O8:R8"/>
    <mergeCell ref="S8:V8"/>
    <mergeCell ref="C11:F11"/>
    <mergeCell ref="C22:F22"/>
    <mergeCell ref="C9:F9"/>
    <mergeCell ref="G9:J9"/>
    <mergeCell ref="C21:F21"/>
    <mergeCell ref="G21:J21"/>
    <mergeCell ref="B46:V46"/>
    <mergeCell ref="B48:V48"/>
    <mergeCell ref="B50:V50"/>
    <mergeCell ref="B56:G56"/>
    <mergeCell ref="O55:V55"/>
    <mergeCell ref="O56:V56"/>
    <mergeCell ref="O57:V57"/>
    <mergeCell ref="B57:G57"/>
    <mergeCell ref="B40:D41"/>
    <mergeCell ref="E40:H41"/>
    <mergeCell ref="I40:K41"/>
    <mergeCell ref="B32:Q32"/>
    <mergeCell ref="B33:F33"/>
    <mergeCell ref="O40:V41"/>
    <mergeCell ref="O42:V42"/>
    <mergeCell ref="B45:V45"/>
    <mergeCell ref="B55:G55"/>
    <mergeCell ref="R32:V32"/>
    <mergeCell ref="R33:V33"/>
    <mergeCell ref="O58:V58"/>
    <mergeCell ref="B80:F80"/>
    <mergeCell ref="B81:F81"/>
    <mergeCell ref="B71:F71"/>
    <mergeCell ref="B72:F72"/>
    <mergeCell ref="B73:F73"/>
    <mergeCell ref="B74:F74"/>
    <mergeCell ref="B75:F75"/>
    <mergeCell ref="B76:F76"/>
    <mergeCell ref="B77:F77"/>
    <mergeCell ref="B78:F78"/>
    <mergeCell ref="B79:F79"/>
    <mergeCell ref="B68:F68"/>
    <mergeCell ref="B69:F69"/>
    <mergeCell ref="B70:F70"/>
    <mergeCell ref="B58:G58"/>
    <mergeCell ref="P68:V68"/>
    <mergeCell ref="P69:V69"/>
    <mergeCell ref="P70:V70"/>
    <mergeCell ref="B66:F66"/>
    <mergeCell ref="B67:F67"/>
    <mergeCell ref="B63:F64"/>
    <mergeCell ref="B59:G59"/>
    <mergeCell ref="H59:V59"/>
  </mergeCells>
  <dataValidations count="1">
    <dataValidation type="list" allowBlank="1" showInputMessage="1" showErrorMessage="1" sqref="O66:O81 G66:G81" xr:uid="{00000000-0002-0000-0300-000000000000}">
      <formula1>Si_No</formula1>
    </dataValidation>
  </dataValidations>
  <hyperlinks>
    <hyperlink ref="E43" r:id="rId1" xr:uid="{00000000-0004-0000-0300-000000000000}"/>
    <hyperlink ref="H59" r:id="rId2" xr:uid="{00000000-0004-0000-0300-000001000000}"/>
    <hyperlink ref="G82" r:id="rId3" xr:uid="{00000000-0004-0000-0300-000002000000}"/>
    <hyperlink ref="J34" r:id="rId4" xr:uid="{00000000-0004-0000-0300-000003000000}"/>
    <hyperlink ref="J29" r:id="rId5" xr:uid="{00000000-0004-0000-0300-000004000000}"/>
    <hyperlink ref="J35" r:id="rId6" xr:uid="{00000000-0004-0000-0300-000005000000}"/>
    <hyperlink ref="J30" r:id="rId7" xr:uid="{00000000-0004-0000-0300-000006000000}"/>
  </hyperlinks>
  <pageMargins left="0.7" right="0.7" top="0.75" bottom="0.75" header="0.3" footer="0.3"/>
  <pageSetup paperSize="9" scale="52" orientation="portrait" horizontalDpi="0" verticalDpi="0"/>
  <rowBreaks count="1" manualBreakCount="1">
    <brk id="35" max="22" man="1"/>
  </rowBreaks>
  <colBreaks count="1" manualBreakCount="1">
    <brk id="2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1000000}">
          <x14:formula1>
            <xm:f>UBIGEO!$A$3:$A$1876</xm:f>
          </x14:formula1>
          <xm:sqref>C7:F11 C18:F22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3"/>
  <dimension ref="B1:Z145"/>
  <sheetViews>
    <sheetView zoomScale="63" zoomScaleNormal="90" workbookViewId="0">
      <selection activeCell="N20" sqref="N20:Q20"/>
    </sheetView>
  </sheetViews>
  <sheetFormatPr baseColWidth="10" defaultColWidth="7.33203125" defaultRowHeight="18" customHeight="1"/>
  <cols>
    <col min="1" max="1" width="7.33203125" style="2"/>
    <col min="2" max="4" width="11" style="2" customWidth="1"/>
    <col min="5" max="5" width="14.44140625" style="2" customWidth="1"/>
    <col min="6" max="6" width="8.33203125" style="2" customWidth="1"/>
    <col min="7" max="7" width="18.33203125" style="2" customWidth="1"/>
    <col min="8" max="8" width="23.88671875" style="2" customWidth="1"/>
    <col min="9" max="10" width="11.6640625" style="2" customWidth="1"/>
    <col min="11" max="17" width="5.6640625" style="2" customWidth="1"/>
    <col min="18" max="18" width="7.33203125" style="2" hidden="1" customWidth="1"/>
    <col min="19" max="19" width="12.6640625" style="2" hidden="1" customWidth="1"/>
    <col min="20" max="26" width="7.33203125" style="2" hidden="1" customWidth="1"/>
    <col min="27" max="27" width="0" style="2" hidden="1" customWidth="1"/>
    <col min="28" max="16384" width="7.33203125" style="2"/>
  </cols>
  <sheetData>
    <row r="1" spans="2:24" ht="18" customHeight="1">
      <c r="V1" s="20"/>
      <c r="W1" s="20"/>
      <c r="X1" s="20"/>
    </row>
    <row r="2" spans="2:24" s="10" customFormat="1" ht="18" customHeight="1">
      <c r="B2" s="10" t="s">
        <v>57</v>
      </c>
    </row>
    <row r="3" spans="2:24" ht="18" customHeight="1">
      <c r="V3" s="20"/>
      <c r="W3" s="20"/>
      <c r="X3" s="20"/>
    </row>
    <row r="4" spans="2:24" s="20" customFormat="1" ht="18" customHeight="1">
      <c r="B4" s="553" t="s">
        <v>4002</v>
      </c>
      <c r="C4" s="553"/>
      <c r="D4" s="553"/>
      <c r="E4" s="553"/>
      <c r="F4" s="553"/>
      <c r="G4" s="553"/>
      <c r="H4" s="553"/>
      <c r="I4" s="553"/>
      <c r="J4" s="553"/>
      <c r="K4" s="553"/>
      <c r="L4" s="553"/>
      <c r="M4" s="553"/>
      <c r="N4" s="553"/>
      <c r="O4" s="553"/>
      <c r="P4" s="553"/>
      <c r="Q4" s="553"/>
    </row>
    <row r="5" spans="2:24" s="13" customFormat="1" ht="6" customHeight="1">
      <c r="B5" s="203"/>
      <c r="C5" s="17"/>
    </row>
    <row r="6" spans="2:24" s="13" customFormat="1" ht="6" customHeight="1">
      <c r="B6" s="203"/>
      <c r="C6" s="17"/>
    </row>
    <row r="7" spans="2:24" s="13" customFormat="1" ht="20.100000000000001" customHeight="1">
      <c r="B7" s="21" t="s">
        <v>58</v>
      </c>
      <c r="C7" s="22"/>
      <c r="D7" s="23"/>
      <c r="E7" s="23"/>
      <c r="F7" s="23"/>
      <c r="G7" s="23"/>
      <c r="H7" s="23"/>
      <c r="I7" s="23"/>
      <c r="J7" s="23"/>
      <c r="K7" s="23"/>
      <c r="L7" s="24"/>
      <c r="M7" s="24"/>
      <c r="N7" s="24"/>
      <c r="O7" s="24"/>
      <c r="P7" s="24"/>
      <c r="Q7" s="24"/>
    </row>
    <row r="8" spans="2:24" s="13" customFormat="1" ht="18" customHeight="1">
      <c r="B8" s="15"/>
      <c r="C8" s="15"/>
      <c r="D8" s="15"/>
      <c r="E8" s="15"/>
      <c r="F8" s="15"/>
      <c r="G8" s="15"/>
      <c r="H8" s="15"/>
      <c r="I8" s="15"/>
      <c r="J8" s="15"/>
      <c r="K8" s="15"/>
      <c r="L8" s="15"/>
      <c r="M8" s="15"/>
      <c r="N8" s="15"/>
      <c r="O8" s="15"/>
      <c r="P8" s="15"/>
    </row>
    <row r="9" spans="2:24" s="13" customFormat="1" ht="42" customHeight="1">
      <c r="B9" s="15"/>
      <c r="C9" s="554"/>
      <c r="D9" s="555"/>
      <c r="E9" s="555"/>
      <c r="F9" s="555"/>
      <c r="G9" s="555"/>
      <c r="H9" s="555"/>
      <c r="I9" s="555"/>
      <c r="J9" s="555"/>
      <c r="K9" s="555"/>
      <c r="L9" s="555"/>
      <c r="M9" s="556"/>
      <c r="N9" s="15"/>
      <c r="O9" s="15"/>
      <c r="P9" s="15"/>
    </row>
    <row r="10" spans="2:24" s="13" customFormat="1" ht="18" customHeight="1">
      <c r="C10" s="15"/>
      <c r="D10" s="15"/>
      <c r="E10" s="15"/>
      <c r="F10" s="15"/>
      <c r="G10" s="15"/>
      <c r="H10" s="15"/>
      <c r="I10" s="15"/>
      <c r="J10" s="15"/>
      <c r="K10" s="15"/>
      <c r="L10" s="15"/>
      <c r="M10" s="15"/>
      <c r="N10" s="15"/>
      <c r="O10" s="15"/>
      <c r="P10" s="15"/>
    </row>
    <row r="11" spans="2:24" s="13" customFormat="1" ht="18" customHeight="1">
      <c r="C11" s="15"/>
      <c r="D11" s="15"/>
      <c r="E11" s="15"/>
      <c r="F11" s="15"/>
      <c r="G11" s="15"/>
      <c r="H11" s="15"/>
      <c r="I11" s="15"/>
      <c r="J11" s="15"/>
      <c r="K11" s="15"/>
      <c r="L11" s="15"/>
      <c r="M11" s="15"/>
      <c r="N11" s="15"/>
      <c r="O11" s="15"/>
      <c r="P11" s="15"/>
    </row>
    <row r="12" spans="2:24" s="13" customFormat="1" ht="20.100000000000001" customHeight="1">
      <c r="B12" s="21" t="s">
        <v>4037</v>
      </c>
      <c r="C12" s="22"/>
      <c r="D12" s="23"/>
      <c r="E12" s="23"/>
      <c r="F12" s="23"/>
      <c r="G12" s="23"/>
      <c r="H12" s="23"/>
      <c r="I12" s="23"/>
      <c r="J12" s="23"/>
      <c r="K12" s="23"/>
      <c r="L12" s="24"/>
      <c r="M12" s="24"/>
      <c r="N12" s="24"/>
      <c r="O12" s="24"/>
      <c r="P12" s="24"/>
      <c r="Q12" s="24"/>
    </row>
    <row r="13" spans="2:24" s="13" customFormat="1" ht="18" customHeight="1">
      <c r="B13" s="14"/>
      <c r="C13" s="14"/>
      <c r="D13" s="14"/>
      <c r="E13" s="14"/>
      <c r="F13" s="15"/>
      <c r="G13" s="15"/>
      <c r="H13" s="15"/>
      <c r="I13" s="15"/>
      <c r="J13" s="15"/>
      <c r="K13" s="15"/>
      <c r="L13" s="15"/>
      <c r="M13" s="15"/>
      <c r="N13" s="15"/>
      <c r="O13" s="15"/>
      <c r="P13" s="15"/>
    </row>
    <row r="14" spans="2:24" s="13" customFormat="1" ht="29.1" customHeight="1">
      <c r="B14" s="14"/>
      <c r="C14" s="208" t="s">
        <v>4038</v>
      </c>
      <c r="D14" s="557"/>
      <c r="E14" s="558"/>
      <c r="F14" s="559"/>
      <c r="I14" s="15"/>
      <c r="J14" s="15"/>
      <c r="K14" s="15"/>
      <c r="L14" s="15"/>
      <c r="M14" s="15"/>
      <c r="N14" s="15"/>
      <c r="O14" s="15"/>
      <c r="P14" s="15"/>
    </row>
    <row r="15" spans="2:24" s="13" customFormat="1" ht="18" customHeight="1">
      <c r="B15" s="14"/>
      <c r="E15" s="208"/>
      <c r="F15" s="14"/>
      <c r="G15" s="14"/>
      <c r="H15" s="14"/>
      <c r="I15" s="15"/>
      <c r="J15" s="15"/>
      <c r="K15" s="15"/>
      <c r="L15" s="15"/>
      <c r="M15" s="15"/>
      <c r="N15" s="15"/>
      <c r="O15" s="15"/>
      <c r="P15" s="15"/>
    </row>
    <row r="16" spans="2:24" s="13" customFormat="1" ht="18" customHeight="1">
      <c r="B16" s="15"/>
      <c r="C16" s="15"/>
      <c r="D16" s="15"/>
      <c r="E16" s="15"/>
      <c r="F16" s="15"/>
      <c r="G16" s="15"/>
      <c r="H16" s="15"/>
      <c r="I16" s="15"/>
      <c r="J16" s="15"/>
      <c r="K16" s="15"/>
      <c r="L16" s="15"/>
      <c r="M16" s="15"/>
      <c r="N16" s="15"/>
      <c r="O16" s="15"/>
      <c r="P16" s="15"/>
    </row>
    <row r="17" spans="2:18" s="13" customFormat="1" ht="20.100000000000001" customHeight="1">
      <c r="B17" s="21" t="s">
        <v>59</v>
      </c>
      <c r="C17" s="22"/>
      <c r="D17" s="23"/>
      <c r="E17" s="23"/>
      <c r="F17" s="23"/>
      <c r="G17" s="23"/>
      <c r="H17" s="23"/>
      <c r="I17" s="23"/>
      <c r="J17" s="23"/>
      <c r="K17" s="23"/>
      <c r="L17" s="24"/>
      <c r="M17" s="24"/>
      <c r="N17" s="24"/>
      <c r="O17" s="24"/>
      <c r="P17" s="24"/>
      <c r="Q17" s="24"/>
    </row>
    <row r="18" spans="2:18" s="13" customFormat="1" ht="18" customHeight="1">
      <c r="B18" s="15"/>
      <c r="C18" s="15"/>
      <c r="D18" s="15"/>
      <c r="E18" s="15"/>
      <c r="F18" s="15"/>
      <c r="G18" s="15"/>
      <c r="H18" s="15"/>
      <c r="I18" s="15"/>
      <c r="J18" s="15"/>
      <c r="K18" s="15"/>
      <c r="L18" s="15"/>
      <c r="M18" s="15"/>
      <c r="N18" s="15"/>
      <c r="O18" s="15"/>
      <c r="P18" s="15"/>
    </row>
    <row r="19" spans="2:18" s="13" customFormat="1" ht="53.1" customHeight="1">
      <c r="B19" s="201" t="s">
        <v>22</v>
      </c>
      <c r="C19" s="432" t="s">
        <v>3939</v>
      </c>
      <c r="D19" s="434"/>
      <c r="E19" s="493" t="s">
        <v>23</v>
      </c>
      <c r="F19" s="493"/>
      <c r="G19" s="493"/>
      <c r="H19" s="432" t="s">
        <v>24</v>
      </c>
      <c r="I19" s="434"/>
      <c r="J19" s="432" t="s">
        <v>25</v>
      </c>
      <c r="K19" s="434"/>
      <c r="L19" s="435" t="s">
        <v>4552</v>
      </c>
      <c r="M19" s="436"/>
      <c r="N19" s="494" t="s">
        <v>4553</v>
      </c>
      <c r="O19" s="494"/>
      <c r="P19" s="494"/>
      <c r="Q19" s="494"/>
    </row>
    <row r="20" spans="2:18" s="18" customFormat="1" ht="53.1" customHeight="1">
      <c r="B20" s="202">
        <v>1</v>
      </c>
      <c r="C20" s="468"/>
      <c r="D20" s="470"/>
      <c r="E20" s="471" t="str">
        <f>+IF(C20="","",VLOOKUP(C20,UBIGEO,4,FALSE))</f>
        <v/>
      </c>
      <c r="F20" s="472"/>
      <c r="G20" s="472"/>
      <c r="H20" s="471" t="str">
        <f>+IF(C20="","",VLOOKUP(C20,UBIGEO,3,FALSE))</f>
        <v/>
      </c>
      <c r="I20" s="473"/>
      <c r="J20" s="471" t="str">
        <f>+IF(C20="","",VLOOKUP(C20,UBIGEO,2,FALSE))</f>
        <v/>
      </c>
      <c r="K20" s="473"/>
      <c r="L20" s="477"/>
      <c r="M20" s="479"/>
      <c r="N20" s="477"/>
      <c r="O20" s="478"/>
      <c r="P20" s="478"/>
      <c r="Q20" s="479"/>
    </row>
    <row r="21" spans="2:18" s="13" customFormat="1" ht="18" customHeight="1">
      <c r="B21" s="15" t="s">
        <v>4004</v>
      </c>
      <c r="C21" s="15"/>
      <c r="D21" s="15"/>
      <c r="E21" s="15"/>
      <c r="G21" s="15"/>
      <c r="H21" s="15"/>
      <c r="K21" s="15"/>
      <c r="L21" s="209" t="s">
        <v>4003</v>
      </c>
      <c r="M21" s="15"/>
      <c r="N21" s="15"/>
      <c r="O21" s="15"/>
      <c r="P21" s="15"/>
    </row>
    <row r="22" spans="2:18" s="13" customFormat="1" ht="18" customHeight="1">
      <c r="B22" s="210"/>
      <c r="C22" s="15"/>
      <c r="D22" s="15"/>
      <c r="E22" s="15"/>
      <c r="F22" s="15"/>
      <c r="G22" s="15"/>
      <c r="H22" s="15"/>
      <c r="I22" s="15"/>
      <c r="J22" s="15"/>
      <c r="K22" s="15"/>
      <c r="L22" s="15"/>
      <c r="M22" s="15"/>
      <c r="N22" s="15"/>
      <c r="O22" s="15"/>
      <c r="P22" s="15"/>
    </row>
    <row r="23" spans="2:18" s="13" customFormat="1" ht="18" customHeight="1">
      <c r="B23" s="210"/>
      <c r="C23" s="15"/>
      <c r="D23" s="15"/>
      <c r="E23" s="15"/>
      <c r="F23" s="15"/>
      <c r="G23" s="15"/>
      <c r="H23" s="15"/>
      <c r="I23" s="15"/>
      <c r="J23" s="15"/>
      <c r="K23" s="15"/>
      <c r="L23" s="15"/>
      <c r="M23" s="15"/>
      <c r="N23" s="15"/>
      <c r="O23" s="15"/>
      <c r="P23" s="15"/>
    </row>
    <row r="24" spans="2:18" s="13" customFormat="1" ht="20.100000000000001" customHeight="1">
      <c r="B24" s="21" t="s">
        <v>60</v>
      </c>
      <c r="C24" s="22"/>
      <c r="D24" s="23"/>
      <c r="E24" s="23"/>
      <c r="F24" s="23"/>
      <c r="G24" s="23"/>
      <c r="H24" s="23"/>
      <c r="I24" s="23"/>
      <c r="J24" s="23"/>
      <c r="K24" s="23"/>
      <c r="L24" s="24"/>
      <c r="M24" s="24"/>
      <c r="N24" s="24"/>
      <c r="O24" s="24"/>
      <c r="P24" s="24"/>
      <c r="Q24" s="24"/>
    </row>
    <row r="25" spans="2:18" s="13" customFormat="1" ht="18" customHeight="1">
      <c r="O25" s="15"/>
      <c r="P25" s="15"/>
    </row>
    <row r="26" spans="2:18" s="13" customFormat="1" ht="18" customHeight="1">
      <c r="B26" s="493" t="s">
        <v>61</v>
      </c>
      <c r="C26" s="493" t="s">
        <v>4008</v>
      </c>
      <c r="D26" s="493"/>
      <c r="E26" s="493"/>
      <c r="F26" s="493"/>
      <c r="G26" s="493"/>
      <c r="H26" s="493"/>
      <c r="I26" s="493"/>
      <c r="J26" s="493"/>
      <c r="K26" s="493"/>
      <c r="L26" s="493"/>
      <c r="M26" s="493"/>
      <c r="N26" s="493"/>
      <c r="O26" s="493"/>
      <c r="P26" s="493"/>
      <c r="Q26" s="493"/>
    </row>
    <row r="27" spans="2:18" s="18" customFormat="1" ht="39" customHeight="1">
      <c r="B27" s="493"/>
      <c r="C27" s="494" t="s">
        <v>4007</v>
      </c>
      <c r="D27" s="494"/>
      <c r="E27" s="494"/>
      <c r="F27" s="435" t="s">
        <v>62</v>
      </c>
      <c r="G27" s="436"/>
      <c r="H27" s="437"/>
      <c r="I27" s="435" t="s">
        <v>63</v>
      </c>
      <c r="J27" s="436"/>
      <c r="K27" s="436"/>
      <c r="L27" s="436"/>
      <c r="M27" s="436"/>
      <c r="N27" s="436"/>
      <c r="O27" s="436"/>
      <c r="P27" s="436"/>
      <c r="Q27" s="436"/>
    </row>
    <row r="28" spans="2:18" s="13" customFormat="1" ht="135" customHeight="1">
      <c r="B28" s="201">
        <v>1</v>
      </c>
      <c r="C28" s="544" t="s">
        <v>4006</v>
      </c>
      <c r="D28" s="494" t="s">
        <v>4347</v>
      </c>
      <c r="E28" s="494"/>
      <c r="F28" s="560" t="s">
        <v>4348</v>
      </c>
      <c r="G28" s="560"/>
      <c r="H28" s="560"/>
      <c r="I28" s="545"/>
      <c r="J28" s="545"/>
      <c r="K28" s="545"/>
      <c r="L28" s="545"/>
      <c r="M28" s="545"/>
      <c r="N28" s="545"/>
      <c r="O28" s="545"/>
      <c r="P28" s="545"/>
      <c r="Q28" s="545"/>
      <c r="R28" s="211" t="s">
        <v>4005</v>
      </c>
    </row>
    <row r="29" spans="2:18" s="13" customFormat="1" ht="135" customHeight="1">
      <c r="B29" s="201">
        <v>2</v>
      </c>
      <c r="C29" s="544"/>
      <c r="D29" s="494" t="s">
        <v>4350</v>
      </c>
      <c r="E29" s="494"/>
      <c r="F29" s="560" t="s">
        <v>4349</v>
      </c>
      <c r="G29" s="560"/>
      <c r="H29" s="560"/>
      <c r="I29" s="545"/>
      <c r="J29" s="545"/>
      <c r="K29" s="545"/>
      <c r="L29" s="545"/>
      <c r="M29" s="545"/>
      <c r="N29" s="545"/>
      <c r="O29" s="545"/>
      <c r="P29" s="545"/>
      <c r="Q29" s="545"/>
    </row>
    <row r="30" spans="2:18" s="13" customFormat="1" ht="135" customHeight="1">
      <c r="B30" s="201">
        <v>3</v>
      </c>
      <c r="C30" s="544"/>
      <c r="D30" s="494" t="s">
        <v>4351</v>
      </c>
      <c r="E30" s="494"/>
      <c r="F30" s="560" t="s">
        <v>4352</v>
      </c>
      <c r="G30" s="560"/>
      <c r="H30" s="560"/>
      <c r="I30" s="545"/>
      <c r="J30" s="545"/>
      <c r="K30" s="545"/>
      <c r="L30" s="545"/>
      <c r="M30" s="545"/>
      <c r="N30" s="545"/>
      <c r="O30" s="545"/>
      <c r="P30" s="545"/>
      <c r="Q30" s="545"/>
    </row>
    <row r="31" spans="2:18" s="13" customFormat="1" ht="135" customHeight="1">
      <c r="B31" s="201">
        <v>4</v>
      </c>
      <c r="C31" s="544"/>
      <c r="D31" s="494" t="s">
        <v>4353</v>
      </c>
      <c r="E31" s="494"/>
      <c r="F31" s="560" t="s">
        <v>4354</v>
      </c>
      <c r="G31" s="560"/>
      <c r="H31" s="560"/>
      <c r="I31" s="545"/>
      <c r="J31" s="545"/>
      <c r="K31" s="545"/>
      <c r="L31" s="545"/>
      <c r="M31" s="545"/>
      <c r="N31" s="545"/>
      <c r="O31" s="545"/>
      <c r="P31" s="545"/>
      <c r="Q31" s="545"/>
    </row>
    <row r="32" spans="2:18" s="13" customFormat="1" ht="18" customHeight="1">
      <c r="B32" s="15" t="s">
        <v>4009</v>
      </c>
      <c r="C32" s="17"/>
      <c r="D32" s="17"/>
      <c r="E32" s="17"/>
      <c r="F32" s="17"/>
      <c r="G32" s="17"/>
      <c r="H32" s="17"/>
      <c r="I32" s="17"/>
      <c r="J32" s="17"/>
      <c r="K32" s="17"/>
      <c r="L32" s="17"/>
      <c r="M32" s="17"/>
      <c r="N32" s="17"/>
      <c r="O32" s="17"/>
      <c r="P32" s="17"/>
      <c r="Q32" s="17"/>
    </row>
    <row r="33" spans="2:17" s="13" customFormat="1" ht="18" customHeight="1">
      <c r="B33" s="15"/>
      <c r="C33" s="17"/>
      <c r="D33" s="17"/>
      <c r="E33" s="17"/>
      <c r="F33" s="17"/>
      <c r="G33" s="17"/>
      <c r="H33" s="17"/>
      <c r="I33" s="17"/>
      <c r="J33" s="17"/>
      <c r="K33" s="17"/>
      <c r="L33" s="17"/>
      <c r="M33" s="17"/>
      <c r="N33" s="17"/>
      <c r="O33" s="17"/>
      <c r="P33" s="17"/>
      <c r="Q33" s="17"/>
    </row>
    <row r="34" spans="2:17" s="13" customFormat="1" ht="18" customHeight="1">
      <c r="B34" s="15"/>
      <c r="C34" s="17"/>
      <c r="D34" s="17"/>
      <c r="E34" s="17"/>
      <c r="F34" s="17"/>
      <c r="G34" s="17"/>
      <c r="H34" s="17"/>
      <c r="I34" s="17"/>
      <c r="J34" s="17"/>
      <c r="K34" s="17"/>
      <c r="L34" s="17"/>
      <c r="M34" s="17"/>
      <c r="N34" s="17"/>
      <c r="O34" s="17"/>
      <c r="P34" s="17"/>
      <c r="Q34" s="17"/>
    </row>
    <row r="35" spans="2:17" s="13" customFormat="1" ht="20.100000000000001" customHeight="1">
      <c r="B35" s="21" t="s">
        <v>64</v>
      </c>
      <c r="C35" s="22"/>
      <c r="D35" s="23"/>
      <c r="E35" s="23"/>
      <c r="F35" s="23"/>
      <c r="G35" s="23"/>
      <c r="H35" s="23"/>
      <c r="I35" s="23"/>
      <c r="J35" s="23"/>
      <c r="K35" s="23"/>
      <c r="L35" s="24"/>
      <c r="M35" s="24"/>
      <c r="N35" s="24"/>
      <c r="O35" s="24"/>
      <c r="P35" s="24"/>
      <c r="Q35" s="24"/>
    </row>
    <row r="36" spans="2:17" s="13" customFormat="1" ht="18" customHeight="1">
      <c r="N36" s="212"/>
    </row>
    <row r="37" spans="2:17" s="213" customFormat="1" ht="12.75"/>
    <row r="38" spans="2:17" s="213" customFormat="1" ht="42.75" customHeight="1">
      <c r="B38" s="528" t="s">
        <v>4501</v>
      </c>
      <c r="C38" s="528"/>
      <c r="D38" s="528" t="s">
        <v>65</v>
      </c>
      <c r="E38" s="528" t="s">
        <v>4490</v>
      </c>
      <c r="F38" s="528"/>
      <c r="G38" s="528" t="s">
        <v>4502</v>
      </c>
      <c r="H38" s="528"/>
      <c r="I38" s="528"/>
      <c r="J38" s="510" t="s">
        <v>4489</v>
      </c>
      <c r="K38" s="510"/>
      <c r="L38" s="510"/>
      <c r="M38" s="510"/>
      <c r="N38" s="510"/>
      <c r="O38" s="510"/>
      <c r="P38" s="510"/>
      <c r="Q38" s="510"/>
    </row>
    <row r="39" spans="2:17" s="213" customFormat="1" ht="34.5" customHeight="1">
      <c r="B39" s="528"/>
      <c r="C39" s="528"/>
      <c r="D39" s="528"/>
      <c r="E39" s="528"/>
      <c r="F39" s="528"/>
      <c r="G39" s="528" t="s">
        <v>4491</v>
      </c>
      <c r="H39" s="528"/>
      <c r="I39" s="214" t="s">
        <v>37</v>
      </c>
      <c r="J39" s="510"/>
      <c r="K39" s="510"/>
      <c r="L39" s="510"/>
      <c r="M39" s="510"/>
      <c r="N39" s="510"/>
      <c r="O39" s="510"/>
      <c r="P39" s="510"/>
      <c r="Q39" s="510"/>
    </row>
    <row r="40" spans="2:17" s="213" customFormat="1" ht="10.5" customHeight="1">
      <c r="B40" s="215"/>
      <c r="D40" s="216"/>
      <c r="E40" s="216"/>
      <c r="G40" s="215"/>
      <c r="I40" s="215"/>
      <c r="J40" s="215"/>
      <c r="K40" s="215"/>
      <c r="L40" s="215"/>
      <c r="M40" s="215"/>
    </row>
    <row r="41" spans="2:17" s="213" customFormat="1" ht="45" customHeight="1">
      <c r="B41" s="570" t="s">
        <v>4503</v>
      </c>
      <c r="C41" s="571"/>
      <c r="D41" s="576" t="s">
        <v>66</v>
      </c>
      <c r="E41" s="567" t="s">
        <v>4492</v>
      </c>
      <c r="F41" s="568"/>
      <c r="G41" s="521"/>
      <c r="H41" s="522"/>
      <c r="I41" s="156"/>
      <c r="J41" s="521"/>
      <c r="K41" s="523"/>
      <c r="L41" s="523"/>
      <c r="M41" s="523"/>
      <c r="N41" s="523"/>
      <c r="O41" s="523"/>
      <c r="P41" s="523"/>
      <c r="Q41" s="522"/>
    </row>
    <row r="42" spans="2:17" s="213" customFormat="1" ht="45" customHeight="1">
      <c r="B42" s="572"/>
      <c r="C42" s="573"/>
      <c r="D42" s="569"/>
      <c r="E42" s="567" t="s">
        <v>4493</v>
      </c>
      <c r="F42" s="568"/>
      <c r="G42" s="521"/>
      <c r="H42" s="522"/>
      <c r="I42" s="156"/>
      <c r="J42" s="521"/>
      <c r="K42" s="523"/>
      <c r="L42" s="523"/>
      <c r="M42" s="523"/>
      <c r="N42" s="523"/>
      <c r="O42" s="523"/>
      <c r="P42" s="523"/>
      <c r="Q42" s="522"/>
    </row>
    <row r="43" spans="2:17" s="213" customFormat="1" ht="45" customHeight="1">
      <c r="B43" s="572"/>
      <c r="C43" s="573"/>
      <c r="D43" s="569"/>
      <c r="E43" s="567" t="s">
        <v>4494</v>
      </c>
      <c r="F43" s="568"/>
      <c r="G43" s="521"/>
      <c r="H43" s="522"/>
      <c r="I43" s="156"/>
      <c r="J43" s="521"/>
      <c r="K43" s="523"/>
      <c r="L43" s="523"/>
      <c r="M43" s="523"/>
      <c r="N43" s="523"/>
      <c r="O43" s="523"/>
      <c r="P43" s="523"/>
      <c r="Q43" s="522"/>
    </row>
    <row r="44" spans="2:17" s="213" customFormat="1" ht="45" customHeight="1">
      <c r="B44" s="572"/>
      <c r="C44" s="573"/>
      <c r="D44" s="569"/>
      <c r="E44" s="567" t="s">
        <v>4495</v>
      </c>
      <c r="F44" s="568"/>
      <c r="G44" s="521"/>
      <c r="H44" s="522"/>
      <c r="I44" s="156"/>
      <c r="J44" s="521"/>
      <c r="K44" s="523"/>
      <c r="L44" s="523"/>
      <c r="M44" s="523"/>
      <c r="N44" s="523"/>
      <c r="O44" s="523"/>
      <c r="P44" s="523"/>
      <c r="Q44" s="522"/>
    </row>
    <row r="45" spans="2:17" s="213" customFormat="1" ht="45" customHeight="1">
      <c r="B45" s="572"/>
      <c r="C45" s="573"/>
      <c r="D45" s="569"/>
      <c r="E45" s="567" t="s">
        <v>4496</v>
      </c>
      <c r="F45" s="568"/>
      <c r="G45" s="521"/>
      <c r="H45" s="522"/>
      <c r="I45" s="156"/>
      <c r="J45" s="521"/>
      <c r="K45" s="523"/>
      <c r="L45" s="523"/>
      <c r="M45" s="523"/>
      <c r="N45" s="523"/>
      <c r="O45" s="523"/>
      <c r="P45" s="523"/>
      <c r="Q45" s="522"/>
    </row>
    <row r="46" spans="2:17" s="213" customFormat="1" ht="45" customHeight="1">
      <c r="B46" s="572"/>
      <c r="C46" s="573"/>
      <c r="D46" s="569"/>
      <c r="E46" s="567" t="s">
        <v>4428</v>
      </c>
      <c r="F46" s="568"/>
      <c r="G46" s="521"/>
      <c r="H46" s="522"/>
      <c r="I46" s="156"/>
      <c r="J46" s="521"/>
      <c r="K46" s="523"/>
      <c r="L46" s="523"/>
      <c r="M46" s="523"/>
      <c r="N46" s="523"/>
      <c r="O46" s="523"/>
      <c r="P46" s="523"/>
      <c r="Q46" s="522"/>
    </row>
    <row r="47" spans="2:17" s="213" customFormat="1" ht="45" customHeight="1">
      <c r="B47" s="572"/>
      <c r="C47" s="573"/>
      <c r="D47" s="569"/>
      <c r="E47" s="567" t="s">
        <v>4497</v>
      </c>
      <c r="F47" s="568"/>
      <c r="G47" s="521"/>
      <c r="H47" s="522"/>
      <c r="I47" s="156"/>
      <c r="J47" s="521"/>
      <c r="K47" s="523"/>
      <c r="L47" s="523"/>
      <c r="M47" s="523"/>
      <c r="N47" s="523"/>
      <c r="O47" s="523"/>
      <c r="P47" s="523"/>
      <c r="Q47" s="522"/>
    </row>
    <row r="48" spans="2:17" s="213" customFormat="1" ht="45" customHeight="1">
      <c r="B48" s="572"/>
      <c r="C48" s="573"/>
      <c r="D48" s="577"/>
      <c r="E48" s="567" t="s">
        <v>4018</v>
      </c>
      <c r="F48" s="568"/>
      <c r="G48" s="521"/>
      <c r="H48" s="522"/>
      <c r="I48" s="156"/>
      <c r="J48" s="521"/>
      <c r="K48" s="523"/>
      <c r="L48" s="523"/>
      <c r="M48" s="523"/>
      <c r="N48" s="523"/>
      <c r="O48" s="523"/>
      <c r="P48" s="523"/>
      <c r="Q48" s="522"/>
    </row>
    <row r="49" spans="2:25" s="213" customFormat="1" ht="45" customHeight="1">
      <c r="B49" s="572"/>
      <c r="C49" s="573"/>
      <c r="D49" s="569" t="s">
        <v>137</v>
      </c>
      <c r="E49" s="567" t="s">
        <v>4498</v>
      </c>
      <c r="F49" s="568"/>
      <c r="G49" s="521"/>
      <c r="H49" s="522"/>
      <c r="I49" s="156"/>
      <c r="J49" s="521"/>
      <c r="K49" s="523"/>
      <c r="L49" s="523"/>
      <c r="M49" s="523"/>
      <c r="N49" s="523"/>
      <c r="O49" s="523"/>
      <c r="P49" s="523"/>
      <c r="Q49" s="522"/>
    </row>
    <row r="50" spans="2:25" s="213" customFormat="1" ht="45" customHeight="1">
      <c r="B50" s="572"/>
      <c r="C50" s="573"/>
      <c r="D50" s="569"/>
      <c r="E50" s="567" t="s">
        <v>4500</v>
      </c>
      <c r="F50" s="568"/>
      <c r="G50" s="521"/>
      <c r="H50" s="522"/>
      <c r="I50" s="156"/>
      <c r="J50" s="521"/>
      <c r="K50" s="523"/>
      <c r="L50" s="523"/>
      <c r="M50" s="523"/>
      <c r="N50" s="523"/>
      <c r="O50" s="523"/>
      <c r="P50" s="523"/>
      <c r="Q50" s="522"/>
    </row>
    <row r="51" spans="2:25" s="213" customFormat="1" ht="45" customHeight="1">
      <c r="B51" s="574"/>
      <c r="C51" s="575"/>
      <c r="D51" s="218" t="s">
        <v>4462</v>
      </c>
      <c r="E51" s="567" t="s">
        <v>4499</v>
      </c>
      <c r="F51" s="568"/>
      <c r="G51" s="521"/>
      <c r="H51" s="522"/>
      <c r="I51" s="156"/>
      <c r="J51" s="521"/>
      <c r="K51" s="523"/>
      <c r="L51" s="523"/>
      <c r="M51" s="523"/>
      <c r="N51" s="523"/>
      <c r="O51" s="523"/>
      <c r="P51" s="523"/>
      <c r="Q51" s="522"/>
    </row>
    <row r="52" spans="2:25" s="213" customFormat="1" ht="10.5" customHeight="1">
      <c r="E52" s="219"/>
      <c r="F52" s="219"/>
    </row>
    <row r="54" spans="2:25" s="13" customFormat="1" ht="20.100000000000001" customHeight="1">
      <c r="B54" s="21" t="s">
        <v>4019</v>
      </c>
      <c r="C54" s="22"/>
      <c r="D54" s="23"/>
      <c r="E54" s="23"/>
      <c r="F54" s="23"/>
      <c r="G54" s="23"/>
      <c r="H54" s="23"/>
      <c r="I54" s="23"/>
      <c r="J54" s="23"/>
      <c r="K54" s="23"/>
      <c r="L54" s="24"/>
      <c r="M54" s="24"/>
      <c r="N54" s="24"/>
      <c r="O54" s="24"/>
      <c r="P54" s="24"/>
      <c r="Q54" s="24"/>
    </row>
    <row r="55" spans="2:25" s="13" customFormat="1" ht="18" customHeight="1"/>
    <row r="56" spans="2:25" s="13" customFormat="1" ht="18" customHeight="1">
      <c r="B56" s="20" t="s">
        <v>4027</v>
      </c>
    </row>
    <row r="57" spans="2:25" s="13" customFormat="1" ht="18" customHeight="1"/>
    <row r="58" spans="2:25" s="13" customFormat="1" ht="18" customHeight="1">
      <c r="B58" s="20" t="s">
        <v>4381</v>
      </c>
    </row>
    <row r="59" spans="2:25" s="13" customFormat="1" ht="18" customHeight="1"/>
    <row r="60" spans="2:25" s="16" customFormat="1" ht="27.95" customHeight="1">
      <c r="B60" s="426" t="s">
        <v>4020</v>
      </c>
      <c r="C60" s="427"/>
      <c r="D60" s="427"/>
      <c r="E60" s="427"/>
      <c r="F60" s="427"/>
      <c r="G60" s="427"/>
      <c r="H60" s="428"/>
      <c r="I60" s="148"/>
      <c r="J60" s="526" t="str">
        <f>+IF(I60="","",IF(I60="No","EL CIAI no cumple con esta condición técnica del Local, en relación a su entorno",""))</f>
        <v/>
      </c>
      <c r="K60" s="527"/>
      <c r="L60" s="527"/>
      <c r="M60" s="527"/>
      <c r="N60" s="527"/>
      <c r="O60" s="527"/>
      <c r="P60" s="527"/>
      <c r="Q60" s="527"/>
      <c r="R60" s="220"/>
      <c r="S60" s="220"/>
      <c r="T60" s="220" t="s">
        <v>4024</v>
      </c>
      <c r="U60" s="220"/>
      <c r="V60" s="220"/>
      <c r="W60" s="220"/>
      <c r="X60" s="220"/>
      <c r="Y60" s="220"/>
    </row>
    <row r="61" spans="2:25" s="13" customFormat="1" ht="6" customHeight="1"/>
    <row r="62" spans="2:25" s="16" customFormat="1" ht="27.95" customHeight="1">
      <c r="B62" s="426" t="s">
        <v>4021</v>
      </c>
      <c r="C62" s="427"/>
      <c r="D62" s="427"/>
      <c r="E62" s="427"/>
      <c r="F62" s="427"/>
      <c r="G62" s="427"/>
      <c r="H62" s="428"/>
      <c r="I62" s="148"/>
      <c r="J62" s="526" t="str">
        <f>+IF(I62="","",IF(I62="No","EL CIAI no cumple con esta condición técnica del Local, en relación a su entorno",""))</f>
        <v/>
      </c>
      <c r="K62" s="527"/>
      <c r="L62" s="527"/>
      <c r="M62" s="527"/>
      <c r="N62" s="527"/>
      <c r="O62" s="527"/>
      <c r="P62" s="527"/>
      <c r="Q62" s="527"/>
    </row>
    <row r="63" spans="2:25" s="13" customFormat="1" ht="6" customHeight="1"/>
    <row r="64" spans="2:25" s="16" customFormat="1" ht="27.95" customHeight="1">
      <c r="B64" s="426" t="s">
        <v>4022</v>
      </c>
      <c r="C64" s="427"/>
      <c r="D64" s="427"/>
      <c r="E64" s="427"/>
      <c r="F64" s="427"/>
      <c r="G64" s="427"/>
      <c r="H64" s="428"/>
      <c r="I64" s="148"/>
      <c r="J64" s="526" t="str">
        <f>+IF(I64="","",IF(I64="No","EL CIAI no cumple con esta condición técnica del Local, en relación a su entorno",""))</f>
        <v/>
      </c>
      <c r="K64" s="527"/>
      <c r="L64" s="527"/>
      <c r="M64" s="527"/>
      <c r="N64" s="527"/>
      <c r="O64" s="527"/>
      <c r="P64" s="527"/>
      <c r="Q64" s="527"/>
    </row>
    <row r="65" spans="2:25" s="13" customFormat="1" ht="6" customHeight="1"/>
    <row r="66" spans="2:25" s="16" customFormat="1" ht="36.950000000000003" customHeight="1">
      <c r="B66" s="426" t="s">
        <v>4023</v>
      </c>
      <c r="C66" s="427"/>
      <c r="D66" s="427"/>
      <c r="E66" s="427"/>
      <c r="F66" s="427"/>
      <c r="G66" s="427"/>
      <c r="H66" s="428"/>
      <c r="I66" s="148"/>
      <c r="J66" s="526" t="str">
        <f>+IF(I66="","",IF(I66="Sí","EL CIAI no cumple con esta condición técnica del Local, en relación a su entorno",""))</f>
        <v/>
      </c>
      <c r="K66" s="527"/>
      <c r="L66" s="527"/>
      <c r="M66" s="527"/>
      <c r="N66" s="527"/>
      <c r="O66" s="527"/>
      <c r="P66" s="527"/>
      <c r="Q66" s="527"/>
    </row>
    <row r="67" spans="2:25" s="13" customFormat="1" ht="6" customHeight="1"/>
    <row r="68" spans="2:25" s="16" customFormat="1" ht="27.95" customHeight="1">
      <c r="B68" s="426" t="s">
        <v>4025</v>
      </c>
      <c r="C68" s="427"/>
      <c r="D68" s="427"/>
      <c r="E68" s="427"/>
      <c r="F68" s="427"/>
      <c r="G68" s="427"/>
      <c r="H68" s="428"/>
      <c r="I68" s="148"/>
      <c r="J68" s="526" t="str">
        <f>+IF(I68="","",IF(I68="No","EL CIAI no cumple con esta condición técnica del Local, en relación a su entorno",""))</f>
        <v/>
      </c>
      <c r="K68" s="527"/>
      <c r="L68" s="527"/>
      <c r="M68" s="527"/>
      <c r="N68" s="527"/>
      <c r="O68" s="527"/>
      <c r="P68" s="527"/>
      <c r="Q68" s="527"/>
      <c r="R68" s="220"/>
      <c r="S68" s="220"/>
      <c r="T68" s="220"/>
      <c r="U68" s="220"/>
      <c r="V68" s="220"/>
      <c r="W68" s="220"/>
      <c r="X68" s="220"/>
      <c r="Y68" s="220"/>
    </row>
    <row r="69" spans="2:25" s="13" customFormat="1" ht="6" customHeight="1"/>
    <row r="70" spans="2:25" s="16" customFormat="1" ht="27.95" customHeight="1">
      <c r="B70" s="426" t="s">
        <v>4026</v>
      </c>
      <c r="C70" s="427"/>
      <c r="D70" s="427"/>
      <c r="E70" s="427"/>
      <c r="F70" s="427"/>
      <c r="G70" s="427"/>
      <c r="H70" s="428"/>
      <c r="I70" s="148"/>
      <c r="J70" s="526" t="str">
        <f>+IF(I70="","",IF(I70="Sí","EL CIAI no cumple con esta condición técnica del Local, en relación a su entorno",""))</f>
        <v/>
      </c>
      <c r="K70" s="527"/>
      <c r="L70" s="527"/>
      <c r="M70" s="527"/>
      <c r="N70" s="527"/>
      <c r="O70" s="527"/>
      <c r="P70" s="527"/>
      <c r="Q70" s="527"/>
    </row>
    <row r="71" spans="2:25" s="13" customFormat="1" ht="18" customHeight="1"/>
    <row r="72" spans="2:25" s="13" customFormat="1" ht="18" customHeight="1">
      <c r="B72" s="20" t="s">
        <v>4028</v>
      </c>
    </row>
    <row r="73" spans="2:25" s="13" customFormat="1" ht="18" customHeight="1"/>
    <row r="74" spans="2:25" s="16" customFormat="1" ht="27.95" customHeight="1">
      <c r="B74" s="426" t="s">
        <v>4413</v>
      </c>
      <c r="C74" s="427"/>
      <c r="D74" s="427"/>
      <c r="E74" s="427"/>
      <c r="F74" s="427"/>
      <c r="G74" s="427"/>
      <c r="H74" s="428"/>
      <c r="I74" s="148"/>
      <c r="J74" s="526" t="str">
        <f>+IF(I74="","",IF(I74="No","EL CIAI no cumple con esta condición técnica del Local, en relación a su entorno",""))</f>
        <v/>
      </c>
      <c r="K74" s="527"/>
      <c r="L74" s="527"/>
      <c r="M74" s="527"/>
      <c r="N74" s="527"/>
      <c r="O74" s="527"/>
      <c r="P74" s="527"/>
      <c r="Q74" s="527"/>
    </row>
    <row r="75" spans="2:25" s="13" customFormat="1" ht="6" customHeight="1"/>
    <row r="76" spans="2:25" s="16" customFormat="1" ht="27.95" customHeight="1">
      <c r="B76" s="426" t="s">
        <v>4414</v>
      </c>
      <c r="C76" s="427"/>
      <c r="D76" s="427"/>
      <c r="E76" s="427"/>
      <c r="F76" s="427"/>
      <c r="G76" s="427"/>
      <c r="H76" s="428"/>
      <c r="I76" s="148"/>
      <c r="J76" s="526" t="str">
        <f>+IF(I76="","",IF(I76="No","EL CIAI no cumple con esta condición técnica del Local, en relación a su entorno",""))</f>
        <v/>
      </c>
      <c r="K76" s="527"/>
      <c r="L76" s="527"/>
      <c r="M76" s="527"/>
      <c r="N76" s="527"/>
      <c r="O76" s="527"/>
      <c r="P76" s="527"/>
      <c r="Q76" s="527"/>
    </row>
    <row r="77" spans="2:25" s="13" customFormat="1" ht="6" customHeight="1"/>
    <row r="78" spans="2:25" s="16" customFormat="1" ht="27.95" customHeight="1">
      <c r="B78" s="426" t="s">
        <v>4415</v>
      </c>
      <c r="C78" s="427"/>
      <c r="D78" s="427"/>
      <c r="E78" s="427"/>
      <c r="F78" s="427"/>
      <c r="G78" s="427"/>
      <c r="H78" s="428"/>
      <c r="I78" s="148"/>
      <c r="J78" s="526" t="str">
        <f>+IF(I78="","",IF(I78="No","EL CIAI no cumple con esta condición técnica del Local, en relación a su entorno",""))</f>
        <v/>
      </c>
      <c r="K78" s="527"/>
      <c r="L78" s="527"/>
      <c r="M78" s="527"/>
      <c r="N78" s="527"/>
      <c r="O78" s="527"/>
      <c r="P78" s="527"/>
      <c r="Q78" s="527"/>
    </row>
    <row r="79" spans="2:25" s="13" customFormat="1" ht="18" customHeight="1"/>
    <row r="80" spans="2:25" s="13" customFormat="1" ht="18" customHeight="1">
      <c r="B80" s="14" t="s">
        <v>4355</v>
      </c>
      <c r="G80" s="14"/>
    </row>
    <row r="81" spans="2:17" s="13" customFormat="1" ht="18" customHeight="1">
      <c r="B81" s="14"/>
      <c r="C81" s="15"/>
      <c r="D81" s="15"/>
      <c r="E81" s="15"/>
      <c r="I81" s="15"/>
      <c r="J81" s="15"/>
      <c r="K81" s="15"/>
      <c r="L81" s="15"/>
      <c r="M81" s="15"/>
      <c r="N81" s="15"/>
      <c r="O81" s="221"/>
      <c r="P81" s="221"/>
      <c r="Q81" s="222"/>
    </row>
    <row r="82" spans="2:17" s="13" customFormat="1" ht="3" customHeight="1">
      <c r="B82" s="15"/>
      <c r="C82" s="15"/>
      <c r="D82" s="15"/>
      <c r="E82" s="15"/>
      <c r="F82" s="15"/>
      <c r="G82" s="15"/>
      <c r="H82" s="15"/>
      <c r="I82" s="15"/>
      <c r="J82" s="15"/>
      <c r="K82" s="15"/>
      <c r="L82" s="15"/>
      <c r="M82" s="15"/>
      <c r="N82" s="15"/>
      <c r="O82" s="221"/>
      <c r="P82" s="221"/>
      <c r="Q82" s="222"/>
    </row>
    <row r="83" spans="2:17" s="18" customFormat="1" ht="29.1" customHeight="1">
      <c r="B83" s="529" t="s">
        <v>4386</v>
      </c>
      <c r="C83" s="530"/>
      <c r="D83" s="530"/>
      <c r="E83" s="530"/>
      <c r="F83" s="531"/>
      <c r="G83" s="565"/>
      <c r="H83" s="566"/>
      <c r="I83" s="566"/>
      <c r="N83" s="189"/>
    </row>
    <row r="84" spans="2:17" s="18" customFormat="1" ht="6" customHeight="1">
      <c r="B84" s="449"/>
      <c r="C84" s="449"/>
      <c r="D84" s="449"/>
      <c r="E84" s="449"/>
      <c r="F84" s="449"/>
      <c r="G84" s="16"/>
      <c r="H84" s="16"/>
      <c r="N84" s="16"/>
    </row>
    <row r="85" spans="2:17" s="18" customFormat="1" ht="96" customHeight="1">
      <c r="B85" s="529" t="s">
        <v>4387</v>
      </c>
      <c r="C85" s="530"/>
      <c r="D85" s="530"/>
      <c r="E85" s="530"/>
      <c r="F85" s="531"/>
      <c r="G85" s="524"/>
      <c r="H85" s="525"/>
      <c r="I85" s="525"/>
      <c r="J85" s="449">
        <f>+IF(G85="Otra","Precisar",0)</f>
        <v>0</v>
      </c>
      <c r="K85" s="449"/>
      <c r="L85" s="449"/>
      <c r="N85" s="189"/>
    </row>
    <row r="86" spans="2:17" s="13" customFormat="1" ht="18" customHeight="1"/>
    <row r="87" spans="2:17" s="13" customFormat="1" ht="18" customHeight="1"/>
    <row r="88" spans="2:17" s="13" customFormat="1" ht="20.100000000000001" customHeight="1">
      <c r="B88" s="21" t="s">
        <v>4356</v>
      </c>
      <c r="C88" s="22"/>
      <c r="D88" s="23"/>
      <c r="E88" s="23"/>
      <c r="F88" s="23"/>
      <c r="G88" s="23"/>
      <c r="H88" s="23"/>
      <c r="I88" s="23"/>
      <c r="J88" s="23"/>
      <c r="K88" s="23"/>
      <c r="L88" s="24"/>
      <c r="M88" s="24"/>
      <c r="N88" s="24"/>
      <c r="O88" s="24"/>
      <c r="P88" s="24"/>
      <c r="Q88" s="24"/>
    </row>
    <row r="89" spans="2:17" s="13" customFormat="1" ht="18" customHeight="1"/>
    <row r="90" spans="2:17" s="13" customFormat="1" ht="18" customHeight="1">
      <c r="B90" s="13" t="s">
        <v>4148</v>
      </c>
      <c r="H90" s="17"/>
    </row>
    <row r="91" spans="2:17" s="13" customFormat="1" ht="26.1" customHeight="1">
      <c r="B91" s="535" t="s">
        <v>4134</v>
      </c>
      <c r="C91" s="536"/>
      <c r="D91" s="536"/>
      <c r="E91" s="537"/>
      <c r="F91" s="511" t="s">
        <v>4147</v>
      </c>
      <c r="G91" s="511"/>
      <c r="H91" s="511"/>
      <c r="I91" s="511" t="s">
        <v>4478</v>
      </c>
      <c r="J91" s="511"/>
      <c r="K91" s="511"/>
      <c r="L91" s="511"/>
      <c r="M91" s="511"/>
      <c r="N91" s="511"/>
      <c r="O91" s="511"/>
      <c r="P91" s="511"/>
      <c r="Q91" s="511"/>
    </row>
    <row r="92" spans="2:17" s="13" customFormat="1" ht="26.1" customHeight="1">
      <c r="B92" s="538"/>
      <c r="C92" s="539"/>
      <c r="D92" s="539"/>
      <c r="E92" s="540"/>
      <c r="F92" s="223" t="s">
        <v>135</v>
      </c>
      <c r="G92" s="223" t="s">
        <v>4135</v>
      </c>
      <c r="H92" s="223" t="s">
        <v>177</v>
      </c>
      <c r="I92" s="511"/>
      <c r="J92" s="511"/>
      <c r="K92" s="511"/>
      <c r="L92" s="511"/>
      <c r="M92" s="511"/>
      <c r="N92" s="511"/>
      <c r="O92" s="511"/>
      <c r="P92" s="511"/>
      <c r="Q92" s="511"/>
    </row>
    <row r="93" spans="2:17" s="13" customFormat="1" ht="3" customHeight="1"/>
    <row r="94" spans="2:17" s="13" customFormat="1" ht="18" customHeight="1">
      <c r="B94" s="532" t="s">
        <v>4136</v>
      </c>
      <c r="C94" s="533"/>
      <c r="D94" s="533"/>
      <c r="E94" s="534"/>
      <c r="F94" s="207"/>
      <c r="G94" s="224"/>
      <c r="H94" s="224">
        <f>SUM(H95:H104)</f>
        <v>0</v>
      </c>
      <c r="I94" s="512"/>
      <c r="J94" s="513"/>
      <c r="K94" s="513"/>
      <c r="L94" s="513"/>
      <c r="M94" s="513"/>
      <c r="N94" s="513"/>
      <c r="O94" s="513"/>
      <c r="P94" s="513"/>
      <c r="Q94" s="514"/>
    </row>
    <row r="95" spans="2:17" s="13" customFormat="1" ht="18" customHeight="1">
      <c r="B95" s="541" t="s">
        <v>4137</v>
      </c>
      <c r="C95" s="542"/>
      <c r="D95" s="542"/>
      <c r="E95" s="543"/>
      <c r="F95" s="149"/>
      <c r="G95" s="159"/>
      <c r="H95" s="225">
        <f>+G95*F95</f>
        <v>0</v>
      </c>
      <c r="I95" s="515"/>
      <c r="J95" s="516"/>
      <c r="K95" s="516"/>
      <c r="L95" s="516"/>
      <c r="M95" s="516"/>
      <c r="N95" s="516"/>
      <c r="O95" s="516"/>
      <c r="P95" s="516"/>
      <c r="Q95" s="517"/>
    </row>
    <row r="96" spans="2:17" s="13" customFormat="1" ht="18" customHeight="1">
      <c r="B96" s="541" t="s">
        <v>4138</v>
      </c>
      <c r="C96" s="542"/>
      <c r="D96" s="542"/>
      <c r="E96" s="543"/>
      <c r="F96" s="149"/>
      <c r="G96" s="159"/>
      <c r="H96" s="225">
        <f t="shared" ref="H96:H104" si="0">+G96*F96</f>
        <v>0</v>
      </c>
      <c r="I96" s="515"/>
      <c r="J96" s="516"/>
      <c r="K96" s="516"/>
      <c r="L96" s="516"/>
      <c r="M96" s="516"/>
      <c r="N96" s="516"/>
      <c r="O96" s="516"/>
      <c r="P96" s="516"/>
      <c r="Q96" s="517"/>
    </row>
    <row r="97" spans="2:17" s="13" customFormat="1" ht="18" customHeight="1">
      <c r="B97" s="541" t="s">
        <v>4139</v>
      </c>
      <c r="C97" s="542"/>
      <c r="D97" s="542"/>
      <c r="E97" s="543"/>
      <c r="F97" s="149"/>
      <c r="G97" s="159"/>
      <c r="H97" s="225">
        <f t="shared" si="0"/>
        <v>0</v>
      </c>
      <c r="I97" s="515"/>
      <c r="J97" s="516"/>
      <c r="K97" s="516"/>
      <c r="L97" s="516"/>
      <c r="M97" s="516"/>
      <c r="N97" s="516"/>
      <c r="O97" s="516"/>
      <c r="P97" s="516"/>
      <c r="Q97" s="517"/>
    </row>
    <row r="98" spans="2:17" s="13" customFormat="1" ht="18" customHeight="1">
      <c r="B98" s="541" t="s">
        <v>4140</v>
      </c>
      <c r="C98" s="542"/>
      <c r="D98" s="542"/>
      <c r="E98" s="543"/>
      <c r="F98" s="149"/>
      <c r="G98" s="159"/>
      <c r="H98" s="225">
        <f t="shared" si="0"/>
        <v>0</v>
      </c>
      <c r="I98" s="515"/>
      <c r="J98" s="516"/>
      <c r="K98" s="516"/>
      <c r="L98" s="516"/>
      <c r="M98" s="516"/>
      <c r="N98" s="516"/>
      <c r="O98" s="516"/>
      <c r="P98" s="516"/>
      <c r="Q98" s="517"/>
    </row>
    <row r="99" spans="2:17" s="13" customFormat="1" ht="18" customHeight="1">
      <c r="B99" s="541" t="s">
        <v>4141</v>
      </c>
      <c r="C99" s="542"/>
      <c r="D99" s="542"/>
      <c r="E99" s="543"/>
      <c r="F99" s="149"/>
      <c r="G99" s="159"/>
      <c r="H99" s="225">
        <f t="shared" si="0"/>
        <v>0</v>
      </c>
      <c r="I99" s="515"/>
      <c r="J99" s="516"/>
      <c r="K99" s="516"/>
      <c r="L99" s="516"/>
      <c r="M99" s="516"/>
      <c r="N99" s="516"/>
      <c r="O99" s="516"/>
      <c r="P99" s="516"/>
      <c r="Q99" s="517"/>
    </row>
    <row r="100" spans="2:17" s="13" customFormat="1" ht="18" customHeight="1">
      <c r="B100" s="541" t="s">
        <v>4142</v>
      </c>
      <c r="C100" s="542"/>
      <c r="D100" s="542"/>
      <c r="E100" s="543"/>
      <c r="F100" s="149"/>
      <c r="G100" s="159"/>
      <c r="H100" s="225">
        <f t="shared" si="0"/>
        <v>0</v>
      </c>
      <c r="I100" s="515"/>
      <c r="J100" s="516"/>
      <c r="K100" s="516"/>
      <c r="L100" s="516"/>
      <c r="M100" s="516"/>
      <c r="N100" s="516"/>
      <c r="O100" s="516"/>
      <c r="P100" s="516"/>
      <c r="Q100" s="517"/>
    </row>
    <row r="101" spans="2:17" s="13" customFormat="1" ht="18" customHeight="1">
      <c r="B101" s="532" t="s">
        <v>4143</v>
      </c>
      <c r="C101" s="533"/>
      <c r="D101" s="533"/>
      <c r="E101" s="534"/>
      <c r="F101" s="149"/>
      <c r="G101" s="159"/>
      <c r="H101" s="225">
        <f t="shared" si="0"/>
        <v>0</v>
      </c>
      <c r="I101" s="515"/>
      <c r="J101" s="516"/>
      <c r="K101" s="516"/>
      <c r="L101" s="516"/>
      <c r="M101" s="516"/>
      <c r="N101" s="516"/>
      <c r="O101" s="516"/>
      <c r="P101" s="516"/>
      <c r="Q101" s="517"/>
    </row>
    <row r="102" spans="2:17" s="13" customFormat="1" ht="18" customHeight="1">
      <c r="B102" s="541" t="s">
        <v>4144</v>
      </c>
      <c r="C102" s="542"/>
      <c r="D102" s="542"/>
      <c r="E102" s="543"/>
      <c r="F102" s="149"/>
      <c r="G102" s="159"/>
      <c r="H102" s="225">
        <f t="shared" si="0"/>
        <v>0</v>
      </c>
      <c r="I102" s="515"/>
      <c r="J102" s="516"/>
      <c r="K102" s="516"/>
      <c r="L102" s="516"/>
      <c r="M102" s="516"/>
      <c r="N102" s="516"/>
      <c r="O102" s="516"/>
      <c r="P102" s="516"/>
      <c r="Q102" s="517"/>
    </row>
    <row r="103" spans="2:17" s="13" customFormat="1" ht="18" customHeight="1">
      <c r="B103" s="541" t="s">
        <v>4145</v>
      </c>
      <c r="C103" s="542"/>
      <c r="D103" s="542"/>
      <c r="E103" s="543"/>
      <c r="F103" s="149"/>
      <c r="G103" s="159"/>
      <c r="H103" s="225">
        <f t="shared" si="0"/>
        <v>0</v>
      </c>
      <c r="I103" s="515"/>
      <c r="J103" s="516"/>
      <c r="K103" s="516"/>
      <c r="L103" s="516"/>
      <c r="M103" s="516"/>
      <c r="N103" s="516"/>
      <c r="O103" s="516"/>
      <c r="P103" s="516"/>
      <c r="Q103" s="517"/>
    </row>
    <row r="104" spans="2:17" s="13" customFormat="1" ht="18" customHeight="1">
      <c r="B104" s="541" t="s">
        <v>4146</v>
      </c>
      <c r="C104" s="542"/>
      <c r="D104" s="542"/>
      <c r="E104" s="543"/>
      <c r="F104" s="149"/>
      <c r="G104" s="159"/>
      <c r="H104" s="225">
        <f t="shared" si="0"/>
        <v>0</v>
      </c>
      <c r="I104" s="518"/>
      <c r="J104" s="519"/>
      <c r="K104" s="519"/>
      <c r="L104" s="519"/>
      <c r="M104" s="519"/>
      <c r="N104" s="519"/>
      <c r="O104" s="519"/>
      <c r="P104" s="519"/>
      <c r="Q104" s="520"/>
    </row>
    <row r="105" spans="2:17" s="13" customFormat="1" ht="18" customHeight="1">
      <c r="B105" s="18"/>
      <c r="C105" s="18"/>
      <c r="D105" s="18"/>
      <c r="E105" s="18"/>
      <c r="F105" s="18"/>
      <c r="G105" s="18"/>
      <c r="H105" s="18"/>
    </row>
    <row r="106" spans="2:17" s="13" customFormat="1" ht="18" customHeight="1">
      <c r="B106" s="13" t="s">
        <v>4477</v>
      </c>
      <c r="H106" s="17"/>
    </row>
    <row r="107" spans="2:17" s="13" customFormat="1" ht="26.1" customHeight="1">
      <c r="B107" s="535" t="s">
        <v>4134</v>
      </c>
      <c r="C107" s="536"/>
      <c r="D107" s="536"/>
      <c r="E107" s="537"/>
      <c r="F107" s="511" t="s">
        <v>4147</v>
      </c>
      <c r="G107" s="511"/>
      <c r="H107" s="511"/>
      <c r="I107" s="511" t="s">
        <v>4479</v>
      </c>
      <c r="J107" s="511"/>
      <c r="K107" s="511"/>
      <c r="L107" s="511"/>
      <c r="M107" s="511"/>
      <c r="N107" s="511"/>
      <c r="O107" s="511"/>
      <c r="P107" s="511"/>
      <c r="Q107" s="511"/>
    </row>
    <row r="108" spans="2:17" s="13" customFormat="1" ht="26.1" customHeight="1">
      <c r="B108" s="538"/>
      <c r="C108" s="539"/>
      <c r="D108" s="539"/>
      <c r="E108" s="540"/>
      <c r="F108" s="223" t="s">
        <v>135</v>
      </c>
      <c r="G108" s="223" t="s">
        <v>4135</v>
      </c>
      <c r="H108" s="223" t="s">
        <v>177</v>
      </c>
      <c r="I108" s="511"/>
      <c r="J108" s="511"/>
      <c r="K108" s="511"/>
      <c r="L108" s="511"/>
      <c r="M108" s="511"/>
      <c r="N108" s="511"/>
      <c r="O108" s="511"/>
      <c r="P108" s="511"/>
      <c r="Q108" s="511"/>
    </row>
    <row r="109" spans="2:17" s="13" customFormat="1" ht="3" customHeight="1"/>
    <row r="110" spans="2:17" s="13" customFormat="1" ht="18" customHeight="1">
      <c r="B110" s="532" t="s">
        <v>4149</v>
      </c>
      <c r="C110" s="533"/>
      <c r="D110" s="533"/>
      <c r="E110" s="534"/>
      <c r="F110" s="207"/>
      <c r="G110" s="224"/>
      <c r="H110" s="224">
        <f>SUM(H111:H115)</f>
        <v>0</v>
      </c>
      <c r="I110" s="512"/>
      <c r="J110" s="513"/>
      <c r="K110" s="513"/>
      <c r="L110" s="513"/>
      <c r="M110" s="513"/>
      <c r="N110" s="513"/>
      <c r="O110" s="513"/>
      <c r="P110" s="513"/>
      <c r="Q110" s="514"/>
    </row>
    <row r="111" spans="2:17" s="13" customFormat="1" ht="18" customHeight="1">
      <c r="B111" s="541" t="s">
        <v>4378</v>
      </c>
      <c r="C111" s="542"/>
      <c r="D111" s="542"/>
      <c r="E111" s="543"/>
      <c r="F111" s="149"/>
      <c r="G111" s="159"/>
      <c r="H111" s="225">
        <f>+G111*F111</f>
        <v>0</v>
      </c>
      <c r="I111" s="515"/>
      <c r="J111" s="516"/>
      <c r="K111" s="516"/>
      <c r="L111" s="516"/>
      <c r="M111" s="516"/>
      <c r="N111" s="516"/>
      <c r="O111" s="516"/>
      <c r="P111" s="516"/>
      <c r="Q111" s="517"/>
    </row>
    <row r="112" spans="2:17" s="13" customFormat="1" ht="18" customHeight="1">
      <c r="B112" s="541" t="s">
        <v>4379</v>
      </c>
      <c r="C112" s="542"/>
      <c r="D112" s="542"/>
      <c r="E112" s="543"/>
      <c r="F112" s="149"/>
      <c r="G112" s="159"/>
      <c r="H112" s="225">
        <f>+G112*F112</f>
        <v>0</v>
      </c>
      <c r="I112" s="515"/>
      <c r="J112" s="516"/>
      <c r="K112" s="516"/>
      <c r="L112" s="516"/>
      <c r="M112" s="516"/>
      <c r="N112" s="516"/>
      <c r="O112" s="516"/>
      <c r="P112" s="516"/>
      <c r="Q112" s="517"/>
    </row>
    <row r="113" spans="2:17" s="13" customFormat="1" ht="18" customHeight="1">
      <c r="B113" s="541" t="s">
        <v>4152</v>
      </c>
      <c r="C113" s="542"/>
      <c r="D113" s="542"/>
      <c r="E113" s="543"/>
      <c r="F113" s="149"/>
      <c r="G113" s="159"/>
      <c r="H113" s="225">
        <f>+G113*F113</f>
        <v>0</v>
      </c>
      <c r="I113" s="515"/>
      <c r="J113" s="516"/>
      <c r="K113" s="516"/>
      <c r="L113" s="516"/>
      <c r="M113" s="516"/>
      <c r="N113" s="516"/>
      <c r="O113" s="516"/>
      <c r="P113" s="516"/>
      <c r="Q113" s="517"/>
    </row>
    <row r="114" spans="2:17" s="13" customFormat="1" ht="18" customHeight="1">
      <c r="B114" s="541" t="s">
        <v>4153</v>
      </c>
      <c r="C114" s="542"/>
      <c r="D114" s="542"/>
      <c r="E114" s="543"/>
      <c r="F114" s="149"/>
      <c r="G114" s="159"/>
      <c r="H114" s="225">
        <f>+G114*F114</f>
        <v>0</v>
      </c>
      <c r="I114" s="515"/>
      <c r="J114" s="516"/>
      <c r="K114" s="516"/>
      <c r="L114" s="516"/>
      <c r="M114" s="516"/>
      <c r="N114" s="516"/>
      <c r="O114" s="516"/>
      <c r="P114" s="516"/>
      <c r="Q114" s="517"/>
    </row>
    <row r="115" spans="2:17" s="13" customFormat="1" ht="21" customHeight="1">
      <c r="B115" s="541" t="s">
        <v>4280</v>
      </c>
      <c r="C115" s="542"/>
      <c r="D115" s="542"/>
      <c r="E115" s="543"/>
      <c r="F115" s="149"/>
      <c r="G115" s="159"/>
      <c r="H115" s="225">
        <f>+G115*F115</f>
        <v>0</v>
      </c>
      <c r="I115" s="518"/>
      <c r="J115" s="519"/>
      <c r="K115" s="519"/>
      <c r="L115" s="519"/>
      <c r="M115" s="519"/>
      <c r="N115" s="519"/>
      <c r="O115" s="519"/>
      <c r="P115" s="519"/>
      <c r="Q115" s="520"/>
    </row>
    <row r="116" spans="2:17" s="13" customFormat="1" ht="18" customHeight="1">
      <c r="B116" s="226"/>
      <c r="C116" s="226"/>
      <c r="D116" s="226"/>
    </row>
    <row r="117" spans="2:17" s="13" customFormat="1" ht="20.100000000000001" customHeight="1">
      <c r="B117" s="21" t="s">
        <v>4527</v>
      </c>
      <c r="C117" s="22"/>
      <c r="D117" s="23"/>
      <c r="E117" s="23"/>
      <c r="F117" s="23"/>
      <c r="G117" s="23"/>
      <c r="H117" s="23"/>
      <c r="I117" s="23"/>
      <c r="J117" s="23"/>
      <c r="K117" s="23"/>
      <c r="L117" s="24"/>
      <c r="M117" s="24"/>
      <c r="N117" s="24"/>
      <c r="O117" s="24"/>
      <c r="P117" s="24"/>
      <c r="Q117" s="24"/>
    </row>
    <row r="118" spans="2:17" s="13" customFormat="1" ht="18" customHeight="1"/>
    <row r="119" spans="2:17" s="13" customFormat="1" ht="42.95" customHeight="1">
      <c r="B119" s="552" t="s">
        <v>71</v>
      </c>
      <c r="C119" s="552"/>
      <c r="D119" s="552"/>
      <c r="E119" s="192" t="s">
        <v>72</v>
      </c>
      <c r="F119" s="227" t="s">
        <v>73</v>
      </c>
      <c r="G119" s="227" t="s">
        <v>74</v>
      </c>
      <c r="H119" s="227" t="s">
        <v>75</v>
      </c>
      <c r="I119" s="227" t="s">
        <v>76</v>
      </c>
      <c r="J119" s="227" t="s">
        <v>77</v>
      </c>
    </row>
    <row r="120" spans="2:17" s="13" customFormat="1" ht="18" customHeight="1"/>
    <row r="121" spans="2:17" s="13" customFormat="1" ht="29.1" customHeight="1">
      <c r="B121" s="444" t="s">
        <v>4006</v>
      </c>
      <c r="C121" s="445"/>
      <c r="D121" s="446"/>
      <c r="E121" s="201" t="s">
        <v>4154</v>
      </c>
      <c r="F121" s="149"/>
      <c r="G121" s="149"/>
      <c r="H121" s="149"/>
      <c r="I121" s="149"/>
      <c r="J121" s="149"/>
    </row>
    <row r="122" spans="2:17" s="13" customFormat="1" ht="18" customHeight="1">
      <c r="O122" s="17"/>
      <c r="P122" s="17"/>
    </row>
    <row r="123" spans="2:17" s="13" customFormat="1" ht="20.100000000000001" customHeight="1">
      <c r="B123" s="21" t="s">
        <v>4182</v>
      </c>
      <c r="C123" s="22"/>
      <c r="D123" s="23"/>
      <c r="E123" s="23"/>
      <c r="F123" s="23"/>
      <c r="G123" s="23"/>
      <c r="H123" s="23"/>
      <c r="I123" s="23"/>
      <c r="J123" s="23"/>
      <c r="K123" s="23"/>
      <c r="L123" s="24"/>
      <c r="M123" s="24"/>
      <c r="N123" s="24"/>
      <c r="O123" s="24"/>
      <c r="P123" s="24"/>
      <c r="Q123" s="24"/>
    </row>
    <row r="124" spans="2:17" s="13" customFormat="1" ht="18" customHeight="1">
      <c r="O124" s="17"/>
      <c r="P124" s="17"/>
    </row>
    <row r="125" spans="2:17" s="13" customFormat="1" ht="81" customHeight="1">
      <c r="B125" s="546" t="s">
        <v>34</v>
      </c>
      <c r="C125" s="547"/>
      <c r="D125" s="547"/>
      <c r="E125" s="547"/>
      <c r="F125" s="548"/>
      <c r="G125" s="563" t="s">
        <v>4131</v>
      </c>
      <c r="H125" s="563" t="s">
        <v>4132</v>
      </c>
      <c r="I125" s="511" t="s">
        <v>4133</v>
      </c>
      <c r="J125" s="511"/>
      <c r="L125" s="17"/>
    </row>
    <row r="126" spans="2:17" s="13" customFormat="1" ht="26.1" customHeight="1">
      <c r="B126" s="549"/>
      <c r="C126" s="550"/>
      <c r="D126" s="550"/>
      <c r="E126" s="550"/>
      <c r="F126" s="551"/>
      <c r="G126" s="564"/>
      <c r="H126" s="564"/>
      <c r="I126" s="511"/>
      <c r="J126" s="511"/>
      <c r="L126" s="17"/>
    </row>
    <row r="127" spans="2:17" s="13" customFormat="1" ht="18" customHeight="1">
      <c r="L127" s="17"/>
    </row>
    <row r="128" spans="2:17" s="13" customFormat="1" ht="18" customHeight="1">
      <c r="B128" s="460" t="str">
        <f>+IF(Territorio!G66="Sí",Territorio!B66,"")</f>
        <v/>
      </c>
      <c r="C128" s="460"/>
      <c r="D128" s="460"/>
      <c r="E128" s="460"/>
      <c r="F128" s="444"/>
      <c r="G128" s="148"/>
      <c r="H128" s="148"/>
      <c r="I128" s="561"/>
      <c r="J128" s="562"/>
      <c r="L128" s="17"/>
    </row>
    <row r="129" spans="2:12" s="13" customFormat="1" ht="18" customHeight="1">
      <c r="B129" s="460" t="str">
        <f>+IF(Territorio!G67="Sí",Territorio!B67,"")</f>
        <v/>
      </c>
      <c r="C129" s="460"/>
      <c r="D129" s="460"/>
      <c r="E129" s="460"/>
      <c r="F129" s="444"/>
      <c r="G129" s="148"/>
      <c r="H129" s="148"/>
      <c r="I129" s="561"/>
      <c r="J129" s="562"/>
      <c r="L129" s="17"/>
    </row>
    <row r="130" spans="2:12" s="13" customFormat="1" ht="18" customHeight="1">
      <c r="B130" s="460" t="str">
        <f>+IF(Territorio!G68="Sí",Territorio!B68,"")</f>
        <v/>
      </c>
      <c r="C130" s="460"/>
      <c r="D130" s="460"/>
      <c r="E130" s="460"/>
      <c r="F130" s="444"/>
      <c r="G130" s="148"/>
      <c r="H130" s="148"/>
      <c r="I130" s="561"/>
      <c r="J130" s="562"/>
      <c r="L130" s="17"/>
    </row>
    <row r="131" spans="2:12" s="13" customFormat="1" ht="18" customHeight="1">
      <c r="B131" s="460" t="str">
        <f>+IF(Territorio!G69="Sí",Territorio!B69,"")</f>
        <v/>
      </c>
      <c r="C131" s="460"/>
      <c r="D131" s="460"/>
      <c r="E131" s="460"/>
      <c r="F131" s="444"/>
      <c r="G131" s="148"/>
      <c r="H131" s="148"/>
      <c r="I131" s="561"/>
      <c r="J131" s="562"/>
      <c r="L131" s="17"/>
    </row>
    <row r="132" spans="2:12" s="13" customFormat="1" ht="18" customHeight="1">
      <c r="B132" s="460" t="str">
        <f>+IF(Territorio!G70="Sí",Territorio!B70,"")</f>
        <v/>
      </c>
      <c r="C132" s="460"/>
      <c r="D132" s="460"/>
      <c r="E132" s="460"/>
      <c r="F132" s="444"/>
      <c r="G132" s="148"/>
      <c r="H132" s="148"/>
      <c r="I132" s="561"/>
      <c r="J132" s="562"/>
      <c r="L132" s="17"/>
    </row>
    <row r="133" spans="2:12" s="13" customFormat="1" ht="18" customHeight="1">
      <c r="B133" s="460" t="str">
        <f>+IF(Territorio!G71="Sí",Territorio!B71,"")</f>
        <v/>
      </c>
      <c r="C133" s="460"/>
      <c r="D133" s="460"/>
      <c r="E133" s="460"/>
      <c r="F133" s="444"/>
      <c r="G133" s="148"/>
      <c r="H133" s="148"/>
      <c r="I133" s="561"/>
      <c r="J133" s="562"/>
      <c r="L133" s="17"/>
    </row>
    <row r="134" spans="2:12" s="13" customFormat="1" ht="18" customHeight="1">
      <c r="B134" s="460" t="str">
        <f>+IF(Territorio!G72="Sí",Territorio!B72,"")</f>
        <v/>
      </c>
      <c r="C134" s="460"/>
      <c r="D134" s="460"/>
      <c r="E134" s="460"/>
      <c r="F134" s="444"/>
      <c r="G134" s="148"/>
      <c r="H134" s="148"/>
      <c r="I134" s="561"/>
      <c r="J134" s="562"/>
      <c r="L134" s="17"/>
    </row>
    <row r="135" spans="2:12" s="13" customFormat="1" ht="18" customHeight="1">
      <c r="B135" s="460" t="str">
        <f>+IF(Territorio!G73="Sí",Territorio!B73,"")</f>
        <v/>
      </c>
      <c r="C135" s="460"/>
      <c r="D135" s="460"/>
      <c r="E135" s="460"/>
      <c r="F135" s="444"/>
      <c r="G135" s="148"/>
      <c r="H135" s="148"/>
      <c r="I135" s="561"/>
      <c r="J135" s="562"/>
      <c r="L135" s="17"/>
    </row>
    <row r="136" spans="2:12" s="13" customFormat="1" ht="18" customHeight="1">
      <c r="B136" s="460" t="str">
        <f>+IF(Territorio!G74="Sí",Territorio!B74,"")</f>
        <v/>
      </c>
      <c r="C136" s="460"/>
      <c r="D136" s="460"/>
      <c r="E136" s="460"/>
      <c r="F136" s="444"/>
      <c r="G136" s="148"/>
      <c r="H136" s="148"/>
      <c r="I136" s="561"/>
      <c r="J136" s="562"/>
      <c r="L136" s="17"/>
    </row>
    <row r="137" spans="2:12" s="13" customFormat="1" ht="18" customHeight="1">
      <c r="B137" s="460" t="str">
        <f>+IF(Territorio!G75="Sí",Territorio!B75,"")</f>
        <v/>
      </c>
      <c r="C137" s="460"/>
      <c r="D137" s="460"/>
      <c r="E137" s="460"/>
      <c r="F137" s="444"/>
      <c r="G137" s="148"/>
      <c r="H137" s="148"/>
      <c r="I137" s="561"/>
      <c r="J137" s="562"/>
      <c r="L137" s="17"/>
    </row>
    <row r="138" spans="2:12" s="13" customFormat="1" ht="18" customHeight="1">
      <c r="B138" s="460" t="str">
        <f>+IF(Territorio!G76="Sí",Territorio!B76,"")</f>
        <v/>
      </c>
      <c r="C138" s="460"/>
      <c r="D138" s="460"/>
      <c r="E138" s="460"/>
      <c r="F138" s="444"/>
      <c r="G138" s="148"/>
      <c r="H138" s="148"/>
      <c r="I138" s="561"/>
      <c r="J138" s="562"/>
      <c r="L138" s="17"/>
    </row>
    <row r="139" spans="2:12" s="13" customFormat="1" ht="18" customHeight="1">
      <c r="B139" s="460" t="str">
        <f>+IF(Territorio!G77="Sí",Territorio!B77,"")</f>
        <v/>
      </c>
      <c r="C139" s="460"/>
      <c r="D139" s="460"/>
      <c r="E139" s="460"/>
      <c r="F139" s="444"/>
      <c r="G139" s="148"/>
      <c r="H139" s="148"/>
      <c r="I139" s="561"/>
      <c r="J139" s="562"/>
      <c r="L139" s="17"/>
    </row>
    <row r="140" spans="2:12" s="13" customFormat="1" ht="18" customHeight="1">
      <c r="B140" s="460" t="str">
        <f>+IF(Territorio!G78="Sí",Territorio!B78,"")</f>
        <v/>
      </c>
      <c r="C140" s="460"/>
      <c r="D140" s="460"/>
      <c r="E140" s="460"/>
      <c r="F140" s="444"/>
      <c r="G140" s="148"/>
      <c r="H140" s="148"/>
      <c r="I140" s="561"/>
      <c r="J140" s="562"/>
      <c r="L140" s="17"/>
    </row>
    <row r="141" spans="2:12" s="13" customFormat="1" ht="18" customHeight="1">
      <c r="B141" s="460" t="str">
        <f>+IF(Territorio!G79="Sí",Territorio!B79,"")</f>
        <v/>
      </c>
      <c r="C141" s="460"/>
      <c r="D141" s="460"/>
      <c r="E141" s="460"/>
      <c r="F141" s="444"/>
      <c r="G141" s="148"/>
      <c r="H141" s="148"/>
      <c r="I141" s="561"/>
      <c r="J141" s="562"/>
      <c r="L141" s="17"/>
    </row>
    <row r="142" spans="2:12" s="13" customFormat="1" ht="18" customHeight="1">
      <c r="B142" s="460" t="str">
        <f>+IF(Territorio!G80="Sí",Territorio!B80,"")</f>
        <v/>
      </c>
      <c r="C142" s="460"/>
      <c r="D142" s="460"/>
      <c r="E142" s="460"/>
      <c r="F142" s="444"/>
      <c r="G142" s="148"/>
      <c r="H142" s="148"/>
      <c r="I142" s="561"/>
      <c r="J142" s="562"/>
      <c r="L142" s="17"/>
    </row>
    <row r="143" spans="2:12" s="13" customFormat="1" ht="18" customHeight="1">
      <c r="B143" s="460" t="str">
        <f>+IF(Territorio!G81="Sí",Territorio!B81,"")</f>
        <v/>
      </c>
      <c r="C143" s="460"/>
      <c r="D143" s="460"/>
      <c r="E143" s="460"/>
      <c r="F143" s="444"/>
      <c r="G143" s="148"/>
      <c r="H143" s="148"/>
      <c r="I143" s="561"/>
      <c r="J143" s="562"/>
      <c r="L143" s="17"/>
    </row>
    <row r="144" spans="2:12" s="13" customFormat="1" ht="18" customHeight="1">
      <c r="L144" s="17"/>
    </row>
    <row r="145" spans="11:11" ht="18" customHeight="1">
      <c r="K145" s="13"/>
    </row>
  </sheetData>
  <sheetProtection sheet="1" objects="1" scenarios="1"/>
  <dataConsolidate/>
  <mergeCells count="162">
    <mergeCell ref="B38:C39"/>
    <mergeCell ref="D38:D39"/>
    <mergeCell ref="E38:F39"/>
    <mergeCell ref="B41:C51"/>
    <mergeCell ref="D41:D48"/>
    <mergeCell ref="E41:F41"/>
    <mergeCell ref="E42:F42"/>
    <mergeCell ref="G41:H41"/>
    <mergeCell ref="G42:H42"/>
    <mergeCell ref="B70:H70"/>
    <mergeCell ref="J70:Q70"/>
    <mergeCell ref="B60:H60"/>
    <mergeCell ref="B62:H62"/>
    <mergeCell ref="B64:H64"/>
    <mergeCell ref="B66:H66"/>
    <mergeCell ref="J60:Q60"/>
    <mergeCell ref="E43:F43"/>
    <mergeCell ref="G43:H43"/>
    <mergeCell ref="E44:F44"/>
    <mergeCell ref="G44:H44"/>
    <mergeCell ref="E45:F45"/>
    <mergeCell ref="G45:H45"/>
    <mergeCell ref="E46:F46"/>
    <mergeCell ref="E51:F51"/>
    <mergeCell ref="E47:F47"/>
    <mergeCell ref="G47:H47"/>
    <mergeCell ref="E48:F48"/>
    <mergeCell ref="G48:H48"/>
    <mergeCell ref="D49:D50"/>
    <mergeCell ref="E49:F49"/>
    <mergeCell ref="G49:H49"/>
    <mergeCell ref="E50:F50"/>
    <mergeCell ref="G50:H50"/>
    <mergeCell ref="B26:B27"/>
    <mergeCell ref="I143:J143"/>
    <mergeCell ref="B114:E114"/>
    <mergeCell ref="B136:F136"/>
    <mergeCell ref="G125:G126"/>
    <mergeCell ref="H125:H126"/>
    <mergeCell ref="I125:J126"/>
    <mergeCell ref="I128:J128"/>
    <mergeCell ref="I129:J129"/>
    <mergeCell ref="I130:J130"/>
    <mergeCell ref="I131:J131"/>
    <mergeCell ref="I132:J132"/>
    <mergeCell ref="I133:J133"/>
    <mergeCell ref="I134:J134"/>
    <mergeCell ref="I135:J135"/>
    <mergeCell ref="I136:J136"/>
    <mergeCell ref="I137:J137"/>
    <mergeCell ref="I138:J138"/>
    <mergeCell ref="I139:J139"/>
    <mergeCell ref="I140:J140"/>
    <mergeCell ref="I141:J141"/>
    <mergeCell ref="I142:J142"/>
    <mergeCell ref="B133:F133"/>
    <mergeCell ref="G83:I83"/>
    <mergeCell ref="E20:G20"/>
    <mergeCell ref="N20:Q20"/>
    <mergeCell ref="C20:D20"/>
    <mergeCell ref="D28:E28"/>
    <mergeCell ref="D29:E29"/>
    <mergeCell ref="D31:E31"/>
    <mergeCell ref="D30:E30"/>
    <mergeCell ref="F31:H31"/>
    <mergeCell ref="F30:H30"/>
    <mergeCell ref="F29:H29"/>
    <mergeCell ref="H20:I20"/>
    <mergeCell ref="J20:K20"/>
    <mergeCell ref="L20:M20"/>
    <mergeCell ref="F27:H27"/>
    <mergeCell ref="F28:H28"/>
    <mergeCell ref="B4:Q4"/>
    <mergeCell ref="E19:G19"/>
    <mergeCell ref="N19:Q19"/>
    <mergeCell ref="C9:M9"/>
    <mergeCell ref="C19:D19"/>
    <mergeCell ref="H19:I19"/>
    <mergeCell ref="J19:K19"/>
    <mergeCell ref="L19:M19"/>
    <mergeCell ref="D14:F14"/>
    <mergeCell ref="B128:F128"/>
    <mergeCell ref="C27:E27"/>
    <mergeCell ref="J64:Q64"/>
    <mergeCell ref="J66:Q66"/>
    <mergeCell ref="B68:H68"/>
    <mergeCell ref="B125:F126"/>
    <mergeCell ref="B140:F140"/>
    <mergeCell ref="F107:H107"/>
    <mergeCell ref="B110:E110"/>
    <mergeCell ref="B111:E111"/>
    <mergeCell ref="B112:E112"/>
    <mergeCell ref="B113:E113"/>
    <mergeCell ref="B115:E115"/>
    <mergeCell ref="B129:F129"/>
    <mergeCell ref="B130:F130"/>
    <mergeCell ref="B131:F131"/>
    <mergeCell ref="B134:F134"/>
    <mergeCell ref="B135:F135"/>
    <mergeCell ref="B119:D119"/>
    <mergeCell ref="B132:F132"/>
    <mergeCell ref="B121:D121"/>
    <mergeCell ref="B84:F84"/>
    <mergeCell ref="B100:E100"/>
    <mergeCell ref="B83:F83"/>
    <mergeCell ref="B101:E101"/>
    <mergeCell ref="B102:E102"/>
    <mergeCell ref="B103:E103"/>
    <mergeCell ref="B104:E104"/>
    <mergeCell ref="B107:E108"/>
    <mergeCell ref="B141:F141"/>
    <mergeCell ref="B142:F142"/>
    <mergeCell ref="B143:F143"/>
    <mergeCell ref="C26:Q26"/>
    <mergeCell ref="C28:C31"/>
    <mergeCell ref="I31:Q31"/>
    <mergeCell ref="I30:Q30"/>
    <mergeCell ref="I29:Q29"/>
    <mergeCell ref="I28:Q28"/>
    <mergeCell ref="I27:Q27"/>
    <mergeCell ref="B74:H74"/>
    <mergeCell ref="J74:Q74"/>
    <mergeCell ref="B76:H76"/>
    <mergeCell ref="J76:Q76"/>
    <mergeCell ref="B78:H78"/>
    <mergeCell ref="J78:Q78"/>
    <mergeCell ref="B137:F137"/>
    <mergeCell ref="B138:F138"/>
    <mergeCell ref="B139:F139"/>
    <mergeCell ref="B85:F85"/>
    <mergeCell ref="F91:H91"/>
    <mergeCell ref="B94:E94"/>
    <mergeCell ref="B91:E92"/>
    <mergeCell ref="B95:E95"/>
    <mergeCell ref="B96:E96"/>
    <mergeCell ref="B97:E97"/>
    <mergeCell ref="B98:E98"/>
    <mergeCell ref="B99:E99"/>
    <mergeCell ref="J38:Q39"/>
    <mergeCell ref="I91:Q92"/>
    <mergeCell ref="I94:Q104"/>
    <mergeCell ref="I107:Q108"/>
    <mergeCell ref="I110:Q115"/>
    <mergeCell ref="G51:H51"/>
    <mergeCell ref="J41:Q41"/>
    <mergeCell ref="J42:Q42"/>
    <mergeCell ref="J43:Q43"/>
    <mergeCell ref="J44:Q44"/>
    <mergeCell ref="J45:Q45"/>
    <mergeCell ref="J46:Q46"/>
    <mergeCell ref="J47:Q47"/>
    <mergeCell ref="J48:Q48"/>
    <mergeCell ref="J49:Q49"/>
    <mergeCell ref="J50:Q50"/>
    <mergeCell ref="J51:Q51"/>
    <mergeCell ref="G46:H46"/>
    <mergeCell ref="G85:I85"/>
    <mergeCell ref="J85:L85"/>
    <mergeCell ref="J62:Q62"/>
    <mergeCell ref="J68:Q68"/>
    <mergeCell ref="G38:I38"/>
    <mergeCell ref="G39:H39"/>
  </mergeCells>
  <conditionalFormatting sqref="J60 R60:Y60 R68:Y68">
    <cfRule type="cellIs" dxfId="311" priority="37" operator="equal">
      <formula>$T$60</formula>
    </cfRule>
  </conditionalFormatting>
  <conditionalFormatting sqref="J62">
    <cfRule type="cellIs" dxfId="310" priority="30" operator="equal">
      <formula>$T$60</formula>
    </cfRule>
  </conditionalFormatting>
  <conditionalFormatting sqref="J66">
    <cfRule type="cellIs" dxfId="309" priority="28" operator="equal">
      <formula>$T$60</formula>
    </cfRule>
  </conditionalFormatting>
  <conditionalFormatting sqref="J64">
    <cfRule type="cellIs" dxfId="308" priority="26" operator="equal">
      <formula>$T$60</formula>
    </cfRule>
  </conditionalFormatting>
  <conditionalFormatting sqref="J68">
    <cfRule type="cellIs" dxfId="307" priority="25" operator="equal">
      <formula>$T$60</formula>
    </cfRule>
  </conditionalFormatting>
  <conditionalFormatting sqref="J70">
    <cfRule type="cellIs" dxfId="306" priority="24" operator="equal">
      <formula>$T$60</formula>
    </cfRule>
  </conditionalFormatting>
  <conditionalFormatting sqref="J74">
    <cfRule type="cellIs" dxfId="305" priority="10" operator="equal">
      <formula>$T$60</formula>
    </cfRule>
  </conditionalFormatting>
  <conditionalFormatting sqref="A81:F81 G80 I81:XFD81 A82:XFD82 A84:XFD84 A83:G83 J83:XFD83">
    <cfRule type="cellIs" dxfId="304" priority="7" operator="equal">
      <formula>0</formula>
    </cfRule>
  </conditionalFormatting>
  <conditionalFormatting sqref="B80">
    <cfRule type="cellIs" dxfId="303" priority="5" operator="equal">
      <formula>0</formula>
    </cfRule>
  </conditionalFormatting>
  <conditionalFormatting sqref="J76">
    <cfRule type="cellIs" dxfId="302" priority="4" operator="equal">
      <formula>$T$60</formula>
    </cfRule>
  </conditionalFormatting>
  <conditionalFormatting sqref="J78">
    <cfRule type="cellIs" dxfId="301" priority="3" operator="equal">
      <formula>$T$60</formula>
    </cfRule>
  </conditionalFormatting>
  <conditionalFormatting sqref="A85:G85 J85 M85:XFD85">
    <cfRule type="cellIs" dxfId="300" priority="2" operator="equal">
      <formula>0</formula>
    </cfRule>
  </conditionalFormatting>
  <conditionalFormatting sqref="J85:L85">
    <cfRule type="expression" dxfId="299" priority="1">
      <formula>$G$85="Otra"</formula>
    </cfRule>
  </conditionalFormatting>
  <dataValidations count="7">
    <dataValidation type="whole" allowBlank="1" showInputMessage="1" showErrorMessage="1" sqref="F15:H15 F13:P13 D14" xr:uid="{00000000-0002-0000-0400-000000000000}">
      <formula1>0</formula1>
      <formula2>10000000</formula2>
    </dataValidation>
    <dataValidation type="list" allowBlank="1" showInputMessage="1" showErrorMessage="1" sqref="I60 I62 I64 I66 I68 I70 I78 I74 I76 I128:I143 I41:I51" xr:uid="{00000000-0002-0000-0400-000001000000}">
      <formula1>Si_No</formula1>
    </dataValidation>
    <dataValidation type="decimal" allowBlank="1" showInputMessage="1" showErrorMessage="1" sqref="H110:H115 H94:H104" xr:uid="{00000000-0002-0000-0400-000002000000}">
      <formula1>0</formula1>
      <formula2>1000000</formula2>
    </dataValidation>
    <dataValidation type="list" allowBlank="1" showInputMessage="1" showErrorMessage="1" sqref="G128:H143" xr:uid="{00000000-0002-0000-0400-000003000000}">
      <formula1>ExposicionFragilidad</formula1>
    </dataValidation>
    <dataValidation type="list" allowBlank="1" showInputMessage="1" showErrorMessage="1" sqref="G83" xr:uid="{00000000-0002-0000-0400-000004000000}">
      <formula1>Titularidad</formula1>
    </dataValidation>
    <dataValidation type="list" allowBlank="1" showInputMessage="1" showErrorMessage="1" sqref="G85:I85" xr:uid="{00000000-0002-0000-0400-000005000000}">
      <formula1>SituacionSaneamientoLegal</formula1>
    </dataValidation>
    <dataValidation type="decimal" allowBlank="1" showInputMessage="1" showErrorMessage="1" sqref="F94:G104 F110:G115 F121:J121" xr:uid="{00000000-0002-0000-0400-000006000000}">
      <formula1>0</formula1>
      <formula2>10000000</formula2>
    </dataValidation>
  </dataValidations>
  <hyperlinks>
    <hyperlink ref="L21" r:id="rId1" xr:uid="{00000000-0004-0000-0400-000000000000}"/>
  </hyperlinks>
  <pageMargins left="0.7" right="0.7" top="0.75" bottom="0.75" header="0.3" footer="0.3"/>
  <pageSetup paperSize="9" scale="36" orientation="portrait" horizontalDpi="0" verticalDpi="0"/>
  <rowBreaks count="1" manualBreakCount="1">
    <brk id="53" max="26" man="1"/>
  </rowBreak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7000000}">
          <x14:formula1>
            <xm:f>UBIGEO!$A$3:$A$1876</xm:f>
          </x14:formula1>
          <xm:sqref>C20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dimension ref="B2:P54"/>
  <sheetViews>
    <sheetView tabSelected="1" topLeftCell="D1" zoomScale="113" zoomScaleNormal="113" workbookViewId="0">
      <selection activeCell="K37" sqref="K37"/>
    </sheetView>
  </sheetViews>
  <sheetFormatPr baseColWidth="10" defaultColWidth="7.33203125" defaultRowHeight="15"/>
  <cols>
    <col min="1" max="1" width="6" style="4" customWidth="1"/>
    <col min="2" max="2" width="7.33203125" style="4"/>
    <col min="3" max="3" width="12.109375" style="4" customWidth="1"/>
    <col min="4" max="4" width="11.44140625" style="4" customWidth="1"/>
    <col min="5" max="5" width="8.5546875" style="4" customWidth="1"/>
    <col min="6" max="6" width="10.6640625" style="4" customWidth="1"/>
    <col min="7" max="8" width="9.33203125" style="4" customWidth="1"/>
    <col min="9" max="9" width="10.33203125" style="4" customWidth="1"/>
    <col min="10" max="10" width="6.88671875" style="4" customWidth="1"/>
    <col min="11" max="11" width="12.44140625" style="4" customWidth="1"/>
    <col min="12" max="12" width="8.44140625" style="4" customWidth="1"/>
    <col min="13" max="16384" width="7.33203125" style="4"/>
  </cols>
  <sheetData>
    <row r="2" spans="2:16" s="5" customFormat="1" ht="18">
      <c r="B2" s="5" t="s">
        <v>81</v>
      </c>
    </row>
    <row r="4" spans="2:16" s="13" customFormat="1" ht="20.100000000000001" customHeight="1">
      <c r="B4" s="21" t="s">
        <v>82</v>
      </c>
      <c r="C4" s="22"/>
      <c r="D4" s="23"/>
      <c r="E4" s="23"/>
      <c r="F4" s="23"/>
      <c r="G4" s="23"/>
      <c r="H4" s="23"/>
      <c r="I4" s="23"/>
      <c r="J4" s="23"/>
      <c r="K4" s="23"/>
      <c r="L4" s="24"/>
      <c r="M4" s="24"/>
      <c r="N4" s="24"/>
      <c r="O4" s="24"/>
      <c r="P4" s="24"/>
    </row>
    <row r="5" spans="2:16" s="213" customFormat="1">
      <c r="L5" s="4"/>
      <c r="M5" s="4"/>
      <c r="N5" s="4"/>
    </row>
    <row r="6" spans="2:16" s="213" customFormat="1" ht="27" customHeight="1">
      <c r="B6" s="582" t="s">
        <v>112</v>
      </c>
      <c r="C6" s="592"/>
      <c r="D6" s="592"/>
      <c r="E6" s="592"/>
      <c r="F6" s="592"/>
      <c r="G6" s="583"/>
      <c r="H6" s="228" t="s">
        <v>15</v>
      </c>
      <c r="I6" s="228" t="s">
        <v>135</v>
      </c>
      <c r="J6" s="582" t="s">
        <v>4357</v>
      </c>
      <c r="K6" s="583"/>
      <c r="L6" s="4"/>
      <c r="M6" s="229"/>
      <c r="N6" s="229"/>
      <c r="O6" s="229"/>
      <c r="P6" s="229"/>
    </row>
    <row r="7" spans="2:16" s="213" customFormat="1" ht="3" customHeight="1">
      <c r="B7" s="230"/>
      <c r="C7" s="230"/>
      <c r="D7" s="230"/>
      <c r="E7" s="230"/>
      <c r="F7" s="230"/>
      <c r="G7" s="230"/>
      <c r="H7" s="231"/>
      <c r="J7" s="232"/>
      <c r="K7" s="231"/>
      <c r="L7" s="4"/>
      <c r="M7" s="229"/>
      <c r="N7" s="229"/>
      <c r="O7" s="229"/>
      <c r="P7" s="229"/>
    </row>
    <row r="8" spans="2:16" s="213" customFormat="1" ht="62.1" customHeight="1">
      <c r="B8" s="590" t="str">
        <f>+Brecha!B15</f>
        <v xml:space="preserve">Población Total </v>
      </c>
      <c r="C8" s="593"/>
      <c r="D8" s="594" t="s">
        <v>4464</v>
      </c>
      <c r="E8" s="594"/>
      <c r="F8" s="594"/>
      <c r="G8" s="568"/>
      <c r="H8" s="233" t="s">
        <v>4389</v>
      </c>
      <c r="I8" s="151"/>
      <c r="J8" s="586" t="s">
        <v>4463</v>
      </c>
      <c r="K8" s="587"/>
      <c r="L8" s="4"/>
    </row>
    <row r="9" spans="2:16" s="213" customFormat="1" ht="84.95" customHeight="1">
      <c r="B9" s="590" t="str">
        <f>+Brecha!B16</f>
        <v>Población de Referencia</v>
      </c>
      <c r="C9" s="593"/>
      <c r="D9" s="594" t="s">
        <v>4480</v>
      </c>
      <c r="E9" s="594"/>
      <c r="F9" s="594"/>
      <c r="G9" s="568"/>
      <c r="H9" s="233" t="s">
        <v>4202</v>
      </c>
      <c r="I9" s="151"/>
      <c r="J9" s="235" t="str">
        <f>+IF(I8&gt;0,I9/I8,"")</f>
        <v/>
      </c>
      <c r="K9" s="234" t="s">
        <v>4391</v>
      </c>
      <c r="L9" s="4"/>
    </row>
    <row r="10" spans="2:16" s="213" customFormat="1" ht="62.1" customHeight="1">
      <c r="B10" s="590" t="str">
        <f>+Brecha!B17</f>
        <v xml:space="preserve">Población Demandante Potencial </v>
      </c>
      <c r="C10" s="593"/>
      <c r="D10" s="594" t="s">
        <v>4465</v>
      </c>
      <c r="E10" s="594"/>
      <c r="F10" s="594"/>
      <c r="G10" s="568"/>
      <c r="H10" s="233" t="s">
        <v>4202</v>
      </c>
      <c r="I10" s="151"/>
      <c r="J10" s="235" t="str">
        <f t="shared" ref="J10:J12" si="0">+IF(I9&gt;0,I10/I9,"")</f>
        <v/>
      </c>
      <c r="K10" s="234" t="s">
        <v>4392</v>
      </c>
      <c r="L10" s="4"/>
    </row>
    <row r="11" spans="2:16" s="213" customFormat="1" ht="62.1" customHeight="1">
      <c r="B11" s="590" t="str">
        <f>+Brecha!B18</f>
        <v>Población Demandante Efectiva</v>
      </c>
      <c r="C11" s="593"/>
      <c r="D11" s="594" t="s">
        <v>4466</v>
      </c>
      <c r="E11" s="594"/>
      <c r="F11" s="594"/>
      <c r="G11" s="568"/>
      <c r="H11" s="233" t="s">
        <v>4202</v>
      </c>
      <c r="I11" s="151"/>
      <c r="J11" s="235" t="str">
        <f t="shared" si="0"/>
        <v/>
      </c>
      <c r="K11" s="234" t="s">
        <v>4393</v>
      </c>
      <c r="L11" s="4"/>
    </row>
    <row r="12" spans="2:16" s="213" customFormat="1" ht="98.1" customHeight="1">
      <c r="B12" s="590" t="str">
        <f>+Brecha!B19</f>
        <v>Población Objetivo</v>
      </c>
      <c r="C12" s="593"/>
      <c r="D12" s="594" t="s">
        <v>4529</v>
      </c>
      <c r="E12" s="594"/>
      <c r="F12" s="594"/>
      <c r="G12" s="568"/>
      <c r="H12" s="233" t="s">
        <v>4202</v>
      </c>
      <c r="I12" s="151"/>
      <c r="J12" s="235" t="str">
        <f t="shared" si="0"/>
        <v/>
      </c>
      <c r="K12" s="234" t="s">
        <v>4394</v>
      </c>
      <c r="L12" s="4"/>
    </row>
    <row r="13" spans="2:16" s="213" customFormat="1" ht="36" customHeight="1">
      <c r="B13" s="590" t="s">
        <v>4528</v>
      </c>
      <c r="C13" s="593"/>
      <c r="D13" s="593"/>
      <c r="E13" s="593"/>
      <c r="F13" s="593"/>
      <c r="G13" s="591"/>
      <c r="H13" s="236" t="s">
        <v>4390</v>
      </c>
      <c r="I13" s="152"/>
      <c r="J13" s="588"/>
      <c r="K13" s="589"/>
      <c r="L13" s="4"/>
    </row>
    <row r="14" spans="2:16" s="213" customFormat="1">
      <c r="B14" s="237" t="s">
        <v>4155</v>
      </c>
      <c r="C14" s="229"/>
      <c r="D14" s="229"/>
      <c r="E14" s="238"/>
      <c r="F14" s="238"/>
      <c r="G14" s="238"/>
      <c r="H14" s="229"/>
      <c r="I14" s="229"/>
      <c r="J14" s="229"/>
      <c r="K14" s="229"/>
      <c r="L14" s="4"/>
    </row>
    <row r="15" spans="2:16" s="213" customFormat="1">
      <c r="B15" s="222"/>
      <c r="L15" s="4"/>
    </row>
    <row r="16" spans="2:16" s="213" customFormat="1" ht="12.75">
      <c r="B16" s="229"/>
      <c r="C16" s="229"/>
    </row>
    <row r="17" spans="2:16" s="13" customFormat="1" ht="20.100000000000001" customHeight="1">
      <c r="B17" s="21" t="s">
        <v>83</v>
      </c>
      <c r="C17" s="22"/>
      <c r="D17" s="23"/>
      <c r="E17" s="23"/>
      <c r="F17" s="23"/>
      <c r="G17" s="23"/>
      <c r="H17" s="23"/>
      <c r="I17" s="23"/>
      <c r="J17" s="23"/>
      <c r="K17" s="23"/>
      <c r="L17" s="24"/>
      <c r="M17" s="24"/>
      <c r="N17" s="24"/>
      <c r="O17" s="24"/>
      <c r="P17" s="24"/>
    </row>
    <row r="18" spans="2:16" s="213" customFormat="1">
      <c r="L18" s="4"/>
      <c r="M18" s="4"/>
      <c r="N18" s="4"/>
    </row>
    <row r="19" spans="2:16" s="213" customFormat="1">
      <c r="B19" s="213" t="s">
        <v>4511</v>
      </c>
      <c r="L19" s="4"/>
      <c r="M19" s="4"/>
      <c r="N19" s="4"/>
    </row>
    <row r="20" spans="2:16" s="229" customFormat="1" ht="62.1" customHeight="1">
      <c r="B20" s="596" t="s">
        <v>84</v>
      </c>
      <c r="C20" s="596"/>
      <c r="D20" s="596"/>
      <c r="E20" s="596" t="s">
        <v>85</v>
      </c>
      <c r="F20" s="596"/>
      <c r="G20" s="239" t="s">
        <v>4358</v>
      </c>
      <c r="H20" s="239" t="s">
        <v>4359</v>
      </c>
      <c r="I20" s="240" t="s">
        <v>4395</v>
      </c>
      <c r="J20" s="580" t="s">
        <v>4396</v>
      </c>
      <c r="K20" s="580"/>
    </row>
    <row r="21" spans="2:16" s="242" customFormat="1" ht="3.95" customHeight="1"/>
    <row r="22" spans="2:16" s="242" customFormat="1" ht="21" customHeight="1">
      <c r="B22" s="597" t="s">
        <v>86</v>
      </c>
      <c r="C22" s="597"/>
      <c r="D22" s="597"/>
      <c r="E22" s="595" t="s">
        <v>4156</v>
      </c>
      <c r="F22" s="595"/>
      <c r="G22" s="150"/>
      <c r="H22" s="150"/>
      <c r="I22" s="243" t="str">
        <f>IF($I$11&gt;0,SUM(G22:H22)/$I$11,"")</f>
        <v/>
      </c>
      <c r="J22" s="584"/>
      <c r="K22" s="585"/>
    </row>
    <row r="23" spans="2:16" s="242" customFormat="1" ht="21" customHeight="1">
      <c r="B23" s="597"/>
      <c r="C23" s="597"/>
      <c r="D23" s="597"/>
      <c r="E23" s="595" t="s">
        <v>4158</v>
      </c>
      <c r="F23" s="595"/>
      <c r="G23" s="150"/>
      <c r="H23" s="150"/>
      <c r="I23" s="243" t="str">
        <f t="shared" ref="I23:I31" si="1">IF($I$11&gt;0,SUM(G23:H23)/$I$11,"")</f>
        <v/>
      </c>
      <c r="J23" s="584"/>
      <c r="K23" s="585"/>
    </row>
    <row r="24" spans="2:16" s="242" customFormat="1" ht="21" customHeight="1">
      <c r="B24" s="597"/>
      <c r="C24" s="597"/>
      <c r="D24" s="597"/>
      <c r="E24" s="595" t="s">
        <v>4157</v>
      </c>
      <c r="F24" s="595"/>
      <c r="G24" s="150"/>
      <c r="H24" s="150"/>
      <c r="I24" s="243" t="str">
        <f t="shared" si="1"/>
        <v/>
      </c>
      <c r="J24" s="584"/>
      <c r="K24" s="585"/>
    </row>
    <row r="25" spans="2:16" s="242" customFormat="1" ht="21" customHeight="1">
      <c r="B25" s="567" t="s">
        <v>87</v>
      </c>
      <c r="C25" s="594"/>
      <c r="D25" s="594"/>
      <c r="E25" s="594"/>
      <c r="F25" s="568"/>
      <c r="G25" s="150"/>
      <c r="H25" s="150"/>
      <c r="I25" s="243" t="str">
        <f t="shared" si="1"/>
        <v/>
      </c>
      <c r="J25" s="584"/>
      <c r="K25" s="585"/>
    </row>
    <row r="26" spans="2:16" s="244" customFormat="1" ht="21" customHeight="1">
      <c r="B26" s="560" t="s">
        <v>4159</v>
      </c>
      <c r="C26" s="560"/>
      <c r="D26" s="560"/>
      <c r="E26" s="590" t="s">
        <v>4163</v>
      </c>
      <c r="F26" s="591"/>
      <c r="G26" s="150"/>
      <c r="H26" s="150"/>
      <c r="I26" s="243" t="str">
        <f t="shared" si="1"/>
        <v/>
      </c>
      <c r="J26" s="584"/>
      <c r="K26" s="585"/>
    </row>
    <row r="27" spans="2:16" s="244" customFormat="1" ht="21" customHeight="1">
      <c r="B27" s="560" t="s">
        <v>4160</v>
      </c>
      <c r="C27" s="560"/>
      <c r="D27" s="560"/>
      <c r="E27" s="590" t="s">
        <v>4163</v>
      </c>
      <c r="F27" s="591"/>
      <c r="G27" s="150"/>
      <c r="H27" s="150"/>
      <c r="I27" s="243" t="str">
        <f t="shared" si="1"/>
        <v/>
      </c>
      <c r="J27" s="584"/>
      <c r="K27" s="585"/>
    </row>
    <row r="28" spans="2:16" s="244" customFormat="1" ht="30" customHeight="1">
      <c r="B28" s="560" t="s">
        <v>4531</v>
      </c>
      <c r="C28" s="560"/>
      <c r="D28" s="560"/>
      <c r="E28" s="590" t="s">
        <v>4163</v>
      </c>
      <c r="F28" s="591"/>
      <c r="G28" s="150"/>
      <c r="H28" s="150"/>
      <c r="I28" s="243" t="str">
        <f t="shared" si="1"/>
        <v/>
      </c>
      <c r="J28" s="584"/>
      <c r="K28" s="585"/>
    </row>
    <row r="29" spans="2:16" s="244" customFormat="1" ht="30" customHeight="1">
      <c r="B29" s="560" t="s">
        <v>4530</v>
      </c>
      <c r="C29" s="560"/>
      <c r="D29" s="560"/>
      <c r="E29" s="590" t="s">
        <v>4163</v>
      </c>
      <c r="F29" s="591"/>
      <c r="G29" s="150"/>
      <c r="H29" s="150"/>
      <c r="I29" s="243" t="str">
        <f t="shared" si="1"/>
        <v/>
      </c>
      <c r="J29" s="584"/>
      <c r="K29" s="585"/>
    </row>
    <row r="30" spans="2:16" s="244" customFormat="1" ht="30" customHeight="1">
      <c r="B30" s="560" t="s">
        <v>4161</v>
      </c>
      <c r="C30" s="560"/>
      <c r="D30" s="560"/>
      <c r="E30" s="590" t="s">
        <v>4163</v>
      </c>
      <c r="F30" s="591"/>
      <c r="G30" s="150"/>
      <c r="H30" s="150"/>
      <c r="I30" s="243" t="str">
        <f t="shared" si="1"/>
        <v/>
      </c>
      <c r="J30" s="584"/>
      <c r="K30" s="585"/>
      <c r="L30" s="245"/>
      <c r="M30" s="245"/>
    </row>
    <row r="31" spans="2:16" s="244" customFormat="1" ht="30" customHeight="1">
      <c r="B31" s="560" t="s">
        <v>4162</v>
      </c>
      <c r="C31" s="560"/>
      <c r="D31" s="560"/>
      <c r="E31" s="590" t="s">
        <v>4163</v>
      </c>
      <c r="F31" s="591"/>
      <c r="G31" s="150"/>
      <c r="H31" s="150"/>
      <c r="I31" s="243" t="str">
        <f t="shared" si="1"/>
        <v/>
      </c>
      <c r="J31" s="584"/>
      <c r="K31" s="585"/>
      <c r="L31" s="245"/>
      <c r="M31" s="245"/>
    </row>
    <row r="32" spans="2:16" s="242" customFormat="1" ht="20.25">
      <c r="B32" s="246"/>
      <c r="J32" s="213"/>
      <c r="K32" s="213"/>
    </row>
    <row r="33" spans="2:16" s="242" customFormat="1" ht="20.25">
      <c r="B33" s="246"/>
      <c r="J33" s="213"/>
      <c r="K33" s="213"/>
    </row>
    <row r="34" spans="2:16" s="13" customFormat="1" ht="20.100000000000001" customHeight="1">
      <c r="B34" s="21" t="s">
        <v>88</v>
      </c>
      <c r="C34" s="22"/>
      <c r="D34" s="23"/>
      <c r="E34" s="23"/>
      <c r="F34" s="23"/>
      <c r="G34" s="23"/>
      <c r="H34" s="23"/>
      <c r="I34" s="23"/>
      <c r="J34" s="23"/>
      <c r="K34" s="23"/>
      <c r="L34" s="24"/>
      <c r="M34" s="24"/>
      <c r="N34" s="24"/>
      <c r="O34" s="24"/>
      <c r="P34" s="24"/>
    </row>
    <row r="35" spans="2:16" s="213" customFormat="1" ht="12.75">
      <c r="B35" s="230"/>
      <c r="C35" s="230"/>
      <c r="D35" s="247"/>
      <c r="E35" s="247"/>
      <c r="F35" s="247"/>
      <c r="G35" s="247"/>
      <c r="H35" s="247"/>
      <c r="I35" s="247"/>
      <c r="L35" s="247"/>
      <c r="M35" s="247"/>
      <c r="N35" s="247"/>
      <c r="O35" s="247"/>
      <c r="P35" s="247"/>
    </row>
    <row r="36" spans="2:16" s="248" customFormat="1" ht="78.95" customHeight="1">
      <c r="B36" s="582" t="s">
        <v>4512</v>
      </c>
      <c r="C36" s="583"/>
      <c r="D36" s="241" t="s">
        <v>89</v>
      </c>
      <c r="E36" s="580" t="s">
        <v>4513</v>
      </c>
      <c r="F36" s="580"/>
      <c r="G36" s="580"/>
      <c r="H36" s="580" t="s">
        <v>90</v>
      </c>
      <c r="I36" s="580"/>
      <c r="J36" s="580"/>
      <c r="K36" s="580" t="s">
        <v>4554</v>
      </c>
      <c r="L36" s="580"/>
      <c r="M36" s="580"/>
      <c r="N36" s="580" t="s">
        <v>4514</v>
      </c>
      <c r="O36" s="580"/>
      <c r="P36" s="580"/>
    </row>
    <row r="37" spans="2:16" s="213" customFormat="1" ht="3" customHeight="1"/>
    <row r="38" spans="2:16" s="249" customFormat="1" ht="68.099999999999994" customHeight="1">
      <c r="B38" s="578"/>
      <c r="C38" s="579"/>
      <c r="D38" s="195"/>
      <c r="E38" s="581"/>
      <c r="F38" s="581"/>
      <c r="G38" s="581"/>
      <c r="H38" s="581"/>
      <c r="I38" s="581"/>
      <c r="J38" s="581"/>
      <c r="K38" s="581"/>
      <c r="L38" s="581"/>
      <c r="M38" s="581"/>
      <c r="N38" s="581"/>
      <c r="O38" s="581"/>
      <c r="P38" s="581"/>
    </row>
    <row r="39" spans="2:16" s="249" customFormat="1" ht="68.099999999999994" customHeight="1">
      <c r="B39" s="578"/>
      <c r="C39" s="579"/>
      <c r="D39" s="195"/>
      <c r="E39" s="581"/>
      <c r="F39" s="581"/>
      <c r="G39" s="581"/>
      <c r="H39" s="581"/>
      <c r="I39" s="581"/>
      <c r="J39" s="581"/>
      <c r="K39" s="581"/>
      <c r="L39" s="581"/>
      <c r="M39" s="581"/>
      <c r="N39" s="581"/>
      <c r="O39" s="581"/>
      <c r="P39" s="581"/>
    </row>
    <row r="40" spans="2:16" s="249" customFormat="1" ht="68.099999999999994" customHeight="1">
      <c r="B40" s="578"/>
      <c r="C40" s="579"/>
      <c r="D40" s="195"/>
      <c r="E40" s="581"/>
      <c r="F40" s="581"/>
      <c r="G40" s="581"/>
      <c r="H40" s="581"/>
      <c r="I40" s="581"/>
      <c r="J40" s="581"/>
      <c r="K40" s="581"/>
      <c r="L40" s="581"/>
      <c r="M40" s="581"/>
      <c r="N40" s="581"/>
      <c r="O40" s="581"/>
      <c r="P40" s="581"/>
    </row>
    <row r="41" spans="2:16" s="249" customFormat="1" ht="68.099999999999994" customHeight="1">
      <c r="B41" s="578"/>
      <c r="C41" s="579"/>
      <c r="D41" s="195"/>
      <c r="E41" s="581"/>
      <c r="F41" s="581"/>
      <c r="G41" s="581"/>
      <c r="H41" s="581"/>
      <c r="I41" s="581"/>
      <c r="J41" s="581"/>
      <c r="K41" s="581"/>
      <c r="L41" s="581"/>
      <c r="M41" s="581"/>
      <c r="N41" s="581"/>
      <c r="O41" s="581"/>
      <c r="P41" s="581"/>
    </row>
    <row r="42" spans="2:16" s="249" customFormat="1" ht="68.099999999999994" customHeight="1">
      <c r="B42" s="578"/>
      <c r="C42" s="579"/>
      <c r="D42" s="195"/>
      <c r="E42" s="581"/>
      <c r="F42" s="581"/>
      <c r="G42" s="581"/>
      <c r="H42" s="581"/>
      <c r="I42" s="581"/>
      <c r="J42" s="581"/>
      <c r="K42" s="581"/>
      <c r="L42" s="581"/>
      <c r="M42" s="581"/>
      <c r="N42" s="581"/>
      <c r="O42" s="581"/>
      <c r="P42" s="581"/>
    </row>
    <row r="43" spans="2:16" s="249" customFormat="1" ht="68.099999999999994" customHeight="1">
      <c r="B43" s="578"/>
      <c r="C43" s="579"/>
      <c r="D43" s="195"/>
      <c r="E43" s="581"/>
      <c r="F43" s="581"/>
      <c r="G43" s="581"/>
      <c r="H43" s="581"/>
      <c r="I43" s="581"/>
      <c r="J43" s="581"/>
      <c r="K43" s="581"/>
      <c r="L43" s="581"/>
      <c r="M43" s="581"/>
      <c r="N43" s="581"/>
      <c r="O43" s="581"/>
      <c r="P43" s="581"/>
    </row>
    <row r="44" spans="2:16" s="249" customFormat="1" ht="68.099999999999994" customHeight="1">
      <c r="B44" s="578"/>
      <c r="C44" s="579"/>
      <c r="D44" s="195"/>
      <c r="E44" s="581"/>
      <c r="F44" s="581"/>
      <c r="G44" s="581"/>
      <c r="H44" s="581"/>
      <c r="I44" s="581"/>
      <c r="J44" s="581"/>
      <c r="K44" s="581"/>
      <c r="L44" s="581"/>
      <c r="M44" s="581"/>
      <c r="N44" s="581"/>
      <c r="O44" s="581"/>
      <c r="P44" s="581"/>
    </row>
    <row r="54" s="213" customFormat="1" ht="12.75"/>
  </sheetData>
  <sheetProtection sheet="1" objects="1" scenarios="1"/>
  <mergeCells count="85">
    <mergeCell ref="B25:F25"/>
    <mergeCell ref="E24:F24"/>
    <mergeCell ref="B20:D20"/>
    <mergeCell ref="B22:D24"/>
    <mergeCell ref="E20:F20"/>
    <mergeCell ref="E22:F22"/>
    <mergeCell ref="E23:F23"/>
    <mergeCell ref="E42:G42"/>
    <mergeCell ref="H42:J42"/>
    <mergeCell ref="K42:M42"/>
    <mergeCell ref="E39:G39"/>
    <mergeCell ref="H39:J39"/>
    <mergeCell ref="E40:G40"/>
    <mergeCell ref="H40:J40"/>
    <mergeCell ref="K40:M40"/>
    <mergeCell ref="E41:G41"/>
    <mergeCell ref="H41:J41"/>
    <mergeCell ref="K41:M41"/>
    <mergeCell ref="B6:G6"/>
    <mergeCell ref="B13:G13"/>
    <mergeCell ref="B8:C8"/>
    <mergeCell ref="D8:G8"/>
    <mergeCell ref="B9:C9"/>
    <mergeCell ref="D9:G9"/>
    <mergeCell ref="B10:C10"/>
    <mergeCell ref="D10:G10"/>
    <mergeCell ref="B11:C11"/>
    <mergeCell ref="D11:G11"/>
    <mergeCell ref="B12:C12"/>
    <mergeCell ref="D12:G12"/>
    <mergeCell ref="H44:J44"/>
    <mergeCell ref="N42:P42"/>
    <mergeCell ref="E43:G43"/>
    <mergeCell ref="H43:J43"/>
    <mergeCell ref="B29:D29"/>
    <mergeCell ref="B30:D30"/>
    <mergeCell ref="E30:F30"/>
    <mergeCell ref="E29:F29"/>
    <mergeCell ref="N43:P43"/>
    <mergeCell ref="K36:M36"/>
    <mergeCell ref="K39:M39"/>
    <mergeCell ref="E38:G38"/>
    <mergeCell ref="H38:J38"/>
    <mergeCell ref="K38:M38"/>
    <mergeCell ref="K43:M43"/>
    <mergeCell ref="E31:F31"/>
    <mergeCell ref="E36:G36"/>
    <mergeCell ref="H36:J36"/>
    <mergeCell ref="B27:D27"/>
    <mergeCell ref="B28:D28"/>
    <mergeCell ref="E26:F26"/>
    <mergeCell ref="E27:F27"/>
    <mergeCell ref="E28:F28"/>
    <mergeCell ref="J31:K31"/>
    <mergeCell ref="J28:K28"/>
    <mergeCell ref="J29:K29"/>
    <mergeCell ref="J30:K30"/>
    <mergeCell ref="B31:D31"/>
    <mergeCell ref="B26:D26"/>
    <mergeCell ref="J6:K6"/>
    <mergeCell ref="J8:K8"/>
    <mergeCell ref="J13:K13"/>
    <mergeCell ref="J20:K20"/>
    <mergeCell ref="J22:K22"/>
    <mergeCell ref="J23:K23"/>
    <mergeCell ref="J24:K24"/>
    <mergeCell ref="J25:K25"/>
    <mergeCell ref="J26:K26"/>
    <mergeCell ref="J27:K27"/>
    <mergeCell ref="B42:C42"/>
    <mergeCell ref="B43:C43"/>
    <mergeCell ref="B44:C44"/>
    <mergeCell ref="N36:P36"/>
    <mergeCell ref="N38:P38"/>
    <mergeCell ref="N39:P39"/>
    <mergeCell ref="N40:P40"/>
    <mergeCell ref="N41:P41"/>
    <mergeCell ref="B36:C36"/>
    <mergeCell ref="B38:C38"/>
    <mergeCell ref="B39:C39"/>
    <mergeCell ref="B40:C40"/>
    <mergeCell ref="B41:C41"/>
    <mergeCell ref="K44:M44"/>
    <mergeCell ref="N44:P44"/>
    <mergeCell ref="E44:G44"/>
  </mergeCells>
  <dataValidations count="4">
    <dataValidation type="whole" operator="greaterThan" allowBlank="1" showInputMessage="1" showErrorMessage="1" sqref="I8:I12" xr:uid="{00000000-0002-0000-0500-000000000000}">
      <formula1>0</formula1>
    </dataValidation>
    <dataValidation type="decimal" operator="greaterThan" allowBlank="1" showInputMessage="1" showErrorMessage="1" sqref="I13" xr:uid="{00000000-0002-0000-0500-000001000000}">
      <formula1>-1</formula1>
    </dataValidation>
    <dataValidation type="whole" allowBlank="1" showInputMessage="1" showErrorMessage="1" sqref="G22:H31" xr:uid="{00000000-0002-0000-0500-000002000000}">
      <formula1>0</formula1>
      <formula2>10000000</formula2>
    </dataValidation>
    <dataValidation type="list" allowBlank="1" showInputMessage="1" showErrorMessage="1" sqref="E42:G44 D38:F41" xr:uid="{00000000-0002-0000-0500-000003000000}">
      <formula1>Involucrados</formula1>
    </dataValidation>
  </dataValidations>
  <pageMargins left="0.7" right="0.7" top="0.75" bottom="0.75" header="0.3" footer="0.3"/>
  <pageSetup paperSize="9" scale="4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2:S68"/>
  <sheetViews>
    <sheetView zoomScale="120" zoomScaleNormal="120" workbookViewId="0">
      <selection activeCell="N8" sqref="N8"/>
    </sheetView>
  </sheetViews>
  <sheetFormatPr baseColWidth="10" defaultColWidth="9.109375" defaultRowHeight="15"/>
  <cols>
    <col min="1" max="1" width="9" style="4" customWidth="1"/>
    <col min="2" max="6" width="9.109375" style="4"/>
    <col min="7" max="8" width="9.88671875" style="4" bestFit="1" customWidth="1"/>
    <col min="9" max="16384" width="9.109375" style="4"/>
  </cols>
  <sheetData>
    <row r="2" spans="1:17" s="5" customFormat="1" ht="18">
      <c r="B2" s="5" t="s">
        <v>91</v>
      </c>
    </row>
    <row r="4" spans="1:17" s="13" customFormat="1" ht="20.100000000000001" customHeight="1">
      <c r="B4" s="21" t="s">
        <v>4365</v>
      </c>
      <c r="C4" s="22"/>
      <c r="D4" s="23"/>
      <c r="E4" s="23"/>
      <c r="F4" s="23"/>
      <c r="G4" s="23"/>
      <c r="H4" s="23"/>
      <c r="I4" s="23"/>
      <c r="J4" s="23"/>
      <c r="K4" s="23"/>
      <c r="L4" s="24"/>
      <c r="M4" s="24"/>
      <c r="N4" s="24"/>
    </row>
    <row r="5" spans="1:17" s="13" customFormat="1" ht="20.100000000000001" customHeight="1">
      <c r="B5" s="10"/>
      <c r="C5" s="11"/>
      <c r="D5" s="12"/>
      <c r="E5" s="12"/>
      <c r="F5" s="12"/>
      <c r="G5" s="12"/>
      <c r="H5" s="12"/>
      <c r="I5" s="12"/>
      <c r="J5" s="12"/>
      <c r="K5" s="12"/>
    </row>
    <row r="6" spans="1:17" s="213" customFormat="1" ht="21" customHeight="1">
      <c r="B6" s="610" t="s">
        <v>92</v>
      </c>
      <c r="C6" s="610"/>
      <c r="D6" s="610"/>
      <c r="E6" s="610"/>
      <c r="F6" s="610" t="s">
        <v>93</v>
      </c>
      <c r="G6" s="610"/>
      <c r="H6" s="610"/>
      <c r="I6" s="610"/>
      <c r="J6" s="610" t="s">
        <v>94</v>
      </c>
      <c r="K6" s="610"/>
      <c r="L6" s="610"/>
      <c r="M6" s="251" t="s">
        <v>95</v>
      </c>
      <c r="N6" s="251" t="s">
        <v>18</v>
      </c>
    </row>
    <row r="7" spans="1:17" s="242" customFormat="1" ht="6" customHeight="1">
      <c r="A7" s="242" t="s">
        <v>3921</v>
      </c>
      <c r="K7" s="252"/>
      <c r="P7" s="253"/>
      <c r="Q7" s="197"/>
    </row>
    <row r="8" spans="1:17" s="242" customFormat="1" ht="105" customHeight="1">
      <c r="B8" s="608" t="str">
        <f>+IF('Datos Generales'!B44="","",VLOOKUP('Datos Generales'!B44:D44,Listas!C17:D21,2,FALSE))</f>
        <v/>
      </c>
      <c r="C8" s="609"/>
      <c r="D8" s="609"/>
      <c r="E8" s="648"/>
      <c r="F8" s="608" t="str">
        <f>+IF(B8="","",VLOOKUP(B8,Listas!D17:N21,11,FALSE))</f>
        <v/>
      </c>
      <c r="G8" s="609"/>
      <c r="H8" s="609"/>
      <c r="I8" s="648"/>
      <c r="J8" s="608" t="str">
        <f>+IF(B8="","",VLOOKUP(F8,Listas!N17:O21,2,FALSE))</f>
        <v/>
      </c>
      <c r="K8" s="609"/>
      <c r="L8" s="609"/>
      <c r="M8" s="1" t="s">
        <v>3980</v>
      </c>
      <c r="N8" s="196">
        <f>+'Datos Generales'!T53</f>
        <v>0</v>
      </c>
      <c r="Q8" s="197"/>
    </row>
    <row r="9" spans="1:17" s="254" customFormat="1" ht="24" customHeight="1">
      <c r="B9" s="242"/>
      <c r="C9" s="242"/>
      <c r="D9" s="242"/>
      <c r="E9" s="242"/>
      <c r="F9" s="242"/>
      <c r="G9" s="242"/>
      <c r="H9" s="242"/>
      <c r="I9" s="242"/>
      <c r="J9" s="242"/>
      <c r="K9" s="252"/>
      <c r="L9" s="242"/>
      <c r="M9" s="242"/>
      <c r="N9" s="242"/>
      <c r="O9" s="242"/>
      <c r="P9" s="255"/>
    </row>
    <row r="10" spans="1:17" s="242" customFormat="1" ht="29.1" customHeight="1">
      <c r="B10" s="610" t="s">
        <v>96</v>
      </c>
      <c r="C10" s="610"/>
      <c r="D10" s="610"/>
      <c r="E10" s="610"/>
      <c r="F10" s="610" t="s">
        <v>98</v>
      </c>
      <c r="G10" s="610"/>
      <c r="H10" s="610"/>
      <c r="I10" s="610"/>
      <c r="J10" s="610" t="s">
        <v>3961</v>
      </c>
      <c r="K10" s="610"/>
      <c r="L10" s="610"/>
      <c r="M10" s="610"/>
      <c r="Q10" s="197"/>
    </row>
    <row r="11" spans="1:17" s="242" customFormat="1" ht="6" customHeight="1">
      <c r="A11" s="242" t="s">
        <v>4481</v>
      </c>
      <c r="B11" s="219"/>
      <c r="C11" s="219"/>
      <c r="D11" s="219"/>
      <c r="E11" s="219"/>
      <c r="F11" s="219"/>
      <c r="G11" s="256"/>
      <c r="H11" s="219"/>
      <c r="I11" s="219"/>
      <c r="J11" s="219"/>
      <c r="K11" s="256"/>
      <c r="L11" s="219"/>
      <c r="M11" s="219"/>
      <c r="N11" s="219"/>
      <c r="Q11" s="197"/>
    </row>
    <row r="12" spans="1:17" s="242" customFormat="1" ht="60" customHeight="1">
      <c r="B12" s="650"/>
      <c r="C12" s="650"/>
      <c r="D12" s="650"/>
      <c r="E12" s="650"/>
      <c r="F12" s="651"/>
      <c r="G12" s="651"/>
      <c r="H12" s="651"/>
      <c r="I12" s="651"/>
      <c r="J12" s="649"/>
      <c r="K12" s="649"/>
      <c r="L12" s="649"/>
      <c r="M12" s="649"/>
      <c r="N12" s="219"/>
      <c r="Q12" s="197"/>
    </row>
    <row r="13" spans="1:17" s="242" customFormat="1" ht="60" customHeight="1">
      <c r="B13" s="650"/>
      <c r="C13" s="650"/>
      <c r="D13" s="650"/>
      <c r="E13" s="650"/>
      <c r="F13" s="651"/>
      <c r="G13" s="651"/>
      <c r="H13" s="651"/>
      <c r="I13" s="651"/>
      <c r="J13" s="649"/>
      <c r="K13" s="649"/>
      <c r="L13" s="649"/>
      <c r="M13" s="649"/>
      <c r="N13" s="219"/>
      <c r="Q13" s="197"/>
    </row>
    <row r="14" spans="1:17" s="242" customFormat="1" ht="60" customHeight="1">
      <c r="B14" s="650"/>
      <c r="C14" s="650"/>
      <c r="D14" s="650"/>
      <c r="E14" s="650"/>
      <c r="F14" s="651"/>
      <c r="G14" s="651"/>
      <c r="H14" s="651"/>
      <c r="I14" s="651"/>
      <c r="J14" s="649"/>
      <c r="K14" s="649"/>
      <c r="L14" s="649"/>
      <c r="M14" s="649"/>
      <c r="N14" s="219"/>
      <c r="Q14" s="197"/>
    </row>
    <row r="15" spans="1:17" s="242" customFormat="1" ht="60" customHeight="1">
      <c r="B15" s="650"/>
      <c r="C15" s="650"/>
      <c r="D15" s="650"/>
      <c r="E15" s="650"/>
      <c r="F15" s="651"/>
      <c r="G15" s="651"/>
      <c r="H15" s="651"/>
      <c r="I15" s="651"/>
      <c r="J15" s="649"/>
      <c r="K15" s="649"/>
      <c r="L15" s="649"/>
      <c r="M15" s="649"/>
      <c r="N15" s="219"/>
      <c r="Q15" s="197"/>
    </row>
    <row r="16" spans="1:17" s="242" customFormat="1" ht="24" customHeight="1">
      <c r="Q16" s="197"/>
    </row>
    <row r="17" spans="2:17" s="242" customFormat="1" ht="23.45" customHeight="1">
      <c r="B17" s="610" t="s">
        <v>99</v>
      </c>
      <c r="C17" s="610"/>
      <c r="D17" s="610"/>
      <c r="E17" s="610"/>
      <c r="F17" s="610" t="s">
        <v>97</v>
      </c>
      <c r="G17" s="610"/>
      <c r="H17" s="610"/>
      <c r="I17" s="610"/>
      <c r="J17" s="610" t="s">
        <v>97</v>
      </c>
      <c r="K17" s="610"/>
      <c r="L17" s="610"/>
      <c r="M17" s="610"/>
      <c r="Q17" s="197"/>
    </row>
    <row r="18" spans="2:17" s="242" customFormat="1" ht="6" customHeight="1">
      <c r="K18" s="252"/>
      <c r="Q18" s="197"/>
    </row>
    <row r="19" spans="2:17" s="242" customFormat="1" ht="24.95" customHeight="1">
      <c r="B19" s="620" t="s">
        <v>4169</v>
      </c>
      <c r="C19" s="620"/>
      <c r="D19" s="620"/>
      <c r="E19" s="620"/>
      <c r="F19" s="631" t="s">
        <v>4172</v>
      </c>
      <c r="G19" s="632"/>
      <c r="H19" s="632"/>
      <c r="I19" s="633"/>
      <c r="J19" s="639"/>
      <c r="K19" s="640"/>
      <c r="L19" s="640"/>
      <c r="M19" s="641"/>
      <c r="Q19" s="197"/>
    </row>
    <row r="20" spans="2:17" s="242" customFormat="1" ht="24.95" customHeight="1">
      <c r="B20" s="620"/>
      <c r="C20" s="620"/>
      <c r="D20" s="620"/>
      <c r="E20" s="620"/>
      <c r="F20" s="634"/>
      <c r="G20" s="626"/>
      <c r="H20" s="626"/>
      <c r="I20" s="635"/>
      <c r="J20" s="642"/>
      <c r="K20" s="643"/>
      <c r="L20" s="643"/>
      <c r="M20" s="644"/>
      <c r="Q20" s="197"/>
    </row>
    <row r="21" spans="2:17" s="242" customFormat="1" ht="24.95" customHeight="1">
      <c r="B21" s="620"/>
      <c r="C21" s="620"/>
      <c r="D21" s="620"/>
      <c r="E21" s="620"/>
      <c r="F21" s="636"/>
      <c r="G21" s="637"/>
      <c r="H21" s="637"/>
      <c r="I21" s="638"/>
      <c r="J21" s="645"/>
      <c r="K21" s="646"/>
      <c r="L21" s="646"/>
      <c r="M21" s="647"/>
      <c r="Q21" s="197"/>
    </row>
    <row r="22" spans="2:17" s="242" customFormat="1" ht="12.75" customHeight="1">
      <c r="B22" s="620" t="s">
        <v>4170</v>
      </c>
      <c r="C22" s="620"/>
      <c r="D22" s="620"/>
      <c r="E22" s="620"/>
      <c r="F22" s="631" t="s">
        <v>4173</v>
      </c>
      <c r="G22" s="632"/>
      <c r="H22" s="632"/>
      <c r="I22" s="633"/>
      <c r="J22" s="639"/>
      <c r="K22" s="640"/>
      <c r="L22" s="640"/>
      <c r="M22" s="641"/>
      <c r="Q22" s="197"/>
    </row>
    <row r="23" spans="2:17" s="242" customFormat="1" ht="12.75" customHeight="1">
      <c r="B23" s="620"/>
      <c r="C23" s="620"/>
      <c r="D23" s="620"/>
      <c r="E23" s="620"/>
      <c r="F23" s="634"/>
      <c r="G23" s="626"/>
      <c r="H23" s="626"/>
      <c r="I23" s="635"/>
      <c r="J23" s="642"/>
      <c r="K23" s="643"/>
      <c r="L23" s="643"/>
      <c r="M23" s="644"/>
      <c r="Q23" s="197"/>
    </row>
    <row r="24" spans="2:17" s="242" customFormat="1" ht="12.75">
      <c r="B24" s="620"/>
      <c r="C24" s="620"/>
      <c r="D24" s="620"/>
      <c r="E24" s="620"/>
      <c r="F24" s="634"/>
      <c r="G24" s="626"/>
      <c r="H24" s="626"/>
      <c r="I24" s="635"/>
      <c r="J24" s="642"/>
      <c r="K24" s="643"/>
      <c r="L24" s="643"/>
      <c r="M24" s="644"/>
      <c r="Q24" s="197"/>
    </row>
    <row r="25" spans="2:17" s="242" customFormat="1" ht="12.75">
      <c r="B25" s="620" t="s">
        <v>4171</v>
      </c>
      <c r="C25" s="620"/>
      <c r="D25" s="620"/>
      <c r="E25" s="620"/>
      <c r="F25" s="634"/>
      <c r="G25" s="626"/>
      <c r="H25" s="626"/>
      <c r="I25" s="635"/>
      <c r="J25" s="642"/>
      <c r="K25" s="643"/>
      <c r="L25" s="643"/>
      <c r="M25" s="644"/>
      <c r="Q25" s="197"/>
    </row>
    <row r="26" spans="2:17" s="242" customFormat="1" ht="12.75">
      <c r="B26" s="620"/>
      <c r="C26" s="620"/>
      <c r="D26" s="620"/>
      <c r="E26" s="620"/>
      <c r="F26" s="634"/>
      <c r="G26" s="626"/>
      <c r="H26" s="626"/>
      <c r="I26" s="635"/>
      <c r="J26" s="642"/>
      <c r="K26" s="643"/>
      <c r="L26" s="643"/>
      <c r="M26" s="644"/>
      <c r="Q26" s="197"/>
    </row>
    <row r="27" spans="2:17" s="242" customFormat="1" ht="12.6" customHeight="1">
      <c r="B27" s="620"/>
      <c r="C27" s="620"/>
      <c r="D27" s="620"/>
      <c r="E27" s="620"/>
      <c r="F27" s="636"/>
      <c r="G27" s="637"/>
      <c r="H27" s="637"/>
      <c r="I27" s="638"/>
      <c r="J27" s="645"/>
      <c r="K27" s="646"/>
      <c r="L27" s="646"/>
      <c r="M27" s="647"/>
      <c r="Q27" s="197"/>
    </row>
    <row r="28" spans="2:17" s="242" customFormat="1" ht="12.75">
      <c r="L28" s="252"/>
      <c r="Q28" s="197"/>
    </row>
    <row r="29" spans="2:17" s="13" customFormat="1" ht="20.100000000000001" customHeight="1">
      <c r="B29" s="21" t="s">
        <v>4366</v>
      </c>
      <c r="C29" s="22"/>
      <c r="D29" s="23"/>
      <c r="E29" s="23"/>
      <c r="F29" s="23"/>
      <c r="G29" s="23"/>
      <c r="H29" s="23"/>
      <c r="I29" s="23"/>
      <c r="J29" s="23"/>
      <c r="K29" s="23"/>
      <c r="L29" s="24"/>
      <c r="M29" s="24"/>
      <c r="N29" s="24"/>
    </row>
    <row r="30" spans="2:17" s="213" customFormat="1" ht="8.25" customHeight="1">
      <c r="B30" s="257"/>
      <c r="G30" s="258"/>
    </row>
    <row r="31" spans="2:17" s="213" customFormat="1" ht="22.5" customHeight="1">
      <c r="B31" s="610" t="s">
        <v>100</v>
      </c>
      <c r="C31" s="610"/>
      <c r="D31" s="610"/>
      <c r="E31" s="610"/>
      <c r="F31" s="610" t="s">
        <v>101</v>
      </c>
      <c r="G31" s="610"/>
      <c r="H31" s="610"/>
      <c r="I31" s="610"/>
      <c r="J31" s="610" t="s">
        <v>102</v>
      </c>
      <c r="K31" s="610"/>
      <c r="L31" s="610"/>
      <c r="M31" s="250" t="s">
        <v>103</v>
      </c>
      <c r="N31" s="250" t="s">
        <v>104</v>
      </c>
    </row>
    <row r="32" spans="2:17" s="213" customFormat="1" ht="2.1" customHeight="1">
      <c r="B32" s="242"/>
      <c r="C32" s="242"/>
      <c r="D32" s="242"/>
      <c r="E32" s="242"/>
      <c r="F32" s="242"/>
      <c r="G32" s="242"/>
      <c r="H32" s="242"/>
      <c r="I32" s="242"/>
      <c r="J32" s="242"/>
      <c r="K32" s="252"/>
      <c r="L32" s="242"/>
      <c r="M32" s="242"/>
      <c r="N32" s="242"/>
    </row>
    <row r="33" spans="2:19" s="242" customFormat="1" ht="110.1" customHeight="1">
      <c r="B33" s="655" t="str">
        <f>+IF('Problema-Objetivo'!B8="","",VLOOKUP('Problema-Objetivo'!B8,Problematica,7,FALSE))</f>
        <v/>
      </c>
      <c r="C33" s="656"/>
      <c r="D33" s="656"/>
      <c r="E33" s="657"/>
      <c r="F33" s="655" t="str">
        <f>+'Problema-Objetivo'!F8</f>
        <v/>
      </c>
      <c r="G33" s="656"/>
      <c r="H33" s="656"/>
      <c r="I33" s="657"/>
      <c r="J33" s="608" t="str">
        <f>+J8</f>
        <v/>
      </c>
      <c r="K33" s="609"/>
      <c r="L33" s="609"/>
      <c r="M33" s="1" t="str">
        <f>+M8</f>
        <v>CIAI</v>
      </c>
      <c r="N33" s="401">
        <f>+'Datos Generales'!M55</f>
        <v>0</v>
      </c>
    </row>
    <row r="34" spans="2:19" s="242" customFormat="1" ht="12.75">
      <c r="B34" s="257" t="s">
        <v>105</v>
      </c>
      <c r="C34" s="213"/>
      <c r="D34" s="213"/>
      <c r="E34" s="213"/>
      <c r="F34" s="213"/>
      <c r="G34" s="213"/>
      <c r="H34" s="213"/>
      <c r="I34" s="213"/>
      <c r="J34" s="213"/>
      <c r="K34" s="213"/>
      <c r="L34" s="213"/>
      <c r="M34" s="213"/>
      <c r="N34" s="248"/>
    </row>
    <row r="35" spans="2:19" s="254" customFormat="1" ht="30.75" customHeight="1">
      <c r="B35" s="248"/>
      <c r="C35" s="248"/>
      <c r="D35" s="248"/>
      <c r="E35" s="248"/>
      <c r="F35" s="248"/>
      <c r="G35" s="213"/>
      <c r="H35" s="213"/>
      <c r="I35" s="229"/>
      <c r="J35" s="229"/>
      <c r="K35" s="248"/>
      <c r="L35" s="248"/>
      <c r="M35" s="248"/>
      <c r="N35" s="248"/>
    </row>
    <row r="36" spans="2:19" s="213" customFormat="1" ht="12.75">
      <c r="B36" s="259" t="s">
        <v>106</v>
      </c>
      <c r="C36" s="248"/>
      <c r="D36" s="248"/>
      <c r="E36" s="248"/>
      <c r="J36" s="258"/>
      <c r="K36" s="248"/>
      <c r="L36" s="248"/>
      <c r="M36" s="248"/>
      <c r="N36" s="248"/>
    </row>
    <row r="37" spans="2:19" s="213" customFormat="1" ht="12.75">
      <c r="B37" s="248"/>
      <c r="C37" s="248"/>
      <c r="D37" s="248"/>
      <c r="E37" s="248"/>
      <c r="K37" s="248"/>
      <c r="L37" s="248"/>
      <c r="M37" s="248"/>
      <c r="N37" s="248"/>
    </row>
    <row r="38" spans="2:19" s="213" customFormat="1" ht="12.75">
      <c r="B38" s="250" t="s">
        <v>61</v>
      </c>
      <c r="C38" s="610" t="s">
        <v>107</v>
      </c>
      <c r="D38" s="610"/>
      <c r="E38" s="610"/>
      <c r="F38" s="610"/>
      <c r="G38" s="580" t="s">
        <v>108</v>
      </c>
      <c r="H38" s="580"/>
      <c r="I38" s="580"/>
      <c r="J38" s="580"/>
      <c r="K38" s="260"/>
      <c r="L38" s="260"/>
      <c r="M38" s="260"/>
      <c r="N38" s="215"/>
    </row>
    <row r="39" spans="2:19" s="213" customFormat="1" ht="12.75">
      <c r="B39" s="242"/>
      <c r="C39" s="242"/>
      <c r="D39" s="242"/>
      <c r="E39" s="242"/>
      <c r="F39" s="242"/>
      <c r="G39" s="242"/>
      <c r="H39" s="242"/>
      <c r="I39" s="242"/>
      <c r="J39" s="242"/>
      <c r="K39" s="252"/>
      <c r="L39" s="242"/>
      <c r="M39" s="242"/>
      <c r="N39" s="242"/>
    </row>
    <row r="40" spans="2:19" s="242" customFormat="1" ht="45.95" customHeight="1">
      <c r="B40" s="576">
        <v>1</v>
      </c>
      <c r="C40" s="614" t="str">
        <f>+IF('Problema-Objetivo'!F12="","",VLOOKUP('Problema-Objetivo'!F12,Listas!$H$17:$L$24,5,FALSE))</f>
        <v/>
      </c>
      <c r="D40" s="615"/>
      <c r="E40" s="615"/>
      <c r="F40" s="616"/>
      <c r="G40" s="611"/>
      <c r="H40" s="612"/>
      <c r="I40" s="612"/>
      <c r="J40" s="613"/>
      <c r="K40" s="248"/>
      <c r="L40" s="248"/>
      <c r="M40" s="248"/>
      <c r="N40" s="213"/>
    </row>
    <row r="41" spans="2:19" s="242" customFormat="1" ht="45.95" hidden="1" customHeight="1">
      <c r="B41" s="569"/>
      <c r="C41" s="652"/>
      <c r="D41" s="653"/>
      <c r="E41" s="653"/>
      <c r="F41" s="654"/>
      <c r="G41" s="611"/>
      <c r="H41" s="612"/>
      <c r="I41" s="612"/>
      <c r="J41" s="613"/>
      <c r="K41" s="248"/>
      <c r="L41" s="248"/>
      <c r="M41" s="248"/>
      <c r="N41" s="213"/>
    </row>
    <row r="42" spans="2:19" s="242" customFormat="1" ht="45.95" hidden="1" customHeight="1">
      <c r="B42" s="569"/>
      <c r="C42" s="652"/>
      <c r="D42" s="653"/>
      <c r="E42" s="653"/>
      <c r="F42" s="654"/>
      <c r="G42" s="611"/>
      <c r="H42" s="612"/>
      <c r="I42" s="612"/>
      <c r="J42" s="613"/>
      <c r="K42" s="248"/>
      <c r="L42" s="248"/>
      <c r="M42" s="248"/>
      <c r="N42" s="213"/>
    </row>
    <row r="43" spans="2:19" s="213" customFormat="1" ht="45.95" hidden="1" customHeight="1">
      <c r="B43" s="577"/>
      <c r="C43" s="617"/>
      <c r="D43" s="618"/>
      <c r="E43" s="618"/>
      <c r="F43" s="619"/>
      <c r="G43" s="611"/>
      <c r="H43" s="612"/>
      <c r="I43" s="612"/>
      <c r="J43" s="613"/>
      <c r="K43" s="248"/>
      <c r="L43" s="248"/>
      <c r="M43" s="248"/>
    </row>
    <row r="44" spans="2:19" s="213" customFormat="1" ht="45.95" customHeight="1">
      <c r="B44" s="217">
        <v>2</v>
      </c>
      <c r="C44" s="614" t="str">
        <f>+IF('Problema-Objetivo'!F13="","",VLOOKUP('Problema-Objetivo'!F13,Listas!$H$17:$L$24,5,FALSE))</f>
        <v/>
      </c>
      <c r="D44" s="615"/>
      <c r="E44" s="615"/>
      <c r="F44" s="616"/>
      <c r="G44" s="611"/>
      <c r="H44" s="612"/>
      <c r="I44" s="612"/>
      <c r="J44" s="613"/>
      <c r="K44" s="248"/>
      <c r="L44" s="248"/>
      <c r="M44" s="248"/>
    </row>
    <row r="45" spans="2:19" s="213" customFormat="1" ht="45.95" customHeight="1">
      <c r="B45" s="217">
        <v>3</v>
      </c>
      <c r="C45" s="614" t="str">
        <f>+IF('Problema-Objetivo'!F14="","",VLOOKUP('Problema-Objetivo'!F14,Listas!$H$17:$L$24,5,FALSE))</f>
        <v/>
      </c>
      <c r="D45" s="615"/>
      <c r="E45" s="615"/>
      <c r="F45" s="616"/>
      <c r="G45" s="611"/>
      <c r="H45" s="612"/>
      <c r="I45" s="612"/>
      <c r="J45" s="613"/>
      <c r="K45" s="248"/>
      <c r="L45" s="248"/>
      <c r="M45" s="248"/>
    </row>
    <row r="46" spans="2:19" s="213" customFormat="1" ht="45.95" customHeight="1">
      <c r="B46" s="576">
        <v>4</v>
      </c>
      <c r="C46" s="614" t="str">
        <f>+IF('Problema-Objetivo'!F15="","",VLOOKUP('Problema-Objetivo'!F15,Listas!$H$17:$L$24,5,FALSE))</f>
        <v/>
      </c>
      <c r="D46" s="615"/>
      <c r="E46" s="615"/>
      <c r="F46" s="616"/>
      <c r="G46" s="611"/>
      <c r="H46" s="612"/>
      <c r="I46" s="612"/>
      <c r="J46" s="613"/>
      <c r="K46" s="248"/>
      <c r="L46" s="248"/>
      <c r="M46" s="248"/>
    </row>
    <row r="47" spans="2:19" s="213" customFormat="1" ht="45.95" hidden="1" customHeight="1">
      <c r="B47" s="577"/>
      <c r="C47" s="617"/>
      <c r="D47" s="618"/>
      <c r="E47" s="618"/>
      <c r="F47" s="619"/>
      <c r="G47" s="611"/>
      <c r="H47" s="612"/>
      <c r="I47" s="612"/>
      <c r="J47" s="613"/>
      <c r="K47" s="248"/>
      <c r="L47" s="248"/>
      <c r="M47" s="248"/>
    </row>
    <row r="48" spans="2:19" s="213" customFormat="1" ht="12" customHeight="1">
      <c r="B48" s="248"/>
      <c r="C48" s="248"/>
      <c r="D48" s="248"/>
      <c r="E48" s="248"/>
      <c r="F48" s="248"/>
      <c r="G48" s="248"/>
      <c r="H48" s="248"/>
      <c r="I48" s="248"/>
      <c r="K48" s="248"/>
      <c r="L48" s="248"/>
      <c r="M48" s="248"/>
      <c r="N48" s="261"/>
      <c r="S48" s="261"/>
    </row>
    <row r="49" spans="2:19" s="213" customFormat="1" ht="12" customHeight="1">
      <c r="B49" s="248"/>
      <c r="C49" s="248"/>
      <c r="D49" s="248"/>
      <c r="E49" s="248"/>
      <c r="F49" s="248"/>
      <c r="G49" s="248"/>
      <c r="H49" s="248"/>
      <c r="I49" s="248"/>
      <c r="K49" s="248"/>
      <c r="L49" s="248"/>
      <c r="M49" s="248"/>
      <c r="N49" s="261"/>
      <c r="S49" s="261"/>
    </row>
    <row r="50" spans="2:19" s="242" customFormat="1" ht="23.45" customHeight="1">
      <c r="B50" s="580" t="s">
        <v>109</v>
      </c>
      <c r="C50" s="580"/>
      <c r="D50" s="580"/>
      <c r="E50" s="582"/>
      <c r="F50" s="610" t="s">
        <v>110</v>
      </c>
      <c r="G50" s="610"/>
      <c r="H50" s="610"/>
      <c r="I50" s="610"/>
      <c r="J50" s="261"/>
      <c r="K50" s="261"/>
      <c r="L50" s="261"/>
      <c r="M50" s="261"/>
      <c r="N50" s="261"/>
      <c r="O50" s="213"/>
      <c r="P50" s="213"/>
      <c r="Q50" s="213"/>
      <c r="R50" s="213"/>
    </row>
    <row r="51" spans="2:19" s="242" customFormat="1" ht="7.5" customHeight="1">
      <c r="N51" s="261"/>
      <c r="O51" s="213"/>
      <c r="P51" s="213"/>
      <c r="Q51" s="213"/>
    </row>
    <row r="52" spans="2:19" s="242" customFormat="1" ht="12.75" customHeight="1">
      <c r="B52" s="620" t="s">
        <v>4174</v>
      </c>
      <c r="C52" s="620"/>
      <c r="D52" s="620"/>
      <c r="E52" s="621"/>
      <c r="F52" s="622" t="s">
        <v>4176</v>
      </c>
      <c r="G52" s="623"/>
      <c r="H52" s="623"/>
      <c r="I52" s="624"/>
      <c r="J52" s="262"/>
      <c r="K52" s="262"/>
      <c r="L52" s="262"/>
      <c r="M52" s="262"/>
      <c r="N52" s="261"/>
      <c r="O52" s="213"/>
      <c r="P52" s="213"/>
      <c r="Q52" s="213"/>
    </row>
    <row r="53" spans="2:19" s="242" customFormat="1" ht="12.75" customHeight="1">
      <c r="B53" s="620"/>
      <c r="C53" s="620"/>
      <c r="D53" s="620"/>
      <c r="E53" s="621"/>
      <c r="F53" s="625"/>
      <c r="G53" s="626"/>
      <c r="H53" s="626"/>
      <c r="I53" s="627"/>
      <c r="J53" s="262"/>
      <c r="K53" s="262"/>
      <c r="L53" s="262"/>
      <c r="M53" s="262"/>
      <c r="N53" s="261"/>
      <c r="O53" s="213"/>
      <c r="P53" s="213"/>
      <c r="Q53" s="213"/>
    </row>
    <row r="54" spans="2:19" s="242" customFormat="1" ht="12.75" customHeight="1">
      <c r="B54" s="620"/>
      <c r="C54" s="620"/>
      <c r="D54" s="620"/>
      <c r="E54" s="621"/>
      <c r="F54" s="628"/>
      <c r="G54" s="629"/>
      <c r="H54" s="629"/>
      <c r="I54" s="630"/>
      <c r="J54" s="262"/>
      <c r="K54" s="262"/>
      <c r="L54" s="262"/>
      <c r="M54" s="262"/>
      <c r="N54" s="261"/>
      <c r="O54" s="213"/>
      <c r="P54" s="213"/>
      <c r="Q54" s="213"/>
    </row>
    <row r="55" spans="2:19" s="242" customFormat="1" ht="12.75" customHeight="1">
      <c r="B55" s="620" t="s">
        <v>4175</v>
      </c>
      <c r="C55" s="620"/>
      <c r="D55" s="620"/>
      <c r="E55" s="621"/>
      <c r="F55" s="622" t="s">
        <v>4177</v>
      </c>
      <c r="G55" s="623"/>
      <c r="H55" s="623"/>
      <c r="I55" s="624"/>
      <c r="J55" s="262"/>
      <c r="K55" s="262"/>
      <c r="L55" s="262"/>
      <c r="M55" s="262"/>
      <c r="N55" s="261"/>
      <c r="O55" s="213"/>
      <c r="P55" s="213"/>
      <c r="Q55" s="213"/>
    </row>
    <row r="56" spans="2:19" s="242" customFormat="1" ht="12.75" customHeight="1">
      <c r="B56" s="620"/>
      <c r="C56" s="620"/>
      <c r="D56" s="620"/>
      <c r="E56" s="621"/>
      <c r="F56" s="625"/>
      <c r="G56" s="626"/>
      <c r="H56" s="626"/>
      <c r="I56" s="627"/>
      <c r="J56" s="262"/>
      <c r="K56" s="262"/>
      <c r="L56" s="262"/>
      <c r="M56" s="262"/>
      <c r="N56" s="261"/>
      <c r="O56" s="213"/>
      <c r="P56" s="213"/>
      <c r="Q56" s="213"/>
    </row>
    <row r="57" spans="2:19" s="242" customFormat="1" ht="12.6" customHeight="1">
      <c r="B57" s="620"/>
      <c r="C57" s="620"/>
      <c r="D57" s="620"/>
      <c r="E57" s="621"/>
      <c r="F57" s="625"/>
      <c r="G57" s="626"/>
      <c r="H57" s="626"/>
      <c r="I57" s="627"/>
      <c r="J57" s="262"/>
      <c r="K57" s="262"/>
      <c r="L57" s="262"/>
      <c r="M57" s="262"/>
      <c r="N57" s="261"/>
      <c r="O57" s="213"/>
      <c r="P57" s="213"/>
      <c r="Q57" s="213"/>
    </row>
    <row r="58" spans="2:19" s="242" customFormat="1" ht="12.6" customHeight="1">
      <c r="B58" s="620" t="s">
        <v>4375</v>
      </c>
      <c r="C58" s="620"/>
      <c r="D58" s="620"/>
      <c r="E58" s="621"/>
      <c r="F58" s="625"/>
      <c r="G58" s="626"/>
      <c r="H58" s="626"/>
      <c r="I58" s="627"/>
      <c r="J58" s="262"/>
      <c r="K58" s="262"/>
      <c r="L58" s="262"/>
      <c r="M58" s="262"/>
      <c r="N58" s="261"/>
      <c r="O58" s="213"/>
      <c r="P58" s="213"/>
      <c r="Q58" s="213"/>
    </row>
    <row r="59" spans="2:19" s="242" customFormat="1" ht="12.6" customHeight="1">
      <c r="B59" s="620"/>
      <c r="C59" s="620"/>
      <c r="D59" s="620"/>
      <c r="E59" s="621"/>
      <c r="F59" s="625"/>
      <c r="G59" s="626"/>
      <c r="H59" s="626"/>
      <c r="I59" s="627"/>
      <c r="J59" s="262"/>
      <c r="K59" s="262"/>
      <c r="L59" s="262"/>
      <c r="M59" s="262"/>
      <c r="N59" s="261"/>
      <c r="O59" s="213"/>
      <c r="P59" s="213"/>
      <c r="Q59" s="213"/>
    </row>
    <row r="60" spans="2:19" s="242" customFormat="1" ht="12.6" customHeight="1">
      <c r="B60" s="620"/>
      <c r="C60" s="620"/>
      <c r="D60" s="620"/>
      <c r="E60" s="621"/>
      <c r="F60" s="628"/>
      <c r="G60" s="629"/>
      <c r="H60" s="629"/>
      <c r="I60" s="630"/>
      <c r="J60" s="262"/>
      <c r="K60" s="262"/>
      <c r="L60" s="262"/>
      <c r="M60" s="262"/>
      <c r="N60" s="261"/>
      <c r="O60" s="213"/>
      <c r="P60" s="213"/>
      <c r="Q60" s="213"/>
    </row>
    <row r="61" spans="2:19" s="213" customFormat="1" ht="12" customHeight="1">
      <c r="B61" s="248"/>
      <c r="C61" s="248"/>
      <c r="D61" s="248"/>
      <c r="E61" s="248"/>
      <c r="F61" s="248"/>
      <c r="G61" s="248"/>
      <c r="H61" s="248"/>
      <c r="I61" s="248"/>
      <c r="K61" s="248"/>
      <c r="L61" s="248"/>
      <c r="M61" s="248"/>
      <c r="N61" s="261"/>
      <c r="S61" s="261"/>
    </row>
    <row r="62" spans="2:19" s="213" customFormat="1" ht="12" customHeight="1">
      <c r="B62" s="248"/>
      <c r="C62" s="248"/>
      <c r="D62" s="248"/>
      <c r="E62" s="248"/>
      <c r="F62" s="248"/>
      <c r="G62" s="248"/>
      <c r="H62" s="248"/>
      <c r="I62" s="248"/>
      <c r="K62" s="248"/>
      <c r="L62" s="248"/>
      <c r="M62" s="248"/>
      <c r="N62" s="261"/>
      <c r="S62" s="261"/>
    </row>
    <row r="63" spans="2:19" s="13" customFormat="1" ht="20.100000000000001" customHeight="1">
      <c r="B63" s="21" t="s">
        <v>4368</v>
      </c>
      <c r="C63" s="22"/>
      <c r="D63" s="23"/>
      <c r="E63" s="23"/>
      <c r="F63" s="23"/>
      <c r="G63" s="23"/>
      <c r="H63" s="23"/>
      <c r="I63" s="23"/>
      <c r="J63" s="23"/>
      <c r="K63" s="23"/>
      <c r="L63" s="24"/>
      <c r="M63" s="24"/>
      <c r="N63" s="24"/>
    </row>
    <row r="64" spans="2:19" s="213" customFormat="1" ht="3.95" customHeight="1"/>
    <row r="65" spans="2:18" s="213" customFormat="1" ht="41.1" customHeight="1">
      <c r="B65" s="598" t="s">
        <v>4361</v>
      </c>
      <c r="C65" s="598"/>
      <c r="D65" s="598"/>
      <c r="E65" s="598"/>
      <c r="F65" s="599" t="str">
        <f>+G40&amp;", "&amp;G41&amp;", "&amp;G42&amp;", "&amp;G43&amp;", "&amp;G44&amp;", "&amp;G45&amp;", "&amp;G46&amp;", "&amp;G47</f>
        <v xml:space="preserve">, , , , , , , </v>
      </c>
      <c r="G65" s="600"/>
      <c r="H65" s="600"/>
      <c r="I65" s="600"/>
      <c r="J65" s="600"/>
      <c r="K65" s="600"/>
      <c r="L65" s="600"/>
      <c r="M65" s="600"/>
      <c r="N65" s="601"/>
    </row>
    <row r="66" spans="2:18" s="213" customFormat="1" ht="41.1" customHeight="1">
      <c r="B66" s="598"/>
      <c r="C66" s="598"/>
      <c r="D66" s="598"/>
      <c r="E66" s="598"/>
      <c r="F66" s="602"/>
      <c r="G66" s="603"/>
      <c r="H66" s="603"/>
      <c r="I66" s="603"/>
      <c r="J66" s="603"/>
      <c r="K66" s="603"/>
      <c r="L66" s="603"/>
      <c r="M66" s="603"/>
      <c r="N66" s="604"/>
    </row>
    <row r="67" spans="2:18" s="213" customFormat="1" ht="41.1" customHeight="1">
      <c r="B67" s="598"/>
      <c r="C67" s="598"/>
      <c r="D67" s="598"/>
      <c r="E67" s="598"/>
      <c r="F67" s="605"/>
      <c r="G67" s="606"/>
      <c r="H67" s="606"/>
      <c r="I67" s="606"/>
      <c r="J67" s="606"/>
      <c r="K67" s="606"/>
      <c r="L67" s="606"/>
      <c r="M67" s="606"/>
      <c r="N67" s="607"/>
    </row>
    <row r="68" spans="2:18">
      <c r="J68" s="242"/>
      <c r="K68" s="213"/>
      <c r="L68" s="213"/>
      <c r="M68" s="213"/>
      <c r="N68" s="213"/>
      <c r="O68" s="213"/>
      <c r="P68" s="213"/>
      <c r="Q68" s="213"/>
      <c r="R68" s="213"/>
    </row>
  </sheetData>
  <sheetProtection sheet="1" objects="1" scenarios="1"/>
  <mergeCells count="60">
    <mergeCell ref="F22:I27"/>
    <mergeCell ref="J22:M27"/>
    <mergeCell ref="C45:F45"/>
    <mergeCell ref="G44:J44"/>
    <mergeCell ref="G45:J45"/>
    <mergeCell ref="B31:E31"/>
    <mergeCell ref="F31:I31"/>
    <mergeCell ref="B25:E27"/>
    <mergeCell ref="B22:E24"/>
    <mergeCell ref="G40:J40"/>
    <mergeCell ref="G43:J43"/>
    <mergeCell ref="G41:J41"/>
    <mergeCell ref="B40:B43"/>
    <mergeCell ref="C40:F43"/>
    <mergeCell ref="B33:E33"/>
    <mergeCell ref="F33:I33"/>
    <mergeCell ref="J10:M10"/>
    <mergeCell ref="J12:M12"/>
    <mergeCell ref="B15:E15"/>
    <mergeCell ref="F15:I15"/>
    <mergeCell ref="B10:E10"/>
    <mergeCell ref="F10:I10"/>
    <mergeCell ref="B12:E14"/>
    <mergeCell ref="F12:I12"/>
    <mergeCell ref="F13:I13"/>
    <mergeCell ref="F14:I14"/>
    <mergeCell ref="J13:M13"/>
    <mergeCell ref="J14:M14"/>
    <mergeCell ref="J15:M15"/>
    <mergeCell ref="B6:E6"/>
    <mergeCell ref="F6:I6"/>
    <mergeCell ref="J6:L6"/>
    <mergeCell ref="B8:E8"/>
    <mergeCell ref="F8:I8"/>
    <mergeCell ref="J8:L8"/>
    <mergeCell ref="B19:E21"/>
    <mergeCell ref="F19:I21"/>
    <mergeCell ref="B17:E17"/>
    <mergeCell ref="F17:I17"/>
    <mergeCell ref="J17:M17"/>
    <mergeCell ref="J19:M21"/>
    <mergeCell ref="J31:L31"/>
    <mergeCell ref="B55:E57"/>
    <mergeCell ref="B58:E60"/>
    <mergeCell ref="B50:E50"/>
    <mergeCell ref="F50:I50"/>
    <mergeCell ref="B52:E54"/>
    <mergeCell ref="F55:I60"/>
    <mergeCell ref="F52:I54"/>
    <mergeCell ref="C44:F44"/>
    <mergeCell ref="B65:E67"/>
    <mergeCell ref="F65:N67"/>
    <mergeCell ref="J33:L33"/>
    <mergeCell ref="C38:F38"/>
    <mergeCell ref="G38:J38"/>
    <mergeCell ref="G47:J47"/>
    <mergeCell ref="G42:J42"/>
    <mergeCell ref="B46:B47"/>
    <mergeCell ref="C46:F47"/>
    <mergeCell ref="G46:J46"/>
  </mergeCells>
  <conditionalFormatting sqref="B28:O28 O9 B17 F17 B58:B59 B55:B56 B52:B53 F52 B18:M18 B51:M51 F55 J52 J55 B25:B26 B22:B23 B19:B20 F19 F22 J19 J22 J17">
    <cfRule type="expression" dxfId="298" priority="78">
      <formula>#REF!="No"</formula>
    </cfRule>
  </conditionalFormatting>
  <conditionalFormatting sqref="B9:N9 B6 F6 B8 J6 F8 F10 M6 N10:N15 J10 B11:M11 B7:M7 B10 B12:B13 J8 M8 N6:N8 B15 F12:F15 J12:J15">
    <cfRule type="expression" dxfId="297" priority="79">
      <formula>#REF!="No"</formula>
    </cfRule>
  </conditionalFormatting>
  <conditionalFormatting sqref="B33 J31 F33 M31 B31 B39:N39 C40 F31 B32:M32 J33 M33 N31:N33 G40:G41 C44:C46 G43:G47">
    <cfRule type="expression" dxfId="296" priority="103">
      <formula>#REF!="No"</formula>
    </cfRule>
  </conditionalFormatting>
  <conditionalFormatting sqref="G42">
    <cfRule type="expression" dxfId="295" priority="1">
      <formula>#REF!="No"</formula>
    </cfRule>
  </conditionalFormatting>
  <pageMargins left="0.7" right="0.7" top="0.75" bottom="0.75" header="0.3" footer="0.3"/>
  <pageSetup paperSize="9" scale="54" orientation="portrait" horizontalDpi="0" verticalDpi="0"/>
  <rowBreaks count="1" manualBreakCount="1">
    <brk id="35" min="1" max="13" man="1"/>
  </rowBreaks>
  <colBreaks count="1" manualBreakCount="1">
    <brk id="14" max="66" man="1"/>
  </colBreaks>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600-000000000000}">
          <x14:formula1>
            <xm:f>INDIRECT(Listas!$D$51)</xm:f>
          </x14:formula1>
          <xm:sqref>F15:I15</xm:sqref>
        </x14:dataValidation>
        <x14:dataValidation type="list" allowBlank="1" showInputMessage="1" showErrorMessage="1" xr:uid="{00000000-0002-0000-0600-000001000000}">
          <x14:formula1>
            <xm:f>INDIRECT(Listas!$D$48)</xm:f>
          </x14:formula1>
          <xm:sqref>F12:I14</xm:sqref>
        </x14:dataValidation>
        <x14:dataValidation type="list" allowBlank="1" showInputMessage="1" showErrorMessage="1" xr:uid="{00000000-0002-0000-0600-000002000000}">
          <x14:formula1>
            <xm:f>INDIRECT(Listas!$D$44)</xm:f>
          </x14:formula1>
          <xm:sqref>B12:E15</xm:sqref>
        </x14:dataValidation>
        <x14:dataValidation type="list" allowBlank="1" showInputMessage="1" showErrorMessage="1" xr:uid="{00000000-0002-0000-0600-000003000000}">
          <x14:formula1>
            <xm:f>INDIRECT(Listas!$C$51)</xm:f>
          </x14:formula1>
          <xm:sqref>G46:J47</xm:sqref>
        </x14:dataValidation>
        <x14:dataValidation type="list" allowBlank="1" showInputMessage="1" showErrorMessage="1" xr:uid="{00000000-0002-0000-0600-000004000000}">
          <x14:formula1>
            <xm:f>INDIRECT(Listas!$C$48)</xm:f>
          </x14:formula1>
          <xm:sqref>G40:J43</xm:sqref>
        </x14:dataValidation>
        <x14:dataValidation type="list" allowBlank="1" showInputMessage="1" showErrorMessage="1" xr:uid="{00000000-0002-0000-0600-000005000000}">
          <x14:formula1>
            <xm:f>INDIRECT(Listas!$C$49)</xm:f>
          </x14:formula1>
          <xm:sqref>G44:J44</xm:sqref>
        </x14:dataValidation>
        <x14:dataValidation type="list" allowBlank="1" showInputMessage="1" showErrorMessage="1" xr:uid="{00000000-0002-0000-0600-000006000000}">
          <x14:formula1>
            <xm:f>INDIRECT(Listas!$C$50)</xm:f>
          </x14:formula1>
          <xm:sqref>G45:J45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2:Q47"/>
  <sheetViews>
    <sheetView zoomScale="120" zoomScaleNormal="120" zoomScaleSheetLayoutView="94" workbookViewId="0">
      <selection activeCell="K25" sqref="K25"/>
    </sheetView>
  </sheetViews>
  <sheetFormatPr baseColWidth="10" defaultColWidth="8.6640625" defaultRowHeight="17.100000000000001" customHeight="1"/>
  <cols>
    <col min="1" max="1" width="5" style="4" customWidth="1"/>
    <col min="2" max="2" width="2.6640625" style="4" customWidth="1"/>
    <col min="3" max="4" width="8.6640625" style="4"/>
    <col min="5" max="5" width="18.44140625" style="4" customWidth="1"/>
    <col min="6" max="6" width="9.88671875" style="4" bestFit="1" customWidth="1"/>
    <col min="7" max="7" width="14.44140625" style="4" customWidth="1"/>
    <col min="8" max="8" width="11.88671875" style="263" customWidth="1"/>
    <col min="9" max="9" width="13.44140625" style="264" customWidth="1"/>
    <col min="10" max="10" width="1.33203125" style="4" customWidth="1"/>
    <col min="11" max="11" width="13.44140625" style="4" customWidth="1"/>
    <col min="12" max="12" width="10.33203125" style="4" customWidth="1"/>
    <col min="13" max="16384" width="8.6640625" style="4"/>
  </cols>
  <sheetData>
    <row r="2" spans="2:13" ht="17.100000000000001" customHeight="1">
      <c r="B2" s="5" t="s">
        <v>4187</v>
      </c>
    </row>
    <row r="3" spans="2:13" ht="17.100000000000001" customHeight="1">
      <c r="I3" s="4"/>
    </row>
    <row r="4" spans="2:13" s="13" customFormat="1" ht="17.100000000000001" customHeight="1">
      <c r="B4" s="21" t="s">
        <v>4367</v>
      </c>
      <c r="C4" s="23"/>
      <c r="D4" s="22"/>
      <c r="E4" s="23"/>
      <c r="F4" s="23"/>
      <c r="G4" s="23"/>
      <c r="H4" s="79"/>
      <c r="I4" s="23"/>
      <c r="J4" s="23"/>
      <c r="K4" s="23"/>
      <c r="L4" s="23"/>
      <c r="M4" s="24"/>
    </row>
    <row r="5" spans="2:13" s="222" customFormat="1" ht="17.100000000000001" customHeight="1">
      <c r="H5" s="265"/>
      <c r="I5" s="266"/>
      <c r="K5" s="267"/>
      <c r="M5" s="268"/>
    </row>
    <row r="6" spans="2:13" s="269" customFormat="1" ht="33.950000000000003" customHeight="1">
      <c r="H6" s="270"/>
      <c r="I6" s="271" t="s">
        <v>4515</v>
      </c>
      <c r="K6" s="272" t="s">
        <v>4516</v>
      </c>
      <c r="M6" s="268"/>
    </row>
    <row r="7" spans="2:13" s="222" customFormat="1" ht="17.100000000000001" customHeight="1" thickBot="1">
      <c r="H7" s="265"/>
      <c r="I7" s="266"/>
      <c r="K7" s="267"/>
      <c r="M7" s="268"/>
    </row>
    <row r="8" spans="2:13" s="222" customFormat="1" ht="17.100000000000001" customHeight="1" thickBot="1">
      <c r="C8" s="222" t="s">
        <v>4183</v>
      </c>
      <c r="K8" s="399"/>
      <c r="L8" s="273"/>
      <c r="M8" s="274"/>
    </row>
    <row r="9" spans="2:13" s="222" customFormat="1" ht="8.1" customHeight="1">
      <c r="I9" s="275"/>
      <c r="K9" s="275"/>
      <c r="L9" s="276">
        <f ca="1">+TODAY()</f>
        <v>45531</v>
      </c>
      <c r="M9" s="274"/>
    </row>
    <row r="10" spans="2:13" s="222" customFormat="1" ht="17.100000000000001" customHeight="1">
      <c r="C10" s="222" t="s">
        <v>4518</v>
      </c>
      <c r="I10" s="153"/>
      <c r="K10" s="153"/>
      <c r="L10" s="273"/>
      <c r="M10" s="274"/>
    </row>
    <row r="11" spans="2:13" s="222" customFormat="1" ht="8.1" customHeight="1">
      <c r="I11" s="275"/>
      <c r="K11" s="275"/>
      <c r="L11" s="276">
        <f ca="1">+TODAY()</f>
        <v>45531</v>
      </c>
      <c r="M11" s="274"/>
    </row>
    <row r="12" spans="2:13" s="222" customFormat="1" ht="17.100000000000001" customHeight="1">
      <c r="C12" s="222" t="s">
        <v>4519</v>
      </c>
      <c r="I12" s="153"/>
      <c r="K12" s="153"/>
      <c r="L12" s="273"/>
      <c r="M12" s="274"/>
    </row>
    <row r="13" spans="2:13" s="222" customFormat="1" ht="8.1" customHeight="1">
      <c r="I13" s="275"/>
      <c r="K13" s="275"/>
      <c r="L13" s="276">
        <f ca="1">+TODAY()</f>
        <v>45531</v>
      </c>
      <c r="M13" s="274"/>
    </row>
    <row r="14" spans="2:13" s="222" customFormat="1" ht="17.100000000000001" customHeight="1">
      <c r="C14" s="222" t="s">
        <v>4517</v>
      </c>
      <c r="I14" s="153"/>
      <c r="K14" s="153"/>
      <c r="L14" s="273"/>
      <c r="M14" s="274"/>
    </row>
    <row r="15" spans="2:13" s="222" customFormat="1" ht="8.1" customHeight="1">
      <c r="I15" s="275"/>
      <c r="K15" s="275"/>
      <c r="L15" s="273"/>
      <c r="M15" s="274"/>
    </row>
    <row r="16" spans="2:13" s="222" customFormat="1" ht="17.100000000000001" customHeight="1">
      <c r="C16" s="222" t="s">
        <v>4520</v>
      </c>
      <c r="I16" s="153"/>
      <c r="K16" s="153"/>
      <c r="L16" s="273"/>
      <c r="M16" s="274"/>
    </row>
    <row r="17" spans="1:17" s="222" customFormat="1" ht="8.1" customHeight="1" thickBot="1">
      <c r="I17" s="275"/>
      <c r="K17" s="275"/>
      <c r="L17" s="273"/>
      <c r="M17" s="274"/>
    </row>
    <row r="18" spans="1:17" s="222" customFormat="1" ht="17.100000000000001" customHeight="1" thickBot="1">
      <c r="C18" s="222" t="s">
        <v>4521</v>
      </c>
      <c r="I18" s="399"/>
      <c r="M18" s="268"/>
    </row>
    <row r="19" spans="1:17" s="222" customFormat="1" ht="8.1" customHeight="1">
      <c r="I19" s="275"/>
      <c r="K19" s="267"/>
      <c r="L19" s="273"/>
      <c r="M19" s="274"/>
    </row>
    <row r="20" spans="1:17" s="222" customFormat="1" ht="8.1" customHeight="1">
      <c r="B20" s="277"/>
      <c r="C20" s="278"/>
      <c r="D20" s="278"/>
      <c r="E20" s="278"/>
      <c r="F20" s="278"/>
      <c r="G20" s="278"/>
      <c r="H20" s="278"/>
      <c r="I20" s="279"/>
      <c r="J20" s="280"/>
      <c r="K20" s="267"/>
      <c r="L20" s="273"/>
      <c r="M20" s="274"/>
    </row>
    <row r="21" spans="1:17" s="222" customFormat="1" ht="17.100000000000001" customHeight="1">
      <c r="B21" s="281"/>
      <c r="C21" s="282" t="s">
        <v>4487</v>
      </c>
      <c r="D21" s="282"/>
      <c r="E21" s="282"/>
      <c r="F21" s="282"/>
      <c r="G21" s="282"/>
      <c r="H21" s="282"/>
      <c r="I21" s="177">
        <f>+I23+I25</f>
        <v>10</v>
      </c>
      <c r="J21" s="283"/>
      <c r="K21" s="267"/>
      <c r="M21" s="268"/>
    </row>
    <row r="22" spans="1:17" s="222" customFormat="1" ht="8.1" customHeight="1">
      <c r="B22" s="281"/>
      <c r="I22" s="275"/>
      <c r="J22" s="283"/>
      <c r="K22" s="267"/>
      <c r="L22" s="273"/>
      <c r="M22" s="274"/>
    </row>
    <row r="23" spans="1:17" s="222" customFormat="1" ht="17.100000000000001" customHeight="1">
      <c r="B23" s="281"/>
      <c r="G23" s="222" t="s">
        <v>4485</v>
      </c>
      <c r="I23" s="176">
        <f>+(K16-MIN(I10,I12,I14,I16))/365</f>
        <v>0</v>
      </c>
      <c r="J23" s="283"/>
      <c r="K23" s="267"/>
      <c r="M23" s="268"/>
    </row>
    <row r="24" spans="1:17" s="222" customFormat="1" ht="8.1" customHeight="1">
      <c r="B24" s="281"/>
      <c r="I24" s="275"/>
      <c r="J24" s="283"/>
      <c r="K24" s="267"/>
      <c r="L24" s="273"/>
      <c r="M24" s="274"/>
    </row>
    <row r="25" spans="1:17" s="222" customFormat="1" ht="17.100000000000001" customHeight="1">
      <c r="B25" s="281"/>
      <c r="G25" s="222" t="s">
        <v>4486</v>
      </c>
      <c r="I25" s="176">
        <v>10</v>
      </c>
      <c r="J25" s="283"/>
      <c r="K25" s="267"/>
      <c r="M25" s="268"/>
    </row>
    <row r="26" spans="1:17" s="222" customFormat="1" ht="17.100000000000001" customHeight="1">
      <c r="B26" s="284"/>
      <c r="C26" s="285"/>
      <c r="D26" s="285"/>
      <c r="E26" s="285"/>
      <c r="F26" s="285"/>
      <c r="G26" s="285"/>
      <c r="H26" s="286"/>
      <c r="I26" s="287"/>
      <c r="J26" s="288"/>
      <c r="K26" s="267"/>
      <c r="M26" s="268"/>
    </row>
    <row r="27" spans="1:17" ht="17.100000000000001" customHeight="1">
      <c r="I27" s="266"/>
    </row>
    <row r="28" spans="1:17" ht="17.100000000000001" customHeight="1">
      <c r="A28" s="289"/>
      <c r="I28" s="290"/>
      <c r="J28" s="289"/>
      <c r="K28" s="289"/>
      <c r="L28" s="289"/>
      <c r="M28" s="289"/>
      <c r="N28" s="289"/>
      <c r="O28" s="289"/>
      <c r="P28" s="289"/>
      <c r="Q28" s="289"/>
    </row>
    <row r="29" spans="1:17" ht="17.100000000000001" customHeight="1">
      <c r="B29" s="289"/>
      <c r="C29" s="289"/>
      <c r="D29" s="289"/>
      <c r="E29" s="289"/>
      <c r="F29" s="289"/>
      <c r="G29" s="289"/>
      <c r="H29" s="291">
        <f>+I18+3650</f>
        <v>3650</v>
      </c>
      <c r="I29" s="290"/>
      <c r="J29" s="289"/>
      <c r="K29" s="289"/>
      <c r="L29" s="289"/>
      <c r="M29" s="289"/>
      <c r="N29" s="289"/>
      <c r="O29" s="289"/>
      <c r="P29" s="289"/>
      <c r="Q29" s="289"/>
    </row>
    <row r="30" spans="1:17" ht="17.100000000000001" customHeight="1">
      <c r="B30" s="289"/>
      <c r="C30" s="289"/>
      <c r="D30" s="289"/>
      <c r="E30" s="289"/>
      <c r="F30" s="289"/>
      <c r="G30" s="289"/>
      <c r="H30" s="291"/>
      <c r="I30" s="290"/>
      <c r="J30" s="289"/>
      <c r="K30" s="289"/>
      <c r="L30" s="289"/>
      <c r="M30" s="289"/>
      <c r="N30" s="289"/>
      <c r="O30" s="289"/>
      <c r="P30" s="289"/>
      <c r="Q30" s="289"/>
    </row>
    <row r="31" spans="1:17" ht="17.100000000000001" customHeight="1">
      <c r="B31" s="289"/>
      <c r="C31" s="289" t="s">
        <v>4537</v>
      </c>
      <c r="D31" s="289"/>
      <c r="E31" s="292">
        <f>+I10</f>
        <v>0</v>
      </c>
      <c r="F31" s="292">
        <f>+K10</f>
        <v>0</v>
      </c>
      <c r="G31" s="293">
        <f>+F31-E31</f>
        <v>0</v>
      </c>
      <c r="H31" s="291"/>
      <c r="I31" s="290"/>
      <c r="J31" s="289"/>
      <c r="K31" s="289"/>
      <c r="L31" s="289"/>
      <c r="M31" s="289"/>
      <c r="N31" s="289"/>
      <c r="O31" s="289"/>
      <c r="P31" s="289"/>
      <c r="Q31" s="289"/>
    </row>
    <row r="32" spans="1:17" ht="17.100000000000001" customHeight="1">
      <c r="B32" s="289"/>
      <c r="C32" s="289" t="s">
        <v>4185</v>
      </c>
      <c r="D32" s="289"/>
      <c r="E32" s="292">
        <f>+I12</f>
        <v>0</v>
      </c>
      <c r="F32" s="292">
        <f>+K12</f>
        <v>0</v>
      </c>
      <c r="G32" s="293">
        <f>+F32-E32</f>
        <v>0</v>
      </c>
      <c r="H32" s="291"/>
      <c r="I32" s="290"/>
      <c r="J32" s="289"/>
      <c r="K32" s="289"/>
      <c r="L32" s="289"/>
      <c r="M32" s="289"/>
      <c r="N32" s="289"/>
      <c r="O32" s="289"/>
      <c r="P32" s="289"/>
      <c r="Q32" s="289"/>
    </row>
    <row r="33" spans="1:17" ht="17.100000000000001" customHeight="1">
      <c r="B33" s="289"/>
      <c r="C33" s="289" t="s">
        <v>4536</v>
      </c>
      <c r="D33" s="289"/>
      <c r="E33" s="292">
        <f>+I14</f>
        <v>0</v>
      </c>
      <c r="F33" s="292">
        <f>+K14</f>
        <v>0</v>
      </c>
      <c r="G33" s="293">
        <f t="shared" ref="G33:G35" si="0">+F33-E33</f>
        <v>0</v>
      </c>
      <c r="H33" s="291"/>
      <c r="I33" s="290"/>
      <c r="J33" s="289"/>
      <c r="K33" s="289"/>
      <c r="L33" s="289"/>
      <c r="M33" s="289"/>
      <c r="N33" s="289"/>
      <c r="O33" s="289"/>
      <c r="P33" s="289"/>
      <c r="Q33" s="289"/>
    </row>
    <row r="34" spans="1:17" ht="17.100000000000001" customHeight="1">
      <c r="B34" s="289"/>
      <c r="C34" s="289" t="s">
        <v>4186</v>
      </c>
      <c r="D34" s="289"/>
      <c r="E34" s="292">
        <f>+I16</f>
        <v>0</v>
      </c>
      <c r="F34" s="292">
        <f>+K16</f>
        <v>0</v>
      </c>
      <c r="G34" s="293">
        <f t="shared" si="0"/>
        <v>0</v>
      </c>
      <c r="H34" s="291"/>
      <c r="I34" s="290"/>
      <c r="J34" s="289"/>
      <c r="K34" s="289"/>
      <c r="L34" s="289"/>
      <c r="M34" s="289"/>
      <c r="N34" s="289"/>
      <c r="O34" s="289"/>
      <c r="P34" s="289"/>
      <c r="Q34" s="289"/>
    </row>
    <row r="35" spans="1:17" ht="17.100000000000001" customHeight="1">
      <c r="B35" s="289"/>
      <c r="C35" s="289" t="s">
        <v>4184</v>
      </c>
      <c r="D35" s="289"/>
      <c r="E35" s="292">
        <f>+I18</f>
        <v>0</v>
      </c>
      <c r="F35" s="292">
        <f>+H29</f>
        <v>3650</v>
      </c>
      <c r="G35" s="293">
        <f t="shared" si="0"/>
        <v>3650</v>
      </c>
      <c r="H35" s="291"/>
      <c r="I35" s="290"/>
      <c r="J35" s="289"/>
      <c r="K35" s="289"/>
      <c r="L35" s="289"/>
      <c r="M35" s="289"/>
      <c r="N35" s="289"/>
      <c r="O35" s="289"/>
      <c r="P35" s="289"/>
      <c r="Q35" s="289"/>
    </row>
    <row r="36" spans="1:17" ht="17.100000000000001" customHeight="1">
      <c r="B36" s="289"/>
      <c r="C36" s="289"/>
      <c r="D36" s="289"/>
      <c r="E36" s="289"/>
      <c r="F36" s="289"/>
      <c r="G36" s="289"/>
      <c r="H36" s="291"/>
      <c r="I36" s="290"/>
      <c r="J36" s="289"/>
      <c r="K36" s="289"/>
      <c r="L36" s="289"/>
      <c r="M36" s="289"/>
      <c r="N36" s="289"/>
      <c r="O36" s="289"/>
      <c r="P36" s="289"/>
      <c r="Q36" s="289"/>
    </row>
    <row r="37" spans="1:17" ht="17.100000000000001" customHeight="1">
      <c r="B37" s="289"/>
      <c r="C37" s="289"/>
      <c r="D37" s="289"/>
      <c r="E37" s="289"/>
      <c r="F37" s="289"/>
      <c r="G37" s="289"/>
      <c r="H37" s="291"/>
      <c r="I37" s="290"/>
      <c r="J37" s="289"/>
      <c r="K37" s="289"/>
      <c r="L37" s="289"/>
      <c r="M37" s="289"/>
      <c r="N37" s="289"/>
      <c r="O37" s="289"/>
      <c r="P37" s="289"/>
      <c r="Q37" s="289"/>
    </row>
    <row r="38" spans="1:17" ht="17.100000000000001" customHeight="1">
      <c r="B38" s="289"/>
      <c r="C38" s="289"/>
      <c r="D38" s="289"/>
      <c r="E38" s="289"/>
      <c r="F38" s="289"/>
      <c r="G38" s="289"/>
      <c r="H38" s="291"/>
      <c r="I38" s="290"/>
      <c r="J38" s="289"/>
      <c r="K38" s="289"/>
      <c r="L38" s="289"/>
      <c r="M38" s="289"/>
      <c r="N38" s="289"/>
      <c r="O38" s="289"/>
      <c r="P38" s="289"/>
      <c r="Q38" s="289"/>
    </row>
    <row r="39" spans="1:17" ht="17.100000000000001" customHeight="1">
      <c r="A39" s="289"/>
      <c r="B39" s="289"/>
      <c r="C39" s="289"/>
      <c r="D39" s="289"/>
      <c r="E39" s="289"/>
      <c r="F39" s="289"/>
      <c r="G39" s="289"/>
      <c r="H39" s="291"/>
      <c r="I39" s="290"/>
      <c r="J39" s="289"/>
      <c r="K39" s="289"/>
      <c r="L39" s="289"/>
      <c r="M39" s="289"/>
      <c r="N39" s="289"/>
      <c r="O39" s="289"/>
      <c r="P39" s="289"/>
      <c r="Q39" s="289"/>
    </row>
    <row r="40" spans="1:17" ht="17.100000000000001" customHeight="1">
      <c r="A40" s="289"/>
      <c r="B40" s="289"/>
      <c r="C40" s="289"/>
      <c r="D40" s="289"/>
      <c r="E40" s="289"/>
      <c r="F40" s="289"/>
      <c r="G40" s="289"/>
      <c r="H40" s="291"/>
      <c r="I40" s="290"/>
      <c r="J40" s="289"/>
      <c r="K40" s="289"/>
      <c r="L40" s="289"/>
      <c r="M40" s="289"/>
      <c r="N40" s="289"/>
      <c r="O40" s="289"/>
      <c r="P40" s="289"/>
      <c r="Q40" s="289"/>
    </row>
    <row r="41" spans="1:17" ht="17.100000000000001" customHeight="1">
      <c r="A41" s="289"/>
      <c r="I41" s="290"/>
      <c r="J41" s="289"/>
      <c r="K41" s="289"/>
      <c r="L41" s="289"/>
      <c r="M41" s="289"/>
      <c r="N41" s="289"/>
      <c r="O41" s="289"/>
      <c r="P41" s="289"/>
      <c r="Q41" s="289"/>
    </row>
    <row r="42" spans="1:17" ht="17.100000000000001" customHeight="1">
      <c r="A42" s="289"/>
      <c r="I42" s="290"/>
      <c r="J42" s="289"/>
      <c r="K42" s="289"/>
      <c r="L42" s="289"/>
      <c r="M42" s="289"/>
      <c r="N42" s="289"/>
      <c r="O42" s="289"/>
      <c r="P42" s="289"/>
      <c r="Q42" s="289"/>
    </row>
    <row r="43" spans="1:17" ht="17.100000000000001" customHeight="1">
      <c r="A43" s="289"/>
      <c r="B43" s="289"/>
      <c r="C43" s="289"/>
      <c r="D43" s="289"/>
      <c r="E43" s="289"/>
      <c r="F43" s="289"/>
      <c r="G43" s="289"/>
      <c r="H43" s="291"/>
      <c r="I43" s="290"/>
      <c r="J43" s="289"/>
      <c r="K43" s="289"/>
      <c r="L43" s="289"/>
      <c r="M43" s="289"/>
      <c r="N43" s="289"/>
      <c r="O43" s="289"/>
      <c r="P43" s="289"/>
      <c r="Q43" s="289"/>
    </row>
    <row r="44" spans="1:17" ht="17.100000000000001" customHeight="1">
      <c r="A44" s="289"/>
      <c r="B44" s="289"/>
      <c r="C44" s="289"/>
      <c r="D44" s="289"/>
      <c r="E44" s="289"/>
      <c r="F44" s="289"/>
      <c r="G44" s="289"/>
      <c r="H44" s="291"/>
      <c r="I44" s="290"/>
      <c r="J44" s="289"/>
      <c r="K44" s="289"/>
      <c r="L44" s="289"/>
      <c r="M44" s="289"/>
      <c r="N44" s="289"/>
      <c r="O44" s="289"/>
      <c r="P44" s="289"/>
      <c r="Q44" s="289"/>
    </row>
    <row r="45" spans="1:17" ht="17.100000000000001" customHeight="1">
      <c r="A45" s="289"/>
      <c r="B45" s="289"/>
      <c r="C45" s="289"/>
      <c r="D45" s="289"/>
      <c r="E45" s="289"/>
      <c r="F45" s="289"/>
      <c r="G45" s="289"/>
      <c r="H45" s="291"/>
      <c r="I45" s="290"/>
      <c r="J45" s="289"/>
      <c r="K45" s="289"/>
      <c r="L45" s="289"/>
      <c r="M45" s="289"/>
      <c r="N45" s="289"/>
      <c r="O45" s="289"/>
      <c r="P45" s="289"/>
      <c r="Q45" s="289"/>
    </row>
    <row r="46" spans="1:17" ht="17.100000000000001" customHeight="1">
      <c r="A46" s="289"/>
      <c r="B46" s="289"/>
      <c r="C46" s="289"/>
      <c r="D46" s="289"/>
      <c r="E46" s="289"/>
      <c r="F46" s="289"/>
      <c r="G46" s="289"/>
      <c r="H46" s="291"/>
      <c r="I46" s="290"/>
      <c r="J46" s="289"/>
      <c r="K46" s="289"/>
      <c r="L46" s="289"/>
      <c r="M46" s="289"/>
      <c r="N46" s="289"/>
      <c r="O46" s="289"/>
      <c r="P46" s="289"/>
      <c r="Q46" s="289"/>
    </row>
    <row r="47" spans="1:17" ht="17.100000000000001" customHeight="1">
      <c r="A47" s="289"/>
      <c r="B47" s="289"/>
      <c r="C47" s="289"/>
      <c r="D47" s="289"/>
      <c r="E47" s="289"/>
      <c r="F47" s="289"/>
      <c r="G47" s="289"/>
      <c r="H47" s="291"/>
      <c r="I47" s="290"/>
      <c r="J47" s="289"/>
      <c r="K47" s="289"/>
      <c r="L47" s="289"/>
      <c r="M47" s="289"/>
      <c r="N47" s="289"/>
      <c r="O47" s="289"/>
      <c r="P47" s="289"/>
      <c r="Q47" s="289"/>
    </row>
  </sheetData>
  <sheetProtection sheet="1" objects="1" scenarios="1"/>
  <conditionalFormatting sqref="I12">
    <cfRule type="cellIs" dxfId="294" priority="26" operator="equal">
      <formula>0</formula>
    </cfRule>
  </conditionalFormatting>
  <conditionalFormatting sqref="I21 I25 I23">
    <cfRule type="cellIs" dxfId="293" priority="22" operator="equal">
      <formula>0</formula>
    </cfRule>
  </conditionalFormatting>
  <conditionalFormatting sqref="I10">
    <cfRule type="cellIs" dxfId="292" priority="21" operator="equal">
      <formula>0</formula>
    </cfRule>
  </conditionalFormatting>
  <conditionalFormatting sqref="K10">
    <cfRule type="cellIs" dxfId="291" priority="9" operator="equal">
      <formula>0</formula>
    </cfRule>
  </conditionalFormatting>
  <conditionalFormatting sqref="K12">
    <cfRule type="cellIs" dxfId="290" priority="8" operator="equal">
      <formula>0</formula>
    </cfRule>
  </conditionalFormatting>
  <conditionalFormatting sqref="K14">
    <cfRule type="cellIs" dxfId="289" priority="7" operator="equal">
      <formula>0</formula>
    </cfRule>
  </conditionalFormatting>
  <conditionalFormatting sqref="I18">
    <cfRule type="cellIs" dxfId="288" priority="5" operator="equal">
      <formula>0</formula>
    </cfRule>
  </conditionalFormatting>
  <conditionalFormatting sqref="I16">
    <cfRule type="cellIs" dxfId="287" priority="4" operator="equal">
      <formula>0</formula>
    </cfRule>
  </conditionalFormatting>
  <conditionalFormatting sqref="K16">
    <cfRule type="cellIs" dxfId="286" priority="3" operator="equal">
      <formula>0</formula>
    </cfRule>
  </conditionalFormatting>
  <conditionalFormatting sqref="I14">
    <cfRule type="cellIs" dxfId="285" priority="2" operator="equal">
      <formula>0</formula>
    </cfRule>
  </conditionalFormatting>
  <conditionalFormatting sqref="K8">
    <cfRule type="cellIs" dxfId="284" priority="1" operator="equal">
      <formula>0</formula>
    </cfRule>
  </conditionalFormatting>
  <dataValidations count="14">
    <dataValidation type="date" operator="greaterThan" allowBlank="1" showInputMessage="1" showErrorMessage="1" errorTitle="Error!" error="La fecha no puede ser igual o antes de la fecha actual_x000a_" sqref="H28 H1 H35:H1048542 H3:H6" xr:uid="{00000000-0002-0000-0700-000000000000}">
      <formula1>L2</formula1>
    </dataValidation>
    <dataValidation type="date" operator="greaterThan" allowBlank="1" showInputMessage="1" showErrorMessage="1" errorTitle="Error!" error="La fecha no puede ser igual o antes de la fecha actual_x000a_" sqref="H26 H2 H30:H31 H34 H7 H1048573:H1048574" xr:uid="{00000000-0002-0000-0700-000001000000}">
      <formula1>#REF!</formula1>
    </dataValidation>
    <dataValidation type="date" operator="greaterThan" allowBlank="1" showInputMessage="1" showErrorMessage="1" errorTitle="Error!" error="La fecha no puede ser igual o antes de la fecha actual_x000a_" sqref="H29" xr:uid="{00000000-0002-0000-0700-000002000000}">
      <formula1>L28</formula1>
    </dataValidation>
    <dataValidation type="date" operator="greaterThan" allowBlank="1" showInputMessage="1" showErrorMessage="1" errorTitle="Error!" error="La fecha no puede ser igual o antes de la fecha actual_x000a_" sqref="I24 I22" xr:uid="{00000000-0002-0000-0700-000003000000}">
      <formula1>L23</formula1>
    </dataValidation>
    <dataValidation type="date" operator="greaterThan" allowBlank="1" showInputMessage="1" showErrorMessage="1" errorTitle="Error!" error="La fecha no puede ser igual o antes de la fecha actual_x000a_" sqref="I25 I23" xr:uid="{00000000-0002-0000-0700-000004000000}">
      <formula1>L28</formula1>
    </dataValidation>
    <dataValidation type="date" operator="greaterThan" allowBlank="1" showInputMessage="1" showErrorMessage="1" errorTitle="Error!" error="La fecha no puede ser igual o antes de la fecha actual_x000a_" sqref="I21" xr:uid="{00000000-0002-0000-0700-000005000000}">
      <formula1>L28</formula1>
    </dataValidation>
    <dataValidation type="date" operator="greaterThan" allowBlank="1" showInputMessage="1" showErrorMessage="1" errorTitle="Error!" error="La fecha no puede ser igual o antes de la fecha actual_x000a_" sqref="I19:I20" xr:uid="{00000000-0002-0000-0700-000006000000}">
      <formula1>L21</formula1>
    </dataValidation>
    <dataValidation type="date" operator="greaterThan" allowBlank="1" showInputMessage="1" showErrorMessage="1" errorTitle="Error!" error="La fecha no puede ser igual o antes de la fecha actual_x000a_" sqref="H1048575:H1048576" xr:uid="{00000000-0002-0000-0700-000007000000}">
      <formula1>L18</formula1>
    </dataValidation>
    <dataValidation type="date" operator="greaterThan" allowBlank="1" showInputMessage="1" showErrorMessage="1" sqref="I9 I11 J9:J11 K11 K9" xr:uid="{00000000-0002-0000-0700-000008000000}">
      <formula1>#REF!</formula1>
    </dataValidation>
    <dataValidation type="date" operator="greaterThan" allowBlank="1" showInputMessage="1" showErrorMessage="1" sqref="I17 K13 J12:J18 K17 K15 I12:I13 I15" xr:uid="{00000000-0002-0000-0700-000009000000}">
      <formula1>L10</formula1>
    </dataValidation>
    <dataValidation type="date" operator="greaterThan" allowBlank="1" showInputMessage="1" showErrorMessage="1" sqref="I10 K10 K12 K14 K8 I18 I16 K16 I14" xr:uid="{00000000-0002-0000-0700-00000A000000}">
      <formula1>1</formula1>
    </dataValidation>
    <dataValidation type="date" operator="greaterThan" allowBlank="1" showInputMessage="1" showErrorMessage="1" errorTitle="Error!" error="La fecha no puede ser igual o antes de la fecha actual_x000a_" sqref="H1048543:H1048559" xr:uid="{00000000-0002-0000-0700-00000B000000}">
      <formula1>L1</formula1>
    </dataValidation>
    <dataValidation type="date" operator="greaterThan" allowBlank="1" showInputMessage="1" showErrorMessage="1" errorTitle="Error!" error="La fecha no puede ser igual o antes de la fecha actual_x000a_" sqref="H1048560:H1048572" xr:uid="{00000000-0002-0000-0700-00000C000000}">
      <formula1>L7</formula1>
    </dataValidation>
    <dataValidation type="date" operator="greaterThan" allowBlank="1" showInputMessage="1" showErrorMessage="1" errorTitle="Error!" error="La fecha no puede ser igual o antes de la fecha actual_x000a_" sqref="H32:H33" xr:uid="{00000000-0002-0000-0700-00000D000000}">
      <formula1>L34</formula1>
    </dataValidation>
  </dataValidations>
  <pageMargins left="0.7" right="0.7" top="0.75" bottom="0.75" header="0.3" footer="0.3"/>
  <pageSetup paperSize="9" scale="54" orientation="portrait" horizontalDpi="0" verticalDpi="0"/>
  <colBreaks count="1" manualBreakCount="1">
    <brk id="13" max="46" man="1"/>
  </colBreak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pageSetUpPr fitToPage="1"/>
  </sheetPr>
  <dimension ref="B2:P58"/>
  <sheetViews>
    <sheetView topLeftCell="A49" zoomScale="110" zoomScaleNormal="110" workbookViewId="0">
      <selection activeCell="N39" sqref="N39:N42"/>
    </sheetView>
  </sheetViews>
  <sheetFormatPr baseColWidth="10" defaultColWidth="8.6640625" defaultRowHeight="18" customHeight="1"/>
  <cols>
    <col min="1" max="1" width="10.44140625" style="4" customWidth="1"/>
    <col min="2" max="2" width="11.6640625" style="4" customWidth="1"/>
    <col min="3" max="3" width="10.33203125" style="4" customWidth="1"/>
    <col min="4" max="6" width="8.88671875" style="4" customWidth="1"/>
    <col min="7" max="7" width="9.5546875" style="4" customWidth="1"/>
    <col min="8" max="13" width="8.88671875" style="4" customWidth="1"/>
    <col min="14" max="14" width="9.88671875" style="4" customWidth="1"/>
    <col min="15" max="16384" width="8.6640625" style="4"/>
  </cols>
  <sheetData>
    <row r="2" spans="2:16" ht="18" customHeight="1">
      <c r="B2" s="80" t="s">
        <v>4539</v>
      </c>
      <c r="G2" s="263"/>
      <c r="H2" s="264"/>
    </row>
    <row r="3" spans="2:16" s="222" customFormat="1" ht="18" customHeight="1">
      <c r="B3" s="294"/>
      <c r="C3" s="295"/>
      <c r="D3" s="295"/>
      <c r="E3" s="295"/>
      <c r="F3" s="295"/>
      <c r="G3" s="295"/>
      <c r="H3" s="295"/>
      <c r="I3" s="296"/>
      <c r="J3" s="296"/>
      <c r="K3" s="296"/>
      <c r="L3" s="295"/>
      <c r="M3" s="295"/>
      <c r="N3" s="221"/>
      <c r="O3" s="221"/>
      <c r="P3" s="221"/>
    </row>
    <row r="4" spans="2:16" s="13" customFormat="1" ht="18" customHeight="1">
      <c r="B4" s="21" t="s">
        <v>4188</v>
      </c>
      <c r="C4" s="22"/>
      <c r="D4" s="23"/>
      <c r="E4" s="23"/>
      <c r="F4" s="23"/>
      <c r="G4" s="79"/>
      <c r="H4" s="23"/>
      <c r="I4" s="23"/>
      <c r="J4" s="23"/>
      <c r="K4" s="23"/>
      <c r="L4" s="24"/>
      <c r="M4" s="24"/>
      <c r="N4" s="24"/>
    </row>
    <row r="5" spans="2:16" s="13" customFormat="1" ht="18" customHeight="1">
      <c r="B5" s="10"/>
      <c r="C5" s="11"/>
      <c r="D5" s="12"/>
      <c r="E5" s="12"/>
      <c r="F5" s="12"/>
      <c r="G5" s="297"/>
      <c r="H5" s="12"/>
      <c r="I5" s="12"/>
      <c r="J5" s="12"/>
      <c r="K5" s="12"/>
    </row>
    <row r="6" spans="2:16" s="222" customFormat="1" ht="179.1" customHeight="1">
      <c r="B6" s="659" t="s">
        <v>4369</v>
      </c>
      <c r="C6" s="659"/>
      <c r="D6" s="659"/>
      <c r="E6" s="659"/>
      <c r="F6" s="659"/>
      <c r="G6" s="659"/>
      <c r="H6" s="659"/>
      <c r="I6" s="659"/>
      <c r="J6" s="659"/>
      <c r="K6" s="659"/>
      <c r="L6" s="659"/>
      <c r="M6" s="659"/>
      <c r="N6" s="659"/>
      <c r="O6" s="221"/>
      <c r="P6" s="221"/>
    </row>
    <row r="7" spans="2:16" s="222" customFormat="1" ht="18" customHeight="1">
      <c r="B7" s="296"/>
      <c r="C7" s="295"/>
      <c r="D7" s="295"/>
      <c r="E7" s="295"/>
      <c r="F7" s="295"/>
      <c r="G7" s="294"/>
      <c r="H7" s="295"/>
      <c r="I7" s="296"/>
      <c r="J7" s="296"/>
      <c r="K7" s="296"/>
      <c r="L7" s="295"/>
      <c r="M7" s="295"/>
      <c r="N7" s="221"/>
      <c r="O7" s="221"/>
      <c r="P7" s="221"/>
    </row>
    <row r="8" spans="2:16" s="222" customFormat="1" ht="18" customHeight="1">
      <c r="B8" s="296"/>
      <c r="C8" s="295"/>
      <c r="D8" s="295"/>
      <c r="E8" s="295"/>
      <c r="F8" s="295"/>
      <c r="G8" s="294"/>
      <c r="H8" s="295"/>
      <c r="I8" s="296"/>
      <c r="J8" s="296"/>
      <c r="K8" s="296"/>
      <c r="L8" s="295"/>
      <c r="M8" s="295"/>
      <c r="N8" s="221"/>
      <c r="O8" s="221"/>
      <c r="P8" s="221"/>
    </row>
    <row r="9" spans="2:16" s="13" customFormat="1" ht="18" customHeight="1">
      <c r="B9" s="21" t="s">
        <v>4203</v>
      </c>
      <c r="C9" s="22"/>
      <c r="D9" s="23"/>
      <c r="E9" s="23"/>
      <c r="F9" s="23"/>
      <c r="G9" s="79"/>
      <c r="H9" s="23"/>
      <c r="I9" s="23"/>
      <c r="J9" s="23"/>
      <c r="K9" s="23"/>
      <c r="L9" s="24"/>
      <c r="M9" s="24"/>
      <c r="N9" s="24"/>
    </row>
    <row r="10" spans="2:16" s="13" customFormat="1" ht="18" customHeight="1">
      <c r="B10" s="14"/>
      <c r="C10" s="14"/>
      <c r="D10" s="14"/>
      <c r="E10" s="14"/>
      <c r="F10" s="14"/>
      <c r="G10" s="14"/>
      <c r="H10" s="14"/>
      <c r="I10" s="14"/>
      <c r="J10" s="14"/>
      <c r="K10" s="14"/>
      <c r="L10" s="14"/>
      <c r="M10" s="14"/>
      <c r="N10" s="298"/>
      <c r="O10" s="298"/>
      <c r="P10" s="221"/>
    </row>
    <row r="11" spans="2:16" s="13" customFormat="1" ht="18" customHeight="1">
      <c r="B11" s="552" t="s">
        <v>112</v>
      </c>
      <c r="C11" s="552"/>
      <c r="D11" s="552" t="s">
        <v>17</v>
      </c>
      <c r="E11" s="552"/>
      <c r="F11" s="552"/>
      <c r="G11" s="552"/>
      <c r="H11" s="552"/>
      <c r="I11" s="552"/>
      <c r="J11" s="552"/>
      <c r="K11" s="552"/>
      <c r="L11" s="552"/>
      <c r="M11" s="552"/>
      <c r="N11" s="552"/>
      <c r="O11" s="298"/>
      <c r="P11" s="221"/>
    </row>
    <row r="12" spans="2:16" s="13" customFormat="1" ht="18" customHeight="1">
      <c r="B12" s="552"/>
      <c r="C12" s="552"/>
      <c r="D12" s="227" t="s">
        <v>4189</v>
      </c>
      <c r="E12" s="227" t="s">
        <v>113</v>
      </c>
      <c r="F12" s="227" t="s">
        <v>114</v>
      </c>
      <c r="G12" s="227" t="s">
        <v>115</v>
      </c>
      <c r="H12" s="227" t="s">
        <v>4190</v>
      </c>
      <c r="I12" s="227" t="s">
        <v>4191</v>
      </c>
      <c r="J12" s="227" t="s">
        <v>4192</v>
      </c>
      <c r="K12" s="227" t="s">
        <v>4193</v>
      </c>
      <c r="L12" s="227" t="s">
        <v>4194</v>
      </c>
      <c r="M12" s="227" t="s">
        <v>4195</v>
      </c>
      <c r="N12" s="227" t="s">
        <v>118</v>
      </c>
      <c r="O12" s="298"/>
      <c r="P12" s="221"/>
    </row>
    <row r="13" spans="2:16" s="222" customFormat="1" ht="18" customHeight="1">
      <c r="B13" s="552"/>
      <c r="C13" s="552"/>
      <c r="D13" s="81" t="str">
        <f>+IF(Horizonte!K8&gt;0,Horizonte!K8,"")</f>
        <v/>
      </c>
      <c r="E13" s="81" t="str">
        <f>+IF(Horizonte!$K$8&gt;0,D13+365,"")</f>
        <v/>
      </c>
      <c r="F13" s="81" t="str">
        <f>+IF(Horizonte!$K$8&gt;0,E13+365,"")</f>
        <v/>
      </c>
      <c r="G13" s="81" t="str">
        <f>+IF(Horizonte!$K$8&gt;0,F13+365,"")</f>
        <v/>
      </c>
      <c r="H13" s="81" t="str">
        <f>+IF(Horizonte!$K$8&gt;0,G13+365,"")</f>
        <v/>
      </c>
      <c r="I13" s="81" t="str">
        <f>+IF(Horizonte!$K$8&gt;0,H13+365,"")</f>
        <v/>
      </c>
      <c r="J13" s="81" t="str">
        <f>+IF(Horizonte!$K$8&gt;0,I13+365,"")</f>
        <v/>
      </c>
      <c r="K13" s="81" t="str">
        <f>+IF(Horizonte!$K$8&gt;0,J13+365,"")</f>
        <v/>
      </c>
      <c r="L13" s="81" t="str">
        <f>+IF(Horizonte!$K$8&gt;0,K13+365,"")</f>
        <v/>
      </c>
      <c r="M13" s="81" t="str">
        <f>+IF(Horizonte!$K$8&gt;0,L13+365,"")</f>
        <v/>
      </c>
      <c r="N13" s="81" t="str">
        <f>+IF(Horizonte!$K$8&gt;0,M13+365,"")</f>
        <v/>
      </c>
      <c r="O13" s="221"/>
      <c r="P13" s="221"/>
    </row>
    <row r="14" spans="2:16" s="13" customFormat="1" ht="6" customHeight="1">
      <c r="B14" s="14"/>
      <c r="C14" s="14"/>
      <c r="D14" s="14"/>
      <c r="E14" s="14"/>
      <c r="F14" s="14"/>
      <c r="G14" s="14"/>
      <c r="H14" s="14"/>
      <c r="I14" s="14"/>
      <c r="J14" s="14"/>
      <c r="K14" s="14"/>
      <c r="L14" s="14"/>
      <c r="M14" s="14"/>
      <c r="N14" s="298"/>
      <c r="O14" s="298"/>
      <c r="P14" s="221"/>
    </row>
    <row r="15" spans="2:16" s="222" customFormat="1" ht="33.950000000000003" customHeight="1">
      <c r="B15" s="426" t="s">
        <v>4196</v>
      </c>
      <c r="C15" s="428"/>
      <c r="D15" s="299">
        <f>+Involucrados!I8</f>
        <v>0</v>
      </c>
      <c r="E15" s="299">
        <f>+D15*(1+Involucrados!$I$13)</f>
        <v>0</v>
      </c>
      <c r="F15" s="299">
        <f>+E15*(1+Involucrados!$I$13)</f>
        <v>0</v>
      </c>
      <c r="G15" s="299">
        <f>+F15*(1+Involucrados!$I$13)</f>
        <v>0</v>
      </c>
      <c r="H15" s="299">
        <f>+G15*(1+Involucrados!$I$13)</f>
        <v>0</v>
      </c>
      <c r="I15" s="299">
        <f>+H15*(1+Involucrados!$I$13)</f>
        <v>0</v>
      </c>
      <c r="J15" s="299">
        <f>+I15*(1+Involucrados!$I$13)</f>
        <v>0</v>
      </c>
      <c r="K15" s="299">
        <f>+J15*(1+Involucrados!$I$13)</f>
        <v>0</v>
      </c>
      <c r="L15" s="299">
        <f>+K15*(1+Involucrados!$I$13)</f>
        <v>0</v>
      </c>
      <c r="M15" s="299">
        <f>+L15*(1+Involucrados!$I$13)</f>
        <v>0</v>
      </c>
      <c r="N15" s="299">
        <f>+M15*(1+Involucrados!$I$13)</f>
        <v>0</v>
      </c>
      <c r="O15" s="221"/>
      <c r="P15" s="221"/>
    </row>
    <row r="16" spans="2:16" s="222" customFormat="1" ht="33.950000000000003" customHeight="1">
      <c r="B16" s="426" t="s">
        <v>4197</v>
      </c>
      <c r="C16" s="428"/>
      <c r="D16" s="299">
        <f>+Involucrados!I9</f>
        <v>0</v>
      </c>
      <c r="E16" s="299">
        <f>+D16*(1+Involucrados!$I$13)</f>
        <v>0</v>
      </c>
      <c r="F16" s="299">
        <f>+E16*(1+Involucrados!$I$13)</f>
        <v>0</v>
      </c>
      <c r="G16" s="299">
        <f>+F16*(1+Involucrados!$I$13)</f>
        <v>0</v>
      </c>
      <c r="H16" s="299">
        <f>+G16*(1+Involucrados!$I$13)</f>
        <v>0</v>
      </c>
      <c r="I16" s="299">
        <f>+H16*(1+Involucrados!$I$13)</f>
        <v>0</v>
      </c>
      <c r="J16" s="299">
        <f>+I16*(1+Involucrados!$I$13)</f>
        <v>0</v>
      </c>
      <c r="K16" s="299">
        <f>+J16*(1+Involucrados!$I$13)</f>
        <v>0</v>
      </c>
      <c r="L16" s="299">
        <f>+K16*(1+Involucrados!$I$13)</f>
        <v>0</v>
      </c>
      <c r="M16" s="299">
        <f>+L16*(1+Involucrados!$I$13)</f>
        <v>0</v>
      </c>
      <c r="N16" s="299">
        <f>+M16*(1+Involucrados!$I$13)</f>
        <v>0</v>
      </c>
      <c r="O16" s="221"/>
      <c r="P16" s="221"/>
    </row>
    <row r="17" spans="2:16" s="222" customFormat="1" ht="33.950000000000003" customHeight="1">
      <c r="B17" s="426" t="s">
        <v>4198</v>
      </c>
      <c r="C17" s="428"/>
      <c r="D17" s="299">
        <f>+Involucrados!I10</f>
        <v>0</v>
      </c>
      <c r="E17" s="299">
        <f>+D17*(1+Involucrados!$I$13)</f>
        <v>0</v>
      </c>
      <c r="F17" s="299">
        <f>+E17*(1+Involucrados!$I$13)</f>
        <v>0</v>
      </c>
      <c r="G17" s="299">
        <f>+F17*(1+Involucrados!$I$13)</f>
        <v>0</v>
      </c>
      <c r="H17" s="299">
        <f>+G17*(1+Involucrados!$I$13)</f>
        <v>0</v>
      </c>
      <c r="I17" s="299">
        <f>+H17*(1+Involucrados!$I$13)</f>
        <v>0</v>
      </c>
      <c r="J17" s="299">
        <f>+I17*(1+Involucrados!$I$13)</f>
        <v>0</v>
      </c>
      <c r="K17" s="299">
        <f>+J17*(1+Involucrados!$I$13)</f>
        <v>0</v>
      </c>
      <c r="L17" s="299">
        <f>+K17*(1+Involucrados!$I$13)</f>
        <v>0</v>
      </c>
      <c r="M17" s="299">
        <f>+L17*(1+Involucrados!$I$13)</f>
        <v>0</v>
      </c>
      <c r="N17" s="299">
        <f>+M17*(1+Involucrados!$I$13)</f>
        <v>0</v>
      </c>
      <c r="O17" s="221"/>
      <c r="P17" s="221"/>
    </row>
    <row r="18" spans="2:16" s="222" customFormat="1" ht="33.950000000000003" customHeight="1">
      <c r="B18" s="426" t="s">
        <v>4199</v>
      </c>
      <c r="C18" s="428"/>
      <c r="D18" s="299">
        <f>+Involucrados!I11</f>
        <v>0</v>
      </c>
      <c r="E18" s="299">
        <f>+D18*(1+Involucrados!$I$13)</f>
        <v>0</v>
      </c>
      <c r="F18" s="299">
        <f>+E18*(1+Involucrados!$I$13)</f>
        <v>0</v>
      </c>
      <c r="G18" s="299">
        <f>+F18*(1+Involucrados!$I$13)</f>
        <v>0</v>
      </c>
      <c r="H18" s="299">
        <f>+G18*(1+Involucrados!$I$13)</f>
        <v>0</v>
      </c>
      <c r="I18" s="299">
        <f>+H18*(1+Involucrados!$I$13)</f>
        <v>0</v>
      </c>
      <c r="J18" s="299">
        <f>+I18*(1+Involucrados!$I$13)</f>
        <v>0</v>
      </c>
      <c r="K18" s="299">
        <f>+J18*(1+Involucrados!$I$13)</f>
        <v>0</v>
      </c>
      <c r="L18" s="299">
        <f>+K18*(1+Involucrados!$I$13)</f>
        <v>0</v>
      </c>
      <c r="M18" s="299">
        <f>+L18*(1+Involucrados!$I$13)</f>
        <v>0</v>
      </c>
      <c r="N18" s="299">
        <f>+M18*(1+Involucrados!$I$13)</f>
        <v>0</v>
      </c>
      <c r="O18" s="221"/>
      <c r="P18" s="221"/>
    </row>
    <row r="19" spans="2:16" s="222" customFormat="1" ht="33.950000000000003" customHeight="1">
      <c r="B19" s="426" t="s">
        <v>4200</v>
      </c>
      <c r="C19" s="428"/>
      <c r="D19" s="299">
        <f>+Involucrados!I12</f>
        <v>0</v>
      </c>
      <c r="E19" s="299">
        <f>+D19</f>
        <v>0</v>
      </c>
      <c r="F19" s="299">
        <f t="shared" ref="F19:N19" si="0">+E19</f>
        <v>0</v>
      </c>
      <c r="G19" s="299">
        <f t="shared" si="0"/>
        <v>0</v>
      </c>
      <c r="H19" s="299">
        <f t="shared" si="0"/>
        <v>0</v>
      </c>
      <c r="I19" s="299">
        <f t="shared" si="0"/>
        <v>0</v>
      </c>
      <c r="J19" s="299">
        <f t="shared" si="0"/>
        <v>0</v>
      </c>
      <c r="K19" s="299">
        <f t="shared" si="0"/>
        <v>0</v>
      </c>
      <c r="L19" s="299">
        <f t="shared" si="0"/>
        <v>0</v>
      </c>
      <c r="M19" s="299">
        <f t="shared" si="0"/>
        <v>0</v>
      </c>
      <c r="N19" s="299">
        <f t="shared" si="0"/>
        <v>0</v>
      </c>
      <c r="O19" s="221"/>
      <c r="P19" s="221"/>
    </row>
    <row r="20" spans="2:16" s="222" customFormat="1" ht="18" customHeight="1">
      <c r="B20" s="300"/>
      <c r="C20" s="301"/>
      <c r="D20" s="301"/>
      <c r="E20" s="301"/>
      <c r="F20" s="301"/>
      <c r="G20" s="301"/>
      <c r="H20" s="301"/>
      <c r="I20" s="301"/>
      <c r="J20" s="301"/>
      <c r="K20" s="301"/>
      <c r="L20" s="301"/>
      <c r="M20" s="301"/>
      <c r="N20" s="221"/>
      <c r="O20" s="221"/>
      <c r="P20" s="221"/>
    </row>
    <row r="21" spans="2:16" s="222" customFormat="1" ht="18" customHeight="1">
      <c r="B21" s="294" t="s">
        <v>4204</v>
      </c>
      <c r="C21" s="295"/>
      <c r="D21" s="295"/>
      <c r="E21" s="295"/>
      <c r="F21" s="295"/>
      <c r="G21" s="295"/>
      <c r="H21" s="295"/>
      <c r="I21" s="296"/>
      <c r="J21" s="296"/>
      <c r="K21" s="296"/>
      <c r="L21" s="295"/>
      <c r="M21" s="295"/>
      <c r="N21" s="221"/>
      <c r="O21" s="221"/>
      <c r="P21" s="221"/>
    </row>
    <row r="22" spans="2:16" s="222" customFormat="1" ht="228" customHeight="1">
      <c r="B22" s="659" t="s">
        <v>4533</v>
      </c>
      <c r="C22" s="659"/>
      <c r="D22" s="659"/>
      <c r="E22" s="659"/>
      <c r="F22" s="659"/>
      <c r="G22" s="659"/>
      <c r="H22" s="659"/>
      <c r="I22" s="659"/>
      <c r="J22" s="659"/>
      <c r="K22" s="659"/>
      <c r="L22" s="659"/>
      <c r="M22" s="659"/>
      <c r="N22" s="659"/>
      <c r="O22" s="221"/>
      <c r="P22" s="221"/>
    </row>
    <row r="23" spans="2:16" s="222" customFormat="1" ht="18" customHeight="1">
      <c r="B23" s="294"/>
      <c r="C23" s="294"/>
      <c r="D23" s="294"/>
      <c r="E23" s="294"/>
      <c r="F23" s="294"/>
      <c r="G23" s="294"/>
      <c r="H23" s="294"/>
      <c r="I23" s="294"/>
      <c r="J23" s="294"/>
      <c r="K23" s="294"/>
      <c r="L23" s="294"/>
      <c r="M23" s="294"/>
      <c r="N23" s="221"/>
      <c r="O23" s="221"/>
      <c r="P23" s="221"/>
    </row>
    <row r="24" spans="2:16" s="222" customFormat="1" ht="18" customHeight="1">
      <c r="B24" s="294"/>
      <c r="C24" s="294"/>
      <c r="D24" s="294"/>
      <c r="E24" s="294"/>
      <c r="F24" s="294"/>
      <c r="G24" s="294"/>
      <c r="H24" s="294"/>
      <c r="I24" s="294"/>
      <c r="J24" s="294"/>
      <c r="K24" s="294"/>
      <c r="L24" s="294"/>
      <c r="M24" s="294"/>
      <c r="N24" s="221"/>
      <c r="O24" s="221"/>
      <c r="P24" s="221"/>
    </row>
    <row r="25" spans="2:16" s="13" customFormat="1" ht="18" customHeight="1">
      <c r="B25" s="21" t="s">
        <v>4205</v>
      </c>
      <c r="C25" s="22"/>
      <c r="D25" s="23"/>
      <c r="E25" s="23"/>
      <c r="F25" s="23"/>
      <c r="G25" s="79"/>
      <c r="H25" s="23"/>
      <c r="I25" s="23"/>
      <c r="J25" s="23"/>
      <c r="K25" s="23"/>
      <c r="L25" s="24"/>
      <c r="M25" s="24"/>
      <c r="N25" s="24"/>
    </row>
    <row r="26" spans="2:16" s="222" customFormat="1" ht="18" customHeight="1">
      <c r="B26" s="302"/>
      <c r="C26" s="302"/>
      <c r="D26" s="268"/>
      <c r="E26" s="268"/>
      <c r="F26" s="268"/>
      <c r="G26" s="268"/>
      <c r="H26" s="268"/>
      <c r="I26" s="268"/>
      <c r="L26" s="221"/>
      <c r="M26" s="221"/>
      <c r="N26" s="221"/>
      <c r="O26" s="221"/>
      <c r="P26" s="221"/>
    </row>
    <row r="27" spans="2:16" s="222" customFormat="1" ht="36" customHeight="1">
      <c r="B27" s="81" t="s">
        <v>4134</v>
      </c>
      <c r="C27" s="81" t="s">
        <v>72</v>
      </c>
      <c r="D27" s="81" t="str">
        <f>+D13</f>
        <v/>
      </c>
      <c r="E27" s="81" t="str">
        <f t="shared" ref="E27:N27" si="1">+E13</f>
        <v/>
      </c>
      <c r="F27" s="81" t="str">
        <f t="shared" si="1"/>
        <v/>
      </c>
      <c r="G27" s="81" t="str">
        <f t="shared" si="1"/>
        <v/>
      </c>
      <c r="H27" s="81" t="str">
        <f t="shared" si="1"/>
        <v/>
      </c>
      <c r="I27" s="81" t="str">
        <f t="shared" si="1"/>
        <v/>
      </c>
      <c r="J27" s="81" t="str">
        <f t="shared" si="1"/>
        <v/>
      </c>
      <c r="K27" s="81" t="str">
        <f t="shared" si="1"/>
        <v/>
      </c>
      <c r="L27" s="81" t="str">
        <f t="shared" si="1"/>
        <v/>
      </c>
      <c r="M27" s="81" t="str">
        <f t="shared" si="1"/>
        <v/>
      </c>
      <c r="N27" s="81" t="str">
        <f t="shared" si="1"/>
        <v/>
      </c>
      <c r="O27" s="221"/>
      <c r="P27" s="221"/>
    </row>
    <row r="28" spans="2:16" s="222" customFormat="1" ht="6" customHeight="1">
      <c r="B28" s="20"/>
      <c r="C28" s="189"/>
      <c r="D28" s="189"/>
      <c r="E28" s="189"/>
      <c r="F28" s="189"/>
      <c r="G28" s="189"/>
      <c r="H28" s="189"/>
      <c r="I28" s="189"/>
      <c r="J28" s="189"/>
      <c r="K28" s="189"/>
      <c r="L28" s="189"/>
      <c r="M28" s="189"/>
      <c r="N28" s="221"/>
      <c r="O28" s="221"/>
      <c r="P28" s="221"/>
    </row>
    <row r="29" spans="2:16" s="222" customFormat="1" ht="50.1" customHeight="1">
      <c r="B29" s="202" t="str">
        <f>+B18</f>
        <v>Población Demandante Efectiva</v>
      </c>
      <c r="C29" s="202" t="s">
        <v>4202</v>
      </c>
      <c r="D29" s="299">
        <f t="shared" ref="D29:N29" si="2">+D18</f>
        <v>0</v>
      </c>
      <c r="E29" s="299">
        <f t="shared" si="2"/>
        <v>0</v>
      </c>
      <c r="F29" s="299">
        <f t="shared" si="2"/>
        <v>0</v>
      </c>
      <c r="G29" s="299">
        <f t="shared" si="2"/>
        <v>0</v>
      </c>
      <c r="H29" s="299">
        <f t="shared" si="2"/>
        <v>0</v>
      </c>
      <c r="I29" s="299">
        <f t="shared" si="2"/>
        <v>0</v>
      </c>
      <c r="J29" s="299">
        <f t="shared" si="2"/>
        <v>0</v>
      </c>
      <c r="K29" s="299">
        <f t="shared" si="2"/>
        <v>0</v>
      </c>
      <c r="L29" s="299">
        <f t="shared" si="2"/>
        <v>0</v>
      </c>
      <c r="M29" s="299">
        <f t="shared" si="2"/>
        <v>0</v>
      </c>
      <c r="N29" s="299">
        <f t="shared" si="2"/>
        <v>0</v>
      </c>
      <c r="O29" s="221"/>
      <c r="P29" s="221"/>
    </row>
    <row r="30" spans="2:16" s="222" customFormat="1" ht="50.1" customHeight="1">
      <c r="B30" s="202" t="str">
        <f>+B19</f>
        <v>Población Objetivo</v>
      </c>
      <c r="C30" s="202" t="s">
        <v>4202</v>
      </c>
      <c r="D30" s="299">
        <f t="shared" ref="D30:N30" si="3">+D19</f>
        <v>0</v>
      </c>
      <c r="E30" s="299">
        <f t="shared" si="3"/>
        <v>0</v>
      </c>
      <c r="F30" s="299">
        <f t="shared" si="3"/>
        <v>0</v>
      </c>
      <c r="G30" s="299">
        <f t="shared" si="3"/>
        <v>0</v>
      </c>
      <c r="H30" s="299">
        <f t="shared" si="3"/>
        <v>0</v>
      </c>
      <c r="I30" s="299">
        <f t="shared" si="3"/>
        <v>0</v>
      </c>
      <c r="J30" s="299">
        <f t="shared" si="3"/>
        <v>0</v>
      </c>
      <c r="K30" s="299">
        <f t="shared" si="3"/>
        <v>0</v>
      </c>
      <c r="L30" s="299">
        <f t="shared" si="3"/>
        <v>0</v>
      </c>
      <c r="M30" s="299">
        <f t="shared" si="3"/>
        <v>0</v>
      </c>
      <c r="N30" s="299">
        <f t="shared" si="3"/>
        <v>0</v>
      </c>
      <c r="O30" s="221"/>
      <c r="P30" s="221"/>
    </row>
    <row r="31" spans="2:16" s="222" customFormat="1" ht="50.1" customHeight="1">
      <c r="B31" s="660" t="s">
        <v>4206</v>
      </c>
      <c r="C31" s="661"/>
      <c r="D31" s="400" t="str">
        <f>+IF(D29&gt;0,D30/D29,"")</f>
        <v/>
      </c>
      <c r="E31" s="400" t="str">
        <f t="shared" ref="E31:N31" si="4">+IF(E29&gt;0,E30/E29,"")</f>
        <v/>
      </c>
      <c r="F31" s="400" t="str">
        <f t="shared" si="4"/>
        <v/>
      </c>
      <c r="G31" s="400" t="str">
        <f t="shared" si="4"/>
        <v/>
      </c>
      <c r="H31" s="400" t="str">
        <f t="shared" si="4"/>
        <v/>
      </c>
      <c r="I31" s="400" t="str">
        <f t="shared" si="4"/>
        <v/>
      </c>
      <c r="J31" s="400" t="str">
        <f t="shared" si="4"/>
        <v/>
      </c>
      <c r="K31" s="400" t="str">
        <f t="shared" si="4"/>
        <v/>
      </c>
      <c r="L31" s="400" t="str">
        <f t="shared" si="4"/>
        <v/>
      </c>
      <c r="M31" s="400" t="str">
        <f t="shared" si="4"/>
        <v/>
      </c>
      <c r="N31" s="400" t="str">
        <f t="shared" si="4"/>
        <v/>
      </c>
      <c r="O31" s="221"/>
      <c r="P31" s="221"/>
    </row>
    <row r="32" spans="2:16" s="222" customFormat="1" ht="18" customHeight="1">
      <c r="B32" s="302"/>
      <c r="C32" s="302"/>
      <c r="D32" s="268"/>
      <c r="E32" s="268"/>
      <c r="F32" s="268"/>
      <c r="G32" s="268"/>
      <c r="H32" s="268"/>
      <c r="I32" s="268"/>
      <c r="L32" s="221"/>
      <c r="M32" s="221"/>
      <c r="N32" s="221"/>
      <c r="O32" s="221"/>
      <c r="P32" s="221"/>
    </row>
    <row r="33" spans="2:16" s="222" customFormat="1" ht="18" customHeight="1">
      <c r="B33" s="302"/>
      <c r="C33" s="302"/>
      <c r="D33" s="268"/>
      <c r="E33" s="268"/>
      <c r="F33" s="268"/>
      <c r="G33" s="268"/>
      <c r="H33" s="268"/>
      <c r="I33" s="268"/>
      <c r="L33" s="221"/>
      <c r="M33" s="221"/>
      <c r="N33" s="221"/>
      <c r="O33" s="221"/>
      <c r="P33" s="221"/>
    </row>
    <row r="34" spans="2:16" s="13" customFormat="1" ht="18" customHeight="1">
      <c r="B34" s="21" t="s">
        <v>117</v>
      </c>
      <c r="C34" s="22"/>
      <c r="D34" s="23"/>
      <c r="E34" s="23"/>
      <c r="F34" s="23"/>
      <c r="G34" s="79"/>
      <c r="H34" s="23"/>
      <c r="I34" s="23"/>
      <c r="J34" s="23"/>
      <c r="K34" s="23"/>
      <c r="L34" s="24"/>
      <c r="M34" s="24"/>
      <c r="N34" s="24"/>
    </row>
    <row r="35" spans="2:16" s="222" customFormat="1" ht="18" customHeight="1">
      <c r="B35" s="303"/>
      <c r="C35" s="302"/>
      <c r="D35" s="302"/>
      <c r="E35" s="302"/>
      <c r="F35" s="302"/>
      <c r="G35" s="302"/>
      <c r="H35" s="302"/>
      <c r="L35" s="221"/>
      <c r="M35" s="221"/>
      <c r="N35" s="221"/>
      <c r="O35" s="221"/>
      <c r="P35" s="221"/>
    </row>
    <row r="36" spans="2:16" s="222" customFormat="1" ht="45" customHeight="1">
      <c r="B36" s="662" t="s">
        <v>4209</v>
      </c>
      <c r="C36" s="662"/>
      <c r="D36" s="662"/>
      <c r="E36" s="662"/>
      <c r="F36" s="662"/>
      <c r="G36" s="662" t="s">
        <v>4210</v>
      </c>
      <c r="H36" s="662" t="s">
        <v>4212</v>
      </c>
      <c r="I36" s="662"/>
      <c r="J36" s="662"/>
      <c r="K36" s="662"/>
      <c r="L36" s="662"/>
      <c r="M36" s="662"/>
      <c r="N36" s="662" t="s">
        <v>4211</v>
      </c>
      <c r="O36" s="221"/>
      <c r="P36" s="221"/>
    </row>
    <row r="37" spans="2:16" s="13" customFormat="1" ht="47.1" customHeight="1">
      <c r="B37" s="662"/>
      <c r="C37" s="662"/>
      <c r="D37" s="662"/>
      <c r="E37" s="662"/>
      <c r="F37" s="662"/>
      <c r="G37" s="662"/>
      <c r="H37" s="511" t="s">
        <v>4406</v>
      </c>
      <c r="I37" s="511"/>
      <c r="J37" s="511" t="s">
        <v>4409</v>
      </c>
      <c r="K37" s="511"/>
      <c r="L37" s="511"/>
      <c r="M37" s="511"/>
      <c r="N37" s="662"/>
    </row>
    <row r="38" spans="2:16" s="18" customFormat="1" ht="6.95" customHeight="1">
      <c r="B38" s="304"/>
      <c r="C38" s="304"/>
      <c r="E38" s="304"/>
      <c r="F38" s="304"/>
      <c r="G38" s="304"/>
    </row>
    <row r="39" spans="2:16" s="222" customFormat="1" ht="48.95" customHeight="1">
      <c r="B39" s="663"/>
      <c r="C39" s="663"/>
      <c r="D39" s="663"/>
      <c r="E39" s="663"/>
      <c r="F39" s="663"/>
      <c r="G39" s="665"/>
      <c r="H39" s="663"/>
      <c r="I39" s="663"/>
      <c r="J39" s="658"/>
      <c r="K39" s="658"/>
      <c r="L39" s="658"/>
      <c r="M39" s="658"/>
      <c r="N39" s="658"/>
    </row>
    <row r="40" spans="2:16" s="222" customFormat="1" ht="48.95" customHeight="1">
      <c r="B40" s="663"/>
      <c r="C40" s="663"/>
      <c r="D40" s="663"/>
      <c r="E40" s="663"/>
      <c r="F40" s="663"/>
      <c r="G40" s="665"/>
      <c r="H40" s="663"/>
      <c r="I40" s="663"/>
      <c r="J40" s="658"/>
      <c r="K40" s="658"/>
      <c r="L40" s="658"/>
      <c r="M40" s="658"/>
      <c r="N40" s="658"/>
    </row>
    <row r="41" spans="2:16" s="222" customFormat="1" ht="48.95" customHeight="1">
      <c r="B41" s="663"/>
      <c r="C41" s="663"/>
      <c r="D41" s="663"/>
      <c r="E41" s="663"/>
      <c r="F41" s="663"/>
      <c r="G41" s="665"/>
      <c r="H41" s="663"/>
      <c r="I41" s="663"/>
      <c r="J41" s="658"/>
      <c r="K41" s="658"/>
      <c r="L41" s="658"/>
      <c r="M41" s="658"/>
      <c r="N41" s="658"/>
    </row>
    <row r="42" spans="2:16" s="222" customFormat="1" ht="48.95" customHeight="1">
      <c r="B42" s="663"/>
      <c r="C42" s="663"/>
      <c r="D42" s="663"/>
      <c r="E42" s="663"/>
      <c r="F42" s="663"/>
      <c r="G42" s="665"/>
      <c r="H42" s="663"/>
      <c r="I42" s="663"/>
      <c r="J42" s="658"/>
      <c r="K42" s="658"/>
      <c r="L42" s="658"/>
      <c r="M42" s="658"/>
      <c r="N42" s="658"/>
    </row>
    <row r="43" spans="2:16" s="222" customFormat="1" ht="18" customHeight="1">
      <c r="B43" s="300"/>
      <c r="C43" s="13"/>
      <c r="D43" s="13"/>
      <c r="E43" s="13"/>
      <c r="F43" s="302"/>
      <c r="G43" s="302"/>
      <c r="H43" s="302"/>
      <c r="L43" s="221"/>
      <c r="M43" s="221"/>
      <c r="N43" s="221"/>
      <c r="O43" s="221"/>
      <c r="P43" s="221"/>
    </row>
    <row r="44" spans="2:16" s="222" customFormat="1" ht="18" customHeight="1">
      <c r="B44" s="300"/>
      <c r="C44" s="13"/>
      <c r="D44" s="13"/>
      <c r="E44" s="13"/>
      <c r="F44" s="302"/>
      <c r="G44" s="302"/>
      <c r="H44" s="302"/>
      <c r="L44" s="221"/>
      <c r="M44" s="221"/>
      <c r="N44" s="221"/>
      <c r="O44" s="221"/>
      <c r="P44" s="221"/>
    </row>
    <row r="45" spans="2:16" s="13" customFormat="1" ht="18" customHeight="1">
      <c r="B45" s="21" t="s">
        <v>4371</v>
      </c>
      <c r="C45" s="22"/>
      <c r="D45" s="23"/>
      <c r="E45" s="23"/>
      <c r="F45" s="23"/>
      <c r="G45" s="79"/>
      <c r="H45" s="23"/>
      <c r="I45" s="23"/>
      <c r="J45" s="23"/>
      <c r="K45" s="23"/>
      <c r="L45" s="24"/>
      <c r="M45" s="24"/>
      <c r="N45" s="24"/>
    </row>
    <row r="46" spans="2:16" s="222" customFormat="1" ht="18" customHeight="1">
      <c r="B46" s="300"/>
      <c r="C46" s="302"/>
      <c r="D46" s="302"/>
      <c r="E46" s="302"/>
      <c r="F46" s="302"/>
      <c r="G46" s="303"/>
      <c r="H46" s="302"/>
      <c r="L46" s="221"/>
      <c r="M46" s="221"/>
      <c r="N46" s="221"/>
      <c r="O46" s="221"/>
      <c r="P46" s="221"/>
    </row>
    <row r="47" spans="2:16" s="222" customFormat="1" ht="36" customHeight="1">
      <c r="B47" s="81" t="s">
        <v>4134</v>
      </c>
      <c r="C47" s="81" t="s">
        <v>72</v>
      </c>
      <c r="D47" s="81" t="str">
        <f t="shared" ref="D47:N47" si="5">+D27</f>
        <v/>
      </c>
      <c r="E47" s="81" t="str">
        <f t="shared" si="5"/>
        <v/>
      </c>
      <c r="F47" s="81" t="str">
        <f t="shared" si="5"/>
        <v/>
      </c>
      <c r="G47" s="81" t="str">
        <f t="shared" si="5"/>
        <v/>
      </c>
      <c r="H47" s="81" t="str">
        <f t="shared" si="5"/>
        <v/>
      </c>
      <c r="I47" s="81" t="str">
        <f t="shared" si="5"/>
        <v/>
      </c>
      <c r="J47" s="81" t="str">
        <f t="shared" si="5"/>
        <v/>
      </c>
      <c r="K47" s="81" t="str">
        <f t="shared" si="5"/>
        <v/>
      </c>
      <c r="L47" s="81" t="str">
        <f t="shared" si="5"/>
        <v/>
      </c>
      <c r="M47" s="81" t="str">
        <f t="shared" si="5"/>
        <v/>
      </c>
      <c r="N47" s="81" t="str">
        <f t="shared" si="5"/>
        <v/>
      </c>
      <c r="O47" s="221"/>
      <c r="P47" s="221"/>
    </row>
    <row r="48" spans="2:16" s="222" customFormat="1" ht="6" customHeight="1">
      <c r="B48" s="20"/>
      <c r="C48" s="189"/>
      <c r="D48" s="189"/>
      <c r="E48" s="189"/>
      <c r="F48" s="189"/>
      <c r="G48" s="189"/>
      <c r="H48" s="189"/>
      <c r="I48" s="189"/>
      <c r="J48" s="189"/>
      <c r="K48" s="189"/>
      <c r="L48" s="189"/>
      <c r="M48" s="189"/>
      <c r="N48" s="221"/>
      <c r="O48" s="221"/>
      <c r="P48" s="221"/>
    </row>
    <row r="49" spans="2:16" s="222" customFormat="1" ht="50.1" customHeight="1">
      <c r="B49" s="202" t="s">
        <v>4201</v>
      </c>
      <c r="C49" s="202" t="s">
        <v>4202</v>
      </c>
      <c r="D49" s="299">
        <f>+MAX(G39,N39)</f>
        <v>0</v>
      </c>
      <c r="E49" s="299">
        <f>+D49</f>
        <v>0</v>
      </c>
      <c r="F49" s="299">
        <f t="shared" ref="F49:N49" si="6">+E49</f>
        <v>0</v>
      </c>
      <c r="G49" s="299">
        <f t="shared" si="6"/>
        <v>0</v>
      </c>
      <c r="H49" s="299">
        <f t="shared" si="6"/>
        <v>0</v>
      </c>
      <c r="I49" s="299">
        <f t="shared" si="6"/>
        <v>0</v>
      </c>
      <c r="J49" s="299">
        <f t="shared" si="6"/>
        <v>0</v>
      </c>
      <c r="K49" s="299">
        <f t="shared" si="6"/>
        <v>0</v>
      </c>
      <c r="L49" s="299">
        <f t="shared" si="6"/>
        <v>0</v>
      </c>
      <c r="M49" s="299">
        <f t="shared" si="6"/>
        <v>0</v>
      </c>
      <c r="N49" s="299">
        <f t="shared" si="6"/>
        <v>0</v>
      </c>
      <c r="O49" s="221"/>
      <c r="P49" s="221"/>
    </row>
    <row r="50" spans="2:16" s="222" customFormat="1" ht="18" customHeight="1">
      <c r="B50" s="302"/>
      <c r="C50" s="302"/>
      <c r="D50" s="302"/>
      <c r="E50" s="302"/>
      <c r="F50" s="302"/>
      <c r="G50" s="302"/>
      <c r="H50" s="302"/>
      <c r="L50" s="221"/>
      <c r="M50" s="221"/>
      <c r="N50" s="221"/>
      <c r="O50" s="221"/>
      <c r="P50" s="221"/>
    </row>
    <row r="51" spans="2:16" s="222" customFormat="1" ht="18" customHeight="1">
      <c r="B51" s="302"/>
      <c r="C51" s="302"/>
      <c r="D51" s="302"/>
      <c r="E51" s="302"/>
      <c r="F51" s="302"/>
      <c r="G51" s="302"/>
      <c r="H51" s="302"/>
      <c r="L51" s="221"/>
      <c r="M51" s="221"/>
      <c r="N51" s="221"/>
      <c r="O51" s="221"/>
      <c r="P51" s="221"/>
    </row>
    <row r="52" spans="2:16" s="13" customFormat="1" ht="18" customHeight="1">
      <c r="B52" s="21" t="s">
        <v>4215</v>
      </c>
      <c r="C52" s="22"/>
      <c r="D52" s="23"/>
      <c r="E52" s="23"/>
      <c r="F52" s="23"/>
      <c r="G52" s="79"/>
      <c r="H52" s="23"/>
      <c r="I52" s="23"/>
      <c r="J52" s="23"/>
      <c r="K52" s="23"/>
      <c r="L52" s="24"/>
      <c r="M52" s="24"/>
      <c r="N52" s="24"/>
    </row>
    <row r="53" spans="2:16" s="222" customFormat="1" ht="18" customHeight="1">
      <c r="B53" s="302"/>
      <c r="C53" s="302"/>
      <c r="D53" s="664"/>
      <c r="E53" s="664"/>
      <c r="F53" s="664"/>
      <c r="G53" s="664"/>
      <c r="H53" s="664"/>
      <c r="I53" s="664"/>
      <c r="L53" s="221"/>
      <c r="M53" s="221"/>
      <c r="N53" s="221"/>
      <c r="O53" s="221"/>
      <c r="P53" s="221"/>
    </row>
    <row r="54" spans="2:16" s="222" customFormat="1" ht="36" customHeight="1">
      <c r="B54" s="81" t="s">
        <v>4134</v>
      </c>
      <c r="C54" s="81" t="s">
        <v>72</v>
      </c>
      <c r="D54" s="81" t="str">
        <f>+D47</f>
        <v/>
      </c>
      <c r="E54" s="81" t="str">
        <f t="shared" ref="E54:N54" si="7">+E47</f>
        <v/>
      </c>
      <c r="F54" s="81" t="str">
        <f t="shared" si="7"/>
        <v/>
      </c>
      <c r="G54" s="81" t="str">
        <f t="shared" si="7"/>
        <v/>
      </c>
      <c r="H54" s="81" t="str">
        <f t="shared" si="7"/>
        <v/>
      </c>
      <c r="I54" s="81" t="str">
        <f t="shared" si="7"/>
        <v/>
      </c>
      <c r="J54" s="81" t="str">
        <f t="shared" si="7"/>
        <v/>
      </c>
      <c r="K54" s="81" t="str">
        <f t="shared" si="7"/>
        <v/>
      </c>
      <c r="L54" s="81" t="str">
        <f t="shared" si="7"/>
        <v/>
      </c>
      <c r="M54" s="81" t="str">
        <f t="shared" si="7"/>
        <v/>
      </c>
      <c r="N54" s="81" t="str">
        <f t="shared" si="7"/>
        <v/>
      </c>
      <c r="O54" s="221"/>
      <c r="P54" s="221"/>
    </row>
    <row r="55" spans="2:16" s="222" customFormat="1" ht="6" customHeight="1">
      <c r="B55" s="20"/>
      <c r="C55" s="189"/>
      <c r="D55" s="189"/>
      <c r="E55" s="189"/>
      <c r="F55" s="189"/>
      <c r="G55" s="189"/>
      <c r="H55" s="189"/>
      <c r="I55" s="189"/>
      <c r="J55" s="189"/>
      <c r="K55" s="189"/>
      <c r="L55" s="189"/>
      <c r="M55" s="189"/>
      <c r="N55" s="221"/>
      <c r="O55" s="221"/>
      <c r="P55" s="221"/>
    </row>
    <row r="56" spans="2:16" s="222" customFormat="1" ht="50.1" customHeight="1">
      <c r="B56" s="202" t="str">
        <f>+B29</f>
        <v>Población Demandante Efectiva</v>
      </c>
      <c r="C56" s="202" t="s">
        <v>4202</v>
      </c>
      <c r="D56" s="299">
        <f t="shared" ref="D56:N56" si="8">+D18</f>
        <v>0</v>
      </c>
      <c r="E56" s="299">
        <f t="shared" si="8"/>
        <v>0</v>
      </c>
      <c r="F56" s="299">
        <f t="shared" si="8"/>
        <v>0</v>
      </c>
      <c r="G56" s="299">
        <f t="shared" si="8"/>
        <v>0</v>
      </c>
      <c r="H56" s="299">
        <f t="shared" si="8"/>
        <v>0</v>
      </c>
      <c r="I56" s="299">
        <f t="shared" si="8"/>
        <v>0</v>
      </c>
      <c r="J56" s="299">
        <f t="shared" si="8"/>
        <v>0</v>
      </c>
      <c r="K56" s="299">
        <f t="shared" si="8"/>
        <v>0</v>
      </c>
      <c r="L56" s="299">
        <f t="shared" si="8"/>
        <v>0</v>
      </c>
      <c r="M56" s="299">
        <f t="shared" si="8"/>
        <v>0</v>
      </c>
      <c r="N56" s="299">
        <f t="shared" si="8"/>
        <v>0</v>
      </c>
      <c r="O56" s="221"/>
      <c r="P56" s="221"/>
    </row>
    <row r="57" spans="2:16" s="222" customFormat="1" ht="50.1" customHeight="1">
      <c r="B57" s="202" t="s">
        <v>4213</v>
      </c>
      <c r="C57" s="202" t="s">
        <v>4202</v>
      </c>
      <c r="D57" s="299">
        <f>+D49</f>
        <v>0</v>
      </c>
      <c r="E57" s="299">
        <f t="shared" ref="E57:N57" si="9">+E49</f>
        <v>0</v>
      </c>
      <c r="F57" s="299">
        <f t="shared" si="9"/>
        <v>0</v>
      </c>
      <c r="G57" s="299">
        <f t="shared" si="9"/>
        <v>0</v>
      </c>
      <c r="H57" s="299">
        <f t="shared" si="9"/>
        <v>0</v>
      </c>
      <c r="I57" s="299">
        <f t="shared" si="9"/>
        <v>0</v>
      </c>
      <c r="J57" s="299">
        <f t="shared" si="9"/>
        <v>0</v>
      </c>
      <c r="K57" s="299">
        <f t="shared" si="9"/>
        <v>0</v>
      </c>
      <c r="L57" s="299">
        <f t="shared" si="9"/>
        <v>0</v>
      </c>
      <c r="M57" s="299">
        <f t="shared" si="9"/>
        <v>0</v>
      </c>
      <c r="N57" s="299">
        <f t="shared" si="9"/>
        <v>0</v>
      </c>
      <c r="O57" s="221"/>
      <c r="P57" s="221"/>
    </row>
    <row r="58" spans="2:16" s="222" customFormat="1" ht="50.1" customHeight="1">
      <c r="B58" s="202" t="s">
        <v>4214</v>
      </c>
      <c r="C58" s="202" t="s">
        <v>4202</v>
      </c>
      <c r="D58" s="299">
        <f>+D57-D56</f>
        <v>0</v>
      </c>
      <c r="E58" s="299">
        <f t="shared" ref="E58:N58" si="10">+E57-E56</f>
        <v>0</v>
      </c>
      <c r="F58" s="299">
        <f t="shared" si="10"/>
        <v>0</v>
      </c>
      <c r="G58" s="299">
        <f t="shared" si="10"/>
        <v>0</v>
      </c>
      <c r="H58" s="299">
        <f t="shared" si="10"/>
        <v>0</v>
      </c>
      <c r="I58" s="299">
        <f t="shared" si="10"/>
        <v>0</v>
      </c>
      <c r="J58" s="299">
        <f t="shared" si="10"/>
        <v>0</v>
      </c>
      <c r="K58" s="299">
        <f t="shared" si="10"/>
        <v>0</v>
      </c>
      <c r="L58" s="299">
        <f t="shared" si="10"/>
        <v>0</v>
      </c>
      <c r="M58" s="299">
        <f t="shared" si="10"/>
        <v>0</v>
      </c>
      <c r="N58" s="299">
        <f t="shared" si="10"/>
        <v>0</v>
      </c>
      <c r="O58" s="221"/>
      <c r="P58" s="221"/>
    </row>
  </sheetData>
  <sheetProtection sheet="1" objects="1" scenarios="1" formatCells="0" formatColumns="0" formatRows="0"/>
  <mergeCells count="28">
    <mergeCell ref="J42:M42"/>
    <mergeCell ref="D53:I53"/>
    <mergeCell ref="B15:C15"/>
    <mergeCell ref="B16:C16"/>
    <mergeCell ref="B17:C17"/>
    <mergeCell ref="B18:C18"/>
    <mergeCell ref="B19:C19"/>
    <mergeCell ref="H40:I40"/>
    <mergeCell ref="H41:I41"/>
    <mergeCell ref="H42:I42"/>
    <mergeCell ref="B39:F42"/>
    <mergeCell ref="G39:G42"/>
    <mergeCell ref="N39:N42"/>
    <mergeCell ref="B6:N6"/>
    <mergeCell ref="B22:N22"/>
    <mergeCell ref="B31:C31"/>
    <mergeCell ref="H36:M36"/>
    <mergeCell ref="D11:N11"/>
    <mergeCell ref="B11:C13"/>
    <mergeCell ref="H39:I39"/>
    <mergeCell ref="J37:M37"/>
    <mergeCell ref="H37:I37"/>
    <mergeCell ref="B36:F37"/>
    <mergeCell ref="G36:G37"/>
    <mergeCell ref="N36:N37"/>
    <mergeCell ref="J39:M39"/>
    <mergeCell ref="J40:M40"/>
    <mergeCell ref="J41:M41"/>
  </mergeCells>
  <phoneticPr fontId="17" type="noConversion"/>
  <conditionalFormatting sqref="A58:XFD58">
    <cfRule type="cellIs" dxfId="283" priority="3" operator="lessThan">
      <formula>0</formula>
    </cfRule>
  </conditionalFormatting>
  <conditionalFormatting sqref="D15:N19">
    <cfRule type="cellIs" dxfId="282" priority="2" operator="equal">
      <formula>0</formula>
    </cfRule>
  </conditionalFormatting>
  <conditionalFormatting sqref="D29:N31">
    <cfRule type="cellIs" dxfId="281" priority="1" operator="equal">
      <formula>0</formula>
    </cfRule>
  </conditionalFormatting>
  <dataValidations count="3">
    <dataValidation type="list" allowBlank="1" showInputMessage="1" showErrorMessage="1" sqref="B39" xr:uid="{00000000-0002-0000-0800-000000000000}">
      <formula1>Optimizar</formula1>
    </dataValidation>
    <dataValidation type="list" allowBlank="1" showInputMessage="1" showErrorMessage="1" sqref="H39:I42" xr:uid="{00000000-0002-0000-0800-000001000000}">
      <formula1>FactorProduccion</formula1>
    </dataValidation>
    <dataValidation type="whole" operator="greaterThanOrEqual" allowBlank="1" showInputMessage="1" showErrorMessage="1" sqref="G39:G42 N39:N42" xr:uid="{00000000-0002-0000-0800-000002000000}">
      <formula1>0</formula1>
    </dataValidation>
  </dataValidations>
  <pageMargins left="0.7" right="0.7" top="0.75" bottom="0.75" header="0.3" footer="0.3"/>
  <pageSetup paperSize="9" scale="41" orientation="portrait" horizontalDpi="0" verticalDpi="0"/>
  <rowBreaks count="1" manualBreakCount="1">
    <brk id="44" min="1" max="13" man="1"/>
  </rowBreaks>
  <colBreaks count="1" manualBreakCount="1">
    <brk id="15" max="53"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2:Z140"/>
  <sheetViews>
    <sheetView topLeftCell="A27" zoomScale="71" zoomScaleNormal="100" workbookViewId="0">
      <selection activeCell="K45" sqref="K45"/>
    </sheetView>
  </sheetViews>
  <sheetFormatPr baseColWidth="10" defaultColWidth="9" defaultRowHeight="18.95" customHeight="1"/>
  <cols>
    <col min="1" max="1" width="9" style="4"/>
    <col min="2" max="3" width="9" style="4" customWidth="1"/>
    <col min="4" max="4" width="15.109375" style="4" customWidth="1"/>
    <col min="5" max="5" width="10" style="4" customWidth="1"/>
    <col min="6" max="6" width="12.33203125" style="4" customWidth="1"/>
    <col min="7" max="7" width="10.33203125" style="4" customWidth="1"/>
    <col min="8" max="9" width="13.6640625" style="4" customWidth="1"/>
    <col min="10" max="10" width="15.88671875" style="4" customWidth="1"/>
    <col min="11" max="11" width="15.6640625" style="4" customWidth="1"/>
    <col min="12" max="12" width="12" style="4" customWidth="1"/>
    <col min="13" max="13" width="9" style="4" customWidth="1"/>
    <col min="14" max="14" width="10.33203125" style="4" customWidth="1"/>
    <col min="15" max="16384" width="9" style="4"/>
  </cols>
  <sheetData>
    <row r="2" spans="1:16" s="80" customFormat="1" ht="18.95" customHeight="1">
      <c r="B2" s="80" t="s">
        <v>119</v>
      </c>
    </row>
    <row r="4" spans="1:16" s="13" customFormat="1" ht="18.95" customHeight="1">
      <c r="B4" s="21" t="s">
        <v>120</v>
      </c>
      <c r="C4" s="22"/>
      <c r="D4" s="23"/>
      <c r="E4" s="23"/>
      <c r="F4" s="23"/>
      <c r="G4" s="79"/>
      <c r="H4" s="23"/>
      <c r="I4" s="23"/>
      <c r="J4" s="23"/>
      <c r="K4" s="23"/>
      <c r="L4" s="24"/>
      <c r="M4" s="24"/>
      <c r="N4" s="24"/>
    </row>
    <row r="5" spans="1:16" s="222" customFormat="1" ht="18.95" customHeight="1">
      <c r="B5" s="456" t="s">
        <v>4255</v>
      </c>
      <c r="C5" s="456"/>
      <c r="D5" s="456"/>
      <c r="E5" s="456"/>
      <c r="F5" s="456"/>
      <c r="G5" s="456"/>
      <c r="H5" s="456"/>
      <c r="I5" s="456"/>
      <c r="J5" s="456"/>
      <c r="K5" s="456"/>
      <c r="L5" s="18"/>
      <c r="M5" s="18"/>
      <c r="N5" s="221"/>
      <c r="O5" s="221"/>
      <c r="P5" s="221"/>
    </row>
    <row r="6" spans="1:16" s="222" customFormat="1" ht="18.95" customHeight="1">
      <c r="B6" s="706"/>
      <c r="C6" s="706"/>
      <c r="D6" s="706"/>
      <c r="E6" s="706"/>
      <c r="F6" s="706"/>
      <c r="G6" s="706"/>
      <c r="H6" s="706"/>
      <c r="I6" s="706"/>
      <c r="J6" s="706"/>
      <c r="K6" s="706"/>
      <c r="L6" s="18"/>
      <c r="M6" s="18"/>
      <c r="N6" s="221"/>
      <c r="O6" s="221"/>
      <c r="P6" s="221"/>
    </row>
    <row r="7" spans="1:16" s="222" customFormat="1" ht="33" customHeight="1">
      <c r="B7" s="426" t="s">
        <v>4534</v>
      </c>
      <c r="C7" s="427"/>
      <c r="D7" s="427"/>
      <c r="E7" s="427"/>
      <c r="F7" s="427"/>
      <c r="G7" s="427"/>
      <c r="H7" s="427"/>
      <c r="I7" s="427"/>
      <c r="J7" s="427"/>
      <c r="K7" s="428"/>
      <c r="L7" s="221"/>
      <c r="M7" s="221"/>
      <c r="N7" s="221"/>
      <c r="O7" s="221"/>
      <c r="P7" s="221"/>
    </row>
    <row r="8" spans="1:16" s="222" customFormat="1" ht="18.95" customHeight="1">
      <c r="B8" s="18"/>
      <c r="C8" s="18"/>
      <c r="D8" s="18"/>
      <c r="E8" s="18"/>
      <c r="F8" s="18"/>
      <c r="G8" s="18"/>
      <c r="H8" s="18"/>
      <c r="I8" s="18"/>
      <c r="J8" s="18"/>
      <c r="K8" s="18"/>
      <c r="L8" s="18"/>
      <c r="M8" s="18"/>
    </row>
    <row r="9" spans="1:16" s="222" customFormat="1" ht="120" customHeight="1">
      <c r="B9" s="306" t="s">
        <v>22</v>
      </c>
      <c r="C9" s="671" t="s">
        <v>4216</v>
      </c>
      <c r="D9" s="671"/>
      <c r="E9" s="671"/>
      <c r="F9" s="306" t="s">
        <v>72</v>
      </c>
      <c r="G9" s="307" t="s">
        <v>18</v>
      </c>
      <c r="H9" s="671" t="s">
        <v>4219</v>
      </c>
      <c r="I9" s="671"/>
      <c r="J9" s="306" t="s">
        <v>4446</v>
      </c>
      <c r="K9" s="306" t="s">
        <v>4445</v>
      </c>
      <c r="L9" s="308"/>
      <c r="M9" s="305"/>
    </row>
    <row r="10" spans="1:16" s="222" customFormat="1" ht="3" customHeight="1">
      <c r="B10" s="19"/>
      <c r="C10" s="19"/>
      <c r="F10" s="19"/>
      <c r="G10" s="19"/>
      <c r="I10" s="19"/>
      <c r="K10" s="19"/>
      <c r="L10" s="308"/>
      <c r="M10" s="305"/>
      <c r="N10" s="221"/>
      <c r="O10" s="221"/>
      <c r="P10" s="221"/>
    </row>
    <row r="11" spans="1:16" s="222" customFormat="1" ht="59.1" customHeight="1">
      <c r="B11" s="202">
        <v>1</v>
      </c>
      <c r="C11" s="426" t="s">
        <v>4538</v>
      </c>
      <c r="D11" s="427"/>
      <c r="E11" s="428"/>
      <c r="F11" s="202" t="s">
        <v>4202</v>
      </c>
      <c r="G11" s="202">
        <f>+Brecha!D19</f>
        <v>0</v>
      </c>
      <c r="H11" s="435" t="str">
        <f>+IF(G11&gt;0,VLOOKUP(G11,Infraestructura!AS42:AT49,2,TRUE),"")</f>
        <v/>
      </c>
      <c r="I11" s="437"/>
      <c r="J11" s="202" t="str">
        <f>+IF(G11&gt;0,VLOOKUP(H11,Infraestructura!AT42:AV49,3,FALSE),"")</f>
        <v/>
      </c>
      <c r="K11" s="309" t="str">
        <f>+IF(G11&gt;0,J11+Infraestructura!BE12,"")</f>
        <v/>
      </c>
      <c r="L11" s="310" t="e">
        <f>+VLOOKUP(H11,Infraestructura!AW42:AX49,2,FALSE)+3</f>
        <v>#N/A</v>
      </c>
      <c r="M11" s="305"/>
      <c r="N11" s="221"/>
      <c r="O11" s="221"/>
      <c r="P11" s="221"/>
    </row>
    <row r="12" spans="1:16" s="282" customFormat="1" ht="27" customHeight="1">
      <c r="A12" s="222"/>
      <c r="B12" s="667" t="s">
        <v>4218</v>
      </c>
      <c r="C12" s="668"/>
      <c r="D12" s="668"/>
      <c r="E12" s="668"/>
      <c r="F12" s="668"/>
      <c r="G12" s="669"/>
      <c r="H12" s="667" t="str">
        <f>+H11</f>
        <v/>
      </c>
      <c r="I12" s="668"/>
      <c r="J12" s="668"/>
      <c r="K12" s="669"/>
      <c r="L12" s="311"/>
      <c r="M12" s="312"/>
      <c r="N12" s="313"/>
      <c r="O12" s="313"/>
      <c r="P12" s="313"/>
    </row>
    <row r="13" spans="1:16" s="222" customFormat="1" ht="18.95" customHeight="1">
      <c r="B13" s="15" t="s">
        <v>4444</v>
      </c>
      <c r="F13" s="19"/>
      <c r="I13" s="19"/>
      <c r="J13" s="314"/>
      <c r="K13" s="315"/>
      <c r="L13" s="316"/>
      <c r="M13" s="305"/>
      <c r="N13" s="221"/>
      <c r="O13" s="221"/>
      <c r="P13" s="221"/>
    </row>
    <row r="14" spans="1:16" s="222" customFormat="1" ht="18.95" customHeight="1">
      <c r="B14" s="269"/>
      <c r="F14" s="19"/>
      <c r="I14" s="19"/>
      <c r="J14" s="314"/>
      <c r="K14" s="315"/>
      <c r="L14" s="316"/>
      <c r="M14" s="305"/>
      <c r="N14" s="221"/>
      <c r="O14" s="221"/>
      <c r="P14" s="221"/>
    </row>
    <row r="15" spans="1:16" s="13" customFormat="1" ht="18.95" customHeight="1">
      <c r="B15" s="21" t="s">
        <v>121</v>
      </c>
      <c r="C15" s="22"/>
      <c r="D15" s="23"/>
      <c r="E15" s="23"/>
      <c r="F15" s="23"/>
      <c r="G15" s="79"/>
      <c r="H15" s="23"/>
      <c r="I15" s="23"/>
      <c r="J15" s="23"/>
      <c r="K15" s="23"/>
      <c r="L15" s="24"/>
      <c r="M15" s="24"/>
      <c r="N15" s="24"/>
    </row>
    <row r="16" spans="1:16" s="222" customFormat="1" ht="18.95" customHeight="1">
      <c r="B16" s="690"/>
      <c r="C16" s="690"/>
      <c r="D16" s="690"/>
      <c r="E16" s="690"/>
      <c r="F16" s="690"/>
      <c r="G16" s="690"/>
      <c r="H16" s="690"/>
      <c r="I16" s="690"/>
      <c r="J16" s="690"/>
      <c r="K16" s="690"/>
      <c r="L16" s="690"/>
      <c r="M16" s="690"/>
      <c r="N16" s="690"/>
      <c r="O16" s="221"/>
      <c r="P16" s="221"/>
    </row>
    <row r="17" spans="2:20" s="222" customFormat="1" ht="18.95" customHeight="1">
      <c r="B17" s="13" t="s">
        <v>4256</v>
      </c>
      <c r="C17" s="13"/>
      <c r="D17" s="13"/>
      <c r="E17" s="18"/>
      <c r="F17" s="18"/>
      <c r="G17" s="18"/>
      <c r="H17" s="18"/>
      <c r="I17" s="18"/>
      <c r="J17" s="18"/>
      <c r="K17" s="18"/>
      <c r="L17" s="18"/>
      <c r="M17" s="18"/>
      <c r="N17" s="221"/>
      <c r="O17" s="221"/>
      <c r="P17" s="221"/>
    </row>
    <row r="18" spans="2:20" s="222" customFormat="1" ht="45.95" customHeight="1">
      <c r="B18" s="426" t="s">
        <v>4426</v>
      </c>
      <c r="C18" s="445"/>
      <c r="D18" s="445"/>
      <c r="E18" s="445"/>
      <c r="F18" s="445"/>
      <c r="G18" s="445"/>
      <c r="H18" s="445"/>
      <c r="I18" s="445"/>
      <c r="J18" s="445"/>
      <c r="K18" s="445"/>
      <c r="L18" s="445"/>
      <c r="M18" s="446"/>
      <c r="N18" s="221"/>
      <c r="O18" s="221"/>
      <c r="P18" s="221"/>
    </row>
    <row r="20" spans="2:20" s="13" customFormat="1" ht="18" customHeight="1">
      <c r="B20" s="14" t="s">
        <v>4410</v>
      </c>
      <c r="C20" s="15"/>
      <c r="D20" s="15"/>
      <c r="E20" s="15"/>
      <c r="F20" s="15"/>
      <c r="G20" s="15"/>
      <c r="H20" s="15"/>
      <c r="I20" s="15"/>
      <c r="J20" s="15"/>
      <c r="K20" s="15"/>
      <c r="L20" s="15"/>
      <c r="M20" s="15"/>
      <c r="N20" s="15"/>
      <c r="O20" s="221"/>
      <c r="P20" s="221"/>
      <c r="Q20" s="222"/>
      <c r="R20" s="222"/>
      <c r="S20" s="222"/>
      <c r="T20" s="222"/>
    </row>
    <row r="21" spans="2:20" s="13" customFormat="1" ht="3" customHeight="1">
      <c r="B21" s="15">
        <f>+'Unidad Productora'!B59</f>
        <v>0</v>
      </c>
      <c r="C21" s="15"/>
      <c r="D21" s="15"/>
      <c r="E21" s="15"/>
      <c r="F21" s="15"/>
      <c r="G21" s="15"/>
      <c r="H21" s="15"/>
      <c r="I21" s="15">
        <f>+'Unidad Productora'!B73</f>
        <v>0</v>
      </c>
      <c r="J21" s="15"/>
      <c r="K21" s="15"/>
      <c r="L21" s="15"/>
      <c r="M21" s="15"/>
      <c r="N21" s="15"/>
      <c r="O21" s="221"/>
      <c r="P21" s="221"/>
      <c r="Q21" s="222"/>
      <c r="R21" s="222"/>
      <c r="S21" s="222"/>
      <c r="T21" s="222"/>
    </row>
    <row r="22" spans="2:20" s="222" customFormat="1" ht="9.9499999999999993" customHeight="1">
      <c r="B22" s="670"/>
      <c r="C22" s="670"/>
      <c r="D22" s="670"/>
      <c r="E22" s="670"/>
      <c r="F22" s="670"/>
      <c r="G22" s="670"/>
      <c r="H22" s="670"/>
      <c r="I22" s="670"/>
      <c r="J22" s="670"/>
      <c r="K22" s="670"/>
      <c r="L22" s="670"/>
      <c r="M22" s="670"/>
      <c r="N22" s="670"/>
      <c r="O22" s="221"/>
      <c r="P22" s="221"/>
    </row>
    <row r="23" spans="2:20" s="222" customFormat="1" ht="15.75">
      <c r="B23" s="670" t="s">
        <v>4419</v>
      </c>
      <c r="C23" s="670"/>
      <c r="D23" s="670"/>
      <c r="E23" s="670"/>
      <c r="F23" s="670"/>
      <c r="G23" s="670"/>
      <c r="H23" s="670"/>
      <c r="I23" s="670"/>
      <c r="J23" s="670"/>
      <c r="K23" s="670"/>
      <c r="L23" s="670"/>
      <c r="M23" s="670"/>
      <c r="N23" s="670"/>
      <c r="O23" s="221"/>
      <c r="P23" s="221"/>
    </row>
    <row r="24" spans="2:20" s="222" customFormat="1" ht="9.9499999999999993" customHeight="1">
      <c r="B24" s="193"/>
      <c r="C24" s="193"/>
      <c r="D24" s="193"/>
      <c r="E24" s="193"/>
      <c r="F24" s="193"/>
      <c r="G24" s="193"/>
      <c r="H24" s="193"/>
      <c r="I24" s="193"/>
      <c r="J24" s="193"/>
      <c r="K24" s="193"/>
      <c r="L24" s="193"/>
      <c r="M24" s="193"/>
      <c r="N24" s="193"/>
      <c r="O24" s="221"/>
      <c r="P24" s="221"/>
    </row>
    <row r="25" spans="2:20" s="18" customFormat="1" ht="48.95" customHeight="1">
      <c r="B25" s="683" t="s">
        <v>4220</v>
      </c>
      <c r="C25" s="684"/>
      <c r="D25" s="684"/>
      <c r="E25" s="684"/>
      <c r="F25" s="685"/>
      <c r="G25" s="154"/>
      <c r="H25" s="16"/>
      <c r="I25" s="683" t="s">
        <v>4224</v>
      </c>
      <c r="J25" s="684"/>
      <c r="K25" s="684"/>
      <c r="L25" s="684"/>
      <c r="M25" s="685"/>
      <c r="N25" s="154"/>
      <c r="O25" s="221"/>
      <c r="P25" s="221"/>
      <c r="Q25" s="269"/>
      <c r="R25" s="269"/>
      <c r="S25" s="269"/>
      <c r="T25" s="269"/>
    </row>
    <row r="26" spans="2:20" s="18" customFormat="1" ht="5.0999999999999996" customHeight="1">
      <c r="B26" s="16"/>
      <c r="C26" s="16"/>
      <c r="D26" s="16"/>
      <c r="E26" s="16"/>
      <c r="F26" s="16"/>
      <c r="G26" s="16"/>
      <c r="H26" s="16"/>
      <c r="I26" s="16"/>
      <c r="J26" s="16"/>
      <c r="K26" s="16"/>
      <c r="L26" s="16"/>
      <c r="M26" s="16"/>
      <c r="N26" s="16"/>
      <c r="T26" s="269"/>
    </row>
    <row r="27" spans="2:20" s="18" customFormat="1" ht="48.95" customHeight="1">
      <c r="B27" s="683" t="s">
        <v>4221</v>
      </c>
      <c r="C27" s="684"/>
      <c r="D27" s="684"/>
      <c r="E27" s="684"/>
      <c r="F27" s="685"/>
      <c r="G27" s="154"/>
      <c r="H27" s="16"/>
      <c r="I27" s="683" t="s">
        <v>4416</v>
      </c>
      <c r="J27" s="684"/>
      <c r="K27" s="684"/>
      <c r="L27" s="684"/>
      <c r="M27" s="685"/>
      <c r="N27" s="154"/>
      <c r="T27" s="269"/>
    </row>
    <row r="28" spans="2:20" s="18" customFormat="1" ht="5.0999999999999996" customHeight="1">
      <c r="B28" s="456"/>
      <c r="C28" s="456"/>
      <c r="D28" s="456"/>
      <c r="E28" s="456"/>
      <c r="F28" s="456"/>
      <c r="G28" s="16"/>
      <c r="H28" s="16"/>
      <c r="I28" s="16"/>
      <c r="J28" s="16"/>
      <c r="K28" s="16"/>
      <c r="L28" s="16"/>
      <c r="M28" s="16"/>
      <c r="N28" s="16"/>
      <c r="T28" s="269"/>
    </row>
    <row r="29" spans="2:20" s="18" customFormat="1" ht="48.95" customHeight="1">
      <c r="B29" s="683" t="s">
        <v>4222</v>
      </c>
      <c r="C29" s="684"/>
      <c r="D29" s="684"/>
      <c r="E29" s="684"/>
      <c r="F29" s="685"/>
      <c r="G29" s="154"/>
      <c r="H29" s="16"/>
      <c r="I29" s="683" t="s">
        <v>4417</v>
      </c>
      <c r="J29" s="684"/>
      <c r="K29" s="684"/>
      <c r="L29" s="684"/>
      <c r="M29" s="685"/>
      <c r="N29" s="154"/>
      <c r="T29" s="269"/>
    </row>
    <row r="30" spans="2:20" s="18" customFormat="1" ht="5.0999999999999996" customHeight="1">
      <c r="B30" s="456"/>
      <c r="C30" s="456"/>
      <c r="D30" s="456"/>
      <c r="E30" s="456"/>
      <c r="F30" s="456"/>
      <c r="G30" s="16"/>
      <c r="H30" s="16"/>
      <c r="I30" s="456"/>
      <c r="J30" s="456"/>
      <c r="K30" s="456"/>
      <c r="L30" s="456"/>
      <c r="M30" s="456"/>
      <c r="N30" s="16"/>
      <c r="T30" s="269"/>
    </row>
    <row r="31" spans="2:20" s="18" customFormat="1" ht="48.95" customHeight="1">
      <c r="B31" s="683" t="s">
        <v>4223</v>
      </c>
      <c r="C31" s="684"/>
      <c r="D31" s="684"/>
      <c r="E31" s="684"/>
      <c r="F31" s="685"/>
      <c r="G31" s="154"/>
      <c r="H31" s="16"/>
      <c r="I31" s="683" t="s">
        <v>4418</v>
      </c>
      <c r="J31" s="684"/>
      <c r="K31" s="684"/>
      <c r="L31" s="684"/>
      <c r="M31" s="685"/>
      <c r="N31" s="154"/>
      <c r="O31" s="221"/>
      <c r="P31" s="221"/>
      <c r="Q31" s="269"/>
      <c r="R31" s="269"/>
      <c r="S31" s="269"/>
      <c r="T31" s="269"/>
    </row>
    <row r="32" spans="2:20" s="13" customFormat="1" ht="18" customHeight="1">
      <c r="B32" s="15"/>
      <c r="C32" s="15"/>
      <c r="D32" s="15"/>
      <c r="E32" s="15"/>
      <c r="F32" s="15"/>
      <c r="G32" s="15"/>
      <c r="H32" s="15"/>
      <c r="I32" s="15"/>
      <c r="J32" s="15"/>
      <c r="K32" s="15"/>
      <c r="L32" s="15"/>
      <c r="M32" s="15"/>
      <c r="N32" s="15"/>
      <c r="O32" s="221"/>
      <c r="P32" s="221"/>
      <c r="Q32" s="222"/>
      <c r="R32" s="222"/>
      <c r="S32" s="222"/>
      <c r="T32" s="222"/>
    </row>
    <row r="33" spans="2:24" s="13" customFormat="1" ht="18" customHeight="1">
      <c r="B33" s="14" t="s">
        <v>4373</v>
      </c>
      <c r="C33" s="15"/>
      <c r="D33" s="15"/>
      <c r="E33" s="15"/>
      <c r="H33" s="14"/>
      <c r="I33" s="15"/>
      <c r="J33" s="15"/>
      <c r="K33" s="15"/>
      <c r="L33" s="15"/>
      <c r="M33" s="15"/>
      <c r="N33" s="15"/>
      <c r="O33" s="221"/>
      <c r="P33" s="221"/>
      <c r="Q33" s="222"/>
      <c r="R33" s="222"/>
      <c r="S33" s="222"/>
      <c r="T33" s="222"/>
    </row>
    <row r="34" spans="2:24" s="13" customFormat="1" ht="3" customHeight="1">
      <c r="B34" s="15"/>
      <c r="C34" s="15"/>
      <c r="D34" s="15"/>
      <c r="E34" s="15"/>
      <c r="F34" s="15"/>
      <c r="G34" s="15"/>
      <c r="H34" s="15"/>
      <c r="I34" s="15"/>
      <c r="J34" s="15"/>
      <c r="K34" s="15"/>
      <c r="L34" s="15"/>
      <c r="M34" s="15"/>
      <c r="N34" s="15"/>
      <c r="O34" s="221"/>
      <c r="P34" s="221"/>
      <c r="Q34" s="222"/>
      <c r="R34" s="222"/>
      <c r="S34" s="222"/>
      <c r="T34" s="222"/>
    </row>
    <row r="35" spans="2:24" s="13" customFormat="1" ht="18" customHeight="1">
      <c r="B35" s="14"/>
      <c r="C35" s="15"/>
      <c r="D35" s="15"/>
      <c r="E35" s="15"/>
      <c r="I35" s="15"/>
      <c r="J35" s="15"/>
      <c r="K35" s="15"/>
      <c r="L35" s="15"/>
      <c r="M35" s="15"/>
      <c r="N35" s="15"/>
      <c r="O35" s="221"/>
      <c r="P35" s="221"/>
      <c r="Q35" s="222"/>
    </row>
    <row r="36" spans="2:24" s="13" customFormat="1" ht="3" customHeight="1">
      <c r="B36" s="15"/>
      <c r="C36" s="15"/>
      <c r="D36" s="15"/>
      <c r="E36" s="15"/>
      <c r="F36" s="15"/>
      <c r="G36" s="15"/>
      <c r="H36" s="15"/>
      <c r="I36" s="15"/>
      <c r="J36" s="15"/>
      <c r="K36" s="15"/>
      <c r="L36" s="15"/>
      <c r="M36" s="15"/>
      <c r="N36" s="15"/>
      <c r="O36" s="221"/>
      <c r="P36" s="221"/>
      <c r="Q36" s="222"/>
    </row>
    <row r="37" spans="2:24" s="18" customFormat="1" ht="29.1" customHeight="1">
      <c r="B37" s="529" t="s">
        <v>4386</v>
      </c>
      <c r="C37" s="530"/>
      <c r="D37" s="530"/>
      <c r="E37" s="530"/>
      <c r="F37" s="531"/>
      <c r="G37" s="524"/>
      <c r="H37" s="525"/>
      <c r="I37" s="525"/>
      <c r="N37" s="189"/>
    </row>
    <row r="38" spans="2:24" s="18" customFormat="1" ht="18" customHeight="1">
      <c r="B38" s="449"/>
      <c r="C38" s="449"/>
      <c r="D38" s="449"/>
      <c r="E38" s="449"/>
      <c r="F38" s="449"/>
      <c r="G38" s="16"/>
      <c r="H38" s="16"/>
      <c r="N38" s="16"/>
      <c r="R38" s="13"/>
      <c r="S38" s="13"/>
      <c r="T38" s="13"/>
    </row>
    <row r="39" spans="2:24" s="18" customFormat="1" ht="69" customHeight="1">
      <c r="B39" s="529" t="s">
        <v>4412</v>
      </c>
      <c r="C39" s="530"/>
      <c r="D39" s="530"/>
      <c r="E39" s="530"/>
      <c r="F39" s="531"/>
      <c r="G39" s="565"/>
      <c r="H39" s="566"/>
      <c r="I39" s="566"/>
      <c r="J39" s="449">
        <f>+IF(G39="Otra","Precisar. Solo en el caso del PNCM",0)</f>
        <v>0</v>
      </c>
      <c r="K39" s="449"/>
      <c r="L39" s="449"/>
      <c r="M39" s="449"/>
      <c r="N39" s="449"/>
    </row>
    <row r="40" spans="2:24" s="13" customFormat="1" ht="18" customHeight="1"/>
    <row r="41" spans="2:24" s="222" customFormat="1" ht="18.95" customHeight="1">
      <c r="B41" s="20" t="s">
        <v>4228</v>
      </c>
      <c r="C41" s="18"/>
      <c r="D41" s="18"/>
      <c r="E41" s="18"/>
      <c r="F41" s="18"/>
      <c r="G41" s="18"/>
      <c r="H41" s="18"/>
      <c r="I41" s="18"/>
      <c r="J41" s="18"/>
      <c r="K41" s="18"/>
      <c r="L41" s="18"/>
      <c r="M41" s="18"/>
      <c r="N41" s="221"/>
      <c r="O41" s="221"/>
      <c r="P41" s="221"/>
    </row>
    <row r="42" spans="2:24" s="222" customFormat="1" ht="18.95" customHeight="1">
      <c r="B42" s="13"/>
      <c r="C42" s="18"/>
      <c r="D42" s="18"/>
      <c r="E42" s="18"/>
      <c r="F42" s="18"/>
      <c r="G42" s="18"/>
      <c r="H42" s="18"/>
      <c r="I42" s="18"/>
      <c r="J42" s="18"/>
      <c r="K42" s="18"/>
      <c r="L42" s="18"/>
      <c r="M42" s="18"/>
      <c r="N42" s="221"/>
      <c r="O42" s="221"/>
      <c r="P42" s="221"/>
    </row>
    <row r="43" spans="2:24" s="13" customFormat="1" ht="36" customHeight="1">
      <c r="B43" s="201" t="s">
        <v>22</v>
      </c>
      <c r="C43" s="493" t="s">
        <v>23</v>
      </c>
      <c r="D43" s="493"/>
      <c r="E43" s="493" t="s">
        <v>24</v>
      </c>
      <c r="F43" s="493"/>
      <c r="G43" s="493" t="s">
        <v>25</v>
      </c>
      <c r="H43" s="493"/>
      <c r="I43" s="494" t="s">
        <v>26</v>
      </c>
      <c r="J43" s="494"/>
      <c r="K43" s="494" t="s">
        <v>4553</v>
      </c>
      <c r="L43" s="494"/>
      <c r="M43" s="494"/>
      <c r="N43" s="494"/>
      <c r="O43" s="221"/>
      <c r="P43" s="221"/>
      <c r="Q43" s="222"/>
      <c r="R43" s="222"/>
      <c r="S43" s="222"/>
      <c r="T43" s="222"/>
      <c r="X43" s="19"/>
    </row>
    <row r="44" spans="2:24" s="18" customFormat="1" ht="39" customHeight="1">
      <c r="B44" s="202">
        <v>1</v>
      </c>
      <c r="C44" s="494" t="str">
        <f>+'Unidad Productora'!E20</f>
        <v/>
      </c>
      <c r="D44" s="494"/>
      <c r="E44" s="494" t="str">
        <f>+'Unidad Productora'!H20</f>
        <v/>
      </c>
      <c r="F44" s="494"/>
      <c r="G44" s="494" t="str">
        <f>+'Unidad Productora'!J20</f>
        <v/>
      </c>
      <c r="H44" s="494"/>
      <c r="I44" s="494">
        <f>+'Unidad Productora'!L20</f>
        <v>0</v>
      </c>
      <c r="J44" s="494"/>
      <c r="K44" s="494">
        <f>+'Unidad Productora'!N20</f>
        <v>0</v>
      </c>
      <c r="L44" s="494"/>
      <c r="M44" s="494"/>
      <c r="N44" s="494"/>
      <c r="O44" s="221"/>
      <c r="P44" s="221"/>
      <c r="Q44" s="269"/>
      <c r="R44" s="269"/>
      <c r="S44" s="269"/>
      <c r="T44" s="269"/>
    </row>
    <row r="45" spans="2:24" s="222" customFormat="1" ht="18.95" customHeight="1">
      <c r="B45" s="189"/>
      <c r="C45" s="268"/>
      <c r="D45" s="268"/>
      <c r="E45" s="268"/>
      <c r="F45" s="19"/>
      <c r="J45" s="19"/>
      <c r="K45" s="268"/>
      <c r="L45" s="305"/>
      <c r="M45" s="305"/>
      <c r="N45" s="221"/>
      <c r="O45" s="221"/>
      <c r="P45" s="221"/>
    </row>
    <row r="46" spans="2:24" s="222" customFormat="1" ht="18.95" customHeight="1">
      <c r="B46" s="189"/>
      <c r="C46" s="268"/>
      <c r="D46" s="268"/>
      <c r="E46" s="268"/>
      <c r="F46" s="19"/>
      <c r="J46" s="19"/>
      <c r="K46" s="268"/>
      <c r="L46" s="305"/>
      <c r="M46" s="305"/>
      <c r="N46" s="221"/>
      <c r="O46" s="221"/>
      <c r="P46" s="221"/>
    </row>
    <row r="47" spans="2:24" s="13" customFormat="1" ht="18.95" customHeight="1">
      <c r="B47" s="21" t="s">
        <v>122</v>
      </c>
      <c r="C47" s="22"/>
      <c r="D47" s="23"/>
      <c r="E47" s="23"/>
      <c r="F47" s="23"/>
      <c r="G47" s="79"/>
      <c r="H47" s="23"/>
      <c r="I47" s="23"/>
      <c r="J47" s="23"/>
      <c r="K47" s="23"/>
      <c r="L47" s="24"/>
      <c r="M47" s="24"/>
      <c r="N47" s="24"/>
    </row>
    <row r="48" spans="2:24" s="222" customFormat="1" ht="9" customHeight="1">
      <c r="B48" s="317"/>
      <c r="C48" s="305"/>
      <c r="D48" s="305"/>
      <c r="E48" s="302"/>
      <c r="F48" s="302"/>
      <c r="G48" s="302"/>
      <c r="H48" s="302"/>
      <c r="L48" s="221"/>
      <c r="M48" s="221"/>
      <c r="N48" s="221"/>
      <c r="O48" s="221"/>
      <c r="P48" s="221"/>
    </row>
    <row r="49" spans="2:17" s="222" customFormat="1" ht="27" customHeight="1">
      <c r="B49" s="670" t="s">
        <v>4459</v>
      </c>
      <c r="C49" s="670"/>
      <c r="D49" s="670"/>
      <c r="E49" s="670"/>
      <c r="F49" s="670"/>
      <c r="G49" s="670"/>
      <c r="H49" s="670"/>
      <c r="I49" s="670"/>
      <c r="J49" s="670"/>
      <c r="K49" s="670"/>
      <c r="L49" s="670"/>
      <c r="M49" s="670"/>
      <c r="N49" s="670"/>
      <c r="O49" s="221"/>
      <c r="P49" s="221"/>
    </row>
    <row r="50" spans="2:17" s="222" customFormat="1" ht="9" customHeight="1">
      <c r="B50" s="317"/>
      <c r="C50" s="305"/>
      <c r="D50" s="305"/>
      <c r="E50" s="302"/>
      <c r="F50" s="302"/>
      <c r="G50" s="302"/>
      <c r="H50" s="302"/>
      <c r="L50" s="221"/>
      <c r="M50" s="221"/>
      <c r="N50" s="221"/>
      <c r="O50" s="221"/>
      <c r="P50" s="221"/>
    </row>
    <row r="51" spans="2:17" s="222" customFormat="1" ht="18.95" customHeight="1">
      <c r="B51" s="318" t="s">
        <v>123</v>
      </c>
      <c r="F51" s="19"/>
      <c r="I51" s="19"/>
      <c r="J51" s="19"/>
      <c r="K51" s="268"/>
      <c r="L51" s="305"/>
      <c r="M51" s="305"/>
      <c r="N51" s="221"/>
      <c r="O51" s="221"/>
      <c r="P51" s="221"/>
    </row>
    <row r="52" spans="2:17" s="222" customFormat="1" ht="18.95" customHeight="1">
      <c r="B52" s="317"/>
      <c r="C52" s="305"/>
      <c r="D52" s="305"/>
      <c r="E52" s="302"/>
      <c r="F52" s="302"/>
      <c r="G52" s="302"/>
      <c r="H52" s="302"/>
      <c r="L52" s="221"/>
      <c r="M52" s="221"/>
      <c r="N52" s="221"/>
      <c r="O52" s="221"/>
      <c r="P52" s="221"/>
    </row>
    <row r="53" spans="2:17" s="222" customFormat="1" ht="18.95" customHeight="1">
      <c r="B53" s="552" t="s">
        <v>116</v>
      </c>
      <c r="C53" s="511" t="s">
        <v>65</v>
      </c>
      <c r="D53" s="511"/>
      <c r="E53" s="511" t="s">
        <v>4246</v>
      </c>
      <c r="F53" s="511"/>
      <c r="G53" s="535" t="s">
        <v>29</v>
      </c>
      <c r="H53" s="536"/>
      <c r="I53" s="536"/>
      <c r="J53" s="536"/>
      <c r="K53" s="537"/>
      <c r="L53" s="511" t="s">
        <v>4253</v>
      </c>
      <c r="M53" s="535" t="s">
        <v>4254</v>
      </c>
      <c r="N53" s="537"/>
    </row>
    <row r="54" spans="2:17" s="222" customFormat="1" ht="32.1" customHeight="1">
      <c r="B54" s="552"/>
      <c r="C54" s="511"/>
      <c r="D54" s="511"/>
      <c r="E54" s="511"/>
      <c r="F54" s="511"/>
      <c r="G54" s="538"/>
      <c r="H54" s="539"/>
      <c r="I54" s="539"/>
      <c r="J54" s="539"/>
      <c r="K54" s="540"/>
      <c r="L54" s="511"/>
      <c r="M54" s="538"/>
      <c r="N54" s="540"/>
    </row>
    <row r="55" spans="2:17" s="222" customFormat="1" ht="3" customHeight="1">
      <c r="B55" s="190"/>
      <c r="C55" s="189"/>
      <c r="E55" s="189"/>
      <c r="G55" s="302"/>
      <c r="P55" s="302"/>
      <c r="Q55" s="302"/>
    </row>
    <row r="56" spans="2:17" s="269" customFormat="1" ht="36.950000000000003" customHeight="1">
      <c r="B56" s="674" t="s">
        <v>4245</v>
      </c>
      <c r="C56" s="480" t="s">
        <v>66</v>
      </c>
      <c r="D56" s="482"/>
      <c r="E56" s="426" t="s">
        <v>4229</v>
      </c>
      <c r="F56" s="428"/>
      <c r="G56" s="567" t="s">
        <v>4231</v>
      </c>
      <c r="H56" s="594"/>
      <c r="I56" s="594"/>
      <c r="J56" s="594"/>
      <c r="K56" s="568"/>
      <c r="L56" s="156"/>
      <c r="M56" s="441"/>
      <c r="N56" s="443"/>
    </row>
    <row r="57" spans="2:17" s="269" customFormat="1" ht="36.950000000000003" customHeight="1">
      <c r="B57" s="675"/>
      <c r="C57" s="672"/>
      <c r="D57" s="673"/>
      <c r="E57" s="426" t="s">
        <v>4232</v>
      </c>
      <c r="F57" s="428"/>
      <c r="G57" s="567" t="s">
        <v>4233</v>
      </c>
      <c r="H57" s="594"/>
      <c r="I57" s="594"/>
      <c r="J57" s="594"/>
      <c r="K57" s="568"/>
      <c r="L57" s="156"/>
      <c r="M57" s="441"/>
      <c r="N57" s="443"/>
    </row>
    <row r="58" spans="2:17" s="269" customFormat="1" ht="36.950000000000003" customHeight="1">
      <c r="B58" s="675"/>
      <c r="C58" s="672"/>
      <c r="D58" s="673"/>
      <c r="E58" s="426" t="s">
        <v>4234</v>
      </c>
      <c r="F58" s="428"/>
      <c r="G58" s="567" t="s">
        <v>4235</v>
      </c>
      <c r="H58" s="594"/>
      <c r="I58" s="594"/>
      <c r="J58" s="594"/>
      <c r="K58" s="568"/>
      <c r="L58" s="156"/>
      <c r="M58" s="441"/>
      <c r="N58" s="443"/>
    </row>
    <row r="59" spans="2:17" s="269" customFormat="1" ht="60.95" customHeight="1">
      <c r="B59" s="675"/>
      <c r="C59" s="672"/>
      <c r="D59" s="673"/>
      <c r="E59" s="426" t="s">
        <v>4230</v>
      </c>
      <c r="F59" s="428"/>
      <c r="G59" s="567" t="s">
        <v>4250</v>
      </c>
      <c r="H59" s="594"/>
      <c r="I59" s="594"/>
      <c r="J59" s="594"/>
      <c r="K59" s="568"/>
      <c r="L59" s="156"/>
      <c r="M59" s="441"/>
      <c r="N59" s="443"/>
    </row>
    <row r="60" spans="2:17" s="269" customFormat="1" ht="62.1" customHeight="1">
      <c r="B60" s="675"/>
      <c r="C60" s="672"/>
      <c r="D60" s="673"/>
      <c r="E60" s="426" t="s">
        <v>4236</v>
      </c>
      <c r="F60" s="428"/>
      <c r="G60" s="567" t="s">
        <v>4237</v>
      </c>
      <c r="H60" s="594"/>
      <c r="I60" s="594"/>
      <c r="J60" s="594"/>
      <c r="K60" s="568"/>
      <c r="L60" s="156"/>
      <c r="M60" s="441"/>
      <c r="N60" s="443"/>
    </row>
    <row r="61" spans="2:17" s="269" customFormat="1" ht="36.950000000000003" customHeight="1">
      <c r="B61" s="675"/>
      <c r="C61" s="672"/>
      <c r="D61" s="673"/>
      <c r="E61" s="426" t="s">
        <v>4238</v>
      </c>
      <c r="F61" s="428"/>
      <c r="G61" s="567" t="s">
        <v>4239</v>
      </c>
      <c r="H61" s="594"/>
      <c r="I61" s="594"/>
      <c r="J61" s="594"/>
      <c r="K61" s="568"/>
      <c r="L61" s="156"/>
      <c r="M61" s="441"/>
      <c r="N61" s="443"/>
    </row>
    <row r="62" spans="2:17" s="269" customFormat="1" ht="36.950000000000003" customHeight="1">
      <c r="B62" s="675"/>
      <c r="C62" s="672"/>
      <c r="D62" s="673"/>
      <c r="E62" s="426" t="s">
        <v>4240</v>
      </c>
      <c r="F62" s="428"/>
      <c r="G62" s="567" t="s">
        <v>4241</v>
      </c>
      <c r="H62" s="594"/>
      <c r="I62" s="594"/>
      <c r="J62" s="594"/>
      <c r="K62" s="568"/>
      <c r="L62" s="156"/>
      <c r="M62" s="441"/>
      <c r="N62" s="443"/>
    </row>
    <row r="63" spans="2:17" s="269" customFormat="1" ht="48.95" customHeight="1">
      <c r="B63" s="675"/>
      <c r="C63" s="672"/>
      <c r="D63" s="673"/>
      <c r="E63" s="426" t="s">
        <v>4242</v>
      </c>
      <c r="F63" s="428"/>
      <c r="G63" s="567" t="s">
        <v>4243</v>
      </c>
      <c r="H63" s="594"/>
      <c r="I63" s="594"/>
      <c r="J63" s="594"/>
      <c r="K63" s="568"/>
      <c r="L63" s="156"/>
      <c r="M63" s="441"/>
      <c r="N63" s="443"/>
    </row>
    <row r="64" spans="2:17" s="269" customFormat="1" ht="48.95" customHeight="1">
      <c r="B64" s="675"/>
      <c r="C64" s="672"/>
      <c r="D64" s="673"/>
      <c r="E64" s="426" t="s">
        <v>4427</v>
      </c>
      <c r="F64" s="428"/>
      <c r="G64" s="521"/>
      <c r="H64" s="523"/>
      <c r="I64" s="523"/>
      <c r="J64" s="523"/>
      <c r="K64" s="522"/>
      <c r="L64" s="156"/>
      <c r="M64" s="441"/>
      <c r="N64" s="443"/>
    </row>
    <row r="65" spans="2:16" s="269" customFormat="1" ht="80.099999999999994" customHeight="1">
      <c r="B65" s="675"/>
      <c r="C65" s="435" t="s">
        <v>4462</v>
      </c>
      <c r="D65" s="437"/>
      <c r="E65" s="426" t="s">
        <v>4542</v>
      </c>
      <c r="F65" s="428"/>
      <c r="G65" s="567" t="s">
        <v>4244</v>
      </c>
      <c r="H65" s="594"/>
      <c r="I65" s="594"/>
      <c r="J65" s="594"/>
      <c r="K65" s="568"/>
      <c r="L65" s="156"/>
      <c r="M65" s="441"/>
      <c r="N65" s="443"/>
    </row>
    <row r="66" spans="2:16" s="269" customFormat="1" ht="75.95" customHeight="1">
      <c r="B66" s="675"/>
      <c r="C66" s="480" t="s">
        <v>137</v>
      </c>
      <c r="D66" s="482"/>
      <c r="E66" s="426" t="str">
        <f>+'Unidad Productora'!E49:F49</f>
        <v>Mobiliario de sala de cuidado diurno</v>
      </c>
      <c r="F66" s="428"/>
      <c r="G66" s="567" t="s">
        <v>4540</v>
      </c>
      <c r="H66" s="594"/>
      <c r="I66" s="594"/>
      <c r="J66" s="594"/>
      <c r="K66" s="568"/>
      <c r="L66" s="156"/>
      <c r="M66" s="441"/>
      <c r="N66" s="443"/>
    </row>
    <row r="67" spans="2:16" s="269" customFormat="1" ht="75.95" customHeight="1">
      <c r="B67" s="675"/>
      <c r="C67" s="672"/>
      <c r="D67" s="673"/>
      <c r="E67" s="426" t="str">
        <f>+'Unidad Productora'!E50:F50</f>
        <v>Mobiliario de ambiente de preparación y expendio de alimentos- Cuna Más</v>
      </c>
      <c r="F67" s="428"/>
      <c r="G67" s="567" t="s">
        <v>4541</v>
      </c>
      <c r="H67" s="594"/>
      <c r="I67" s="594"/>
      <c r="J67" s="594"/>
      <c r="K67" s="568"/>
      <c r="L67" s="156"/>
      <c r="M67" s="441"/>
      <c r="N67" s="443"/>
    </row>
    <row r="68" spans="2:16" s="269" customFormat="1" ht="48.95" customHeight="1">
      <c r="B68" s="676"/>
      <c r="C68" s="435" t="s">
        <v>124</v>
      </c>
      <c r="D68" s="437"/>
      <c r="E68" s="426" t="s">
        <v>4251</v>
      </c>
      <c r="F68" s="428"/>
      <c r="G68" s="567" t="s">
        <v>4252</v>
      </c>
      <c r="H68" s="594"/>
      <c r="I68" s="594"/>
      <c r="J68" s="594"/>
      <c r="K68" s="568"/>
      <c r="L68" s="156"/>
      <c r="M68" s="441"/>
      <c r="N68" s="443"/>
    </row>
    <row r="69" spans="2:16" s="222" customFormat="1" ht="48.95" customHeight="1">
      <c r="B69" s="317"/>
      <c r="C69" s="305"/>
      <c r="D69" s="305"/>
      <c r="E69" s="302"/>
      <c r="F69" s="302"/>
      <c r="G69" s="302"/>
      <c r="H69" s="302"/>
      <c r="L69" s="221"/>
      <c r="M69" s="221"/>
      <c r="N69" s="221"/>
      <c r="O69" s="221"/>
      <c r="P69" s="221"/>
    </row>
    <row r="70" spans="2:16" s="13" customFormat="1" ht="18.95" customHeight="1">
      <c r="B70" s="21" t="s">
        <v>125</v>
      </c>
      <c r="C70" s="22"/>
      <c r="D70" s="23"/>
      <c r="E70" s="23"/>
      <c r="F70" s="23"/>
      <c r="G70" s="79"/>
      <c r="H70" s="23"/>
      <c r="I70" s="23"/>
      <c r="J70" s="23"/>
      <c r="K70" s="23"/>
      <c r="L70" s="24"/>
      <c r="M70" s="24"/>
      <c r="N70" s="24"/>
    </row>
    <row r="71" spans="2:16" s="222" customFormat="1" ht="18.95" customHeight="1">
      <c r="B71" s="318"/>
      <c r="C71" s="268"/>
      <c r="D71" s="268"/>
      <c r="E71" s="268"/>
      <c r="F71" s="19"/>
      <c r="I71" s="19"/>
      <c r="J71" s="19"/>
      <c r="K71" s="268"/>
      <c r="L71" s="305"/>
      <c r="M71" s="305"/>
      <c r="N71" s="221"/>
      <c r="O71" s="221"/>
      <c r="P71" s="221"/>
    </row>
    <row r="72" spans="2:16" s="222" customFormat="1" ht="18" customHeight="1">
      <c r="B72" s="682" t="s">
        <v>4257</v>
      </c>
      <c r="C72" s="682"/>
      <c r="D72" s="682"/>
      <c r="E72" s="682"/>
      <c r="F72" s="682"/>
      <c r="G72" s="682"/>
      <c r="H72" s="682"/>
      <c r="I72" s="682"/>
      <c r="J72" s="682"/>
      <c r="K72" s="682"/>
      <c r="L72" s="682"/>
      <c r="M72" s="682"/>
      <c r="N72" s="682"/>
      <c r="O72" s="221"/>
      <c r="P72" s="221"/>
    </row>
    <row r="73" spans="2:16" s="222" customFormat="1" ht="3" customHeight="1">
      <c r="F73" s="19"/>
      <c r="I73" s="19"/>
      <c r="J73" s="19"/>
      <c r="K73" s="268"/>
      <c r="L73" s="305"/>
      <c r="M73" s="305"/>
      <c r="N73" s="221"/>
      <c r="O73" s="221"/>
      <c r="P73" s="221"/>
    </row>
    <row r="74" spans="2:16" s="13" customFormat="1" ht="81" customHeight="1">
      <c r="B74" s="677" t="s">
        <v>34</v>
      </c>
      <c r="C74" s="678"/>
      <c r="D74" s="227" t="s">
        <v>4259</v>
      </c>
      <c r="E74" s="227" t="s">
        <v>4260</v>
      </c>
      <c r="F74" s="227" t="s">
        <v>4261</v>
      </c>
      <c r="G74" s="679" t="s">
        <v>4262</v>
      </c>
      <c r="H74" s="680"/>
      <c r="I74" s="680"/>
      <c r="J74" s="680"/>
      <c r="K74" s="680"/>
      <c r="L74" s="680"/>
      <c r="M74" s="680"/>
      <c r="N74" s="681"/>
    </row>
    <row r="75" spans="2:16" s="13" customFormat="1" ht="3" customHeight="1">
      <c r="L75" s="17"/>
    </row>
    <row r="76" spans="2:16" s="13" customFormat="1" ht="27.95" customHeight="1">
      <c r="B76" s="444" t="str">
        <f>+'Unidad Productora'!B128:F128</f>
        <v/>
      </c>
      <c r="C76" s="446"/>
      <c r="D76" s="201">
        <f>+'Unidad Productora'!G128</f>
        <v>0</v>
      </c>
      <c r="E76" s="201">
        <f>+'Unidad Productora'!H128</f>
        <v>0</v>
      </c>
      <c r="F76" s="201" t="str">
        <f>+IF('Unidad Productora'!I128="","",IF('Unidad Productora'!I128="No","Alto","Bajo"))</f>
        <v/>
      </c>
      <c r="G76" s="462"/>
      <c r="H76" s="463"/>
      <c r="I76" s="463"/>
      <c r="J76" s="463"/>
      <c r="K76" s="463"/>
      <c r="L76" s="463"/>
      <c r="M76" s="463"/>
      <c r="N76" s="464"/>
    </row>
    <row r="77" spans="2:16" s="13" customFormat="1" ht="27.95" customHeight="1">
      <c r="B77" s="444" t="str">
        <f>+'Unidad Productora'!B129:F129</f>
        <v/>
      </c>
      <c r="C77" s="446"/>
      <c r="D77" s="201">
        <f>+'Unidad Productora'!G129</f>
        <v>0</v>
      </c>
      <c r="E77" s="201">
        <f>+'Unidad Productora'!H129</f>
        <v>0</v>
      </c>
      <c r="F77" s="201" t="str">
        <f>+IF('Unidad Productora'!I129="","",IF('Unidad Productora'!I129="No","Alto","Bajo"))</f>
        <v/>
      </c>
      <c r="G77" s="462"/>
      <c r="H77" s="463"/>
      <c r="I77" s="463"/>
      <c r="J77" s="463"/>
      <c r="K77" s="463"/>
      <c r="L77" s="463"/>
      <c r="M77" s="463"/>
      <c r="N77" s="464"/>
    </row>
    <row r="78" spans="2:16" s="13" customFormat="1" ht="27.95" customHeight="1">
      <c r="B78" s="444" t="str">
        <f>+'Unidad Productora'!B130:F130</f>
        <v/>
      </c>
      <c r="C78" s="446"/>
      <c r="D78" s="201">
        <f>+'Unidad Productora'!G130</f>
        <v>0</v>
      </c>
      <c r="E78" s="201">
        <f>+'Unidad Productora'!H130</f>
        <v>0</v>
      </c>
      <c r="F78" s="201" t="str">
        <f>+IF('Unidad Productora'!I130="","",IF('Unidad Productora'!I130="No","Alto","Bajo"))</f>
        <v/>
      </c>
      <c r="G78" s="462"/>
      <c r="H78" s="463"/>
      <c r="I78" s="463"/>
      <c r="J78" s="463"/>
      <c r="K78" s="463"/>
      <c r="L78" s="463"/>
      <c r="M78" s="463"/>
      <c r="N78" s="464"/>
    </row>
    <row r="79" spans="2:16" s="13" customFormat="1" ht="27.95" customHeight="1">
      <c r="B79" s="444" t="str">
        <f>+'Unidad Productora'!B131:F131</f>
        <v/>
      </c>
      <c r="C79" s="446"/>
      <c r="D79" s="201">
        <f>+'Unidad Productora'!G131</f>
        <v>0</v>
      </c>
      <c r="E79" s="201">
        <f>+'Unidad Productora'!H131</f>
        <v>0</v>
      </c>
      <c r="F79" s="201" t="str">
        <f>+IF('Unidad Productora'!I131="","",IF('Unidad Productora'!I131="No","Alto","Bajo"))</f>
        <v/>
      </c>
      <c r="G79" s="462"/>
      <c r="H79" s="463"/>
      <c r="I79" s="463"/>
      <c r="J79" s="463"/>
      <c r="K79" s="463"/>
      <c r="L79" s="463"/>
      <c r="M79" s="463"/>
      <c r="N79" s="464"/>
    </row>
    <row r="80" spans="2:16" s="13" customFormat="1" ht="27.95" customHeight="1">
      <c r="B80" s="444" t="str">
        <f>+'Unidad Productora'!B132:F132</f>
        <v/>
      </c>
      <c r="C80" s="446"/>
      <c r="D80" s="201">
        <f>+'Unidad Productora'!G132</f>
        <v>0</v>
      </c>
      <c r="E80" s="201">
        <f>+'Unidad Productora'!H132</f>
        <v>0</v>
      </c>
      <c r="F80" s="201" t="str">
        <f>+IF('Unidad Productora'!I132="","",IF('Unidad Productora'!I132="No","Alto","Bajo"))</f>
        <v/>
      </c>
      <c r="G80" s="462"/>
      <c r="H80" s="463"/>
      <c r="I80" s="463"/>
      <c r="J80" s="463"/>
      <c r="K80" s="463"/>
      <c r="L80" s="463"/>
      <c r="M80" s="463"/>
      <c r="N80" s="464"/>
    </row>
    <row r="81" spans="2:16" s="13" customFormat="1" ht="27.95" customHeight="1">
      <c r="B81" s="444" t="str">
        <f>+'Unidad Productora'!B133:F133</f>
        <v/>
      </c>
      <c r="C81" s="446"/>
      <c r="D81" s="201">
        <f>+'Unidad Productora'!G133</f>
        <v>0</v>
      </c>
      <c r="E81" s="201">
        <f>+'Unidad Productora'!H133</f>
        <v>0</v>
      </c>
      <c r="F81" s="201" t="str">
        <f>+IF('Unidad Productora'!I133="","",IF('Unidad Productora'!I133="No","Alto","Bajo"))</f>
        <v/>
      </c>
      <c r="G81" s="462"/>
      <c r="H81" s="463"/>
      <c r="I81" s="463"/>
      <c r="J81" s="463"/>
      <c r="K81" s="463"/>
      <c r="L81" s="463"/>
      <c r="M81" s="463"/>
      <c r="N81" s="464"/>
    </row>
    <row r="82" spans="2:16" s="13" customFormat="1" ht="27.95" customHeight="1">
      <c r="B82" s="444" t="str">
        <f>+'Unidad Productora'!B134:F134</f>
        <v/>
      </c>
      <c r="C82" s="446"/>
      <c r="D82" s="201">
        <f>+'Unidad Productora'!G134</f>
        <v>0</v>
      </c>
      <c r="E82" s="201">
        <f>+'Unidad Productora'!H134</f>
        <v>0</v>
      </c>
      <c r="F82" s="201" t="str">
        <f>+IF('Unidad Productora'!I134="","",IF('Unidad Productora'!I134="No","Alto","Bajo"))</f>
        <v/>
      </c>
      <c r="G82" s="462"/>
      <c r="H82" s="463"/>
      <c r="I82" s="463"/>
      <c r="J82" s="463"/>
      <c r="K82" s="463"/>
      <c r="L82" s="463"/>
      <c r="M82" s="463"/>
      <c r="N82" s="464"/>
    </row>
    <row r="83" spans="2:16" s="13" customFormat="1" ht="27.95" customHeight="1">
      <c r="B83" s="444" t="str">
        <f>+'Unidad Productora'!B135:F135</f>
        <v/>
      </c>
      <c r="C83" s="446"/>
      <c r="D83" s="201">
        <f>+'Unidad Productora'!G135</f>
        <v>0</v>
      </c>
      <c r="E83" s="201">
        <f>+'Unidad Productora'!H135</f>
        <v>0</v>
      </c>
      <c r="F83" s="201" t="str">
        <f>+IF('Unidad Productora'!I135="","",IF('Unidad Productora'!I135="No","Alto","Bajo"))</f>
        <v/>
      </c>
      <c r="G83" s="462"/>
      <c r="H83" s="463"/>
      <c r="I83" s="463"/>
      <c r="J83" s="463"/>
      <c r="K83" s="463"/>
      <c r="L83" s="463"/>
      <c r="M83" s="463"/>
      <c r="N83" s="464"/>
    </row>
    <row r="84" spans="2:16" s="13" customFormat="1" ht="27.95" customHeight="1">
      <c r="B84" s="444" t="str">
        <f>+'Unidad Productora'!B136:F136</f>
        <v/>
      </c>
      <c r="C84" s="446"/>
      <c r="D84" s="201">
        <f>+'Unidad Productora'!G136</f>
        <v>0</v>
      </c>
      <c r="E84" s="201">
        <f>+'Unidad Productora'!H136</f>
        <v>0</v>
      </c>
      <c r="F84" s="201" t="str">
        <f>+IF('Unidad Productora'!I136="","",IF('Unidad Productora'!I136="No","Alto","Bajo"))</f>
        <v/>
      </c>
      <c r="G84" s="462"/>
      <c r="H84" s="463"/>
      <c r="I84" s="463"/>
      <c r="J84" s="463"/>
      <c r="K84" s="463"/>
      <c r="L84" s="463"/>
      <c r="M84" s="463"/>
      <c r="N84" s="464"/>
    </row>
    <row r="85" spans="2:16" s="13" customFormat="1" ht="27.95" customHeight="1">
      <c r="B85" s="444" t="str">
        <f>+'Unidad Productora'!B137:F137</f>
        <v/>
      </c>
      <c r="C85" s="446"/>
      <c r="D85" s="201">
        <f>+'Unidad Productora'!G137</f>
        <v>0</v>
      </c>
      <c r="E85" s="201">
        <f>+'Unidad Productora'!H137</f>
        <v>0</v>
      </c>
      <c r="F85" s="201" t="str">
        <f>+IF('Unidad Productora'!I137="","",IF('Unidad Productora'!I137="No","Alto","Bajo"))</f>
        <v/>
      </c>
      <c r="G85" s="462"/>
      <c r="H85" s="463"/>
      <c r="I85" s="463"/>
      <c r="J85" s="463"/>
      <c r="K85" s="463"/>
      <c r="L85" s="463"/>
      <c r="M85" s="463"/>
      <c r="N85" s="464"/>
    </row>
    <row r="86" spans="2:16" s="13" customFormat="1" ht="27.95" customHeight="1">
      <c r="B86" s="444" t="str">
        <f>+'Unidad Productora'!B138:F138</f>
        <v/>
      </c>
      <c r="C86" s="446"/>
      <c r="D86" s="201">
        <f>+'Unidad Productora'!G138</f>
        <v>0</v>
      </c>
      <c r="E86" s="201">
        <f>+'Unidad Productora'!H138</f>
        <v>0</v>
      </c>
      <c r="F86" s="201" t="str">
        <f>+IF('Unidad Productora'!I138="","",IF('Unidad Productora'!I138="No","Alto","Bajo"))</f>
        <v/>
      </c>
      <c r="G86" s="462"/>
      <c r="H86" s="463"/>
      <c r="I86" s="463"/>
      <c r="J86" s="463"/>
      <c r="K86" s="463"/>
      <c r="L86" s="463"/>
      <c r="M86" s="463"/>
      <c r="N86" s="464"/>
    </row>
    <row r="87" spans="2:16" s="13" customFormat="1" ht="27.95" customHeight="1">
      <c r="B87" s="444" t="str">
        <f>+'Unidad Productora'!B139:F139</f>
        <v/>
      </c>
      <c r="C87" s="446"/>
      <c r="D87" s="201">
        <f>+'Unidad Productora'!G139</f>
        <v>0</v>
      </c>
      <c r="E87" s="201">
        <f>+'Unidad Productora'!H139</f>
        <v>0</v>
      </c>
      <c r="F87" s="201" t="str">
        <f>+IF('Unidad Productora'!I139="","",IF('Unidad Productora'!I139="No","Alto","Bajo"))</f>
        <v/>
      </c>
      <c r="G87" s="462"/>
      <c r="H87" s="463"/>
      <c r="I87" s="463"/>
      <c r="J87" s="463"/>
      <c r="K87" s="463"/>
      <c r="L87" s="463"/>
      <c r="M87" s="463"/>
      <c r="N87" s="464"/>
    </row>
    <row r="88" spans="2:16" s="13" customFormat="1" ht="27.95" customHeight="1">
      <c r="B88" s="444" t="str">
        <f>+'Unidad Productora'!B140:F140</f>
        <v/>
      </c>
      <c r="C88" s="446"/>
      <c r="D88" s="201">
        <f>+'Unidad Productora'!G140</f>
        <v>0</v>
      </c>
      <c r="E88" s="201">
        <f>+'Unidad Productora'!H140</f>
        <v>0</v>
      </c>
      <c r="F88" s="201" t="str">
        <f>+IF('Unidad Productora'!I140="","",IF('Unidad Productora'!I140="No","Alto","Bajo"))</f>
        <v/>
      </c>
      <c r="G88" s="462"/>
      <c r="H88" s="463"/>
      <c r="I88" s="463"/>
      <c r="J88" s="463"/>
      <c r="K88" s="463"/>
      <c r="L88" s="463"/>
      <c r="M88" s="463"/>
      <c r="N88" s="464"/>
    </row>
    <row r="89" spans="2:16" s="13" customFormat="1" ht="27.95" customHeight="1">
      <c r="B89" s="444" t="str">
        <f>+'Unidad Productora'!B141:F141</f>
        <v/>
      </c>
      <c r="C89" s="446"/>
      <c r="D89" s="201">
        <f>+'Unidad Productora'!G141</f>
        <v>0</v>
      </c>
      <c r="E89" s="201">
        <f>+'Unidad Productora'!H141</f>
        <v>0</v>
      </c>
      <c r="F89" s="201" t="str">
        <f>+IF('Unidad Productora'!I141="","",IF('Unidad Productora'!I141="No","Alto","Bajo"))</f>
        <v/>
      </c>
      <c r="G89" s="462"/>
      <c r="H89" s="463"/>
      <c r="I89" s="463"/>
      <c r="J89" s="463"/>
      <c r="K89" s="463"/>
      <c r="L89" s="463"/>
      <c r="M89" s="463"/>
      <c r="N89" s="464"/>
    </row>
    <row r="90" spans="2:16" s="13" customFormat="1" ht="27.95" customHeight="1">
      <c r="B90" s="444" t="str">
        <f>+'Unidad Productora'!B142:F142</f>
        <v/>
      </c>
      <c r="C90" s="446"/>
      <c r="D90" s="201">
        <f>+'Unidad Productora'!G142</f>
        <v>0</v>
      </c>
      <c r="E90" s="201">
        <f>+'Unidad Productora'!H142</f>
        <v>0</v>
      </c>
      <c r="F90" s="201" t="str">
        <f>+IF('Unidad Productora'!I142="","",IF('Unidad Productora'!I142="No","Alto","Bajo"))</f>
        <v/>
      </c>
      <c r="G90" s="462"/>
      <c r="H90" s="463"/>
      <c r="I90" s="463"/>
      <c r="J90" s="463"/>
      <c r="K90" s="463"/>
      <c r="L90" s="463"/>
      <c r="M90" s="463"/>
      <c r="N90" s="464"/>
    </row>
    <row r="91" spans="2:16" s="13" customFormat="1" ht="27.95" customHeight="1">
      <c r="B91" s="444" t="str">
        <f>+'Unidad Productora'!B143:F143</f>
        <v/>
      </c>
      <c r="C91" s="446"/>
      <c r="D91" s="201">
        <f>+'Unidad Productora'!G143</f>
        <v>0</v>
      </c>
      <c r="E91" s="201">
        <f>+'Unidad Productora'!H143</f>
        <v>0</v>
      </c>
      <c r="F91" s="201" t="str">
        <f>+IF('Unidad Productora'!I143="","",IF('Unidad Productora'!I143="No","Alto","Bajo"))</f>
        <v/>
      </c>
      <c r="G91" s="462"/>
      <c r="H91" s="463"/>
      <c r="I91" s="463"/>
      <c r="J91" s="463"/>
      <c r="K91" s="463"/>
      <c r="L91" s="463"/>
      <c r="M91" s="463"/>
      <c r="N91" s="464"/>
    </row>
    <row r="92" spans="2:16" s="13" customFormat="1" ht="18" customHeight="1">
      <c r="L92" s="17"/>
    </row>
    <row r="93" spans="2:16" s="13" customFormat="1" ht="18.95" customHeight="1">
      <c r="B93" s="21" t="s">
        <v>126</v>
      </c>
      <c r="C93" s="22"/>
      <c r="D93" s="23"/>
      <c r="E93" s="23"/>
      <c r="F93" s="23"/>
      <c r="G93" s="79"/>
      <c r="H93" s="23"/>
      <c r="I93" s="23"/>
      <c r="J93" s="23"/>
      <c r="K93" s="23"/>
      <c r="L93" s="24"/>
      <c r="M93" s="24"/>
      <c r="N93" s="24"/>
    </row>
    <row r="94" spans="2:16" s="222" customFormat="1" ht="18.95" customHeight="1">
      <c r="B94" s="300"/>
      <c r="C94" s="268"/>
      <c r="D94" s="268"/>
      <c r="E94" s="268"/>
      <c r="F94" s="19"/>
      <c r="I94" s="19"/>
      <c r="J94" s="19"/>
      <c r="K94" s="268"/>
      <c r="L94" s="305"/>
      <c r="M94" s="305"/>
      <c r="N94" s="221"/>
      <c r="O94" s="13"/>
      <c r="P94" s="221"/>
    </row>
    <row r="95" spans="2:16" s="222" customFormat="1" ht="24.95" customHeight="1">
      <c r="B95" s="671" t="s">
        <v>4457</v>
      </c>
      <c r="C95" s="671"/>
      <c r="D95" s="671" t="s">
        <v>127</v>
      </c>
      <c r="E95" s="671"/>
      <c r="F95" s="671"/>
      <c r="G95" s="671"/>
      <c r="H95" s="671"/>
      <c r="I95" s="671"/>
      <c r="J95" s="671"/>
      <c r="K95" s="671"/>
      <c r="L95" s="671"/>
      <c r="M95" s="671"/>
      <c r="N95" s="671"/>
      <c r="O95" s="13"/>
    </row>
    <row r="96" spans="2:16" s="222" customFormat="1" ht="24.95" customHeight="1">
      <c r="B96" s="671"/>
      <c r="C96" s="671"/>
      <c r="D96" s="552" t="s">
        <v>128</v>
      </c>
      <c r="E96" s="552"/>
      <c r="F96" s="552" t="s">
        <v>129</v>
      </c>
      <c r="G96" s="552"/>
      <c r="H96" s="552" t="s">
        <v>4269</v>
      </c>
      <c r="I96" s="552"/>
      <c r="J96" s="552"/>
      <c r="K96" s="552"/>
      <c r="L96" s="552"/>
      <c r="M96" s="552"/>
      <c r="N96" s="552"/>
      <c r="O96" s="13"/>
    </row>
    <row r="97" spans="2:18" s="222" customFormat="1" ht="3" customHeight="1">
      <c r="B97" s="19"/>
      <c r="D97" s="19"/>
      <c r="F97" s="19"/>
      <c r="H97" s="19"/>
      <c r="O97" s="13"/>
      <c r="R97" s="319"/>
    </row>
    <row r="98" spans="2:18" s="222" customFormat="1" ht="77.099999999999994" customHeight="1">
      <c r="B98" s="493" t="s">
        <v>4266</v>
      </c>
      <c r="C98" s="493"/>
      <c r="D98" s="494" t="str">
        <f>+H12&amp;", "&amp;G11&amp;" niños y niñas"</f>
        <v>, 0 niños y niñas</v>
      </c>
      <c r="E98" s="494"/>
      <c r="F98" s="494" t="str">
        <f>+I44&amp;", Coordenadas: "&amp;K44</f>
        <v>0, Coordenadas: 0</v>
      </c>
      <c r="G98" s="494"/>
      <c r="H98" s="686"/>
      <c r="I98" s="686"/>
      <c r="J98" s="686"/>
      <c r="K98" s="686"/>
      <c r="L98" s="686"/>
      <c r="M98" s="686"/>
      <c r="N98" s="686"/>
      <c r="O98" s="13"/>
    </row>
    <row r="99" spans="2:18" s="222" customFormat="1" ht="77.099999999999994" customHeight="1">
      <c r="B99" s="493" t="s">
        <v>4267</v>
      </c>
      <c r="C99" s="493"/>
      <c r="D99" s="494" t="str">
        <f>+D98</f>
        <v>, 0 niños y niñas</v>
      </c>
      <c r="E99" s="494"/>
      <c r="F99" s="494" t="str">
        <f>+F98</f>
        <v>0, Coordenadas: 0</v>
      </c>
      <c r="G99" s="494"/>
      <c r="H99" s="441"/>
      <c r="I99" s="442"/>
      <c r="J99" s="442"/>
      <c r="K99" s="442"/>
      <c r="L99" s="442"/>
      <c r="M99" s="442"/>
      <c r="N99" s="443"/>
      <c r="O99" s="13"/>
    </row>
    <row r="100" spans="2:18" s="222" customFormat="1" ht="77.099999999999994" customHeight="1">
      <c r="B100" s="493" t="s">
        <v>4268</v>
      </c>
      <c r="C100" s="493"/>
      <c r="D100" s="494" t="str">
        <f>+D99</f>
        <v>, 0 niños y niñas</v>
      </c>
      <c r="E100" s="494"/>
      <c r="F100" s="494" t="str">
        <f>+F99</f>
        <v>0, Coordenadas: 0</v>
      </c>
      <c r="G100" s="494"/>
      <c r="H100" s="707"/>
      <c r="I100" s="707"/>
      <c r="J100" s="707"/>
      <c r="K100" s="707"/>
      <c r="L100" s="707"/>
      <c r="M100" s="707"/>
      <c r="N100" s="707"/>
      <c r="O100" s="13"/>
    </row>
    <row r="101" spans="2:18" s="222" customFormat="1" ht="18.95" customHeight="1">
      <c r="B101" s="300"/>
      <c r="C101" s="268"/>
      <c r="D101" s="268"/>
      <c r="E101" s="268"/>
      <c r="F101" s="19"/>
      <c r="I101" s="19"/>
      <c r="J101" s="19"/>
      <c r="K101" s="268"/>
      <c r="L101" s="305"/>
      <c r="M101" s="305"/>
      <c r="N101" s="221"/>
      <c r="O101" s="221"/>
      <c r="P101" s="221"/>
      <c r="R101" s="319"/>
    </row>
    <row r="102" spans="2:18" s="222" customFormat="1" ht="18.95" customHeight="1">
      <c r="K102" s="268"/>
      <c r="L102" s="305"/>
      <c r="M102" s="305"/>
      <c r="N102" s="221"/>
      <c r="O102" s="221"/>
      <c r="P102" s="221"/>
    </row>
    <row r="103" spans="2:18" s="13" customFormat="1" ht="18.95" customHeight="1">
      <c r="B103" s="21" t="s">
        <v>4372</v>
      </c>
      <c r="C103" s="22"/>
      <c r="D103" s="23"/>
      <c r="E103" s="23"/>
      <c r="F103" s="23"/>
      <c r="G103" s="79"/>
      <c r="H103" s="23"/>
      <c r="I103" s="23"/>
      <c r="J103" s="23"/>
      <c r="K103" s="23"/>
      <c r="L103" s="24"/>
      <c r="M103" s="24"/>
      <c r="N103" s="24"/>
    </row>
    <row r="104" spans="2:18" s="222" customFormat="1" ht="18.95" customHeight="1">
      <c r="B104" s="300"/>
      <c r="C104" s="268"/>
      <c r="D104" s="268"/>
      <c r="E104" s="268"/>
      <c r="F104" s="19"/>
      <c r="I104" s="19"/>
      <c r="J104" s="19"/>
      <c r="K104" s="268"/>
      <c r="L104" s="305"/>
      <c r="M104" s="305"/>
      <c r="N104" s="221"/>
      <c r="O104" s="221"/>
      <c r="P104" s="221"/>
    </row>
    <row r="105" spans="2:18" s="322" customFormat="1" ht="18" customHeight="1">
      <c r="B105" s="695" t="s">
        <v>4270</v>
      </c>
      <c r="C105" s="695"/>
      <c r="D105" s="320" t="str">
        <f>+'Problema-Objetivo'!C40</f>
        <v/>
      </c>
      <c r="E105" s="321"/>
      <c r="F105" s="321"/>
      <c r="G105" s="321"/>
      <c r="H105" s="321"/>
      <c r="I105" s="321"/>
      <c r="J105" s="321"/>
      <c r="K105" s="321"/>
      <c r="L105" s="321"/>
      <c r="M105" s="321"/>
      <c r="N105" s="321"/>
    </row>
    <row r="106" spans="2:18" s="322" customFormat="1" ht="18" customHeight="1">
      <c r="B106" s="323"/>
    </row>
    <row r="107" spans="2:18" s="322" customFormat="1" ht="18" customHeight="1">
      <c r="B107" s="323" t="s">
        <v>4201</v>
      </c>
    </row>
    <row r="108" spans="2:18" s="322" customFormat="1" ht="36" customHeight="1">
      <c r="B108" s="691" t="s">
        <v>130</v>
      </c>
      <c r="C108" s="691"/>
      <c r="D108" s="698" t="s">
        <v>131</v>
      </c>
      <c r="E108" s="700" t="s">
        <v>140</v>
      </c>
      <c r="F108" s="701"/>
      <c r="G108" s="701"/>
      <c r="H108" s="701"/>
      <c r="I108" s="702"/>
      <c r="J108" s="691" t="s">
        <v>4432</v>
      </c>
      <c r="K108" s="691" t="s">
        <v>132</v>
      </c>
      <c r="L108" s="691"/>
      <c r="M108" s="691" t="s">
        <v>133</v>
      </c>
      <c r="N108" s="691"/>
    </row>
    <row r="109" spans="2:18" s="322" customFormat="1" ht="50.1" customHeight="1">
      <c r="B109" s="691"/>
      <c r="C109" s="691"/>
      <c r="D109" s="699"/>
      <c r="E109" s="703"/>
      <c r="F109" s="704"/>
      <c r="G109" s="704"/>
      <c r="H109" s="704"/>
      <c r="I109" s="705"/>
      <c r="J109" s="691"/>
      <c r="K109" s="324" t="s">
        <v>134</v>
      </c>
      <c r="L109" s="325" t="s">
        <v>135</v>
      </c>
      <c r="M109" s="324" t="s">
        <v>134</v>
      </c>
      <c r="N109" s="325" t="s">
        <v>135</v>
      </c>
    </row>
    <row r="110" spans="2:18" s="322" customFormat="1" ht="32.1" customHeight="1">
      <c r="B110" s="696"/>
      <c r="C110" s="697"/>
      <c r="D110" s="326" t="s">
        <v>66</v>
      </c>
      <c r="E110" s="692" t="str">
        <f t="shared" ref="E110:E118" si="0">+E56</f>
        <v xml:space="preserve">Sala de cuidado diurno </v>
      </c>
      <c r="F110" s="693"/>
      <c r="G110" s="693"/>
      <c r="H110" s="693"/>
      <c r="I110" s="694"/>
      <c r="J110" s="327" t="str">
        <f>+IF($H$11="","",VLOOKUP(E110,Infraestructura!$BI$3:$BS$11,$L$11,FALSE))</f>
        <v/>
      </c>
      <c r="K110" s="328" t="s">
        <v>4263</v>
      </c>
      <c r="L110" s="155"/>
      <c r="M110" s="328" t="s">
        <v>136</v>
      </c>
      <c r="N110" s="155"/>
      <c r="O110" s="329"/>
    </row>
    <row r="111" spans="2:18" s="322" customFormat="1" ht="32.1" customHeight="1">
      <c r="B111" s="696"/>
      <c r="C111" s="697"/>
      <c r="D111" s="326" t="s">
        <v>66</v>
      </c>
      <c r="E111" s="692" t="str">
        <f t="shared" si="0"/>
        <v xml:space="preserve">Sala de usos múltiples </v>
      </c>
      <c r="F111" s="693"/>
      <c r="G111" s="693"/>
      <c r="H111" s="693"/>
      <c r="I111" s="694"/>
      <c r="J111" s="327" t="str">
        <f>+IF($H$11="","",VLOOKUP(E111,Infraestructura!$BI$3:$BS$11,$L$11,FALSE))</f>
        <v/>
      </c>
      <c r="K111" s="191" t="s">
        <v>4263</v>
      </c>
      <c r="L111" s="155"/>
      <c r="M111" s="328" t="s">
        <v>136</v>
      </c>
      <c r="N111" s="155"/>
      <c r="O111" s="329"/>
    </row>
    <row r="112" spans="2:18" s="322" customFormat="1" ht="32.1" customHeight="1">
      <c r="B112" s="696"/>
      <c r="C112" s="697"/>
      <c r="D112" s="326" t="s">
        <v>66</v>
      </c>
      <c r="E112" s="692" t="str">
        <f t="shared" si="0"/>
        <v xml:space="preserve">Ambiente de recreación activa </v>
      </c>
      <c r="F112" s="693"/>
      <c r="G112" s="693"/>
      <c r="H112" s="693"/>
      <c r="I112" s="694"/>
      <c r="J112" s="327" t="str">
        <f>+IF($H$11="","",VLOOKUP(E112,Infraestructura!$BI$3:$BS$11,$L$11,FALSE))</f>
        <v/>
      </c>
      <c r="K112" s="191" t="s">
        <v>4099</v>
      </c>
      <c r="L112" s="155"/>
      <c r="M112" s="328" t="s">
        <v>136</v>
      </c>
      <c r="N112" s="155"/>
      <c r="O112" s="329"/>
    </row>
    <row r="113" spans="2:26" s="322" customFormat="1" ht="32.1" customHeight="1">
      <c r="B113" s="696"/>
      <c r="C113" s="697"/>
      <c r="D113" s="326" t="s">
        <v>66</v>
      </c>
      <c r="E113" s="692" t="str">
        <f t="shared" si="0"/>
        <v xml:space="preserve">Ambiente de servicios generales </v>
      </c>
      <c r="F113" s="693"/>
      <c r="G113" s="693"/>
      <c r="H113" s="693"/>
      <c r="I113" s="694"/>
      <c r="J113" s="327" t="str">
        <f>+IF($H$11="","",VLOOKUP(E113,Infraestructura!$BI$3:$BS$11,$L$11,FALSE))</f>
        <v/>
      </c>
      <c r="K113" s="191" t="s">
        <v>4099</v>
      </c>
      <c r="L113" s="155"/>
      <c r="M113" s="328" t="s">
        <v>136</v>
      </c>
      <c r="N113" s="155"/>
      <c r="O113" s="329"/>
    </row>
    <row r="114" spans="2:26" s="322" customFormat="1" ht="32.1" customHeight="1">
      <c r="B114" s="696"/>
      <c r="C114" s="697"/>
      <c r="D114" s="326" t="s">
        <v>66</v>
      </c>
      <c r="E114" s="692" t="str">
        <f t="shared" si="0"/>
        <v xml:space="preserve">Ambiente de preparación y expendio de alimentos </v>
      </c>
      <c r="F114" s="693"/>
      <c r="G114" s="693"/>
      <c r="H114" s="693"/>
      <c r="I114" s="694"/>
      <c r="J114" s="327" t="str">
        <f>+IF($H$11="","",VLOOKUP(E114,Infraestructura!$BI$3:$BS$11,$L$11,FALSE))</f>
        <v/>
      </c>
      <c r="K114" s="191" t="s">
        <v>4099</v>
      </c>
      <c r="L114" s="155"/>
      <c r="M114" s="328" t="s">
        <v>136</v>
      </c>
      <c r="N114" s="155"/>
      <c r="O114" s="329"/>
    </row>
    <row r="115" spans="2:26" s="322" customFormat="1" ht="32.1" customHeight="1">
      <c r="B115" s="696"/>
      <c r="C115" s="697"/>
      <c r="D115" s="326" t="s">
        <v>66</v>
      </c>
      <c r="E115" s="692" t="str">
        <f t="shared" si="0"/>
        <v xml:space="preserve">Almacén </v>
      </c>
      <c r="F115" s="693"/>
      <c r="G115" s="693"/>
      <c r="H115" s="693"/>
      <c r="I115" s="694"/>
      <c r="J115" s="327" t="str">
        <f>+IF($H$11="","",VLOOKUP(E115,Infraestructura!$BI$3:$BS$11,$L$11,FALSE))</f>
        <v/>
      </c>
      <c r="K115" s="191" t="s">
        <v>4428</v>
      </c>
      <c r="L115" s="155"/>
      <c r="M115" s="328" t="s">
        <v>136</v>
      </c>
      <c r="N115" s="155"/>
      <c r="O115" s="329"/>
    </row>
    <row r="116" spans="2:26" s="322" customFormat="1" ht="32.1" customHeight="1">
      <c r="B116" s="696"/>
      <c r="C116" s="697"/>
      <c r="D116" s="326" t="s">
        <v>66</v>
      </c>
      <c r="E116" s="692" t="str">
        <f t="shared" si="0"/>
        <v xml:space="preserve">Cerco perimétrico </v>
      </c>
      <c r="F116" s="693"/>
      <c r="G116" s="693"/>
      <c r="H116" s="693"/>
      <c r="I116" s="694"/>
      <c r="J116" s="330"/>
      <c r="K116" s="191" t="s">
        <v>4429</v>
      </c>
      <c r="L116" s="155"/>
      <c r="M116" s="328" t="s">
        <v>4431</v>
      </c>
      <c r="N116" s="155"/>
      <c r="O116" s="329"/>
    </row>
    <row r="117" spans="2:26" s="322" customFormat="1" ht="32.1" customHeight="1">
      <c r="B117" s="696"/>
      <c r="C117" s="697"/>
      <c r="D117" s="326" t="s">
        <v>66</v>
      </c>
      <c r="E117" s="692" t="str">
        <f t="shared" si="0"/>
        <v xml:space="preserve">Muro de contención </v>
      </c>
      <c r="F117" s="693"/>
      <c r="G117" s="693"/>
      <c r="H117" s="693"/>
      <c r="I117" s="694"/>
      <c r="J117" s="330"/>
      <c r="K117" s="191" t="s">
        <v>4429</v>
      </c>
      <c r="L117" s="155"/>
      <c r="M117" s="328" t="s">
        <v>4430</v>
      </c>
      <c r="N117" s="155"/>
      <c r="O117" s="329"/>
    </row>
    <row r="118" spans="2:26" s="322" customFormat="1" ht="32.1" customHeight="1">
      <c r="B118" s="696"/>
      <c r="C118" s="697"/>
      <c r="D118" s="326" t="s">
        <v>66</v>
      </c>
      <c r="E118" s="692" t="str">
        <f t="shared" si="0"/>
        <v>Otros ambientes complementarios</v>
      </c>
      <c r="F118" s="693"/>
      <c r="G118" s="693"/>
      <c r="H118" s="693"/>
      <c r="I118" s="694"/>
      <c r="J118" s="327" t="str">
        <f>+IF($H$11="","",VLOOKUP(E118,Infraestructura!$BI$3:$BS$11,$L$11,FALSE))</f>
        <v/>
      </c>
      <c r="K118" s="191" t="s">
        <v>4429</v>
      </c>
      <c r="L118" s="155"/>
      <c r="M118" s="335"/>
      <c r="N118" s="155"/>
      <c r="O118" s="329"/>
    </row>
    <row r="119" spans="2:26" s="322" customFormat="1" ht="39.950000000000003" customHeight="1">
      <c r="B119" s="331"/>
      <c r="C119" s="332"/>
      <c r="D119" s="332"/>
      <c r="E119" s="314"/>
      <c r="F119" s="314"/>
      <c r="G119" s="314"/>
      <c r="H119" s="314"/>
      <c r="I119" s="314"/>
      <c r="J119" s="332"/>
      <c r="K119" s="332"/>
      <c r="L119" s="332"/>
      <c r="M119" s="332"/>
      <c r="N119" s="332"/>
      <c r="O119" s="333"/>
      <c r="P119" s="333"/>
      <c r="Q119" s="333"/>
      <c r="R119" s="333"/>
      <c r="S119" s="333"/>
      <c r="T119" s="333"/>
      <c r="U119" s="333"/>
      <c r="V119" s="333"/>
      <c r="W119" s="334"/>
      <c r="X119" s="333"/>
      <c r="Y119" s="333"/>
      <c r="Z119" s="333"/>
    </row>
    <row r="120" spans="2:26" s="322" customFormat="1" ht="18" customHeight="1">
      <c r="B120" s="695" t="s">
        <v>142</v>
      </c>
      <c r="C120" s="695"/>
      <c r="D120" s="320" t="str">
        <f>+'Problema-Objetivo'!C44</f>
        <v/>
      </c>
      <c r="E120" s="321"/>
      <c r="F120" s="321"/>
      <c r="G120" s="321"/>
      <c r="H120" s="321"/>
      <c r="I120" s="321"/>
      <c r="J120" s="321"/>
      <c r="K120" s="321"/>
      <c r="L120" s="321"/>
      <c r="M120" s="321"/>
      <c r="N120" s="321"/>
    </row>
    <row r="121" spans="2:26" s="322" customFormat="1" ht="18" customHeight="1">
      <c r="B121" s="323"/>
    </row>
    <row r="122" spans="2:26" s="322" customFormat="1" ht="36" customHeight="1">
      <c r="B122" s="691" t="str">
        <f>+B108</f>
        <v>Acción sobre el activo</v>
      </c>
      <c r="C122" s="691"/>
      <c r="D122" s="698" t="s">
        <v>131</v>
      </c>
      <c r="E122" s="700" t="s">
        <v>140</v>
      </c>
      <c r="F122" s="701"/>
      <c r="G122" s="701"/>
      <c r="H122" s="701"/>
      <c r="I122" s="702"/>
      <c r="J122" s="691" t="s">
        <v>132</v>
      </c>
      <c r="K122" s="691"/>
      <c r="L122" s="691"/>
    </row>
    <row r="123" spans="2:26" s="322" customFormat="1" ht="50.1" customHeight="1">
      <c r="B123" s="691"/>
      <c r="C123" s="691"/>
      <c r="D123" s="699"/>
      <c r="E123" s="703"/>
      <c r="F123" s="704"/>
      <c r="G123" s="704"/>
      <c r="H123" s="704"/>
      <c r="I123" s="705"/>
      <c r="J123" s="691" t="s">
        <v>134</v>
      </c>
      <c r="K123" s="691"/>
      <c r="L123" s="325" t="s">
        <v>135</v>
      </c>
    </row>
    <row r="124" spans="2:26" s="322" customFormat="1" ht="32.1" customHeight="1">
      <c r="B124" s="696"/>
      <c r="C124" s="697"/>
      <c r="D124" s="326" t="s">
        <v>4471</v>
      </c>
      <c r="E124" s="692" t="str">
        <f>+E65</f>
        <v xml:space="preserve">Equipo de ambiente de preparación y expendio de alimentos - Cuna Más </v>
      </c>
      <c r="F124" s="693"/>
      <c r="G124" s="693"/>
      <c r="H124" s="693"/>
      <c r="I124" s="694"/>
      <c r="J124" s="689" t="s">
        <v>4474</v>
      </c>
      <c r="K124" s="689"/>
      <c r="L124" s="155"/>
    </row>
    <row r="127" spans="2:26" s="322" customFormat="1" ht="18" customHeight="1">
      <c r="B127" s="695" t="s">
        <v>4272</v>
      </c>
      <c r="C127" s="695"/>
      <c r="D127" s="320" t="str">
        <f>+'Problema-Objetivo'!C45</f>
        <v/>
      </c>
      <c r="E127" s="321"/>
      <c r="F127" s="321"/>
      <c r="G127" s="321"/>
      <c r="H127" s="321"/>
      <c r="I127" s="321"/>
      <c r="J127" s="321"/>
      <c r="K127" s="321"/>
      <c r="L127" s="321"/>
      <c r="M127" s="321"/>
      <c r="N127" s="321"/>
    </row>
    <row r="128" spans="2:26" s="322" customFormat="1" ht="18" customHeight="1">
      <c r="B128" s="323"/>
    </row>
    <row r="129" spans="2:14" s="322" customFormat="1" ht="36" customHeight="1">
      <c r="B129" s="691" t="str">
        <f>+B122</f>
        <v>Acción sobre el activo</v>
      </c>
      <c r="C129" s="691"/>
      <c r="D129" s="698" t="s">
        <v>131</v>
      </c>
      <c r="E129" s="700" t="s">
        <v>140</v>
      </c>
      <c r="F129" s="701"/>
      <c r="G129" s="701"/>
      <c r="H129" s="701"/>
      <c r="I129" s="702"/>
      <c r="J129" s="691" t="s">
        <v>132</v>
      </c>
      <c r="K129" s="691"/>
      <c r="L129" s="691"/>
    </row>
    <row r="130" spans="2:14" s="322" customFormat="1" ht="50.1" customHeight="1">
      <c r="B130" s="691"/>
      <c r="C130" s="691"/>
      <c r="D130" s="699"/>
      <c r="E130" s="703"/>
      <c r="F130" s="704"/>
      <c r="G130" s="704"/>
      <c r="H130" s="704"/>
      <c r="I130" s="705"/>
      <c r="J130" s="691" t="s">
        <v>134</v>
      </c>
      <c r="K130" s="691"/>
      <c r="L130" s="325" t="s">
        <v>135</v>
      </c>
    </row>
    <row r="131" spans="2:14" s="322" customFormat="1" ht="32.1" customHeight="1">
      <c r="B131" s="696"/>
      <c r="C131" s="697"/>
      <c r="D131" s="326" t="s">
        <v>137</v>
      </c>
      <c r="E131" s="692" t="str">
        <f>+E66</f>
        <v>Mobiliario de sala de cuidado diurno</v>
      </c>
      <c r="F131" s="693"/>
      <c r="G131" s="693"/>
      <c r="H131" s="693"/>
      <c r="I131" s="694"/>
      <c r="J131" s="689" t="s">
        <v>4264</v>
      </c>
      <c r="K131" s="689"/>
      <c r="L131" s="155"/>
    </row>
    <row r="132" spans="2:14" s="322" customFormat="1" ht="32.1" customHeight="1">
      <c r="B132" s="696"/>
      <c r="C132" s="697"/>
      <c r="D132" s="326" t="s">
        <v>137</v>
      </c>
      <c r="E132" s="692" t="str">
        <f>+E67</f>
        <v>Mobiliario de ambiente de preparación y expendio de alimentos- Cuna Más</v>
      </c>
      <c r="F132" s="693"/>
      <c r="G132" s="693"/>
      <c r="H132" s="693"/>
      <c r="I132" s="694"/>
      <c r="J132" s="689" t="s">
        <v>4264</v>
      </c>
      <c r="K132" s="689"/>
      <c r="L132" s="155"/>
    </row>
    <row r="134" spans="2:14" s="322" customFormat="1" ht="18" customHeight="1">
      <c r="B134" s="695" t="s">
        <v>4271</v>
      </c>
      <c r="C134" s="695"/>
      <c r="D134" s="320" t="str">
        <f>+'Problema-Objetivo'!C46</f>
        <v/>
      </c>
      <c r="E134" s="321"/>
      <c r="F134" s="321"/>
      <c r="G134" s="321"/>
      <c r="H134" s="321"/>
      <c r="I134" s="321"/>
      <c r="J134" s="321"/>
      <c r="K134" s="321"/>
      <c r="L134" s="321"/>
      <c r="M134" s="321"/>
      <c r="N134" s="321"/>
    </row>
    <row r="135" spans="2:14" s="322" customFormat="1" ht="18" customHeight="1">
      <c r="B135" s="323"/>
    </row>
    <row r="136" spans="2:14" s="322" customFormat="1" ht="36" customHeight="1">
      <c r="B136" s="691" t="str">
        <f>+B129</f>
        <v>Acción sobre el activo</v>
      </c>
      <c r="C136" s="691"/>
      <c r="D136" s="698" t="s">
        <v>131</v>
      </c>
      <c r="E136" s="700" t="s">
        <v>140</v>
      </c>
      <c r="F136" s="701"/>
      <c r="G136" s="701"/>
      <c r="H136" s="701"/>
      <c r="I136" s="702"/>
      <c r="J136" s="691" t="s">
        <v>132</v>
      </c>
      <c r="K136" s="691"/>
      <c r="L136" s="691"/>
    </row>
    <row r="137" spans="2:14" s="322" customFormat="1" ht="50.1" customHeight="1">
      <c r="B137" s="691"/>
      <c r="C137" s="691"/>
      <c r="D137" s="699"/>
      <c r="E137" s="703"/>
      <c r="F137" s="704"/>
      <c r="G137" s="704"/>
      <c r="H137" s="704"/>
      <c r="I137" s="705"/>
      <c r="J137" s="691" t="s">
        <v>134</v>
      </c>
      <c r="K137" s="691"/>
      <c r="L137" s="325" t="s">
        <v>135</v>
      </c>
    </row>
    <row r="138" spans="2:14" s="322" customFormat="1" ht="32.1" customHeight="1">
      <c r="B138" s="687"/>
      <c r="C138" s="688"/>
      <c r="D138" s="326" t="s">
        <v>124</v>
      </c>
      <c r="E138" s="692" t="str">
        <f>+E68</f>
        <v>Recursos humanos</v>
      </c>
      <c r="F138" s="693"/>
      <c r="G138" s="693"/>
      <c r="H138" s="693"/>
      <c r="I138" s="694"/>
      <c r="J138" s="689" t="s">
        <v>4265</v>
      </c>
      <c r="K138" s="689"/>
      <c r="L138" s="155"/>
    </row>
    <row r="140" spans="2:14" ht="110.1" customHeight="1">
      <c r="B140" s="666" t="s">
        <v>4458</v>
      </c>
      <c r="C140" s="666"/>
      <c r="D140" s="666"/>
      <c r="E140" s="666"/>
      <c r="F140" s="666"/>
      <c r="G140" s="666"/>
      <c r="H140" s="666"/>
      <c r="I140" s="666"/>
      <c r="J140" s="666"/>
      <c r="K140" s="666"/>
      <c r="L140" s="666"/>
      <c r="M140" s="666"/>
      <c r="N140" s="666"/>
    </row>
  </sheetData>
  <sheetProtection sheet="1" objects="1" scenarios="1" formatCells="0" formatColumns="0" formatRows="0"/>
  <mergeCells count="198">
    <mergeCell ref="B7:K7"/>
    <mergeCell ref="B5:K6"/>
    <mergeCell ref="E67:F67"/>
    <mergeCell ref="G67:K67"/>
    <mergeCell ref="M67:N67"/>
    <mergeCell ref="B116:C116"/>
    <mergeCell ref="D99:E99"/>
    <mergeCell ref="F99:G99"/>
    <mergeCell ref="H100:N100"/>
    <mergeCell ref="E108:I109"/>
    <mergeCell ref="E110:I110"/>
    <mergeCell ref="E111:I111"/>
    <mergeCell ref="E112:I112"/>
    <mergeCell ref="E113:I113"/>
    <mergeCell ref="E114:I114"/>
    <mergeCell ref="M108:N108"/>
    <mergeCell ref="J108:J109"/>
    <mergeCell ref="D108:D109"/>
    <mergeCell ref="K108:L108"/>
    <mergeCell ref="D100:E100"/>
    <mergeCell ref="F100:G100"/>
    <mergeCell ref="B105:C105"/>
    <mergeCell ref="B95:C96"/>
    <mergeCell ref="B98:C98"/>
    <mergeCell ref="J136:L136"/>
    <mergeCell ref="J137:K137"/>
    <mergeCell ref="E131:I131"/>
    <mergeCell ref="E136:I137"/>
    <mergeCell ref="B134:C134"/>
    <mergeCell ref="B129:C130"/>
    <mergeCell ref="D129:D130"/>
    <mergeCell ref="J129:L129"/>
    <mergeCell ref="J130:K130"/>
    <mergeCell ref="E129:I130"/>
    <mergeCell ref="B131:C131"/>
    <mergeCell ref="B132:C132"/>
    <mergeCell ref="E132:I132"/>
    <mergeCell ref="J132:K132"/>
    <mergeCell ref="J131:K131"/>
    <mergeCell ref="J122:L122"/>
    <mergeCell ref="J123:K123"/>
    <mergeCell ref="J124:K124"/>
    <mergeCell ref="E124:I124"/>
    <mergeCell ref="E122:I123"/>
    <mergeCell ref="D122:D123"/>
    <mergeCell ref="E115:I115"/>
    <mergeCell ref="E117:I117"/>
    <mergeCell ref="E118:I118"/>
    <mergeCell ref="E116:I116"/>
    <mergeCell ref="B100:C100"/>
    <mergeCell ref="E138:I138"/>
    <mergeCell ref="B127:C127"/>
    <mergeCell ref="B110:C110"/>
    <mergeCell ref="B111:C111"/>
    <mergeCell ref="B112:C112"/>
    <mergeCell ref="B120:C120"/>
    <mergeCell ref="B113:C113"/>
    <mergeCell ref="B114:C114"/>
    <mergeCell ref="B115:C115"/>
    <mergeCell ref="B117:C117"/>
    <mergeCell ref="B118:C118"/>
    <mergeCell ref="B124:C124"/>
    <mergeCell ref="B122:C123"/>
    <mergeCell ref="B136:C137"/>
    <mergeCell ref="D136:D137"/>
    <mergeCell ref="D98:E98"/>
    <mergeCell ref="F98:G98"/>
    <mergeCell ref="H98:N98"/>
    <mergeCell ref="H99:N99"/>
    <mergeCell ref="B138:C138"/>
    <mergeCell ref="J138:K138"/>
    <mergeCell ref="B99:C99"/>
    <mergeCell ref="C11:E11"/>
    <mergeCell ref="H11:I11"/>
    <mergeCell ref="I30:M30"/>
    <mergeCell ref="I31:M31"/>
    <mergeCell ref="B12:G12"/>
    <mergeCell ref="B16:N16"/>
    <mergeCell ref="B18:M18"/>
    <mergeCell ref="B108:C109"/>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C9:E9"/>
    <mergeCell ref="H9:I9"/>
    <mergeCell ref="B53:B54"/>
    <mergeCell ref="C53:D54"/>
    <mergeCell ref="E53:F54"/>
    <mergeCell ref="B25:F25"/>
    <mergeCell ref="B27:F27"/>
    <mergeCell ref="B28:F28"/>
    <mergeCell ref="B29:F29"/>
    <mergeCell ref="B30:F30"/>
    <mergeCell ref="B31:F31"/>
    <mergeCell ref="I25:M25"/>
    <mergeCell ref="I27:M27"/>
    <mergeCell ref="I29:M29"/>
    <mergeCell ref="G53:K54"/>
    <mergeCell ref="L53:L54"/>
    <mergeCell ref="M53:N54"/>
    <mergeCell ref="E65:F65"/>
    <mergeCell ref="I43:J43"/>
    <mergeCell ref="K43:N43"/>
    <mergeCell ref="I44:J44"/>
    <mergeCell ref="K44:N44"/>
    <mergeCell ref="C44:D44"/>
    <mergeCell ref="E43:F43"/>
    <mergeCell ref="E44:F44"/>
    <mergeCell ref="G43:H43"/>
    <mergeCell ref="G44:H44"/>
    <mergeCell ref="C43:D43"/>
    <mergeCell ref="E56:F56"/>
    <mergeCell ref="E58:F58"/>
    <mergeCell ref="B56:B68"/>
    <mergeCell ref="G68:K68"/>
    <mergeCell ref="C68:D68"/>
    <mergeCell ref="E68:F68"/>
    <mergeCell ref="G76:N76"/>
    <mergeCell ref="G77:N77"/>
    <mergeCell ref="G56:K56"/>
    <mergeCell ref="G57:K57"/>
    <mergeCell ref="G58:K58"/>
    <mergeCell ref="G59:K59"/>
    <mergeCell ref="G60:K60"/>
    <mergeCell ref="G61:K61"/>
    <mergeCell ref="G62:K62"/>
    <mergeCell ref="G66:K66"/>
    <mergeCell ref="M65:N65"/>
    <mergeCell ref="M68:N68"/>
    <mergeCell ref="E59:F59"/>
    <mergeCell ref="C65:D65"/>
    <mergeCell ref="G65:K65"/>
    <mergeCell ref="B74:C74"/>
    <mergeCell ref="G74:N74"/>
    <mergeCell ref="B72:N72"/>
    <mergeCell ref="E60:F60"/>
    <mergeCell ref="E61:F61"/>
    <mergeCell ref="F96:G96"/>
    <mergeCell ref="E62:F62"/>
    <mergeCell ref="E66:F66"/>
    <mergeCell ref="G90:N90"/>
    <mergeCell ref="G91:N91"/>
    <mergeCell ref="D95:N95"/>
    <mergeCell ref="H96:N96"/>
    <mergeCell ref="G82:N82"/>
    <mergeCell ref="G83:N83"/>
    <mergeCell ref="G84:N84"/>
    <mergeCell ref="G85:N85"/>
    <mergeCell ref="G78:N78"/>
    <mergeCell ref="G79:N79"/>
    <mergeCell ref="G80:N80"/>
    <mergeCell ref="G81:N81"/>
    <mergeCell ref="G87:N87"/>
    <mergeCell ref="G88:N88"/>
    <mergeCell ref="G89:N89"/>
    <mergeCell ref="G86:N86"/>
    <mergeCell ref="M66:N66"/>
    <mergeCell ref="C56:D64"/>
    <mergeCell ref="C66:D67"/>
    <mergeCell ref="E57:F57"/>
    <mergeCell ref="M56:N56"/>
    <mergeCell ref="B140:N140"/>
    <mergeCell ref="G39:I39"/>
    <mergeCell ref="J39:N39"/>
    <mergeCell ref="H12:K12"/>
    <mergeCell ref="E64:F64"/>
    <mergeCell ref="G64:K64"/>
    <mergeCell ref="M57:N57"/>
    <mergeCell ref="M58:N58"/>
    <mergeCell ref="M59:N59"/>
    <mergeCell ref="M60:N60"/>
    <mergeCell ref="M61:N61"/>
    <mergeCell ref="M62:N62"/>
    <mergeCell ref="M64:N64"/>
    <mergeCell ref="E63:F63"/>
    <mergeCell ref="G63:K63"/>
    <mergeCell ref="M63:N63"/>
    <mergeCell ref="B49:N49"/>
    <mergeCell ref="B37:F37"/>
    <mergeCell ref="G37:I37"/>
    <mergeCell ref="B38:F38"/>
    <mergeCell ref="B39:F39"/>
    <mergeCell ref="B22:N22"/>
    <mergeCell ref="B23:N23"/>
    <mergeCell ref="D96:E96"/>
  </mergeCells>
  <phoneticPr fontId="17" type="noConversion"/>
  <conditionalFormatting sqref="J123 L123 A98:G100 A97:N97 A96:H96 A95:D95 A94:N94 O94:XFD100 A101:XFD104 A139:XFD139 A126:XFD126 A133:XFD133 A33:F33 H33:XFD33 A34:XFD34 A49:B49 O49:XFD49 A41:XFD48 Q39 U39:XFD39 A25:XFD32 A13:XFD21 A12:H12 L12:XFD12 A141:XFD1048576 A140 O140:XFD140 A69:XFD77 A57:A62 C57:K62 A1:XFD4 J110:J119 A8:XFD11 A7:B7 A6 A5:B5 L5:XFD7 C67:G67 C64:N64 A50:XFD55 L67 A56:L56 O56:XFD62 C65:L66 A80:XFD81 A78:F79 O78:XFD79 A83:XFD87 A82:F82 O82:XFD82 A89:XFD93 A88:F88 O88:XFD88 O64:XFD68 C68:L68 A64:A68">
    <cfRule type="cellIs" dxfId="280" priority="86" operator="equal">
      <formula>0</formula>
    </cfRule>
  </conditionalFormatting>
  <conditionalFormatting sqref="I28:M28 I27">
    <cfRule type="cellIs" dxfId="279" priority="84" operator="equal">
      <formula>0</formula>
    </cfRule>
  </conditionalFormatting>
  <conditionalFormatting sqref="I29:I31">
    <cfRule type="cellIs" dxfId="278" priority="83" operator="equal">
      <formula>0</formula>
    </cfRule>
  </conditionalFormatting>
  <conditionalFormatting sqref="T41:XFD44">
    <cfRule type="cellIs" dxfId="277" priority="82" operator="equal">
      <formula>0</formula>
    </cfRule>
  </conditionalFormatting>
  <conditionalFormatting sqref="G56">
    <cfRule type="cellIs" dxfId="276" priority="77" operator="equal">
      <formula>0</formula>
    </cfRule>
  </conditionalFormatting>
  <conditionalFormatting sqref="C68:E68">
    <cfRule type="cellIs" dxfId="275" priority="76" operator="equal">
      <formula>0</formula>
    </cfRule>
  </conditionalFormatting>
  <conditionalFormatting sqref="G68">
    <cfRule type="cellIs" dxfId="274" priority="75" operator="equal">
      <formula>0</formula>
    </cfRule>
  </conditionalFormatting>
  <conditionalFormatting sqref="L53:L54">
    <cfRule type="cellIs" dxfId="273" priority="73" operator="equal">
      <formula>0</formula>
    </cfRule>
  </conditionalFormatting>
  <conditionalFormatting sqref="A70:XFD70">
    <cfRule type="cellIs" dxfId="272" priority="72" operator="equal">
      <formula>0</formula>
    </cfRule>
  </conditionalFormatting>
  <conditionalFormatting sqref="A93:XFD93 O94:O100">
    <cfRule type="cellIs" dxfId="271" priority="70" operator="equal">
      <formula>0</formula>
    </cfRule>
  </conditionalFormatting>
  <conditionalFormatting sqref="K108 M108">
    <cfRule type="cellIs" dxfId="270" priority="59" operator="equal">
      <formula>0</formula>
    </cfRule>
  </conditionalFormatting>
  <conditionalFormatting sqref="K109:N109">
    <cfRule type="cellIs" dxfId="269" priority="58" operator="equal">
      <formula>0</formula>
    </cfRule>
  </conditionalFormatting>
  <conditionalFormatting sqref="A103:XFD103">
    <cfRule type="cellIs" dxfId="268" priority="57" operator="equal">
      <formula>0</formula>
    </cfRule>
  </conditionalFormatting>
  <conditionalFormatting sqref="J122">
    <cfRule type="cellIs" dxfId="267" priority="50" operator="equal">
      <formula>0</formula>
    </cfRule>
  </conditionalFormatting>
  <conditionalFormatting sqref="J130 L130">
    <cfRule type="cellIs" dxfId="266" priority="48" operator="equal">
      <formula>0</formula>
    </cfRule>
  </conditionalFormatting>
  <conditionalFormatting sqref="J129">
    <cfRule type="cellIs" dxfId="265" priority="47" operator="equal">
      <formula>0</formula>
    </cfRule>
  </conditionalFormatting>
  <conditionalFormatting sqref="J137 L137">
    <cfRule type="cellIs" dxfId="264" priority="46" operator="equal">
      <formula>0</formula>
    </cfRule>
  </conditionalFormatting>
  <conditionalFormatting sqref="J136">
    <cfRule type="cellIs" dxfId="263" priority="45" operator="equal">
      <formula>0</formula>
    </cfRule>
  </conditionalFormatting>
  <conditionalFormatting sqref="H99">
    <cfRule type="cellIs" dxfId="262" priority="42" operator="equal">
      <formula>0</formula>
    </cfRule>
  </conditionalFormatting>
  <conditionalFormatting sqref="H100">
    <cfRule type="cellIs" dxfId="261" priority="41" operator="equal">
      <formula>0</formula>
    </cfRule>
  </conditionalFormatting>
  <conditionalFormatting sqref="A35:F35 I35:XFD35 A36:XFD36 A38:Q38 A37:G37 J37:XFD37 U38:XFD38 R38:T39">
    <cfRule type="cellIs" dxfId="260" priority="40" operator="equal">
      <formula>0</formula>
    </cfRule>
  </conditionalFormatting>
  <conditionalFormatting sqref="A39:F39">
    <cfRule type="cellIs" dxfId="259" priority="39" operator="equal">
      <formula>0</formula>
    </cfRule>
  </conditionalFormatting>
  <conditionalFormatting sqref="J39">
    <cfRule type="cellIs" dxfId="258" priority="37" operator="equal">
      <formula>0</formula>
    </cfRule>
  </conditionalFormatting>
  <conditionalFormatting sqref="J39">
    <cfRule type="expression" dxfId="257" priority="36">
      <formula>$G$39="Otra"</formula>
    </cfRule>
  </conditionalFormatting>
  <conditionalFormatting sqref="A22:B24 O22:XFD24">
    <cfRule type="cellIs" dxfId="256" priority="35" operator="equal">
      <formula>0</formula>
    </cfRule>
  </conditionalFormatting>
  <conditionalFormatting sqref="G39">
    <cfRule type="cellIs" dxfId="255" priority="32" operator="equal">
      <formula>0</formula>
    </cfRule>
  </conditionalFormatting>
  <conditionalFormatting sqref="A63 C63:K63 O63:XFD63">
    <cfRule type="cellIs" dxfId="254" priority="30" operator="equal">
      <formula>0</formula>
    </cfRule>
  </conditionalFormatting>
  <conditionalFormatting sqref="B140">
    <cfRule type="cellIs" dxfId="253" priority="29" operator="equal">
      <formula>0</formula>
    </cfRule>
  </conditionalFormatting>
  <conditionalFormatting sqref="L63">
    <cfRule type="cellIs" dxfId="252" priority="26" operator="equal">
      <formula>0</formula>
    </cfRule>
  </conditionalFormatting>
  <conditionalFormatting sqref="L62">
    <cfRule type="cellIs" dxfId="251" priority="25" operator="equal">
      <formula>0</formula>
    </cfRule>
  </conditionalFormatting>
  <conditionalFormatting sqref="L61">
    <cfRule type="cellIs" dxfId="250" priority="24" operator="equal">
      <formula>0</formula>
    </cfRule>
  </conditionalFormatting>
  <conditionalFormatting sqref="L60">
    <cfRule type="cellIs" dxfId="249" priority="23" operator="equal">
      <formula>0</formula>
    </cfRule>
  </conditionalFormatting>
  <conditionalFormatting sqref="L59">
    <cfRule type="cellIs" dxfId="248" priority="22" operator="equal">
      <formula>0</formula>
    </cfRule>
  </conditionalFormatting>
  <conditionalFormatting sqref="L58">
    <cfRule type="cellIs" dxfId="247" priority="21" operator="equal">
      <formula>0</formula>
    </cfRule>
  </conditionalFormatting>
  <conditionalFormatting sqref="L57">
    <cfRule type="cellIs" dxfId="246" priority="20" operator="equal">
      <formula>0</formula>
    </cfRule>
  </conditionalFormatting>
  <conditionalFormatting sqref="M56:N56">
    <cfRule type="cellIs" dxfId="245" priority="19" operator="equal">
      <formula>0</formula>
    </cfRule>
  </conditionalFormatting>
  <conditionalFormatting sqref="M57:N57">
    <cfRule type="cellIs" dxfId="244" priority="18" operator="equal">
      <formula>0</formula>
    </cfRule>
  </conditionalFormatting>
  <conditionalFormatting sqref="M58:N58">
    <cfRule type="cellIs" dxfId="243" priority="17" operator="equal">
      <formula>0</formula>
    </cfRule>
  </conditionalFormatting>
  <conditionalFormatting sqref="M59:N59">
    <cfRule type="cellIs" dxfId="242" priority="16" operator="equal">
      <formula>0</formula>
    </cfRule>
  </conditionalFormatting>
  <conditionalFormatting sqref="M60:N60">
    <cfRule type="cellIs" dxfId="241" priority="15" operator="equal">
      <formula>0</formula>
    </cfRule>
  </conditionalFormatting>
  <conditionalFormatting sqref="M61:N61">
    <cfRule type="cellIs" dxfId="240" priority="14" operator="equal">
      <formula>0</formula>
    </cfRule>
  </conditionalFormatting>
  <conditionalFormatting sqref="M62:N62">
    <cfRule type="cellIs" dxfId="239" priority="13" operator="equal">
      <formula>0</formula>
    </cfRule>
  </conditionalFormatting>
  <conditionalFormatting sqref="M63:N63">
    <cfRule type="cellIs" dxfId="238" priority="12" operator="equal">
      <formula>0</formula>
    </cfRule>
  </conditionalFormatting>
  <conditionalFormatting sqref="M65:N65">
    <cfRule type="cellIs" dxfId="237" priority="11" operator="equal">
      <formula>0</formula>
    </cfRule>
  </conditionalFormatting>
  <conditionalFormatting sqref="M66:N66">
    <cfRule type="cellIs" dxfId="236" priority="10" operator="equal">
      <formula>0</formula>
    </cfRule>
  </conditionalFormatting>
  <conditionalFormatting sqref="M67:N67">
    <cfRule type="cellIs" dxfId="235" priority="8" operator="equal">
      <formula>0</formula>
    </cfRule>
  </conditionalFormatting>
  <conditionalFormatting sqref="M68:N68">
    <cfRule type="cellIs" dxfId="234" priority="6" operator="equal">
      <formula>0</formula>
    </cfRule>
  </conditionalFormatting>
  <conditionalFormatting sqref="G78:N78">
    <cfRule type="cellIs" dxfId="233" priority="5" operator="equal">
      <formula>0</formula>
    </cfRule>
  </conditionalFormatting>
  <conditionalFormatting sqref="G79:N79">
    <cfRule type="cellIs" dxfId="232" priority="4" operator="equal">
      <formula>0</formula>
    </cfRule>
  </conditionalFormatting>
  <conditionalFormatting sqref="G82:N82">
    <cfRule type="cellIs" dxfId="231" priority="3" operator="equal">
      <formula>0</formula>
    </cfRule>
  </conditionalFormatting>
  <conditionalFormatting sqref="G88:N88">
    <cfRule type="cellIs" dxfId="230" priority="2" operator="equal">
      <formula>0</formula>
    </cfRule>
  </conditionalFormatting>
  <conditionalFormatting sqref="H98">
    <cfRule type="cellIs" dxfId="229" priority="1" operator="equal">
      <formula>0</formula>
    </cfRule>
  </conditionalFormatting>
  <dataValidations count="11">
    <dataValidation type="list" allowBlank="1" showInputMessage="1" showErrorMessage="1" sqref="G25 G27 G29 G31 N31 N29 N27 N25" xr:uid="{00000000-0002-0000-0900-000000000000}">
      <formula1>CumplimientoCondiciones</formula1>
    </dataValidation>
    <dataValidation type="list" allowBlank="1" showInputMessage="1" showErrorMessage="1" sqref="L119" xr:uid="{00000000-0002-0000-0900-000001000000}">
      <formula1>MuroContencion</formula1>
    </dataValidation>
    <dataValidation type="list" allowBlank="1" showInputMessage="1" showErrorMessage="1" sqref="N119" xr:uid="{00000000-0002-0000-0900-000002000000}">
      <formula1>EstadoActual</formula1>
    </dataValidation>
    <dataValidation type="list" allowBlank="1" showInputMessage="1" showErrorMessage="1" sqref="J119" xr:uid="{00000000-0002-0000-0900-000003000000}">
      <formula1>Si_No</formula1>
    </dataValidation>
    <dataValidation type="list" allowBlank="1" showInputMessage="1" showErrorMessage="1" sqref="B110:C118" xr:uid="{00000000-0002-0000-0900-000004000000}">
      <formula1>AccionSobreActivo</formula1>
    </dataValidation>
    <dataValidation type="list" allowBlank="1" showInputMessage="1" showErrorMessage="1" sqref="G37" xr:uid="{00000000-0002-0000-0900-000005000000}">
      <formula1>Titularidad</formula1>
    </dataValidation>
    <dataValidation type="decimal" allowBlank="1" showInputMessage="1" showErrorMessage="1" sqref="L138 L110:L118 N110:N118 L124 L131:L132" xr:uid="{00000000-0002-0000-0900-000006000000}">
      <formula1>0</formula1>
      <formula2>100000000</formula2>
    </dataValidation>
    <dataValidation type="list" allowBlank="1" showInputMessage="1" showErrorMessage="1" sqref="G39:I39" xr:uid="{00000000-0002-0000-0900-000007000000}">
      <formula1>SituacionSaneamientoLegal</formula1>
    </dataValidation>
    <dataValidation type="list" allowBlank="1" showInputMessage="1" showErrorMessage="1" sqref="B124:C124 B131:C132" xr:uid="{00000000-0002-0000-0900-000008000000}">
      <formula1>AccionSobreActivo2</formula1>
    </dataValidation>
    <dataValidation type="list" allowBlank="1" showInputMessage="1" showErrorMessage="1" sqref="B138:C138" xr:uid="{00000000-0002-0000-0900-000009000000}">
      <formula1>AccionSobreActivo3</formula1>
    </dataValidation>
    <dataValidation type="list" allowBlank="1" showInputMessage="1" showErrorMessage="1" sqref="L56:L68" xr:uid="{00000000-0002-0000-0900-00000A000000}">
      <formula1>AnalisisTecnico</formula1>
    </dataValidation>
  </dataValidations>
  <pageMargins left="0.7" right="0.7" top="0.75" bottom="0.75" header="0.3" footer="0.3"/>
  <pageSetup paperSize="9" scale="35" orientation="portrait" horizontalDpi="0" verticalDpi="0"/>
  <rowBreaks count="1" manualBreakCount="1">
    <brk id="68" min="1" max="13" man="1"/>
  </rowBreaks>
  <colBreaks count="1" manualBreakCount="1">
    <brk id="17"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dimension ref="B1:Z234"/>
  <sheetViews>
    <sheetView zoomScale="67" zoomScaleNormal="100" workbookViewId="0">
      <selection activeCell="P153" sqref="P153"/>
    </sheetView>
  </sheetViews>
  <sheetFormatPr baseColWidth="10" defaultColWidth="11.88671875" defaultRowHeight="15"/>
  <cols>
    <col min="1" max="1" width="11.88671875" style="4"/>
    <col min="2" max="3" width="12.109375" style="4" customWidth="1"/>
    <col min="4" max="4" width="13.44140625" style="4" customWidth="1"/>
    <col min="5" max="6" width="12.109375" style="4" customWidth="1"/>
    <col min="7" max="12" width="12" style="4" customWidth="1"/>
    <col min="13" max="13" width="13.44140625" style="4" customWidth="1"/>
    <col min="14" max="14" width="16.6640625" style="4" customWidth="1"/>
    <col min="15" max="18" width="12" style="4" customWidth="1"/>
    <col min="19" max="19" width="8.88671875" style="4" customWidth="1"/>
    <col min="20" max="16384" width="11.88671875" style="4"/>
  </cols>
  <sheetData>
    <row r="1" spans="2:15" ht="18.95" customHeight="1"/>
    <row r="2" spans="2:15" s="80" customFormat="1" ht="18.95" customHeight="1">
      <c r="B2" s="80" t="s">
        <v>4451</v>
      </c>
    </row>
    <row r="3" spans="2:15" ht="18.95" customHeight="1"/>
    <row r="4" spans="2:15" s="13" customFormat="1" ht="18.95" customHeight="1">
      <c r="B4" s="21" t="s">
        <v>138</v>
      </c>
      <c r="C4" s="22"/>
      <c r="D4" s="23"/>
      <c r="E4" s="23"/>
      <c r="F4" s="23"/>
      <c r="G4" s="79"/>
      <c r="H4" s="23"/>
      <c r="I4" s="23"/>
      <c r="J4" s="23"/>
      <c r="K4" s="23"/>
      <c r="L4" s="24"/>
      <c r="M4" s="24"/>
      <c r="N4" s="24"/>
      <c r="O4" s="24"/>
    </row>
    <row r="5" spans="2:15" s="322" customFormat="1" ht="15.75">
      <c r="B5" s="336"/>
      <c r="C5" s="336"/>
      <c r="D5" s="336"/>
      <c r="E5" s="336"/>
      <c r="F5" s="336"/>
    </row>
    <row r="6" spans="2:15" s="322" customFormat="1" ht="18" customHeight="1">
      <c r="B6" s="695" t="s">
        <v>4270</v>
      </c>
      <c r="C6" s="695"/>
      <c r="D6" s="320" t="str">
        <f>+'Problema-Objetivo'!C40</f>
        <v/>
      </c>
      <c r="E6" s="321"/>
      <c r="F6" s="321"/>
      <c r="G6" s="321"/>
      <c r="H6" s="321"/>
      <c r="I6" s="321"/>
      <c r="J6" s="321"/>
      <c r="K6" s="321"/>
      <c r="L6" s="321"/>
      <c r="M6" s="321"/>
      <c r="N6" s="321"/>
      <c r="O6" s="321"/>
    </row>
    <row r="7" spans="2:15" s="322" customFormat="1" ht="18" customHeight="1">
      <c r="B7" s="323"/>
    </row>
    <row r="8" spans="2:15" s="322" customFormat="1" ht="18" customHeight="1">
      <c r="B8" s="323" t="s">
        <v>4201</v>
      </c>
    </row>
    <row r="9" spans="2:15" s="322" customFormat="1" ht="36" customHeight="1">
      <c r="B9" s="691" t="s">
        <v>130</v>
      </c>
      <c r="C9" s="691"/>
      <c r="D9" s="698" t="s">
        <v>131</v>
      </c>
      <c r="E9" s="700" t="s">
        <v>140</v>
      </c>
      <c r="F9" s="701"/>
      <c r="G9" s="701"/>
      <c r="H9" s="701"/>
      <c r="I9" s="702"/>
      <c r="J9" s="691" t="s">
        <v>132</v>
      </c>
      <c r="K9" s="691"/>
      <c r="L9" s="691" t="s">
        <v>133</v>
      </c>
      <c r="M9" s="691"/>
      <c r="N9" s="698" t="s">
        <v>139</v>
      </c>
      <c r="O9" s="698" t="s">
        <v>4273</v>
      </c>
    </row>
    <row r="10" spans="2:15" s="322" customFormat="1" ht="50.1" customHeight="1">
      <c r="B10" s="691"/>
      <c r="C10" s="691"/>
      <c r="D10" s="699"/>
      <c r="E10" s="703"/>
      <c r="F10" s="704"/>
      <c r="G10" s="704"/>
      <c r="H10" s="704"/>
      <c r="I10" s="705"/>
      <c r="J10" s="324" t="s">
        <v>134</v>
      </c>
      <c r="K10" s="325" t="s">
        <v>135</v>
      </c>
      <c r="L10" s="324" t="s">
        <v>134</v>
      </c>
      <c r="M10" s="325" t="s">
        <v>135</v>
      </c>
      <c r="N10" s="699"/>
      <c r="O10" s="699"/>
    </row>
    <row r="11" spans="2:15" s="322" customFormat="1" ht="32.1" customHeight="1">
      <c r="B11" s="716">
        <f>+'Análisis Técnico'!B110:C110</f>
        <v>0</v>
      </c>
      <c r="C11" s="717"/>
      <c r="D11" s="326" t="str">
        <f>+'Análisis Técnico'!D110</f>
        <v>Infraestructura</v>
      </c>
      <c r="E11" s="692" t="str">
        <f>+'Análisis Técnico'!E110</f>
        <v xml:space="preserve">Sala de cuidado diurno </v>
      </c>
      <c r="F11" s="693">
        <f>+'Análisis Técnico'!F110</f>
        <v>0</v>
      </c>
      <c r="G11" s="693">
        <f>+'Análisis Técnico'!G110</f>
        <v>0</v>
      </c>
      <c r="H11" s="693">
        <f>+'Análisis Técnico'!H110</f>
        <v>0</v>
      </c>
      <c r="I11" s="694">
        <f>+'Análisis Técnico'!I110</f>
        <v>0</v>
      </c>
      <c r="J11" s="328" t="str">
        <f>+'Análisis Técnico'!K110</f>
        <v>Sala</v>
      </c>
      <c r="K11" s="328">
        <f>+'Análisis Técnico'!L110</f>
        <v>0</v>
      </c>
      <c r="L11" s="328" t="str">
        <f>+'Análisis Técnico'!M110</f>
        <v>m2</v>
      </c>
      <c r="M11" s="328">
        <f>+'Análisis Técnico'!N110</f>
        <v>0</v>
      </c>
      <c r="N11" s="371"/>
      <c r="O11" s="337">
        <f>+N11*M11</f>
        <v>0</v>
      </c>
    </row>
    <row r="12" spans="2:15" s="322" customFormat="1" ht="32.1" customHeight="1">
      <c r="B12" s="716">
        <f>+'Análisis Técnico'!B111:C111</f>
        <v>0</v>
      </c>
      <c r="C12" s="717"/>
      <c r="D12" s="326" t="str">
        <f>+'Análisis Técnico'!D111</f>
        <v>Infraestructura</v>
      </c>
      <c r="E12" s="692" t="str">
        <f>+'Análisis Técnico'!E111</f>
        <v xml:space="preserve">Sala de usos múltiples </v>
      </c>
      <c r="F12" s="693">
        <f>+'Análisis Técnico'!F111</f>
        <v>0</v>
      </c>
      <c r="G12" s="693">
        <f>+'Análisis Técnico'!G111</f>
        <v>0</v>
      </c>
      <c r="H12" s="693">
        <f>+'Análisis Técnico'!H111</f>
        <v>0</v>
      </c>
      <c r="I12" s="694">
        <f>+'Análisis Técnico'!I111</f>
        <v>0</v>
      </c>
      <c r="J12" s="191" t="str">
        <f>+'Análisis Técnico'!K111</f>
        <v>Sala</v>
      </c>
      <c r="K12" s="328">
        <f>+'Análisis Técnico'!L111</f>
        <v>0</v>
      </c>
      <c r="L12" s="328" t="str">
        <f>+'Análisis Técnico'!M111</f>
        <v>m2</v>
      </c>
      <c r="M12" s="328">
        <f>+'Análisis Técnico'!N111</f>
        <v>0</v>
      </c>
      <c r="N12" s="371"/>
      <c r="O12" s="337">
        <f t="shared" ref="O12:O19" si="0">+N12*M12</f>
        <v>0</v>
      </c>
    </row>
    <row r="13" spans="2:15" s="322" customFormat="1" ht="32.1" customHeight="1">
      <c r="B13" s="716">
        <f>+'Análisis Técnico'!B112:C112</f>
        <v>0</v>
      </c>
      <c r="C13" s="717"/>
      <c r="D13" s="326" t="str">
        <f>+'Análisis Técnico'!D112</f>
        <v>Infraestructura</v>
      </c>
      <c r="E13" s="692" t="str">
        <f>+'Análisis Técnico'!E112</f>
        <v xml:space="preserve">Ambiente de recreación activa </v>
      </c>
      <c r="F13" s="693">
        <f>+'Análisis Técnico'!F112</f>
        <v>0</v>
      </c>
      <c r="G13" s="693">
        <f>+'Análisis Técnico'!G112</f>
        <v>0</v>
      </c>
      <c r="H13" s="693">
        <f>+'Análisis Técnico'!H112</f>
        <v>0</v>
      </c>
      <c r="I13" s="694">
        <f>+'Análisis Técnico'!I112</f>
        <v>0</v>
      </c>
      <c r="J13" s="191" t="str">
        <f>+'Análisis Técnico'!K112</f>
        <v>Ambiente</v>
      </c>
      <c r="K13" s="328">
        <f>+'Análisis Técnico'!L112</f>
        <v>0</v>
      </c>
      <c r="L13" s="328" t="str">
        <f>+'Análisis Técnico'!M112</f>
        <v>m2</v>
      </c>
      <c r="M13" s="328">
        <f>+'Análisis Técnico'!N112</f>
        <v>0</v>
      </c>
      <c r="N13" s="371"/>
      <c r="O13" s="337">
        <f t="shared" si="0"/>
        <v>0</v>
      </c>
    </row>
    <row r="14" spans="2:15" s="322" customFormat="1" ht="32.1" hidden="1" customHeight="1">
      <c r="B14" s="716">
        <f>+'Análisis Técnico'!B113:C113</f>
        <v>0</v>
      </c>
      <c r="C14" s="717"/>
      <c r="D14" s="326" t="str">
        <f>+'Análisis Técnico'!D113</f>
        <v>Infraestructura</v>
      </c>
      <c r="E14" s="692" t="str">
        <f>+'Análisis Técnico'!E113</f>
        <v xml:space="preserve">Ambiente de servicios generales </v>
      </c>
      <c r="F14" s="693">
        <f>+'Análisis Técnico'!F113</f>
        <v>0</v>
      </c>
      <c r="G14" s="693">
        <f>+'Análisis Técnico'!G113</f>
        <v>0</v>
      </c>
      <c r="H14" s="693">
        <f>+'Análisis Técnico'!H113</f>
        <v>0</v>
      </c>
      <c r="I14" s="694">
        <f>+'Análisis Técnico'!I113</f>
        <v>0</v>
      </c>
      <c r="J14" s="191" t="str">
        <f>+'Análisis Técnico'!K113</f>
        <v>Ambiente</v>
      </c>
      <c r="K14" s="328">
        <f>+'Análisis Técnico'!L113</f>
        <v>0</v>
      </c>
      <c r="L14" s="328" t="str">
        <f>+'Análisis Técnico'!M113</f>
        <v>m2</v>
      </c>
      <c r="M14" s="328">
        <f>+'Análisis Técnico'!N113</f>
        <v>0</v>
      </c>
      <c r="N14" s="371"/>
      <c r="O14" s="337">
        <f t="shared" si="0"/>
        <v>0</v>
      </c>
    </row>
    <row r="15" spans="2:15" s="322" customFormat="1" ht="32.1" customHeight="1">
      <c r="B15" s="716">
        <f>+'Análisis Técnico'!B114:C114</f>
        <v>0</v>
      </c>
      <c r="C15" s="717"/>
      <c r="D15" s="326" t="str">
        <f>+'Análisis Técnico'!D114</f>
        <v>Infraestructura</v>
      </c>
      <c r="E15" s="692" t="str">
        <f>+'Análisis Técnico'!E114</f>
        <v xml:space="preserve">Ambiente de preparación y expendio de alimentos </v>
      </c>
      <c r="F15" s="693">
        <f>+'Análisis Técnico'!F114</f>
        <v>0</v>
      </c>
      <c r="G15" s="693">
        <f>+'Análisis Técnico'!G114</f>
        <v>0</v>
      </c>
      <c r="H15" s="693">
        <f>+'Análisis Técnico'!H114</f>
        <v>0</v>
      </c>
      <c r="I15" s="694">
        <f>+'Análisis Técnico'!I114</f>
        <v>0</v>
      </c>
      <c r="J15" s="191" t="str">
        <f>+'Análisis Técnico'!K114</f>
        <v>Ambiente</v>
      </c>
      <c r="K15" s="328">
        <f>+'Análisis Técnico'!L114</f>
        <v>0</v>
      </c>
      <c r="L15" s="328" t="str">
        <f>+'Análisis Técnico'!M114</f>
        <v>m2</v>
      </c>
      <c r="M15" s="328">
        <f>+'Análisis Técnico'!N114</f>
        <v>0</v>
      </c>
      <c r="N15" s="371"/>
      <c r="O15" s="337">
        <f t="shared" si="0"/>
        <v>0</v>
      </c>
    </row>
    <row r="16" spans="2:15" s="322" customFormat="1" ht="32.1" customHeight="1">
      <c r="B16" s="716">
        <f>+'Análisis Técnico'!B115:C115</f>
        <v>0</v>
      </c>
      <c r="C16" s="717"/>
      <c r="D16" s="326" t="str">
        <f>+'Análisis Técnico'!D115</f>
        <v>Infraestructura</v>
      </c>
      <c r="E16" s="692" t="str">
        <f>+'Análisis Técnico'!E115</f>
        <v xml:space="preserve">Almacén </v>
      </c>
      <c r="F16" s="693">
        <f>+'Análisis Técnico'!F115</f>
        <v>0</v>
      </c>
      <c r="G16" s="693">
        <f>+'Análisis Técnico'!G115</f>
        <v>0</v>
      </c>
      <c r="H16" s="693">
        <f>+'Análisis Técnico'!H115</f>
        <v>0</v>
      </c>
      <c r="I16" s="694">
        <f>+'Análisis Técnico'!I115</f>
        <v>0</v>
      </c>
      <c r="J16" s="191" t="str">
        <f>+'Análisis Técnico'!K115</f>
        <v>Almacén</v>
      </c>
      <c r="K16" s="328">
        <f>+'Análisis Técnico'!L115</f>
        <v>0</v>
      </c>
      <c r="L16" s="328" t="str">
        <f>+'Análisis Técnico'!M115</f>
        <v>m2</v>
      </c>
      <c r="M16" s="328">
        <f>+'Análisis Técnico'!N115</f>
        <v>0</v>
      </c>
      <c r="N16" s="371"/>
      <c r="O16" s="337">
        <f t="shared" si="0"/>
        <v>0</v>
      </c>
    </row>
    <row r="17" spans="2:26" s="322" customFormat="1" ht="32.1" customHeight="1">
      <c r="B17" s="716">
        <f>+'Análisis Técnico'!B116:C116</f>
        <v>0</v>
      </c>
      <c r="C17" s="717"/>
      <c r="D17" s="326" t="str">
        <f>+'Análisis Técnico'!D116</f>
        <v>Infraestructura</v>
      </c>
      <c r="E17" s="692" t="str">
        <f>+'Análisis Técnico'!E116</f>
        <v xml:space="preserve">Cerco perimétrico </v>
      </c>
      <c r="F17" s="693">
        <f>+'Análisis Técnico'!F116</f>
        <v>0</v>
      </c>
      <c r="G17" s="693">
        <f>+'Análisis Técnico'!G116</f>
        <v>0</v>
      </c>
      <c r="H17" s="693">
        <f>+'Análisis Técnico'!H116</f>
        <v>0</v>
      </c>
      <c r="I17" s="694">
        <f>+'Análisis Técnico'!I116</f>
        <v>0</v>
      </c>
      <c r="J17" s="191" t="str">
        <f>+'Análisis Técnico'!K116</f>
        <v>Unidad</v>
      </c>
      <c r="K17" s="328">
        <f>+'Análisis Técnico'!L116</f>
        <v>0</v>
      </c>
      <c r="L17" s="328" t="str">
        <f>+'Análisis Técnico'!M116</f>
        <v>ml</v>
      </c>
      <c r="M17" s="328">
        <f>+'Análisis Técnico'!N116</f>
        <v>0</v>
      </c>
      <c r="N17" s="371"/>
      <c r="O17" s="337">
        <f t="shared" si="0"/>
        <v>0</v>
      </c>
    </row>
    <row r="18" spans="2:26" s="322" customFormat="1" ht="32.1" hidden="1" customHeight="1">
      <c r="B18" s="716">
        <f>+'Análisis Técnico'!B117:C117</f>
        <v>0</v>
      </c>
      <c r="C18" s="717"/>
      <c r="D18" s="326" t="str">
        <f>+'Análisis Técnico'!D117</f>
        <v>Infraestructura</v>
      </c>
      <c r="E18" s="692" t="str">
        <f>+'Análisis Técnico'!E117</f>
        <v xml:space="preserve">Muro de contención </v>
      </c>
      <c r="F18" s="693">
        <f>+'Análisis Técnico'!F117</f>
        <v>0</v>
      </c>
      <c r="G18" s="693">
        <f>+'Análisis Técnico'!G117</f>
        <v>0</v>
      </c>
      <c r="H18" s="693">
        <f>+'Análisis Técnico'!H117</f>
        <v>0</v>
      </c>
      <c r="I18" s="694">
        <f>+'Análisis Técnico'!I117</f>
        <v>0</v>
      </c>
      <c r="J18" s="191" t="str">
        <f>+'Análisis Técnico'!K117</f>
        <v>Unidad</v>
      </c>
      <c r="K18" s="328">
        <f>+'Análisis Técnico'!L117</f>
        <v>0</v>
      </c>
      <c r="L18" s="328" t="str">
        <f>+'Análisis Técnico'!M117</f>
        <v>ml o m3</v>
      </c>
      <c r="M18" s="328">
        <f>+'Análisis Técnico'!N117</f>
        <v>0</v>
      </c>
      <c r="N18" s="371"/>
      <c r="O18" s="337">
        <f t="shared" si="0"/>
        <v>0</v>
      </c>
    </row>
    <row r="19" spans="2:26" s="322" customFormat="1" ht="32.1" hidden="1" customHeight="1">
      <c r="B19" s="716">
        <f>+'Análisis Técnico'!B118:C118</f>
        <v>0</v>
      </c>
      <c r="C19" s="717"/>
      <c r="D19" s="326" t="str">
        <f>+'Análisis Técnico'!D118</f>
        <v>Infraestructura</v>
      </c>
      <c r="E19" s="692" t="str">
        <f>+'Análisis Técnico'!E118</f>
        <v>Otros ambientes complementarios</v>
      </c>
      <c r="F19" s="693">
        <f>+'Análisis Técnico'!F118</f>
        <v>0</v>
      </c>
      <c r="G19" s="693">
        <f>+'Análisis Técnico'!G118</f>
        <v>0</v>
      </c>
      <c r="H19" s="693">
        <f>+'Análisis Técnico'!H118</f>
        <v>0</v>
      </c>
      <c r="I19" s="694">
        <f>+'Análisis Técnico'!I118</f>
        <v>0</v>
      </c>
      <c r="J19" s="191" t="str">
        <f>+'Análisis Técnico'!K118</f>
        <v>Unidad</v>
      </c>
      <c r="K19" s="328">
        <f>+'Análisis Técnico'!L118</f>
        <v>0</v>
      </c>
      <c r="L19" s="328" t="s">
        <v>136</v>
      </c>
      <c r="M19" s="328">
        <f>+'Análisis Técnico'!N118</f>
        <v>0</v>
      </c>
      <c r="N19" s="371"/>
      <c r="O19" s="337">
        <f t="shared" si="0"/>
        <v>0</v>
      </c>
    </row>
    <row r="20" spans="2:26" s="322" customFormat="1" ht="39.950000000000003" customHeight="1">
      <c r="B20" s="331"/>
      <c r="C20" s="332"/>
      <c r="D20" s="332"/>
      <c r="E20" s="314"/>
      <c r="F20" s="314"/>
      <c r="G20" s="314"/>
      <c r="H20" s="314"/>
      <c r="I20" s="314"/>
      <c r="J20" s="332"/>
      <c r="K20" s="332"/>
      <c r="L20" s="332"/>
      <c r="M20" s="332"/>
      <c r="N20" s="332"/>
      <c r="O20" s="333"/>
      <c r="P20" s="333"/>
      <c r="Q20" s="333"/>
      <c r="R20" s="333"/>
      <c r="S20" s="333"/>
      <c r="T20" s="333"/>
      <c r="U20" s="333"/>
      <c r="V20" s="333"/>
      <c r="W20" s="334"/>
      <c r="X20" s="333"/>
      <c r="Y20" s="333"/>
      <c r="Z20" s="333"/>
    </row>
    <row r="21" spans="2:26" s="322" customFormat="1" ht="18" customHeight="1">
      <c r="B21" s="695" t="s">
        <v>142</v>
      </c>
      <c r="C21" s="695"/>
      <c r="D21" s="320" t="str">
        <f>+'Problema-Objetivo'!C44</f>
        <v/>
      </c>
      <c r="E21" s="321"/>
      <c r="F21" s="321"/>
      <c r="G21" s="321"/>
      <c r="H21" s="321"/>
      <c r="I21" s="321"/>
      <c r="J21" s="321"/>
      <c r="K21" s="321"/>
      <c r="L21" s="321"/>
      <c r="M21" s="321"/>
      <c r="N21" s="321"/>
      <c r="O21" s="321"/>
    </row>
    <row r="22" spans="2:26" s="322" customFormat="1" ht="18" customHeight="1">
      <c r="B22" s="323"/>
    </row>
    <row r="23" spans="2:26" s="322" customFormat="1" ht="36" customHeight="1">
      <c r="B23" s="691" t="str">
        <f>+B9</f>
        <v>Acción sobre el activo</v>
      </c>
      <c r="C23" s="691"/>
      <c r="D23" s="698" t="s">
        <v>131</v>
      </c>
      <c r="E23" s="700" t="s">
        <v>140</v>
      </c>
      <c r="F23" s="701"/>
      <c r="G23" s="701"/>
      <c r="H23" s="701"/>
      <c r="I23" s="702"/>
      <c r="J23" s="691" t="s">
        <v>132</v>
      </c>
      <c r="K23" s="691"/>
      <c r="L23" s="691"/>
      <c r="M23" s="700" t="s">
        <v>4273</v>
      </c>
      <c r="N23" s="702"/>
    </row>
    <row r="24" spans="2:26" s="322" customFormat="1" ht="50.1" customHeight="1">
      <c r="B24" s="691"/>
      <c r="C24" s="691"/>
      <c r="D24" s="699"/>
      <c r="E24" s="703"/>
      <c r="F24" s="704"/>
      <c r="G24" s="704"/>
      <c r="H24" s="704"/>
      <c r="I24" s="705"/>
      <c r="J24" s="691" t="s">
        <v>134</v>
      </c>
      <c r="K24" s="691"/>
      <c r="L24" s="325" t="s">
        <v>135</v>
      </c>
      <c r="M24" s="703"/>
      <c r="N24" s="705"/>
    </row>
    <row r="25" spans="2:26" s="322" customFormat="1" ht="32.1" customHeight="1">
      <c r="B25" s="716">
        <f>+'Análisis Técnico'!B124:C124</f>
        <v>0</v>
      </c>
      <c r="C25" s="717"/>
      <c r="D25" s="326" t="str">
        <f>+'Análisis Técnico'!D124</f>
        <v>Equipos</v>
      </c>
      <c r="E25" s="692" t="str">
        <f>+'Análisis Técnico'!E124</f>
        <v xml:space="preserve">Equipo de ambiente de preparación y expendio de alimentos - Cuna Más </v>
      </c>
      <c r="F25" s="693">
        <f>+'Análisis Técnico'!F124</f>
        <v>0</v>
      </c>
      <c r="G25" s="693">
        <f>+'Análisis Técnico'!G124</f>
        <v>0</v>
      </c>
      <c r="H25" s="693">
        <f>+'Análisis Técnico'!H124</f>
        <v>0</v>
      </c>
      <c r="I25" s="694">
        <f>+'Análisis Técnico'!I124</f>
        <v>0</v>
      </c>
      <c r="J25" s="689" t="str">
        <f>+'Análisis Técnico'!J124</f>
        <v>Número de equipos</v>
      </c>
      <c r="K25" s="689">
        <f>+'Análisis Técnico'!K124</f>
        <v>0</v>
      </c>
      <c r="L25" s="338">
        <f>+'Análisis Técnico'!L124</f>
        <v>0</v>
      </c>
      <c r="M25" s="770"/>
      <c r="N25" s="771"/>
    </row>
    <row r="26" spans="2:26" ht="18.95" customHeight="1"/>
    <row r="27" spans="2:26" ht="18.95" customHeight="1"/>
    <row r="28" spans="2:26" s="322" customFormat="1" ht="18" customHeight="1">
      <c r="B28" s="695" t="s">
        <v>4272</v>
      </c>
      <c r="C28" s="695"/>
      <c r="D28" s="320" t="str">
        <f>+'Problema-Objetivo'!C45</f>
        <v/>
      </c>
      <c r="E28" s="321"/>
      <c r="F28" s="321"/>
      <c r="G28" s="321"/>
      <c r="H28" s="321"/>
      <c r="I28" s="321"/>
      <c r="J28" s="321"/>
      <c r="K28" s="321"/>
      <c r="L28" s="321"/>
      <c r="M28" s="321"/>
      <c r="N28" s="321"/>
      <c r="O28" s="321"/>
    </row>
    <row r="29" spans="2:26" s="322" customFormat="1" ht="18" customHeight="1">
      <c r="B29" s="323"/>
    </row>
    <row r="30" spans="2:26" s="322" customFormat="1" ht="36" customHeight="1">
      <c r="B30" s="691" t="str">
        <f>+B23</f>
        <v>Acción sobre el activo</v>
      </c>
      <c r="C30" s="691"/>
      <c r="D30" s="698" t="s">
        <v>131</v>
      </c>
      <c r="E30" s="700" t="s">
        <v>140</v>
      </c>
      <c r="F30" s="701"/>
      <c r="G30" s="701"/>
      <c r="H30" s="701"/>
      <c r="I30" s="702"/>
      <c r="J30" s="691" t="s">
        <v>132</v>
      </c>
      <c r="K30" s="691"/>
      <c r="L30" s="691"/>
      <c r="M30" s="700" t="s">
        <v>4273</v>
      </c>
      <c r="N30" s="702"/>
    </row>
    <row r="31" spans="2:26" s="322" customFormat="1" ht="50.1" customHeight="1">
      <c r="B31" s="691"/>
      <c r="C31" s="691"/>
      <c r="D31" s="699"/>
      <c r="E31" s="703"/>
      <c r="F31" s="704"/>
      <c r="G31" s="704"/>
      <c r="H31" s="704"/>
      <c r="I31" s="705"/>
      <c r="J31" s="691" t="s">
        <v>134</v>
      </c>
      <c r="K31" s="691"/>
      <c r="L31" s="325" t="s">
        <v>135</v>
      </c>
      <c r="M31" s="703"/>
      <c r="N31" s="705"/>
    </row>
    <row r="32" spans="2:26" s="322" customFormat="1" ht="32.1" customHeight="1">
      <c r="B32" s="716">
        <f>+'Análisis Técnico'!B131</f>
        <v>0</v>
      </c>
      <c r="C32" s="717"/>
      <c r="D32" s="326" t="str">
        <f>+'Análisis Técnico'!D131</f>
        <v>Mobiliario</v>
      </c>
      <c r="E32" s="692" t="str">
        <f>+'Análisis Técnico'!E131</f>
        <v>Mobiliario de sala de cuidado diurno</v>
      </c>
      <c r="F32" s="693">
        <f>+'Análisis Técnico'!F131</f>
        <v>0</v>
      </c>
      <c r="G32" s="693">
        <f>+'Análisis Técnico'!G131</f>
        <v>0</v>
      </c>
      <c r="H32" s="693">
        <f>+'Análisis Técnico'!H131</f>
        <v>0</v>
      </c>
      <c r="I32" s="694">
        <f>+'Análisis Técnico'!I131</f>
        <v>0</v>
      </c>
      <c r="J32" s="689" t="str">
        <f>+'Análisis Técnico'!J131</f>
        <v>Número de mobiliario</v>
      </c>
      <c r="K32" s="689">
        <f>+'Análisis Técnico'!K131</f>
        <v>0</v>
      </c>
      <c r="L32" s="338">
        <f>+'Análisis Técnico'!L131</f>
        <v>0</v>
      </c>
      <c r="M32" s="770"/>
      <c r="N32" s="771"/>
    </row>
    <row r="33" spans="2:18" s="322" customFormat="1" ht="32.1" customHeight="1">
      <c r="B33" s="716">
        <f>+'Análisis Técnico'!B132</f>
        <v>0</v>
      </c>
      <c r="C33" s="717"/>
      <c r="D33" s="326" t="str">
        <f>+'Análisis Técnico'!D132</f>
        <v>Mobiliario</v>
      </c>
      <c r="E33" s="692" t="str">
        <f>+'Análisis Técnico'!E132</f>
        <v>Mobiliario de ambiente de preparación y expendio de alimentos- Cuna Más</v>
      </c>
      <c r="F33" s="693">
        <f>+'Análisis Técnico'!F132</f>
        <v>0</v>
      </c>
      <c r="G33" s="693">
        <f>+'Análisis Técnico'!G132</f>
        <v>0</v>
      </c>
      <c r="H33" s="693">
        <f>+'Análisis Técnico'!H132</f>
        <v>0</v>
      </c>
      <c r="I33" s="694">
        <f>+'Análisis Técnico'!I132</f>
        <v>0</v>
      </c>
      <c r="J33" s="689" t="str">
        <f>+'Análisis Técnico'!J132</f>
        <v>Número de mobiliario</v>
      </c>
      <c r="K33" s="689">
        <f>+'Análisis Técnico'!K132</f>
        <v>0</v>
      </c>
      <c r="L33" s="338">
        <f>+'Análisis Técnico'!L132</f>
        <v>0</v>
      </c>
      <c r="M33" s="770"/>
      <c r="N33" s="771"/>
    </row>
    <row r="34" spans="2:18" ht="18.95" customHeight="1"/>
    <row r="35" spans="2:18" ht="18.95" customHeight="1"/>
    <row r="36" spans="2:18" s="322" customFormat="1" ht="18" customHeight="1">
      <c r="B36" s="695" t="s">
        <v>4271</v>
      </c>
      <c r="C36" s="695"/>
      <c r="D36" s="320" t="str">
        <f>+'Problema-Objetivo'!C46</f>
        <v/>
      </c>
      <c r="E36" s="321"/>
      <c r="F36" s="321"/>
      <c r="G36" s="321"/>
      <c r="H36" s="321"/>
      <c r="I36" s="321"/>
      <c r="J36" s="321"/>
      <c r="K36" s="321"/>
      <c r="L36" s="321"/>
      <c r="M36" s="321"/>
      <c r="N36" s="321"/>
      <c r="O36" s="321"/>
    </row>
    <row r="37" spans="2:18" s="322" customFormat="1" ht="18" customHeight="1">
      <c r="B37" s="323"/>
    </row>
    <row r="38" spans="2:18" s="322" customFormat="1" ht="36" customHeight="1">
      <c r="B38" s="691" t="str">
        <f>+B30</f>
        <v>Acción sobre el activo</v>
      </c>
      <c r="C38" s="691"/>
      <c r="D38" s="698" t="s">
        <v>131</v>
      </c>
      <c r="E38" s="700" t="s">
        <v>140</v>
      </c>
      <c r="F38" s="701"/>
      <c r="G38" s="701"/>
      <c r="H38" s="701"/>
      <c r="I38" s="702"/>
      <c r="J38" s="691" t="s">
        <v>132</v>
      </c>
      <c r="K38" s="691"/>
      <c r="L38" s="691"/>
      <c r="M38" s="700" t="s">
        <v>4273</v>
      </c>
      <c r="N38" s="702"/>
    </row>
    <row r="39" spans="2:18" s="322" customFormat="1" ht="50.1" customHeight="1">
      <c r="B39" s="691"/>
      <c r="C39" s="691"/>
      <c r="D39" s="699"/>
      <c r="E39" s="703"/>
      <c r="F39" s="704"/>
      <c r="G39" s="704"/>
      <c r="H39" s="704"/>
      <c r="I39" s="705"/>
      <c r="J39" s="691" t="s">
        <v>134</v>
      </c>
      <c r="K39" s="691"/>
      <c r="L39" s="325" t="s">
        <v>135</v>
      </c>
      <c r="M39" s="703"/>
      <c r="N39" s="705"/>
    </row>
    <row r="40" spans="2:18" s="322" customFormat="1" ht="32.1" customHeight="1">
      <c r="B40" s="450">
        <f>+'Análisis Técnico'!B138</f>
        <v>0</v>
      </c>
      <c r="C40" s="452"/>
      <c r="D40" s="326" t="str">
        <f>+'Análisis Técnico'!D138</f>
        <v>Intangibles</v>
      </c>
      <c r="E40" s="692" t="str">
        <f>+'Análisis Técnico'!E138</f>
        <v>Recursos humanos</v>
      </c>
      <c r="F40" s="693">
        <f>+'Análisis Técnico'!F138</f>
        <v>0</v>
      </c>
      <c r="G40" s="693">
        <f>+'Análisis Técnico'!G138</f>
        <v>0</v>
      </c>
      <c r="H40" s="693">
        <f>+'Análisis Técnico'!H138</f>
        <v>0</v>
      </c>
      <c r="I40" s="694">
        <f>+'Análisis Técnico'!I138</f>
        <v>0</v>
      </c>
      <c r="J40" s="689" t="str">
        <f>+'Análisis Técnico'!J138</f>
        <v>Número de eventos de capacitación</v>
      </c>
      <c r="K40" s="689">
        <f>+'Análisis Técnico'!K138</f>
        <v>0</v>
      </c>
      <c r="L40" s="338">
        <f>+'Análisis Técnico'!L138</f>
        <v>0</v>
      </c>
      <c r="M40" s="770"/>
      <c r="N40" s="771"/>
    </row>
    <row r="41" spans="2:18" ht="18.95" customHeight="1"/>
    <row r="42" spans="2:18" s="322" customFormat="1" ht="18" hidden="1" customHeight="1">
      <c r="B42" s="320" t="str">
        <f>+B46</f>
        <v>Medidas de reducción del riesgo de desastre y mitigación ambiental</v>
      </c>
      <c r="C42" s="320"/>
      <c r="D42" s="320"/>
      <c r="E42" s="321"/>
      <c r="F42" s="321"/>
      <c r="G42" s="321"/>
      <c r="H42" s="321"/>
      <c r="I42" s="321"/>
      <c r="J42" s="321"/>
      <c r="K42" s="321"/>
      <c r="L42" s="321"/>
      <c r="M42" s="321"/>
      <c r="N42" s="321"/>
      <c r="O42" s="321"/>
    </row>
    <row r="43" spans="2:18" s="322" customFormat="1" ht="18" hidden="1" customHeight="1">
      <c r="B43" s="323"/>
    </row>
    <row r="44" spans="2:18" s="322" customFormat="1" ht="36" hidden="1" customHeight="1">
      <c r="B44" s="691">
        <f>+B37</f>
        <v>0</v>
      </c>
      <c r="C44" s="691"/>
      <c r="D44" s="698"/>
      <c r="E44" s="700" t="s">
        <v>140</v>
      </c>
      <c r="F44" s="701"/>
      <c r="G44" s="701"/>
      <c r="H44" s="701"/>
      <c r="I44" s="702"/>
      <c r="J44" s="691" t="s">
        <v>132</v>
      </c>
      <c r="K44" s="691"/>
      <c r="L44" s="691"/>
      <c r="M44" s="698" t="s">
        <v>139</v>
      </c>
      <c r="N44" s="698" t="s">
        <v>4273</v>
      </c>
    </row>
    <row r="45" spans="2:18" s="322" customFormat="1" ht="50.1" hidden="1" customHeight="1">
      <c r="B45" s="691"/>
      <c r="C45" s="691"/>
      <c r="D45" s="699"/>
      <c r="E45" s="703"/>
      <c r="F45" s="704"/>
      <c r="G45" s="704"/>
      <c r="H45" s="704"/>
      <c r="I45" s="705"/>
      <c r="J45" s="691" t="s">
        <v>134</v>
      </c>
      <c r="K45" s="691"/>
      <c r="L45" s="325" t="s">
        <v>135</v>
      </c>
      <c r="M45" s="699"/>
      <c r="N45" s="699"/>
    </row>
    <row r="46" spans="2:18" s="322" customFormat="1" ht="15.95" hidden="1" customHeight="1">
      <c r="B46" s="339" t="s">
        <v>143</v>
      </c>
      <c r="C46" s="340"/>
      <c r="D46" s="340"/>
      <c r="E46" s="340"/>
      <c r="F46" s="340"/>
      <c r="G46" s="340"/>
      <c r="H46" s="340"/>
      <c r="I46" s="340"/>
      <c r="J46" s="340"/>
      <c r="K46" s="340"/>
      <c r="L46" s="340"/>
      <c r="M46" s="340"/>
      <c r="N46" s="341"/>
      <c r="O46" s="342"/>
      <c r="P46" s="342"/>
      <c r="Q46" s="342"/>
      <c r="R46" s="342"/>
    </row>
    <row r="47" spans="2:18" s="322" customFormat="1" ht="30.75" hidden="1" customHeight="1">
      <c r="B47" s="713">
        <f>+'Análisis Técnico'!G76</f>
        <v>0</v>
      </c>
      <c r="C47" s="714"/>
      <c r="D47" s="714"/>
      <c r="E47" s="714"/>
      <c r="F47" s="714"/>
      <c r="G47" s="714"/>
      <c r="H47" s="714"/>
      <c r="I47" s="715"/>
      <c r="J47" s="374"/>
      <c r="K47" s="374"/>
      <c r="L47" s="374"/>
      <c r="M47" s="375"/>
      <c r="N47" s="375"/>
      <c r="O47" s="342"/>
      <c r="P47" s="342"/>
      <c r="Q47" s="342"/>
      <c r="R47" s="342"/>
    </row>
    <row r="48" spans="2:18" s="322" customFormat="1" ht="30.75" hidden="1" customHeight="1">
      <c r="B48" s="713">
        <f>+'Análisis Técnico'!G77</f>
        <v>0</v>
      </c>
      <c r="C48" s="714"/>
      <c r="D48" s="714"/>
      <c r="E48" s="714"/>
      <c r="F48" s="714"/>
      <c r="G48" s="714"/>
      <c r="H48" s="714"/>
      <c r="I48" s="715"/>
      <c r="J48" s="374"/>
      <c r="K48" s="374"/>
      <c r="L48" s="374"/>
      <c r="M48" s="375"/>
      <c r="N48" s="375"/>
      <c r="O48" s="342"/>
      <c r="P48" s="342"/>
      <c r="Q48" s="342"/>
      <c r="R48" s="342"/>
    </row>
    <row r="49" spans="2:18" s="322" customFormat="1" ht="30.75" hidden="1" customHeight="1">
      <c r="B49" s="713">
        <f>+'Análisis Técnico'!G78</f>
        <v>0</v>
      </c>
      <c r="C49" s="714"/>
      <c r="D49" s="714"/>
      <c r="E49" s="714"/>
      <c r="F49" s="714"/>
      <c r="G49" s="714"/>
      <c r="H49" s="714"/>
      <c r="I49" s="715"/>
      <c r="J49" s="374"/>
      <c r="K49" s="374"/>
      <c r="L49" s="374"/>
      <c r="M49" s="375"/>
      <c r="N49" s="375"/>
      <c r="O49" s="342"/>
      <c r="P49" s="342"/>
      <c r="Q49" s="342"/>
      <c r="R49" s="342"/>
    </row>
    <row r="50" spans="2:18" s="322" customFormat="1" ht="30.75" hidden="1" customHeight="1">
      <c r="B50" s="713">
        <f>+'Análisis Técnico'!G79</f>
        <v>0</v>
      </c>
      <c r="C50" s="714"/>
      <c r="D50" s="714"/>
      <c r="E50" s="714"/>
      <c r="F50" s="714"/>
      <c r="G50" s="714"/>
      <c r="H50" s="714"/>
      <c r="I50" s="715"/>
      <c r="J50" s="374"/>
      <c r="K50" s="374"/>
      <c r="L50" s="374"/>
      <c r="M50" s="375"/>
      <c r="N50" s="375"/>
      <c r="O50" s="342"/>
      <c r="P50" s="342"/>
      <c r="Q50" s="342"/>
      <c r="R50" s="342"/>
    </row>
    <row r="51" spans="2:18" s="322" customFormat="1" ht="30.75" hidden="1" customHeight="1">
      <c r="B51" s="713">
        <f>+'Análisis Técnico'!G80</f>
        <v>0</v>
      </c>
      <c r="C51" s="714"/>
      <c r="D51" s="714"/>
      <c r="E51" s="714"/>
      <c r="F51" s="714"/>
      <c r="G51" s="714"/>
      <c r="H51" s="714"/>
      <c r="I51" s="715"/>
      <c r="J51" s="374"/>
      <c r="K51" s="374"/>
      <c r="L51" s="374"/>
      <c r="M51" s="375"/>
      <c r="N51" s="375"/>
      <c r="O51" s="342"/>
      <c r="P51" s="342"/>
      <c r="Q51" s="342"/>
      <c r="R51" s="342"/>
    </row>
    <row r="52" spans="2:18" s="322" customFormat="1" ht="30.75" hidden="1" customHeight="1">
      <c r="B52" s="713">
        <f>+'Análisis Técnico'!G81</f>
        <v>0</v>
      </c>
      <c r="C52" s="714"/>
      <c r="D52" s="714"/>
      <c r="E52" s="714"/>
      <c r="F52" s="714"/>
      <c r="G52" s="714"/>
      <c r="H52" s="714"/>
      <c r="I52" s="715"/>
      <c r="J52" s="374"/>
      <c r="K52" s="374"/>
      <c r="L52" s="374"/>
      <c r="M52" s="375"/>
      <c r="N52" s="375"/>
      <c r="O52" s="342"/>
      <c r="P52" s="342"/>
      <c r="Q52" s="342"/>
      <c r="R52" s="342"/>
    </row>
    <row r="53" spans="2:18" s="322" customFormat="1" ht="30.75" hidden="1" customHeight="1">
      <c r="B53" s="713">
        <f>+'Análisis Técnico'!G82</f>
        <v>0</v>
      </c>
      <c r="C53" s="714"/>
      <c r="D53" s="714"/>
      <c r="E53" s="714"/>
      <c r="F53" s="714"/>
      <c r="G53" s="714"/>
      <c r="H53" s="714"/>
      <c r="I53" s="715"/>
      <c r="J53" s="374"/>
      <c r="K53" s="374"/>
      <c r="L53" s="374"/>
      <c r="M53" s="375"/>
      <c r="N53" s="375"/>
      <c r="O53" s="342"/>
      <c r="P53" s="342"/>
      <c r="Q53" s="342"/>
      <c r="R53" s="342"/>
    </row>
    <row r="54" spans="2:18" s="322" customFormat="1" ht="30.75" hidden="1" customHeight="1">
      <c r="B54" s="713">
        <f>+'Análisis Técnico'!G83</f>
        <v>0</v>
      </c>
      <c r="C54" s="714"/>
      <c r="D54" s="714"/>
      <c r="E54" s="714"/>
      <c r="F54" s="714"/>
      <c r="G54" s="714"/>
      <c r="H54" s="714"/>
      <c r="I54" s="715"/>
      <c r="J54" s="374"/>
      <c r="K54" s="374"/>
      <c r="L54" s="374"/>
      <c r="M54" s="375"/>
      <c r="N54" s="375"/>
      <c r="O54" s="342"/>
      <c r="P54" s="342"/>
      <c r="Q54" s="342"/>
      <c r="R54" s="342"/>
    </row>
    <row r="55" spans="2:18" s="322" customFormat="1" ht="30.75" hidden="1" customHeight="1">
      <c r="B55" s="713">
        <f>+'Análisis Técnico'!G84</f>
        <v>0</v>
      </c>
      <c r="C55" s="714"/>
      <c r="D55" s="714"/>
      <c r="E55" s="714"/>
      <c r="F55" s="714"/>
      <c r="G55" s="714"/>
      <c r="H55" s="714"/>
      <c r="I55" s="715"/>
      <c r="J55" s="374"/>
      <c r="K55" s="374"/>
      <c r="L55" s="374"/>
      <c r="M55" s="375"/>
      <c r="N55" s="375"/>
      <c r="O55" s="342"/>
      <c r="P55" s="342"/>
      <c r="Q55" s="342"/>
      <c r="R55" s="342"/>
    </row>
    <row r="56" spans="2:18" s="322" customFormat="1" ht="30.75" hidden="1" customHeight="1">
      <c r="B56" s="713">
        <f>+'Análisis Técnico'!G85</f>
        <v>0</v>
      </c>
      <c r="C56" s="714"/>
      <c r="D56" s="714"/>
      <c r="E56" s="714"/>
      <c r="F56" s="714"/>
      <c r="G56" s="714"/>
      <c r="H56" s="714"/>
      <c r="I56" s="715"/>
      <c r="J56" s="374"/>
      <c r="K56" s="374"/>
      <c r="L56" s="374"/>
      <c r="M56" s="375"/>
      <c r="N56" s="375"/>
      <c r="O56" s="342"/>
      <c r="P56" s="342"/>
      <c r="Q56" s="342"/>
      <c r="R56" s="342"/>
    </row>
    <row r="57" spans="2:18" s="322" customFormat="1" ht="30.75" hidden="1" customHeight="1">
      <c r="B57" s="713">
        <f>+'Análisis Técnico'!G86</f>
        <v>0</v>
      </c>
      <c r="C57" s="714"/>
      <c r="D57" s="714"/>
      <c r="E57" s="714"/>
      <c r="F57" s="714"/>
      <c r="G57" s="714"/>
      <c r="H57" s="714"/>
      <c r="I57" s="715"/>
      <c r="J57" s="374"/>
      <c r="K57" s="374"/>
      <c r="L57" s="374"/>
      <c r="M57" s="375"/>
      <c r="N57" s="375"/>
      <c r="O57" s="342"/>
      <c r="P57" s="342"/>
      <c r="Q57" s="342"/>
      <c r="R57" s="342"/>
    </row>
    <row r="58" spans="2:18" s="322" customFormat="1" ht="30.75" hidden="1" customHeight="1">
      <c r="B58" s="713">
        <f>+'Análisis Técnico'!G87</f>
        <v>0</v>
      </c>
      <c r="C58" s="714"/>
      <c r="D58" s="714"/>
      <c r="E58" s="714"/>
      <c r="F58" s="714"/>
      <c r="G58" s="714"/>
      <c r="H58" s="714"/>
      <c r="I58" s="715"/>
      <c r="J58" s="374"/>
      <c r="K58" s="374"/>
      <c r="L58" s="374"/>
      <c r="M58" s="375"/>
      <c r="N58" s="375"/>
      <c r="O58" s="342"/>
      <c r="P58" s="342"/>
      <c r="Q58" s="342"/>
      <c r="R58" s="342"/>
    </row>
    <row r="59" spans="2:18" s="322" customFormat="1" ht="30.75" hidden="1" customHeight="1">
      <c r="B59" s="713">
        <f>+'Análisis Técnico'!G88</f>
        <v>0</v>
      </c>
      <c r="C59" s="714"/>
      <c r="D59" s="714"/>
      <c r="E59" s="714"/>
      <c r="F59" s="714"/>
      <c r="G59" s="714"/>
      <c r="H59" s="714"/>
      <c r="I59" s="715"/>
      <c r="J59" s="374"/>
      <c r="K59" s="374"/>
      <c r="L59" s="374"/>
      <c r="M59" s="375"/>
      <c r="N59" s="375"/>
      <c r="O59" s="342"/>
      <c r="P59" s="342"/>
      <c r="Q59" s="342"/>
      <c r="R59" s="342"/>
    </row>
    <row r="60" spans="2:18" s="322" customFormat="1" ht="30.75" hidden="1" customHeight="1">
      <c r="B60" s="713">
        <f>+'Análisis Técnico'!G89</f>
        <v>0</v>
      </c>
      <c r="C60" s="714"/>
      <c r="D60" s="714"/>
      <c r="E60" s="714"/>
      <c r="F60" s="714"/>
      <c r="G60" s="714"/>
      <c r="H60" s="714"/>
      <c r="I60" s="715"/>
      <c r="J60" s="374"/>
      <c r="K60" s="374"/>
      <c r="L60" s="374"/>
      <c r="M60" s="375"/>
      <c r="N60" s="375"/>
      <c r="O60" s="342"/>
      <c r="P60" s="342"/>
      <c r="Q60" s="342"/>
      <c r="R60" s="342"/>
    </row>
    <row r="61" spans="2:18" s="322" customFormat="1" ht="30.75" hidden="1" customHeight="1">
      <c r="B61" s="713">
        <f>+'Análisis Técnico'!G90</f>
        <v>0</v>
      </c>
      <c r="C61" s="714"/>
      <c r="D61" s="714"/>
      <c r="E61" s="714"/>
      <c r="F61" s="714"/>
      <c r="G61" s="714"/>
      <c r="H61" s="714"/>
      <c r="I61" s="715"/>
      <c r="J61" s="374"/>
      <c r="K61" s="374"/>
      <c r="L61" s="374"/>
      <c r="M61" s="375"/>
      <c r="N61" s="375"/>
      <c r="O61" s="342"/>
      <c r="P61" s="342"/>
      <c r="Q61" s="342"/>
      <c r="R61" s="342"/>
    </row>
    <row r="62" spans="2:18" s="322" customFormat="1" ht="30.75" hidden="1" customHeight="1">
      <c r="B62" s="713">
        <f>+'Análisis Técnico'!G91</f>
        <v>0</v>
      </c>
      <c r="C62" s="714"/>
      <c r="D62" s="714"/>
      <c r="E62" s="714"/>
      <c r="F62" s="714"/>
      <c r="G62" s="714"/>
      <c r="H62" s="714"/>
      <c r="I62" s="715"/>
      <c r="J62" s="374"/>
      <c r="K62" s="374"/>
      <c r="L62" s="374"/>
      <c r="M62" s="375"/>
      <c r="N62" s="375"/>
      <c r="O62" s="342"/>
      <c r="Q62" s="342"/>
      <c r="R62" s="342"/>
    </row>
    <row r="63" spans="2:18" s="342" customFormat="1" ht="6" customHeight="1"/>
    <row r="64" spans="2:18" s="342" customFormat="1" ht="26.1" customHeight="1">
      <c r="B64" s="764" t="s">
        <v>4276</v>
      </c>
      <c r="C64" s="764"/>
      <c r="D64" s="764"/>
      <c r="E64" s="764"/>
      <c r="F64" s="764"/>
      <c r="G64" s="764"/>
      <c r="H64" s="764"/>
      <c r="I64" s="764"/>
      <c r="J64" s="764"/>
      <c r="K64" s="764"/>
      <c r="L64" s="765"/>
      <c r="M64" s="772">
        <f>+SUM(N47:N62)+M40+M32+M25+SUM(O11:O19)+M33</f>
        <v>0</v>
      </c>
      <c r="N64" s="772"/>
    </row>
    <row r="65" spans="2:8" s="342" customFormat="1">
      <c r="B65" s="343"/>
      <c r="C65" s="343"/>
      <c r="D65" s="343"/>
      <c r="E65" s="343"/>
      <c r="F65" s="343"/>
      <c r="G65" s="343"/>
      <c r="H65" s="343"/>
    </row>
    <row r="66" spans="2:8" s="342" customFormat="1" ht="18.75" customHeight="1">
      <c r="B66" s="344" t="s">
        <v>4277</v>
      </c>
      <c r="C66" s="343"/>
      <c r="D66" s="343"/>
      <c r="E66" s="343"/>
      <c r="F66" s="343"/>
      <c r="G66" s="343"/>
      <c r="H66" s="343"/>
    </row>
    <row r="67" spans="2:8" s="342" customFormat="1"/>
    <row r="68" spans="2:8" s="342" customFormat="1" ht="39" customHeight="1">
      <c r="B68" s="728" t="s">
        <v>144</v>
      </c>
      <c r="C68" s="728"/>
      <c r="D68" s="728"/>
      <c r="E68" s="671" t="s">
        <v>145</v>
      </c>
      <c r="F68" s="671"/>
      <c r="G68" s="671" t="s">
        <v>4275</v>
      </c>
      <c r="H68" s="671"/>
    </row>
    <row r="69" spans="2:8" s="342" customFormat="1" ht="6.6" customHeight="1"/>
    <row r="70" spans="2:8" s="342" customFormat="1" ht="33.950000000000003" customHeight="1">
      <c r="B70" s="768" t="s">
        <v>146</v>
      </c>
      <c r="C70" s="768"/>
      <c r="D70" s="768"/>
      <c r="E70" s="766"/>
      <c r="F70" s="767"/>
      <c r="G70" s="762" t="str">
        <f>IF($M$64&gt;0,+E70/$M$64,"")</f>
        <v/>
      </c>
      <c r="H70" s="763"/>
    </row>
    <row r="71" spans="2:8" s="342" customFormat="1" ht="33.950000000000003" customHeight="1">
      <c r="B71" s="735" t="s">
        <v>147</v>
      </c>
      <c r="C71" s="735"/>
      <c r="D71" s="735"/>
      <c r="E71" s="766"/>
      <c r="F71" s="767"/>
      <c r="G71" s="762" t="str">
        <f t="shared" ref="G71:G74" si="1">IF($M$64&gt;0,+E71/$M$64,"")</f>
        <v/>
      </c>
      <c r="H71" s="763"/>
    </row>
    <row r="72" spans="2:8" s="342" customFormat="1" ht="33.950000000000003" customHeight="1">
      <c r="B72" s="768" t="s">
        <v>148</v>
      </c>
      <c r="C72" s="768"/>
      <c r="D72" s="768"/>
      <c r="E72" s="766"/>
      <c r="F72" s="767"/>
      <c r="G72" s="762" t="str">
        <f t="shared" si="1"/>
        <v/>
      </c>
      <c r="H72" s="763"/>
    </row>
    <row r="73" spans="2:8" s="342" customFormat="1" ht="33.950000000000003" customHeight="1">
      <c r="B73" s="768" t="s">
        <v>149</v>
      </c>
      <c r="C73" s="768"/>
      <c r="D73" s="768"/>
      <c r="E73" s="766"/>
      <c r="F73" s="767"/>
      <c r="G73" s="762" t="str">
        <f t="shared" si="1"/>
        <v/>
      </c>
      <c r="H73" s="763"/>
    </row>
    <row r="74" spans="2:8" s="342" customFormat="1" ht="33.950000000000003" customHeight="1">
      <c r="B74" s="768" t="s">
        <v>4274</v>
      </c>
      <c r="C74" s="768"/>
      <c r="D74" s="768"/>
      <c r="E74" s="766"/>
      <c r="F74" s="767"/>
      <c r="G74" s="762" t="str">
        <f t="shared" si="1"/>
        <v/>
      </c>
      <c r="H74" s="763"/>
    </row>
    <row r="75" spans="2:8" s="342" customFormat="1"/>
    <row r="76" spans="2:8" s="342" customFormat="1" ht="30.6" customHeight="1">
      <c r="B76" s="758" t="s">
        <v>150</v>
      </c>
      <c r="C76" s="758"/>
      <c r="D76" s="759"/>
      <c r="E76" s="769">
        <f>SUM(E70:F74)</f>
        <v>0</v>
      </c>
      <c r="F76" s="761"/>
    </row>
    <row r="77" spans="2:8" s="342" customFormat="1"/>
    <row r="78" spans="2:8" s="342" customFormat="1" ht="30.6" customHeight="1">
      <c r="B78" s="758" t="s">
        <v>151</v>
      </c>
      <c r="C78" s="758"/>
      <c r="D78" s="759"/>
      <c r="E78" s="760">
        <f>+E76+M64</f>
        <v>0</v>
      </c>
      <c r="F78" s="761"/>
      <c r="G78" s="345"/>
    </row>
    <row r="79" spans="2:8" s="342" customFormat="1"/>
    <row r="80" spans="2:8" s="342" customFormat="1"/>
    <row r="81" spans="2:15" s="13" customFormat="1" ht="18.95" customHeight="1">
      <c r="B81" s="21" t="s">
        <v>152</v>
      </c>
      <c r="C81" s="22"/>
      <c r="D81" s="23"/>
      <c r="E81" s="23"/>
      <c r="F81" s="23"/>
      <c r="G81" s="79"/>
      <c r="H81" s="23"/>
      <c r="I81" s="23"/>
      <c r="J81" s="23"/>
      <c r="K81" s="23"/>
      <c r="L81" s="24"/>
      <c r="M81" s="24"/>
      <c r="N81" s="24"/>
      <c r="O81" s="24"/>
    </row>
    <row r="82" spans="2:15" s="322" customFormat="1" ht="15.75">
      <c r="B82" s="336"/>
      <c r="C82" s="336"/>
      <c r="D82" s="336"/>
      <c r="E82" s="336"/>
      <c r="F82" s="336"/>
    </row>
    <row r="83" spans="2:15" s="346" customFormat="1" ht="17.45" customHeight="1">
      <c r="B83" s="728" t="s">
        <v>153</v>
      </c>
      <c r="C83" s="728"/>
      <c r="D83" s="728" t="s">
        <v>95</v>
      </c>
      <c r="E83" s="728" t="s">
        <v>135</v>
      </c>
      <c r="F83" s="671" t="s">
        <v>154</v>
      </c>
      <c r="G83" s="671"/>
      <c r="H83" s="671"/>
      <c r="I83" s="671"/>
      <c r="J83" s="671"/>
      <c r="K83" s="671"/>
      <c r="L83" s="671"/>
      <c r="M83" s="671"/>
      <c r="N83" s="671"/>
      <c r="O83" s="671"/>
    </row>
    <row r="84" spans="2:15" s="346" customFormat="1" ht="33.950000000000003" customHeight="1">
      <c r="B84" s="728"/>
      <c r="C84" s="728"/>
      <c r="D84" s="728"/>
      <c r="E84" s="728"/>
      <c r="F84" s="81" t="str">
        <f>+Brecha!E13</f>
        <v/>
      </c>
      <c r="G84" s="81" t="str">
        <f>+Brecha!F13</f>
        <v/>
      </c>
      <c r="H84" s="81" t="str">
        <f>+Brecha!G13</f>
        <v/>
      </c>
      <c r="I84" s="81" t="str">
        <f>+Brecha!H13</f>
        <v/>
      </c>
      <c r="J84" s="81" t="str">
        <f>+Brecha!I13</f>
        <v/>
      </c>
      <c r="K84" s="81" t="str">
        <f>+Brecha!J13</f>
        <v/>
      </c>
      <c r="L84" s="81" t="str">
        <f>+Brecha!K13</f>
        <v/>
      </c>
      <c r="M84" s="81" t="str">
        <f>+Brecha!L13</f>
        <v/>
      </c>
      <c r="N84" s="81" t="str">
        <f>+Brecha!M13</f>
        <v/>
      </c>
      <c r="O84" s="81" t="str">
        <f>+Brecha!N13</f>
        <v/>
      </c>
    </row>
    <row r="85" spans="2:15" s="342" customFormat="1" ht="5.0999999999999996" customHeight="1">
      <c r="B85" s="347"/>
      <c r="C85" s="347"/>
      <c r="D85" s="347"/>
      <c r="E85" s="347"/>
      <c r="F85" s="347"/>
      <c r="G85" s="347"/>
      <c r="H85" s="347"/>
      <c r="I85" s="347"/>
      <c r="J85" s="347"/>
      <c r="K85" s="347"/>
      <c r="L85" s="347"/>
      <c r="M85" s="347"/>
      <c r="N85" s="347"/>
    </row>
    <row r="86" spans="2:15" s="342" customFormat="1" ht="39" customHeight="1">
      <c r="B86" s="756"/>
      <c r="C86" s="756"/>
      <c r="D86" s="404"/>
      <c r="E86" s="403"/>
      <c r="F86" s="371"/>
      <c r="G86" s="371"/>
      <c r="H86" s="371"/>
      <c r="I86" s="371"/>
      <c r="J86" s="371"/>
      <c r="K86" s="371"/>
      <c r="L86" s="371"/>
      <c r="M86" s="371"/>
      <c r="N86" s="371"/>
      <c r="O86" s="371"/>
    </row>
    <row r="87" spans="2:15" s="342" customFormat="1" ht="39" customHeight="1">
      <c r="B87" s="756"/>
      <c r="C87" s="756"/>
      <c r="D87" s="404"/>
      <c r="E87" s="403"/>
      <c r="F87" s="371"/>
      <c r="G87" s="371"/>
      <c r="H87" s="371"/>
      <c r="I87" s="371"/>
      <c r="J87" s="371"/>
      <c r="K87" s="371"/>
      <c r="L87" s="371"/>
      <c r="M87" s="371"/>
      <c r="N87" s="371"/>
      <c r="O87" s="371"/>
    </row>
    <row r="88" spans="2:15" s="342" customFormat="1" ht="39" customHeight="1">
      <c r="B88" s="757"/>
      <c r="C88" s="757"/>
      <c r="D88" s="404"/>
      <c r="E88" s="402"/>
      <c r="F88" s="371"/>
      <c r="G88" s="371"/>
      <c r="H88" s="371"/>
      <c r="I88" s="371"/>
      <c r="J88" s="371"/>
      <c r="K88" s="371"/>
      <c r="L88" s="371"/>
      <c r="M88" s="371"/>
      <c r="N88" s="371"/>
      <c r="O88" s="371"/>
    </row>
    <row r="89" spans="2:15" s="342" customFormat="1" ht="39" customHeight="1">
      <c r="B89" s="757"/>
      <c r="C89" s="757"/>
      <c r="D89" s="404"/>
      <c r="E89" s="402"/>
      <c r="F89" s="371"/>
      <c r="G89" s="371"/>
      <c r="H89" s="371"/>
      <c r="I89" s="371"/>
      <c r="J89" s="371"/>
      <c r="K89" s="371"/>
      <c r="L89" s="371"/>
      <c r="M89" s="371"/>
      <c r="N89" s="371"/>
      <c r="O89" s="371"/>
    </row>
    <row r="90" spans="2:15" s="342" customFormat="1" ht="39" customHeight="1">
      <c r="B90" s="757"/>
      <c r="C90" s="757"/>
      <c r="D90" s="404"/>
      <c r="E90" s="402"/>
      <c r="F90" s="371"/>
      <c r="G90" s="371"/>
      <c r="H90" s="371"/>
      <c r="I90" s="371"/>
      <c r="J90" s="371"/>
      <c r="K90" s="371"/>
      <c r="L90" s="371"/>
      <c r="M90" s="371"/>
      <c r="N90" s="371"/>
      <c r="O90" s="371"/>
    </row>
    <row r="91" spans="2:15" s="342" customFormat="1" ht="39" customHeight="1">
      <c r="B91" s="757"/>
      <c r="C91" s="757"/>
      <c r="D91" s="404"/>
      <c r="E91" s="402"/>
      <c r="F91" s="371"/>
      <c r="G91" s="371"/>
      <c r="H91" s="371"/>
      <c r="I91" s="371"/>
      <c r="J91" s="371"/>
      <c r="K91" s="371"/>
      <c r="L91" s="371"/>
      <c r="M91" s="371"/>
      <c r="N91" s="371"/>
      <c r="O91" s="371"/>
    </row>
    <row r="92" spans="2:15" s="342" customFormat="1" ht="39" customHeight="1">
      <c r="B92" s="757"/>
      <c r="C92" s="757"/>
      <c r="D92" s="404"/>
      <c r="E92" s="402"/>
      <c r="F92" s="371"/>
      <c r="G92" s="371"/>
      <c r="H92" s="371"/>
      <c r="I92" s="371"/>
      <c r="J92" s="371"/>
      <c r="K92" s="371"/>
      <c r="L92" s="371"/>
      <c r="M92" s="371"/>
      <c r="N92" s="371"/>
      <c r="O92" s="371"/>
    </row>
    <row r="93" spans="2:15" s="342" customFormat="1" ht="39" customHeight="1">
      <c r="B93" s="757"/>
      <c r="C93" s="757"/>
      <c r="D93" s="404"/>
      <c r="E93" s="402"/>
      <c r="F93" s="371"/>
      <c r="G93" s="371"/>
      <c r="H93" s="371"/>
      <c r="I93" s="371"/>
      <c r="J93" s="371"/>
      <c r="K93" s="371"/>
      <c r="L93" s="371"/>
      <c r="M93" s="371"/>
      <c r="N93" s="371"/>
      <c r="O93" s="371"/>
    </row>
    <row r="94" spans="2:15" s="342" customFormat="1" ht="15.75">
      <c r="C94" s="314"/>
      <c r="E94" s="348"/>
      <c r="F94" s="331"/>
      <c r="G94" s="349"/>
      <c r="H94" s="331"/>
    </row>
    <row r="95" spans="2:15" s="13" customFormat="1" ht="18.95" customHeight="1">
      <c r="B95" s="21" t="s">
        <v>155</v>
      </c>
      <c r="C95" s="22"/>
      <c r="D95" s="23"/>
      <c r="E95" s="23"/>
      <c r="F95" s="23"/>
      <c r="G95" s="79"/>
      <c r="H95" s="23"/>
      <c r="I95" s="23"/>
      <c r="J95" s="23"/>
      <c r="K95" s="23"/>
      <c r="L95" s="24"/>
      <c r="M95" s="24"/>
      <c r="N95" s="24"/>
      <c r="O95" s="24"/>
    </row>
    <row r="96" spans="2:15" s="322" customFormat="1" ht="15.75">
      <c r="B96" s="336"/>
      <c r="C96" s="336"/>
      <c r="D96" s="336"/>
      <c r="E96" s="336"/>
      <c r="F96" s="336"/>
    </row>
    <row r="97" spans="2:20" s="342" customFormat="1">
      <c r="B97" s="746" t="s">
        <v>156</v>
      </c>
      <c r="C97" s="746"/>
      <c r="D97" s="746"/>
      <c r="E97" s="746"/>
      <c r="F97" s="746"/>
      <c r="G97" s="750">
        <f>+Horizonte!I18</f>
        <v>0</v>
      </c>
      <c r="H97" s="751"/>
    </row>
    <row r="98" spans="2:20" s="342" customFormat="1">
      <c r="B98" s="746" t="s">
        <v>157</v>
      </c>
      <c r="C98" s="746"/>
      <c r="D98" s="746"/>
      <c r="E98" s="746"/>
      <c r="F98" s="747"/>
      <c r="G98" s="748">
        <v>10</v>
      </c>
      <c r="H98" s="749"/>
    </row>
    <row r="99" spans="2:20" s="342" customFormat="1" ht="18" customHeight="1">
      <c r="C99" s="343"/>
      <c r="D99" s="343"/>
      <c r="E99" s="343"/>
      <c r="F99" s="343"/>
      <c r="G99" s="343"/>
      <c r="H99" s="343"/>
      <c r="I99" s="343"/>
    </row>
    <row r="100" spans="2:20" s="13" customFormat="1" ht="18" customHeight="1">
      <c r="B100" s="15" t="s">
        <v>4279</v>
      </c>
      <c r="H100" s="17"/>
      <c r="J100" s="15" t="s">
        <v>4281</v>
      </c>
      <c r="P100" s="17"/>
    </row>
    <row r="101" spans="2:20" s="13" customFormat="1" ht="18" customHeight="1">
      <c r="B101" s="535" t="s">
        <v>4134</v>
      </c>
      <c r="C101" s="536"/>
      <c r="D101" s="536"/>
      <c r="E101" s="537"/>
      <c r="F101" s="511" t="s">
        <v>4147</v>
      </c>
      <c r="G101" s="511"/>
      <c r="H101" s="511"/>
      <c r="J101" s="535" t="s">
        <v>4134</v>
      </c>
      <c r="K101" s="536"/>
      <c r="L101" s="536"/>
      <c r="M101" s="537"/>
      <c r="N101" s="511" t="s">
        <v>4147</v>
      </c>
      <c r="O101" s="511"/>
      <c r="P101" s="511"/>
    </row>
    <row r="102" spans="2:20" s="13" customFormat="1" ht="18" customHeight="1">
      <c r="B102" s="538"/>
      <c r="C102" s="539"/>
      <c r="D102" s="539"/>
      <c r="E102" s="540"/>
      <c r="F102" s="223" t="s">
        <v>135</v>
      </c>
      <c r="G102" s="223" t="s">
        <v>4135</v>
      </c>
      <c r="H102" s="223" t="s">
        <v>177</v>
      </c>
      <c r="J102" s="538"/>
      <c r="K102" s="539"/>
      <c r="L102" s="539"/>
      <c r="M102" s="540"/>
      <c r="N102" s="223" t="s">
        <v>135</v>
      </c>
      <c r="O102" s="223" t="s">
        <v>4135</v>
      </c>
      <c r="P102" s="223" t="s">
        <v>177</v>
      </c>
    </row>
    <row r="103" spans="2:20" s="13" customFormat="1" ht="18" customHeight="1">
      <c r="B103" s="13" t="s">
        <v>4148</v>
      </c>
      <c r="J103" s="13" t="s">
        <v>4148</v>
      </c>
    </row>
    <row r="104" spans="2:20" s="13" customFormat="1" ht="18" customHeight="1">
      <c r="B104" s="532" t="s">
        <v>4136</v>
      </c>
      <c r="C104" s="533"/>
      <c r="D104" s="533"/>
      <c r="E104" s="534"/>
      <c r="F104" s="350">
        <f>+'Unidad Productora'!F94</f>
        <v>0</v>
      </c>
      <c r="G104" s="225">
        <f>+'Unidad Productora'!G94</f>
        <v>0</v>
      </c>
      <c r="H104" s="225"/>
      <c r="J104" s="532" t="s">
        <v>4136</v>
      </c>
      <c r="K104" s="533"/>
      <c r="L104" s="533"/>
      <c r="M104" s="534"/>
      <c r="N104" s="350"/>
      <c r="O104" s="405"/>
      <c r="P104" s="351"/>
    </row>
    <row r="105" spans="2:20" s="13" customFormat="1" ht="18" customHeight="1">
      <c r="B105" s="541" t="s">
        <v>4137</v>
      </c>
      <c r="C105" s="542"/>
      <c r="D105" s="542"/>
      <c r="E105" s="543"/>
      <c r="F105" s="350">
        <f>+'Unidad Productora'!F95</f>
        <v>0</v>
      </c>
      <c r="G105" s="225">
        <f>+'Unidad Productora'!G95</f>
        <v>0</v>
      </c>
      <c r="H105" s="225">
        <f>+'Unidad Productora'!H95</f>
        <v>0</v>
      </c>
      <c r="J105" s="541" t="s">
        <v>4137</v>
      </c>
      <c r="K105" s="542"/>
      <c r="L105" s="542"/>
      <c r="M105" s="543"/>
      <c r="N105" s="376"/>
      <c r="O105" s="377"/>
      <c r="P105" s="351">
        <f>+O105*N105</f>
        <v>0</v>
      </c>
    </row>
    <row r="106" spans="2:20" s="13" customFormat="1" ht="18" customHeight="1">
      <c r="B106" s="541" t="s">
        <v>4138</v>
      </c>
      <c r="C106" s="542"/>
      <c r="D106" s="542"/>
      <c r="E106" s="543"/>
      <c r="F106" s="350">
        <f>+'Unidad Productora'!F96</f>
        <v>0</v>
      </c>
      <c r="G106" s="225">
        <f>+'Unidad Productora'!G96</f>
        <v>0</v>
      </c>
      <c r="H106" s="225">
        <f>+'Unidad Productora'!H96</f>
        <v>0</v>
      </c>
      <c r="J106" s="541" t="s">
        <v>4138</v>
      </c>
      <c r="K106" s="542"/>
      <c r="L106" s="542"/>
      <c r="M106" s="543"/>
      <c r="N106" s="376"/>
      <c r="O106" s="377"/>
      <c r="P106" s="351">
        <f t="shared" ref="P106:P121" si="2">+O106*N106</f>
        <v>0</v>
      </c>
    </row>
    <row r="107" spans="2:20" s="13" customFormat="1" ht="18" customHeight="1">
      <c r="B107" s="541" t="s">
        <v>4139</v>
      </c>
      <c r="C107" s="542"/>
      <c r="D107" s="542"/>
      <c r="E107" s="543"/>
      <c r="F107" s="350">
        <f>+'Unidad Productora'!F97</f>
        <v>0</v>
      </c>
      <c r="G107" s="225">
        <f>+'Unidad Productora'!G97</f>
        <v>0</v>
      </c>
      <c r="H107" s="225">
        <f>+'Unidad Productora'!H97</f>
        <v>0</v>
      </c>
      <c r="J107" s="541" t="s">
        <v>4139</v>
      </c>
      <c r="K107" s="542"/>
      <c r="L107" s="542"/>
      <c r="M107" s="543"/>
      <c r="N107" s="376"/>
      <c r="O107" s="377"/>
      <c r="P107" s="351">
        <f t="shared" si="2"/>
        <v>0</v>
      </c>
    </row>
    <row r="108" spans="2:20" s="13" customFormat="1" ht="18" customHeight="1">
      <c r="B108" s="541" t="s">
        <v>4140</v>
      </c>
      <c r="C108" s="542"/>
      <c r="D108" s="542"/>
      <c r="E108" s="543"/>
      <c r="F108" s="350">
        <f>+'Unidad Productora'!F98</f>
        <v>0</v>
      </c>
      <c r="G108" s="225">
        <f>+'Unidad Productora'!G98</f>
        <v>0</v>
      </c>
      <c r="H108" s="225">
        <f>+'Unidad Productora'!H98</f>
        <v>0</v>
      </c>
      <c r="J108" s="541" t="s">
        <v>4140</v>
      </c>
      <c r="K108" s="542"/>
      <c r="L108" s="542"/>
      <c r="M108" s="543"/>
      <c r="N108" s="376"/>
      <c r="O108" s="377"/>
      <c r="P108" s="351">
        <f t="shared" si="2"/>
        <v>0</v>
      </c>
      <c r="R108" s="352"/>
      <c r="S108" s="353"/>
      <c r="T108" s="352"/>
    </row>
    <row r="109" spans="2:20" s="13" customFormat="1" ht="18" customHeight="1">
      <c r="B109" s="541" t="s">
        <v>4141</v>
      </c>
      <c r="C109" s="542"/>
      <c r="D109" s="542"/>
      <c r="E109" s="543"/>
      <c r="F109" s="350">
        <f>+'Unidad Productora'!F99</f>
        <v>0</v>
      </c>
      <c r="G109" s="225">
        <f>+'Unidad Productora'!G99</f>
        <v>0</v>
      </c>
      <c r="H109" s="225">
        <f>+'Unidad Productora'!H99</f>
        <v>0</v>
      </c>
      <c r="J109" s="541" t="s">
        <v>4141</v>
      </c>
      <c r="K109" s="542"/>
      <c r="L109" s="542"/>
      <c r="M109" s="543"/>
      <c r="N109" s="376"/>
      <c r="O109" s="377"/>
      <c r="P109" s="351">
        <f t="shared" si="2"/>
        <v>0</v>
      </c>
    </row>
    <row r="110" spans="2:20" s="13" customFormat="1" ht="18" customHeight="1">
      <c r="B110" s="541" t="s">
        <v>4142</v>
      </c>
      <c r="C110" s="542"/>
      <c r="D110" s="542"/>
      <c r="E110" s="543"/>
      <c r="F110" s="350">
        <f>+'Unidad Productora'!F100</f>
        <v>0</v>
      </c>
      <c r="G110" s="225">
        <f>+'Unidad Productora'!G100</f>
        <v>0</v>
      </c>
      <c r="H110" s="225">
        <f>+'Unidad Productora'!H100</f>
        <v>0</v>
      </c>
      <c r="J110" s="541" t="s">
        <v>4142</v>
      </c>
      <c r="K110" s="542"/>
      <c r="L110" s="542"/>
      <c r="M110" s="543"/>
      <c r="N110" s="376"/>
      <c r="O110" s="377"/>
      <c r="P110" s="351">
        <f t="shared" si="2"/>
        <v>0</v>
      </c>
    </row>
    <row r="111" spans="2:20" s="13" customFormat="1" ht="18" customHeight="1">
      <c r="B111" s="532" t="s">
        <v>4143</v>
      </c>
      <c r="C111" s="533"/>
      <c r="D111" s="533"/>
      <c r="E111" s="534"/>
      <c r="F111" s="350">
        <f>+'Unidad Productora'!F101</f>
        <v>0</v>
      </c>
      <c r="G111" s="225">
        <f>+'Unidad Productora'!G101</f>
        <v>0</v>
      </c>
      <c r="H111" s="225">
        <f>+'Unidad Productora'!H101</f>
        <v>0</v>
      </c>
      <c r="J111" s="532" t="s">
        <v>4143</v>
      </c>
      <c r="K111" s="533"/>
      <c r="L111" s="533"/>
      <c r="M111" s="534"/>
      <c r="N111" s="376"/>
      <c r="O111" s="377"/>
      <c r="P111" s="351">
        <f t="shared" si="2"/>
        <v>0</v>
      </c>
    </row>
    <row r="112" spans="2:20" s="13" customFormat="1" ht="18" customHeight="1">
      <c r="B112" s="541" t="s">
        <v>4144</v>
      </c>
      <c r="C112" s="542"/>
      <c r="D112" s="542"/>
      <c r="E112" s="543"/>
      <c r="F112" s="350">
        <f>+'Unidad Productora'!F102</f>
        <v>0</v>
      </c>
      <c r="G112" s="225">
        <f>+'Unidad Productora'!G102</f>
        <v>0</v>
      </c>
      <c r="H112" s="225">
        <f>+'Unidad Productora'!H102</f>
        <v>0</v>
      </c>
      <c r="J112" s="541" t="s">
        <v>4144</v>
      </c>
      <c r="K112" s="542"/>
      <c r="L112" s="542"/>
      <c r="M112" s="543"/>
      <c r="N112" s="376"/>
      <c r="O112" s="377"/>
      <c r="P112" s="351">
        <f t="shared" si="2"/>
        <v>0</v>
      </c>
    </row>
    <row r="113" spans="2:16" s="13" customFormat="1" ht="18" customHeight="1">
      <c r="B113" s="541" t="s">
        <v>4145</v>
      </c>
      <c r="C113" s="542"/>
      <c r="D113" s="542"/>
      <c r="E113" s="543"/>
      <c r="F113" s="350">
        <f>+'Unidad Productora'!F103</f>
        <v>0</v>
      </c>
      <c r="G113" s="225">
        <f>+'Unidad Productora'!G103</f>
        <v>0</v>
      </c>
      <c r="H113" s="225">
        <f>+'Unidad Productora'!H103</f>
        <v>0</v>
      </c>
      <c r="J113" s="541" t="s">
        <v>4145</v>
      </c>
      <c r="K113" s="542"/>
      <c r="L113" s="542"/>
      <c r="M113" s="543"/>
      <c r="N113" s="376"/>
      <c r="O113" s="377"/>
      <c r="P113" s="351">
        <f t="shared" si="2"/>
        <v>0</v>
      </c>
    </row>
    <row r="114" spans="2:16" s="13" customFormat="1" ht="18" customHeight="1">
      <c r="B114" s="541" t="s">
        <v>4146</v>
      </c>
      <c r="C114" s="542"/>
      <c r="D114" s="542"/>
      <c r="E114" s="543"/>
      <c r="F114" s="350">
        <f>+'Unidad Productora'!F104</f>
        <v>0</v>
      </c>
      <c r="G114" s="225">
        <f>+'Unidad Productora'!G104</f>
        <v>0</v>
      </c>
      <c r="H114" s="225">
        <f>+'Unidad Productora'!H104</f>
        <v>0</v>
      </c>
      <c r="J114" s="541" t="s">
        <v>4146</v>
      </c>
      <c r="K114" s="542"/>
      <c r="L114" s="542"/>
      <c r="M114" s="543"/>
      <c r="N114" s="376"/>
      <c r="O114" s="377"/>
      <c r="P114" s="351">
        <f t="shared" si="2"/>
        <v>0</v>
      </c>
    </row>
    <row r="115" spans="2:16" s="13" customFormat="1" ht="18" customHeight="1">
      <c r="B115" s="13" t="s">
        <v>4278</v>
      </c>
      <c r="G115" s="354"/>
      <c r="H115" s="354"/>
      <c r="J115" s="13" t="s">
        <v>4278</v>
      </c>
      <c r="N115" s="419"/>
      <c r="O115" s="420"/>
      <c r="P115" s="354"/>
    </row>
    <row r="116" spans="2:16" s="13" customFormat="1" ht="18" customHeight="1">
      <c r="B116" s="532" t="s">
        <v>4149</v>
      </c>
      <c r="C116" s="533"/>
      <c r="D116" s="533"/>
      <c r="E116" s="534"/>
      <c r="F116" s="350">
        <f>+'Unidad Productora'!F110</f>
        <v>0</v>
      </c>
      <c r="G116" s="225">
        <f>+'Unidad Productora'!G110</f>
        <v>0</v>
      </c>
      <c r="H116" s="225"/>
      <c r="J116" s="532" t="s">
        <v>4149</v>
      </c>
      <c r="K116" s="533"/>
      <c r="L116" s="533"/>
      <c r="M116" s="534"/>
      <c r="N116" s="406"/>
      <c r="O116" s="407"/>
      <c r="P116" s="351"/>
    </row>
    <row r="117" spans="2:16" s="13" customFormat="1" ht="18" customHeight="1">
      <c r="B117" s="541" t="s">
        <v>4150</v>
      </c>
      <c r="C117" s="542"/>
      <c r="D117" s="542"/>
      <c r="E117" s="543"/>
      <c r="F117" s="350">
        <f>+'Unidad Productora'!F111</f>
        <v>0</v>
      </c>
      <c r="G117" s="225">
        <f>+'Unidad Productora'!G111</f>
        <v>0</v>
      </c>
      <c r="H117" s="225">
        <f>+'Unidad Productora'!H111</f>
        <v>0</v>
      </c>
      <c r="J117" s="541" t="s">
        <v>4150</v>
      </c>
      <c r="K117" s="542"/>
      <c r="L117" s="542"/>
      <c r="M117" s="543"/>
      <c r="N117" s="376"/>
      <c r="O117" s="377"/>
      <c r="P117" s="351">
        <f t="shared" si="2"/>
        <v>0</v>
      </c>
    </row>
    <row r="118" spans="2:16" s="13" customFormat="1" ht="18" customHeight="1">
      <c r="B118" s="541" t="s">
        <v>4151</v>
      </c>
      <c r="C118" s="542"/>
      <c r="D118" s="542"/>
      <c r="E118" s="543"/>
      <c r="F118" s="350">
        <f>+'Unidad Productora'!F112</f>
        <v>0</v>
      </c>
      <c r="G118" s="225">
        <f>+'Unidad Productora'!G112</f>
        <v>0</v>
      </c>
      <c r="H118" s="225">
        <f>+'Unidad Productora'!H112</f>
        <v>0</v>
      </c>
      <c r="J118" s="541" t="s">
        <v>4151</v>
      </c>
      <c r="K118" s="542"/>
      <c r="L118" s="542"/>
      <c r="M118" s="543"/>
      <c r="N118" s="376"/>
      <c r="O118" s="377"/>
      <c r="P118" s="351">
        <f t="shared" si="2"/>
        <v>0</v>
      </c>
    </row>
    <row r="119" spans="2:16" s="13" customFormat="1" ht="18" customHeight="1">
      <c r="B119" s="541" t="s">
        <v>4152</v>
      </c>
      <c r="C119" s="542"/>
      <c r="D119" s="542"/>
      <c r="E119" s="543"/>
      <c r="F119" s="350">
        <f>+'Unidad Productora'!F113</f>
        <v>0</v>
      </c>
      <c r="G119" s="225">
        <f>+'Unidad Productora'!G113</f>
        <v>0</v>
      </c>
      <c r="H119" s="225">
        <f>+'Unidad Productora'!H113</f>
        <v>0</v>
      </c>
      <c r="J119" s="541" t="s">
        <v>4152</v>
      </c>
      <c r="K119" s="542"/>
      <c r="L119" s="542"/>
      <c r="M119" s="543"/>
      <c r="N119" s="376"/>
      <c r="O119" s="377"/>
      <c r="P119" s="351">
        <f t="shared" si="2"/>
        <v>0</v>
      </c>
    </row>
    <row r="120" spans="2:16" s="13" customFormat="1" ht="18" customHeight="1">
      <c r="B120" s="541" t="s">
        <v>4153</v>
      </c>
      <c r="C120" s="542"/>
      <c r="D120" s="542"/>
      <c r="E120" s="543"/>
      <c r="F120" s="350">
        <f>+'Unidad Productora'!F114</f>
        <v>0</v>
      </c>
      <c r="G120" s="225">
        <f>+'Unidad Productora'!G114</f>
        <v>0</v>
      </c>
      <c r="H120" s="225">
        <f>+'Unidad Productora'!H114</f>
        <v>0</v>
      </c>
      <c r="J120" s="541" t="s">
        <v>4153</v>
      </c>
      <c r="K120" s="542"/>
      <c r="L120" s="542"/>
      <c r="M120" s="543"/>
      <c r="N120" s="376"/>
      <c r="O120" s="377"/>
      <c r="P120" s="351">
        <f t="shared" si="2"/>
        <v>0</v>
      </c>
    </row>
    <row r="121" spans="2:16" s="13" customFormat="1" ht="18" customHeight="1">
      <c r="B121" s="541" t="s">
        <v>4280</v>
      </c>
      <c r="C121" s="542"/>
      <c r="D121" s="542"/>
      <c r="E121" s="543"/>
      <c r="F121" s="350">
        <f>+'Unidad Productora'!F115</f>
        <v>0</v>
      </c>
      <c r="G121" s="225">
        <f>+'Unidad Productora'!G115</f>
        <v>0</v>
      </c>
      <c r="H121" s="355">
        <f>+'Unidad Productora'!H115</f>
        <v>0</v>
      </c>
      <c r="J121" s="541" t="s">
        <v>4280</v>
      </c>
      <c r="K121" s="542"/>
      <c r="L121" s="542"/>
      <c r="M121" s="543"/>
      <c r="N121" s="376"/>
      <c r="O121" s="377"/>
      <c r="P121" s="356">
        <f t="shared" si="2"/>
        <v>0</v>
      </c>
    </row>
    <row r="122" spans="2:16" s="13" customFormat="1" ht="18" customHeight="1">
      <c r="H122" s="357">
        <f>SUM(H105:H121)</f>
        <v>0</v>
      </c>
      <c r="I122" s="20"/>
      <c r="J122" s="20"/>
      <c r="K122" s="20"/>
      <c r="L122" s="20"/>
      <c r="M122" s="20"/>
      <c r="N122" s="20"/>
      <c r="O122" s="20"/>
      <c r="P122" s="357">
        <f>SUM(P105:P121)</f>
        <v>0</v>
      </c>
    </row>
    <row r="123" spans="2:16" s="13" customFormat="1" ht="18" customHeight="1"/>
    <row r="124" spans="2:16" s="13" customFormat="1" ht="18.95" customHeight="1">
      <c r="B124" s="21" t="s">
        <v>158</v>
      </c>
      <c r="C124" s="22"/>
      <c r="D124" s="23"/>
      <c r="E124" s="23"/>
      <c r="F124" s="23"/>
      <c r="G124" s="79"/>
      <c r="H124" s="23"/>
      <c r="I124" s="23"/>
      <c r="J124" s="23"/>
      <c r="K124" s="23"/>
      <c r="L124" s="24"/>
      <c r="M124" s="24"/>
      <c r="N124" s="24"/>
      <c r="O124" s="24"/>
    </row>
    <row r="125" spans="2:16" s="342" customFormat="1"/>
    <row r="126" spans="2:16" s="342" customFormat="1" ht="15.75">
      <c r="B126" s="358" t="s">
        <v>159</v>
      </c>
      <c r="F126" s="750">
        <f>+Horizonte!I12</f>
        <v>0</v>
      </c>
      <c r="G126" s="751"/>
      <c r="H126" s="346" t="s">
        <v>160</v>
      </c>
    </row>
    <row r="127" spans="2:16" s="342" customFormat="1">
      <c r="B127" s="358" t="s">
        <v>161</v>
      </c>
      <c r="F127" s="752" t="s">
        <v>4293</v>
      </c>
      <c r="G127" s="753"/>
    </row>
    <row r="128" spans="2:16" s="342" customFormat="1" ht="15.75">
      <c r="B128" s="358" t="s">
        <v>162</v>
      </c>
      <c r="F128" s="754"/>
      <c r="G128" s="755"/>
      <c r="H128" s="346" t="s">
        <v>163</v>
      </c>
    </row>
    <row r="129" spans="2:18" s="342" customFormat="1"/>
    <row r="130" spans="2:18" s="342" customFormat="1" ht="15" customHeight="1">
      <c r="B130" s="719" t="s">
        <v>4282</v>
      </c>
      <c r="C130" s="720"/>
      <c r="D130" s="720"/>
      <c r="E130" s="720"/>
      <c r="F130" s="721"/>
      <c r="G130" s="671" t="s">
        <v>131</v>
      </c>
      <c r="H130" s="671"/>
      <c r="I130" s="728" t="s">
        <v>4284</v>
      </c>
      <c r="J130" s="728"/>
      <c r="K130" s="728"/>
      <c r="L130" s="728"/>
      <c r="M130" s="728"/>
      <c r="N130" s="728"/>
      <c r="O130" s="728"/>
      <c r="P130" s="728"/>
      <c r="Q130" s="671" t="s">
        <v>164</v>
      </c>
      <c r="R130" s="671"/>
    </row>
    <row r="131" spans="2:18" s="342" customFormat="1" ht="27" customHeight="1">
      <c r="B131" s="722"/>
      <c r="C131" s="723"/>
      <c r="D131" s="723"/>
      <c r="E131" s="723"/>
      <c r="F131" s="724"/>
      <c r="G131" s="671"/>
      <c r="H131" s="671"/>
      <c r="I131" s="728" t="s">
        <v>4285</v>
      </c>
      <c r="J131" s="728" t="s">
        <v>4286</v>
      </c>
      <c r="K131" s="728" t="s">
        <v>4287</v>
      </c>
      <c r="L131" s="728" t="s">
        <v>4288</v>
      </c>
      <c r="M131" s="728" t="s">
        <v>4289</v>
      </c>
      <c r="N131" s="728" t="s">
        <v>4290</v>
      </c>
      <c r="O131" s="728" t="s">
        <v>4291</v>
      </c>
      <c r="P131" s="728" t="s">
        <v>4292</v>
      </c>
      <c r="Q131" s="671"/>
      <c r="R131" s="671"/>
    </row>
    <row r="132" spans="2:18" s="342" customFormat="1" ht="27.95" customHeight="1">
      <c r="B132" s="725"/>
      <c r="C132" s="726"/>
      <c r="D132" s="726"/>
      <c r="E132" s="726"/>
      <c r="F132" s="727"/>
      <c r="G132" s="671"/>
      <c r="H132" s="671"/>
      <c r="I132" s="728"/>
      <c r="J132" s="728"/>
      <c r="K132" s="728"/>
      <c r="L132" s="728"/>
      <c r="M132" s="728"/>
      <c r="N132" s="728"/>
      <c r="O132" s="728"/>
      <c r="P132" s="728"/>
      <c r="Q132" s="671"/>
      <c r="R132" s="671"/>
    </row>
    <row r="133" spans="2:18" s="342" customFormat="1" ht="8.1" customHeight="1"/>
    <row r="134" spans="2:18" s="322" customFormat="1" ht="15.95" customHeight="1">
      <c r="B134" s="709" t="s">
        <v>141</v>
      </c>
      <c r="C134" s="710"/>
      <c r="D134" s="710"/>
      <c r="E134" s="711"/>
      <c r="F134" s="712"/>
      <c r="G134" s="718"/>
      <c r="H134" s="712"/>
      <c r="I134" s="359"/>
      <c r="J134" s="359"/>
      <c r="K134" s="359"/>
      <c r="L134" s="359"/>
      <c r="M134" s="359"/>
      <c r="N134" s="359"/>
      <c r="O134" s="359"/>
      <c r="P134" s="359"/>
      <c r="Q134" s="718"/>
      <c r="R134" s="712"/>
    </row>
    <row r="135" spans="2:18" s="322" customFormat="1" ht="27.75" customHeight="1">
      <c r="B135" s="713" t="str">
        <f>+D6</f>
        <v/>
      </c>
      <c r="C135" s="714"/>
      <c r="D135" s="714"/>
      <c r="E135" s="714"/>
      <c r="F135" s="715"/>
      <c r="G135" s="718" t="s">
        <v>66</v>
      </c>
      <c r="H135" s="712"/>
      <c r="I135" s="375"/>
      <c r="J135" s="375"/>
      <c r="K135" s="375"/>
      <c r="L135" s="375"/>
      <c r="M135" s="375"/>
      <c r="N135" s="375"/>
      <c r="O135" s="375"/>
      <c r="P135" s="375"/>
      <c r="Q135" s="730">
        <f>+SUM(O11:O19)</f>
        <v>0</v>
      </c>
      <c r="R135" s="731"/>
    </row>
    <row r="136" spans="2:18" s="322" customFormat="1" ht="15.95" customHeight="1">
      <c r="B136" s="709" t="s">
        <v>142</v>
      </c>
      <c r="C136" s="710"/>
      <c r="D136" s="710"/>
      <c r="E136" s="711"/>
      <c r="F136" s="712"/>
      <c r="G136" s="718"/>
      <c r="H136" s="712"/>
      <c r="I136" s="359"/>
      <c r="J136" s="359"/>
      <c r="K136" s="359"/>
      <c r="L136" s="359"/>
      <c r="M136" s="359"/>
      <c r="N136" s="359"/>
      <c r="O136" s="359"/>
      <c r="P136" s="359"/>
      <c r="Q136" s="718"/>
      <c r="R136" s="712"/>
    </row>
    <row r="137" spans="2:18" s="322" customFormat="1" ht="27.75" customHeight="1">
      <c r="B137" s="713" t="str">
        <f>+D21</f>
        <v/>
      </c>
      <c r="C137" s="714"/>
      <c r="D137" s="714"/>
      <c r="E137" s="714"/>
      <c r="F137" s="715"/>
      <c r="G137" s="718" t="s">
        <v>68</v>
      </c>
      <c r="H137" s="712"/>
      <c r="I137" s="375"/>
      <c r="J137" s="375"/>
      <c r="K137" s="375"/>
      <c r="L137" s="375"/>
      <c r="M137" s="375"/>
      <c r="N137" s="375"/>
      <c r="O137" s="375"/>
      <c r="P137" s="375"/>
      <c r="Q137" s="730">
        <f>SUM(M25)</f>
        <v>0</v>
      </c>
      <c r="R137" s="731"/>
    </row>
    <row r="138" spans="2:18" s="322" customFormat="1" ht="15.95" customHeight="1">
      <c r="B138" s="709" t="s">
        <v>4272</v>
      </c>
      <c r="C138" s="710"/>
      <c r="D138" s="710"/>
      <c r="E138" s="711"/>
      <c r="F138" s="712"/>
      <c r="G138" s="718"/>
      <c r="H138" s="712"/>
      <c r="I138" s="359"/>
      <c r="J138" s="359"/>
      <c r="K138" s="359"/>
      <c r="L138" s="359"/>
      <c r="M138" s="359"/>
      <c r="N138" s="359"/>
      <c r="O138" s="359"/>
      <c r="P138" s="359"/>
      <c r="Q138" s="718"/>
      <c r="R138" s="712"/>
    </row>
    <row r="139" spans="2:18" s="322" customFormat="1" ht="27.75" customHeight="1">
      <c r="B139" s="713" t="str">
        <f>+D28</f>
        <v/>
      </c>
      <c r="C139" s="714"/>
      <c r="D139" s="714"/>
      <c r="E139" s="714"/>
      <c r="F139" s="715"/>
      <c r="G139" s="718" t="s">
        <v>137</v>
      </c>
      <c r="H139" s="712"/>
      <c r="I139" s="375"/>
      <c r="J139" s="375"/>
      <c r="K139" s="375"/>
      <c r="L139" s="375"/>
      <c r="M139" s="375"/>
      <c r="N139" s="375"/>
      <c r="O139" s="375"/>
      <c r="P139" s="375"/>
      <c r="Q139" s="730">
        <f>SUM(M32:N33)</f>
        <v>0</v>
      </c>
      <c r="R139" s="731"/>
    </row>
    <row r="140" spans="2:18" s="322" customFormat="1" ht="15.95" customHeight="1">
      <c r="B140" s="709" t="s">
        <v>4271</v>
      </c>
      <c r="C140" s="710"/>
      <c r="D140" s="710"/>
      <c r="E140" s="711"/>
      <c r="F140" s="712"/>
      <c r="G140" s="718"/>
      <c r="H140" s="712"/>
      <c r="I140" s="359"/>
      <c r="J140" s="359"/>
      <c r="K140" s="359"/>
      <c r="L140" s="359"/>
      <c r="M140" s="359"/>
      <c r="N140" s="359"/>
      <c r="O140" s="359"/>
      <c r="P140" s="359"/>
      <c r="Q140" s="729"/>
      <c r="R140" s="712"/>
    </row>
    <row r="141" spans="2:18" s="322" customFormat="1" ht="27.75" customHeight="1">
      <c r="B141" s="713" t="str">
        <f>+D36</f>
        <v/>
      </c>
      <c r="C141" s="714"/>
      <c r="D141" s="714"/>
      <c r="E141" s="714"/>
      <c r="F141" s="715"/>
      <c r="G141" s="718" t="s">
        <v>124</v>
      </c>
      <c r="H141" s="712"/>
      <c r="I141" s="375"/>
      <c r="J141" s="375"/>
      <c r="K141" s="375"/>
      <c r="L141" s="375"/>
      <c r="M141" s="375"/>
      <c r="N141" s="375"/>
      <c r="O141" s="375"/>
      <c r="P141" s="375"/>
      <c r="Q141" s="730">
        <f>SUM(M40)</f>
        <v>0</v>
      </c>
      <c r="R141" s="731"/>
    </row>
    <row r="142" spans="2:18" s="322" customFormat="1" ht="15.95" customHeight="1">
      <c r="B142" s="360" t="s">
        <v>143</v>
      </c>
      <c r="C142" s="340"/>
      <c r="D142" s="340"/>
      <c r="E142" s="340"/>
      <c r="F142" s="340"/>
      <c r="G142" s="340"/>
      <c r="H142" s="340"/>
      <c r="I142" s="359"/>
      <c r="J142" s="359"/>
      <c r="K142" s="359"/>
      <c r="L142" s="359"/>
      <c r="M142" s="359"/>
      <c r="N142" s="359"/>
      <c r="O142" s="359"/>
      <c r="P142" s="359"/>
      <c r="Q142" s="342"/>
      <c r="R142" s="342"/>
    </row>
    <row r="143" spans="2:18" s="322" customFormat="1" ht="30.75" customHeight="1" thickBot="1">
      <c r="B143" s="713" t="s">
        <v>4283</v>
      </c>
      <c r="C143" s="714"/>
      <c r="D143" s="714"/>
      <c r="E143" s="714"/>
      <c r="F143" s="715"/>
      <c r="G143" s="745"/>
      <c r="H143" s="745"/>
      <c r="I143" s="375"/>
      <c r="J143" s="375"/>
      <c r="K143" s="375"/>
      <c r="L143" s="375"/>
      <c r="M143" s="375"/>
      <c r="N143" s="375"/>
      <c r="O143" s="375"/>
      <c r="P143" s="375"/>
      <c r="Q143" s="730">
        <f>SUM(N47:N62)</f>
        <v>0</v>
      </c>
      <c r="R143" s="731"/>
    </row>
    <row r="144" spans="2:18" s="342" customFormat="1" ht="36.6" customHeight="1" thickBot="1">
      <c r="B144" s="739" t="s">
        <v>165</v>
      </c>
      <c r="C144" s="739"/>
      <c r="D144" s="739"/>
      <c r="E144" s="739"/>
      <c r="F144" s="739"/>
      <c r="G144" s="739"/>
      <c r="H144" s="739"/>
      <c r="I144" s="739"/>
      <c r="J144" s="739"/>
      <c r="K144" s="739"/>
      <c r="L144" s="739"/>
      <c r="M144" s="739"/>
      <c r="N144" s="739"/>
      <c r="O144" s="739"/>
      <c r="P144" s="740"/>
      <c r="Q144" s="741">
        <f>+Q135+Q137+Q139+Q141+Q143</f>
        <v>0</v>
      </c>
      <c r="R144" s="742"/>
    </row>
    <row r="145" spans="2:19" s="342" customFormat="1" ht="8.1" customHeight="1"/>
    <row r="146" spans="2:19" s="342" customFormat="1" ht="40.5" customHeight="1">
      <c r="B146" s="667" t="s">
        <v>144</v>
      </c>
      <c r="C146" s="669"/>
      <c r="D146" s="325" t="str">
        <f>+I131</f>
        <v>Tri 1</v>
      </c>
      <c r="E146" s="325" t="str">
        <f t="shared" ref="E146:K146" si="3">+J131</f>
        <v>Tri 2</v>
      </c>
      <c r="F146" s="325" t="str">
        <f t="shared" si="3"/>
        <v>Tri 3</v>
      </c>
      <c r="G146" s="325" t="str">
        <f t="shared" si="3"/>
        <v>Tri 4</v>
      </c>
      <c r="H146" s="325" t="str">
        <f t="shared" si="3"/>
        <v>Tri 5</v>
      </c>
      <c r="I146" s="325" t="str">
        <f t="shared" si="3"/>
        <v>Tri 6</v>
      </c>
      <c r="J146" s="325" t="str">
        <f t="shared" si="3"/>
        <v>Tri 7</v>
      </c>
      <c r="K146" s="325" t="str">
        <f t="shared" si="3"/>
        <v>Tri 8</v>
      </c>
      <c r="L146" s="743" t="s">
        <v>167</v>
      </c>
      <c r="M146" s="744"/>
    </row>
    <row r="147" spans="2:19" s="342" customFormat="1" ht="8.1" customHeight="1"/>
    <row r="148" spans="2:19" s="342" customFormat="1" ht="35.1" customHeight="1">
      <c r="B148" s="735" t="str">
        <f>+B70</f>
        <v>Gestión del proyecto</v>
      </c>
      <c r="C148" s="735"/>
      <c r="D148" s="375"/>
      <c r="E148" s="375"/>
      <c r="F148" s="375"/>
      <c r="G148" s="375"/>
      <c r="H148" s="375"/>
      <c r="I148" s="375"/>
      <c r="J148" s="375"/>
      <c r="K148" s="375"/>
      <c r="L148" s="736">
        <f>+E70</f>
        <v>0</v>
      </c>
      <c r="M148" s="736"/>
    </row>
    <row r="149" spans="2:19" s="342" customFormat="1" ht="39" customHeight="1">
      <c r="B149" s="735" t="str">
        <f>+B71</f>
        <v>Expediente técnico o documento equivalente</v>
      </c>
      <c r="C149" s="735"/>
      <c r="D149" s="375"/>
      <c r="E149" s="375"/>
      <c r="F149" s="375"/>
      <c r="G149" s="375"/>
      <c r="H149" s="375"/>
      <c r="I149" s="375"/>
      <c r="J149" s="375"/>
      <c r="K149" s="375"/>
      <c r="L149" s="736">
        <f>+E71</f>
        <v>0</v>
      </c>
      <c r="M149" s="736"/>
    </row>
    <row r="150" spans="2:19" s="342" customFormat="1" ht="32.1" customHeight="1">
      <c r="B150" s="735" t="str">
        <f>+B72</f>
        <v>Supervisión</v>
      </c>
      <c r="C150" s="735"/>
      <c r="D150" s="375"/>
      <c r="E150" s="375"/>
      <c r="F150" s="375"/>
      <c r="G150" s="375"/>
      <c r="H150" s="375"/>
      <c r="I150" s="375"/>
      <c r="J150" s="375"/>
      <c r="K150" s="375"/>
      <c r="L150" s="736">
        <f>+E72</f>
        <v>0</v>
      </c>
      <c r="M150" s="736"/>
    </row>
    <row r="151" spans="2:19" s="342" customFormat="1" ht="32.1" customHeight="1">
      <c r="B151" s="735" t="str">
        <f>+B73</f>
        <v>Liquidación</v>
      </c>
      <c r="C151" s="735"/>
      <c r="D151" s="375"/>
      <c r="E151" s="375"/>
      <c r="F151" s="375"/>
      <c r="G151" s="375"/>
      <c r="H151" s="375"/>
      <c r="I151" s="375"/>
      <c r="J151" s="375"/>
      <c r="K151" s="375"/>
      <c r="L151" s="736">
        <f>+E73</f>
        <v>0</v>
      </c>
      <c r="M151" s="736"/>
    </row>
    <row r="152" spans="2:19" s="342" customFormat="1" ht="32.1" customHeight="1" thickBot="1">
      <c r="B152" s="735" t="str">
        <f>+B74</f>
        <v>Gastos generales</v>
      </c>
      <c r="C152" s="735"/>
      <c r="D152" s="375"/>
      <c r="E152" s="375"/>
      <c r="F152" s="375"/>
      <c r="G152" s="375"/>
      <c r="H152" s="375"/>
      <c r="I152" s="375"/>
      <c r="J152" s="375"/>
      <c r="K152" s="375"/>
      <c r="L152" s="736">
        <f>+E74</f>
        <v>0</v>
      </c>
      <c r="M152" s="736"/>
    </row>
    <row r="153" spans="2:19" s="342" customFormat="1" ht="32.1" customHeight="1" thickBot="1">
      <c r="B153" s="732" t="s">
        <v>165</v>
      </c>
      <c r="C153" s="732"/>
      <c r="D153" s="732"/>
      <c r="E153" s="732"/>
      <c r="F153" s="732"/>
      <c r="G153" s="732"/>
      <c r="H153" s="732"/>
      <c r="I153" s="732"/>
      <c r="J153" s="732"/>
      <c r="K153" s="732"/>
      <c r="L153" s="737">
        <f>SUM(L148:M152)</f>
        <v>0</v>
      </c>
      <c r="M153" s="738"/>
    </row>
    <row r="154" spans="2:19" s="342" customFormat="1" ht="32.1" customHeight="1" thickBot="1">
      <c r="B154" s="732" t="s">
        <v>169</v>
      </c>
      <c r="C154" s="732"/>
      <c r="D154" s="732"/>
      <c r="E154" s="732"/>
      <c r="F154" s="732"/>
      <c r="G154" s="732"/>
      <c r="H154" s="732"/>
      <c r="I154" s="732"/>
      <c r="J154" s="732"/>
      <c r="K154" s="732"/>
      <c r="L154" s="737">
        <f>+L153+Q144</f>
        <v>0</v>
      </c>
      <c r="M154" s="738"/>
    </row>
    <row r="155" spans="2:19" s="342" customFormat="1" ht="32.1" customHeight="1" thickBot="1">
      <c r="B155" s="362"/>
      <c r="C155" s="362"/>
      <c r="D155" s="362"/>
      <c r="E155" s="362"/>
      <c r="F155" s="362"/>
      <c r="G155" s="362"/>
      <c r="H155" s="362"/>
      <c r="I155" s="362"/>
      <c r="J155" s="362"/>
      <c r="K155" s="362"/>
    </row>
    <row r="156" spans="2:19" s="342" customFormat="1" ht="32.1" customHeight="1" thickBot="1">
      <c r="B156" s="732" t="s">
        <v>4421</v>
      </c>
      <c r="C156" s="732"/>
      <c r="D156" s="732"/>
      <c r="E156" s="732"/>
      <c r="F156" s="732"/>
      <c r="G156" s="732"/>
      <c r="H156" s="732"/>
      <c r="I156" s="732"/>
      <c r="J156" s="732"/>
      <c r="K156" s="732"/>
      <c r="L156" s="733"/>
      <c r="M156" s="734"/>
      <c r="N156" s="322" t="s">
        <v>4294</v>
      </c>
    </row>
    <row r="157" spans="2:19" s="342" customFormat="1"/>
    <row r="158" spans="2:19" s="13" customFormat="1" ht="18.95" customHeight="1">
      <c r="B158" s="21" t="s">
        <v>170</v>
      </c>
      <c r="C158" s="22"/>
      <c r="D158" s="23"/>
      <c r="E158" s="23"/>
      <c r="F158" s="23"/>
      <c r="G158" s="79"/>
      <c r="H158" s="23"/>
      <c r="I158" s="23"/>
      <c r="J158" s="23"/>
      <c r="K158" s="23"/>
      <c r="L158" s="24"/>
      <c r="M158" s="24"/>
      <c r="N158" s="24"/>
      <c r="O158" s="24"/>
    </row>
    <row r="159" spans="2:19" s="342" customFormat="1"/>
    <row r="160" spans="2:19" s="342" customFormat="1" ht="15" customHeight="1">
      <c r="B160" s="719" t="s">
        <v>4282</v>
      </c>
      <c r="C160" s="720"/>
      <c r="D160" s="720"/>
      <c r="E160" s="720"/>
      <c r="F160" s="721"/>
      <c r="G160" s="671" t="s">
        <v>131</v>
      </c>
      <c r="H160" s="671"/>
      <c r="I160" s="671" t="s">
        <v>171</v>
      </c>
      <c r="J160" s="671"/>
      <c r="K160" s="728" t="s">
        <v>4295</v>
      </c>
      <c r="L160" s="728"/>
      <c r="M160" s="728"/>
      <c r="N160" s="728"/>
      <c r="O160" s="728"/>
      <c r="P160" s="728"/>
      <c r="Q160" s="728"/>
      <c r="R160" s="728"/>
      <c r="S160" s="671" t="s">
        <v>172</v>
      </c>
    </row>
    <row r="161" spans="2:20" s="342" customFormat="1" ht="27" customHeight="1">
      <c r="B161" s="722"/>
      <c r="C161" s="723"/>
      <c r="D161" s="723"/>
      <c r="E161" s="723"/>
      <c r="F161" s="724"/>
      <c r="G161" s="671"/>
      <c r="H161" s="671"/>
      <c r="I161" s="671"/>
      <c r="J161" s="671"/>
      <c r="K161" s="728" t="s">
        <v>4285</v>
      </c>
      <c r="L161" s="728" t="s">
        <v>4286</v>
      </c>
      <c r="M161" s="728" t="s">
        <v>4287</v>
      </c>
      <c r="N161" s="728" t="s">
        <v>4288</v>
      </c>
      <c r="O161" s="728" t="s">
        <v>4289</v>
      </c>
      <c r="P161" s="728" t="s">
        <v>4290</v>
      </c>
      <c r="Q161" s="728" t="s">
        <v>4291</v>
      </c>
      <c r="R161" s="728" t="s">
        <v>4292</v>
      </c>
      <c r="S161" s="671"/>
    </row>
    <row r="162" spans="2:20" s="342" customFormat="1">
      <c r="B162" s="725"/>
      <c r="C162" s="726"/>
      <c r="D162" s="726"/>
      <c r="E162" s="726"/>
      <c r="F162" s="727"/>
      <c r="G162" s="671"/>
      <c r="H162" s="671"/>
      <c r="I162" s="671"/>
      <c r="J162" s="671"/>
      <c r="K162" s="728"/>
      <c r="L162" s="728"/>
      <c r="M162" s="728"/>
      <c r="N162" s="728"/>
      <c r="O162" s="728"/>
      <c r="P162" s="728"/>
      <c r="Q162" s="728"/>
      <c r="R162" s="728"/>
      <c r="S162" s="671"/>
    </row>
    <row r="163" spans="2:20" s="342" customFormat="1" ht="8.1" customHeight="1"/>
    <row r="164" spans="2:20" s="322" customFormat="1" ht="15.95" customHeight="1">
      <c r="B164" s="709" t="s">
        <v>141</v>
      </c>
      <c r="C164" s="710"/>
      <c r="D164" s="710"/>
      <c r="E164" s="711"/>
      <c r="F164" s="712"/>
      <c r="G164" s="716"/>
      <c r="H164" s="717"/>
      <c r="I164" s="718"/>
      <c r="J164" s="712"/>
      <c r="K164" s="359"/>
      <c r="L164" s="359"/>
      <c r="M164" s="359"/>
      <c r="N164" s="359"/>
      <c r="O164" s="359"/>
      <c r="P164" s="359"/>
      <c r="Q164" s="359"/>
      <c r="R164" s="359"/>
      <c r="S164" s="361"/>
      <c r="T164" s="342"/>
    </row>
    <row r="165" spans="2:20" s="322" customFormat="1" ht="35.1" customHeight="1">
      <c r="B165" s="713" t="str">
        <f>+B135</f>
        <v/>
      </c>
      <c r="C165" s="714"/>
      <c r="D165" s="714"/>
      <c r="E165" s="714"/>
      <c r="F165" s="715"/>
      <c r="G165" s="716" t="s">
        <v>66</v>
      </c>
      <c r="H165" s="717"/>
      <c r="I165" s="450" t="s">
        <v>136</v>
      </c>
      <c r="J165" s="452"/>
      <c r="K165" s="363" t="str">
        <f>IF($E$76&gt;0,I135/$Q135*$S165,"")</f>
        <v/>
      </c>
      <c r="L165" s="363" t="str">
        <f t="shared" ref="L165:R165" si="4">IF($E$76&gt;0,J135/$Q135*$S165,"")</f>
        <v/>
      </c>
      <c r="M165" s="363" t="str">
        <f t="shared" si="4"/>
        <v/>
      </c>
      <c r="N165" s="363" t="str">
        <f t="shared" si="4"/>
        <v/>
      </c>
      <c r="O165" s="363" t="str">
        <f t="shared" si="4"/>
        <v/>
      </c>
      <c r="P165" s="363" t="str">
        <f t="shared" si="4"/>
        <v/>
      </c>
      <c r="Q165" s="363" t="str">
        <f t="shared" si="4"/>
        <v/>
      </c>
      <c r="R165" s="363" t="str">
        <f t="shared" si="4"/>
        <v/>
      </c>
      <c r="S165" s="364">
        <f>SUM(M11:M19)</f>
        <v>0</v>
      </c>
      <c r="T165" s="342"/>
    </row>
    <row r="166" spans="2:20" s="322" customFormat="1" ht="15.95" customHeight="1">
      <c r="B166" s="709" t="s">
        <v>142</v>
      </c>
      <c r="C166" s="710"/>
      <c r="D166" s="710"/>
      <c r="E166" s="711"/>
      <c r="F166" s="712"/>
      <c r="G166" s="716"/>
      <c r="H166" s="717"/>
      <c r="I166" s="450"/>
      <c r="J166" s="452"/>
      <c r="K166" s="363"/>
      <c r="L166" s="363"/>
      <c r="M166" s="363"/>
      <c r="N166" s="363"/>
      <c r="O166" s="363"/>
      <c r="P166" s="363"/>
      <c r="Q166" s="363"/>
      <c r="R166" s="363"/>
      <c r="S166" s="364"/>
      <c r="T166" s="342"/>
    </row>
    <row r="167" spans="2:20" s="322" customFormat="1" ht="35.1" customHeight="1">
      <c r="B167" s="713" t="str">
        <f>+B137</f>
        <v/>
      </c>
      <c r="C167" s="714"/>
      <c r="D167" s="714"/>
      <c r="E167" s="714"/>
      <c r="F167" s="715"/>
      <c r="G167" s="716" t="s">
        <v>4462</v>
      </c>
      <c r="H167" s="717"/>
      <c r="I167" s="450" t="str">
        <f>+J25</f>
        <v>Número de equipos</v>
      </c>
      <c r="J167" s="452"/>
      <c r="K167" s="363" t="str">
        <f t="shared" ref="K167:R171" si="5">IF($E$76&gt;0,I137/$Q137*$S167,"")</f>
        <v/>
      </c>
      <c r="L167" s="363" t="str">
        <f t="shared" si="5"/>
        <v/>
      </c>
      <c r="M167" s="363" t="str">
        <f t="shared" si="5"/>
        <v/>
      </c>
      <c r="N167" s="363" t="str">
        <f t="shared" si="5"/>
        <v/>
      </c>
      <c r="O167" s="363" t="str">
        <f t="shared" si="5"/>
        <v/>
      </c>
      <c r="P167" s="363" t="str">
        <f t="shared" si="5"/>
        <v/>
      </c>
      <c r="Q167" s="363" t="str">
        <f t="shared" si="5"/>
        <v/>
      </c>
      <c r="R167" s="363" t="str">
        <f t="shared" si="5"/>
        <v/>
      </c>
      <c r="S167" s="364">
        <f>SUM(L25)</f>
        <v>0</v>
      </c>
      <c r="T167" s="342"/>
    </row>
    <row r="168" spans="2:20" s="322" customFormat="1" ht="15.95" customHeight="1">
      <c r="B168" s="709" t="s">
        <v>4272</v>
      </c>
      <c r="C168" s="710"/>
      <c r="D168" s="710"/>
      <c r="E168" s="711"/>
      <c r="F168" s="712"/>
      <c r="G168" s="716"/>
      <c r="H168" s="717"/>
      <c r="I168" s="450"/>
      <c r="J168" s="452"/>
      <c r="K168" s="363"/>
      <c r="L168" s="363"/>
      <c r="M168" s="363"/>
      <c r="N168" s="363"/>
      <c r="O168" s="363"/>
      <c r="P168" s="363"/>
      <c r="Q168" s="363"/>
      <c r="R168" s="363"/>
      <c r="S168" s="364"/>
      <c r="T168" s="342"/>
    </row>
    <row r="169" spans="2:20" s="322" customFormat="1" ht="35.1" customHeight="1">
      <c r="B169" s="713" t="str">
        <f>+B139</f>
        <v/>
      </c>
      <c r="C169" s="714"/>
      <c r="D169" s="714"/>
      <c r="E169" s="714"/>
      <c r="F169" s="715"/>
      <c r="G169" s="716" t="s">
        <v>137</v>
      </c>
      <c r="H169" s="717"/>
      <c r="I169" s="450" t="str">
        <f>+J32</f>
        <v>Número de mobiliario</v>
      </c>
      <c r="J169" s="452"/>
      <c r="K169" s="363" t="str">
        <f t="shared" si="5"/>
        <v/>
      </c>
      <c r="L169" s="363" t="str">
        <f t="shared" si="5"/>
        <v/>
      </c>
      <c r="M169" s="363" t="str">
        <f t="shared" si="5"/>
        <v/>
      </c>
      <c r="N169" s="363" t="str">
        <f t="shared" si="5"/>
        <v/>
      </c>
      <c r="O169" s="363" t="str">
        <f t="shared" si="5"/>
        <v/>
      </c>
      <c r="P169" s="363" t="str">
        <f t="shared" si="5"/>
        <v/>
      </c>
      <c r="Q169" s="363" t="str">
        <f t="shared" si="5"/>
        <v/>
      </c>
      <c r="R169" s="363" t="str">
        <f t="shared" si="5"/>
        <v/>
      </c>
      <c r="S169" s="364">
        <f>SUM(L32:L33)</f>
        <v>0</v>
      </c>
      <c r="T169" s="342"/>
    </row>
    <row r="170" spans="2:20" s="322" customFormat="1" ht="15.95" customHeight="1">
      <c r="B170" s="709" t="s">
        <v>4271</v>
      </c>
      <c r="C170" s="710"/>
      <c r="D170" s="710"/>
      <c r="E170" s="711"/>
      <c r="F170" s="712"/>
      <c r="G170" s="716"/>
      <c r="H170" s="717"/>
      <c r="I170" s="450"/>
      <c r="J170" s="452"/>
      <c r="K170" s="363"/>
      <c r="L170" s="363"/>
      <c r="M170" s="363"/>
      <c r="N170" s="363"/>
      <c r="O170" s="363"/>
      <c r="P170" s="363"/>
      <c r="Q170" s="363"/>
      <c r="R170" s="363"/>
      <c r="S170" s="364"/>
      <c r="T170" s="342"/>
    </row>
    <row r="171" spans="2:20" s="322" customFormat="1" ht="35.1" customHeight="1">
      <c r="B171" s="713" t="str">
        <f>+B141</f>
        <v/>
      </c>
      <c r="C171" s="714"/>
      <c r="D171" s="714"/>
      <c r="E171" s="714"/>
      <c r="F171" s="715"/>
      <c r="G171" s="716" t="s">
        <v>124</v>
      </c>
      <c r="H171" s="717"/>
      <c r="I171" s="450" t="str">
        <f>+J40</f>
        <v>Número de eventos de capacitación</v>
      </c>
      <c r="J171" s="452"/>
      <c r="K171" s="363" t="str">
        <f t="shared" si="5"/>
        <v/>
      </c>
      <c r="L171" s="363" t="str">
        <f t="shared" si="5"/>
        <v/>
      </c>
      <c r="M171" s="363" t="str">
        <f t="shared" si="5"/>
        <v/>
      </c>
      <c r="N171" s="363" t="str">
        <f t="shared" si="5"/>
        <v/>
      </c>
      <c r="O171" s="363" t="str">
        <f t="shared" si="5"/>
        <v/>
      </c>
      <c r="P171" s="363" t="str">
        <f t="shared" si="5"/>
        <v/>
      </c>
      <c r="Q171" s="363" t="str">
        <f t="shared" si="5"/>
        <v/>
      </c>
      <c r="R171" s="363" t="str">
        <f t="shared" si="5"/>
        <v/>
      </c>
      <c r="S171" s="364">
        <f>+L40</f>
        <v>0</v>
      </c>
      <c r="T171" s="342"/>
    </row>
    <row r="172" spans="2:20" s="322" customFormat="1" ht="15.95" customHeight="1">
      <c r="B172" s="360" t="s">
        <v>143</v>
      </c>
      <c r="C172" s="340"/>
      <c r="D172" s="340"/>
      <c r="E172" s="340"/>
      <c r="F172" s="340"/>
      <c r="G172" s="366"/>
      <c r="H172" s="366"/>
      <c r="I172" s="367"/>
      <c r="J172" s="367"/>
      <c r="K172" s="365"/>
      <c r="L172" s="365"/>
      <c r="M172" s="365"/>
      <c r="N172" s="365"/>
      <c r="O172" s="365"/>
      <c r="P172" s="365"/>
      <c r="Q172" s="365"/>
      <c r="R172" s="365"/>
      <c r="S172" s="368"/>
      <c r="T172" s="342"/>
    </row>
    <row r="173" spans="2:20" s="322" customFormat="1" ht="35.1" customHeight="1">
      <c r="B173" s="713" t="s">
        <v>4283</v>
      </c>
      <c r="C173" s="714"/>
      <c r="D173" s="714"/>
      <c r="E173" s="714"/>
      <c r="F173" s="715"/>
      <c r="G173" s="708"/>
      <c r="H173" s="708"/>
      <c r="I173" s="689" t="s">
        <v>4296</v>
      </c>
      <c r="J173" s="689"/>
      <c r="K173" s="369" t="str">
        <f>IF(Q143=0,"",+I143/$Q143*$S173)</f>
        <v/>
      </c>
      <c r="L173" s="369" t="str">
        <f t="shared" ref="L173:R173" si="6">IF(R143=0,"",+J143/$Q143*$S173)</f>
        <v/>
      </c>
      <c r="M173" s="369" t="str">
        <f t="shared" si="6"/>
        <v/>
      </c>
      <c r="N173" s="369" t="str">
        <f t="shared" si="6"/>
        <v/>
      </c>
      <c r="O173" s="369" t="str">
        <f t="shared" si="6"/>
        <v/>
      </c>
      <c r="P173" s="369" t="str">
        <f t="shared" si="6"/>
        <v/>
      </c>
      <c r="Q173" s="369" t="str">
        <f t="shared" si="6"/>
        <v/>
      </c>
      <c r="R173" s="369" t="str">
        <f t="shared" si="6"/>
        <v/>
      </c>
      <c r="S173" s="370">
        <f>+COUNT(N47:N62)</f>
        <v>0</v>
      </c>
      <c r="T173" s="342"/>
    </row>
    <row r="174" spans="2:20" s="342" customFormat="1">
      <c r="C174" s="343"/>
      <c r="D174" s="343"/>
      <c r="E174" s="343"/>
      <c r="F174" s="343"/>
      <c r="G174" s="343"/>
      <c r="H174" s="343"/>
      <c r="I174" s="343"/>
    </row>
    <row r="233" spans="3:8" s="342" customFormat="1" ht="15.75">
      <c r="C233" s="314"/>
      <c r="E233" s="348"/>
      <c r="F233" s="331"/>
      <c r="G233" s="349"/>
      <c r="H233" s="331"/>
    </row>
    <row r="234" spans="3:8" s="342" customFormat="1" ht="15.75">
      <c r="C234" s="314"/>
      <c r="E234" s="348"/>
      <c r="F234" s="331"/>
      <c r="G234" s="349"/>
      <c r="H234" s="331"/>
    </row>
  </sheetData>
  <sheetProtection sheet="1" objects="1" scenarios="1"/>
  <mergeCells count="274">
    <mergeCell ref="B119:E119"/>
    <mergeCell ref="B121:E121"/>
    <mergeCell ref="J101:M102"/>
    <mergeCell ref="N101:P101"/>
    <mergeCell ref="J104:M104"/>
    <mergeCell ref="J105:M105"/>
    <mergeCell ref="J106:M106"/>
    <mergeCell ref="J107:M107"/>
    <mergeCell ref="J108:M108"/>
    <mergeCell ref="J109:M109"/>
    <mergeCell ref="J110:M110"/>
    <mergeCell ref="J111:M111"/>
    <mergeCell ref="J112:M112"/>
    <mergeCell ref="J113:M113"/>
    <mergeCell ref="J114:M114"/>
    <mergeCell ref="J116:M116"/>
    <mergeCell ref="J117:M117"/>
    <mergeCell ref="J118:M118"/>
    <mergeCell ref="J119:M119"/>
    <mergeCell ref="J121:M121"/>
    <mergeCell ref="B120:E120"/>
    <mergeCell ref="J120:M120"/>
    <mergeCell ref="B111:E111"/>
    <mergeCell ref="B112:E112"/>
    <mergeCell ref="B49:I49"/>
    <mergeCell ref="B50:I50"/>
    <mergeCell ref="B51:I51"/>
    <mergeCell ref="B116:E116"/>
    <mergeCell ref="B117:E117"/>
    <mergeCell ref="B118:E118"/>
    <mergeCell ref="B101:E102"/>
    <mergeCell ref="F101:H101"/>
    <mergeCell ref="B104:E104"/>
    <mergeCell ref="B105:E105"/>
    <mergeCell ref="B106:E106"/>
    <mergeCell ref="B107:E107"/>
    <mergeCell ref="B108:E108"/>
    <mergeCell ref="B109:E109"/>
    <mergeCell ref="B110:E110"/>
    <mergeCell ref="E25:I25"/>
    <mergeCell ref="J25:K25"/>
    <mergeCell ref="B25:C25"/>
    <mergeCell ref="G73:H73"/>
    <mergeCell ref="J44:L44"/>
    <mergeCell ref="M44:M45"/>
    <mergeCell ref="B72:D72"/>
    <mergeCell ref="E72:F72"/>
    <mergeCell ref="B73:D73"/>
    <mergeCell ref="B61:I61"/>
    <mergeCell ref="B52:I52"/>
    <mergeCell ref="B53:I53"/>
    <mergeCell ref="B54:I54"/>
    <mergeCell ref="B55:I55"/>
    <mergeCell ref="B56:I56"/>
    <mergeCell ref="B57:I57"/>
    <mergeCell ref="B58:I58"/>
    <mergeCell ref="B59:I59"/>
    <mergeCell ref="B60:I60"/>
    <mergeCell ref="M64:N64"/>
    <mergeCell ref="N44:N45"/>
    <mergeCell ref="J45:K45"/>
    <mergeCell ref="B47:I47"/>
    <mergeCell ref="B48:I48"/>
    <mergeCell ref="M33:N33"/>
    <mergeCell ref="B40:C40"/>
    <mergeCell ref="E40:I40"/>
    <mergeCell ref="B44:C45"/>
    <mergeCell ref="D44:D45"/>
    <mergeCell ref="E44:I45"/>
    <mergeCell ref="O9:O10"/>
    <mergeCell ref="M23:N24"/>
    <mergeCell ref="M25:N25"/>
    <mergeCell ref="M30:N31"/>
    <mergeCell ref="M32:N32"/>
    <mergeCell ref="B13:C13"/>
    <mergeCell ref="E13:I13"/>
    <mergeCell ref="B14:C14"/>
    <mergeCell ref="E14:I14"/>
    <mergeCell ref="B15:C15"/>
    <mergeCell ref="B21:C21"/>
    <mergeCell ref="B23:C24"/>
    <mergeCell ref="D23:D24"/>
    <mergeCell ref="E23:I24"/>
    <mergeCell ref="B28:C28"/>
    <mergeCell ref="N9:N10"/>
    <mergeCell ref="J23:L23"/>
    <mergeCell ref="J24:K24"/>
    <mergeCell ref="D30:D31"/>
    <mergeCell ref="E30:I31"/>
    <mergeCell ref="J30:L30"/>
    <mergeCell ref="J31:K31"/>
    <mergeCell ref="B32:C32"/>
    <mergeCell ref="E32:I32"/>
    <mergeCell ref="J32:K32"/>
    <mergeCell ref="B36:C36"/>
    <mergeCell ref="B38:C39"/>
    <mergeCell ref="D38:D39"/>
    <mergeCell ref="E38:I39"/>
    <mergeCell ref="J39:K39"/>
    <mergeCell ref="B33:C33"/>
    <mergeCell ref="E33:I33"/>
    <mergeCell ref="J33:K33"/>
    <mergeCell ref="J40:K40"/>
    <mergeCell ref="J38:L38"/>
    <mergeCell ref="B6:C6"/>
    <mergeCell ref="B9:C10"/>
    <mergeCell ref="D9:D10"/>
    <mergeCell ref="E9:I10"/>
    <mergeCell ref="J9:K9"/>
    <mergeCell ref="L9:M9"/>
    <mergeCell ref="B11:C11"/>
    <mergeCell ref="E11:I11"/>
    <mergeCell ref="B12:C12"/>
    <mergeCell ref="E12:I12"/>
    <mergeCell ref="B18:C18"/>
    <mergeCell ref="E18:I18"/>
    <mergeCell ref="B19:C19"/>
    <mergeCell ref="E19:I19"/>
    <mergeCell ref="B17:C17"/>
    <mergeCell ref="E17:I17"/>
    <mergeCell ref="E15:I15"/>
    <mergeCell ref="B16:C16"/>
    <mergeCell ref="E16:I16"/>
    <mergeCell ref="M38:N39"/>
    <mergeCell ref="M40:N40"/>
    <mergeCell ref="B30:C31"/>
    <mergeCell ref="G74:H74"/>
    <mergeCell ref="B64:L64"/>
    <mergeCell ref="B62:I62"/>
    <mergeCell ref="E73:F73"/>
    <mergeCell ref="G68:H68"/>
    <mergeCell ref="G70:H70"/>
    <mergeCell ref="G71:H71"/>
    <mergeCell ref="G72:H72"/>
    <mergeCell ref="B86:C86"/>
    <mergeCell ref="B74:D74"/>
    <mergeCell ref="E74:F74"/>
    <mergeCell ref="B76:D76"/>
    <mergeCell ref="E76:F76"/>
    <mergeCell ref="B68:D68"/>
    <mergeCell ref="E68:F68"/>
    <mergeCell ref="B70:D70"/>
    <mergeCell ref="E70:F70"/>
    <mergeCell ref="B71:D71"/>
    <mergeCell ref="E71:F71"/>
    <mergeCell ref="B87:C87"/>
    <mergeCell ref="B93:C93"/>
    <mergeCell ref="B97:F97"/>
    <mergeCell ref="G97:H97"/>
    <mergeCell ref="B78:D78"/>
    <mergeCell ref="E78:F78"/>
    <mergeCell ref="B83:C84"/>
    <mergeCell ref="D83:D84"/>
    <mergeCell ref="E83:E84"/>
    <mergeCell ref="B88:C88"/>
    <mergeCell ref="B89:C89"/>
    <mergeCell ref="B90:C90"/>
    <mergeCell ref="B91:C91"/>
    <mergeCell ref="B92:C92"/>
    <mergeCell ref="F83:O83"/>
    <mergeCell ref="B134:D134"/>
    <mergeCell ref="E134:F134"/>
    <mergeCell ref="G134:H134"/>
    <mergeCell ref="Q134:R134"/>
    <mergeCell ref="G135:H135"/>
    <mergeCell ref="Q135:R135"/>
    <mergeCell ref="B98:F98"/>
    <mergeCell ref="G98:H98"/>
    <mergeCell ref="Q130:R132"/>
    <mergeCell ref="I131:I132"/>
    <mergeCell ref="J131:J132"/>
    <mergeCell ref="F126:G126"/>
    <mergeCell ref="K131:K132"/>
    <mergeCell ref="L131:L132"/>
    <mergeCell ref="M131:M132"/>
    <mergeCell ref="N131:N132"/>
    <mergeCell ref="O131:O132"/>
    <mergeCell ref="P131:P132"/>
    <mergeCell ref="F127:G127"/>
    <mergeCell ref="F128:G128"/>
    <mergeCell ref="G130:H132"/>
    <mergeCell ref="I130:P130"/>
    <mergeCell ref="B113:E113"/>
    <mergeCell ref="B114:E114"/>
    <mergeCell ref="B138:D138"/>
    <mergeCell ref="E138:F138"/>
    <mergeCell ref="G138:H138"/>
    <mergeCell ref="Q138:R138"/>
    <mergeCell ref="G139:H139"/>
    <mergeCell ref="Q139:R139"/>
    <mergeCell ref="G137:H137"/>
    <mergeCell ref="Q137:R137"/>
    <mergeCell ref="B136:D136"/>
    <mergeCell ref="E136:F136"/>
    <mergeCell ref="G136:H136"/>
    <mergeCell ref="Q136:R136"/>
    <mergeCell ref="B151:C151"/>
    <mergeCell ref="L151:M151"/>
    <mergeCell ref="B144:P144"/>
    <mergeCell ref="Q144:R144"/>
    <mergeCell ref="B146:C146"/>
    <mergeCell ref="L146:M146"/>
    <mergeCell ref="B148:C148"/>
    <mergeCell ref="L148:M148"/>
    <mergeCell ref="G143:H143"/>
    <mergeCell ref="Q143:R143"/>
    <mergeCell ref="B143:F143"/>
    <mergeCell ref="S160:S162"/>
    <mergeCell ref="B140:D140"/>
    <mergeCell ref="E140:F140"/>
    <mergeCell ref="G140:H140"/>
    <mergeCell ref="Q140:R140"/>
    <mergeCell ref="G141:H141"/>
    <mergeCell ref="Q141:R141"/>
    <mergeCell ref="B130:F132"/>
    <mergeCell ref="B135:F135"/>
    <mergeCell ref="B137:F137"/>
    <mergeCell ref="B139:F139"/>
    <mergeCell ref="B141:F141"/>
    <mergeCell ref="B156:K156"/>
    <mergeCell ref="L156:M156"/>
    <mergeCell ref="B152:C152"/>
    <mergeCell ref="L152:M152"/>
    <mergeCell ref="B153:K153"/>
    <mergeCell ref="L153:M153"/>
    <mergeCell ref="B154:K154"/>
    <mergeCell ref="L154:M154"/>
    <mergeCell ref="B149:C149"/>
    <mergeCell ref="L149:M149"/>
    <mergeCell ref="B150:C150"/>
    <mergeCell ref="L150:M150"/>
    <mergeCell ref="K160:R160"/>
    <mergeCell ref="K161:K162"/>
    <mergeCell ref="L161:L162"/>
    <mergeCell ref="M161:M162"/>
    <mergeCell ref="N161:N162"/>
    <mergeCell ref="O161:O162"/>
    <mergeCell ref="P161:P162"/>
    <mergeCell ref="Q161:Q162"/>
    <mergeCell ref="R161:R162"/>
    <mergeCell ref="B164:D164"/>
    <mergeCell ref="E164:F164"/>
    <mergeCell ref="I164:J164"/>
    <mergeCell ref="B165:F165"/>
    <mergeCell ref="I165:J165"/>
    <mergeCell ref="B166:D166"/>
    <mergeCell ref="E166:F166"/>
    <mergeCell ref="I166:J166"/>
    <mergeCell ref="B160:F162"/>
    <mergeCell ref="I160:J162"/>
    <mergeCell ref="G165:H165"/>
    <mergeCell ref="G166:H166"/>
    <mergeCell ref="G160:H162"/>
    <mergeCell ref="G164:H164"/>
    <mergeCell ref="G173:H173"/>
    <mergeCell ref="B170:D170"/>
    <mergeCell ref="E170:F170"/>
    <mergeCell ref="I170:J170"/>
    <mergeCell ref="B171:F171"/>
    <mergeCell ref="I171:J171"/>
    <mergeCell ref="B173:F173"/>
    <mergeCell ref="I173:J173"/>
    <mergeCell ref="B167:F167"/>
    <mergeCell ref="I167:J167"/>
    <mergeCell ref="B168:D168"/>
    <mergeCell ref="E168:F168"/>
    <mergeCell ref="I168:J168"/>
    <mergeCell ref="B169:F169"/>
    <mergeCell ref="I169:J169"/>
    <mergeCell ref="G167:H167"/>
    <mergeCell ref="G168:H168"/>
    <mergeCell ref="G169:H169"/>
    <mergeCell ref="G170:H170"/>
    <mergeCell ref="G171:H171"/>
  </mergeCells>
  <phoneticPr fontId="17" type="noConversion"/>
  <conditionalFormatting sqref="A26:XFD29 A23:M23 A34:XFD37 A30:M30 A38:M38 O38:XFD40 M40 A133:XFD134 A130:B130 A131:A132 A143:B143 G143:H143 A136:XFD136 A135 A138:H138 A137 G137:H137 A140:H140 A139 G139:H139 A142:H142 A141 G141:H141 G130:XFD132 S135:XFD135 S137:XFD137 S139:XFD139 S141:XFD141 S143:XFD143 G135:H135 Q142:XFD142 Q140:XFD140 Q138:XFD138 A174:XFD1048576 A163:F164 A166:F166 A168:F168 A170:F170 A172:F172 I172:J172 I170:J170 I168:J168 I166:J166 I163:R164 U163:XFD164 U166:XFD166 A24:L24 A25 A39:L40 A41:XFD61 A62:O62 Q62:XFD62 A144:XFD147 O23:XFD25 D25:M25 A1:XFD10 A63:XFD69 A20:XFD22 A11:M19 O11:XFD19 A70:D74 G70:XFD74 A75:XFD103 A115:XFD115 A122:XFD129 A116:M121 P116:XFD121 A104:M114 P104:XFD114 Q135 A153:XFD155 A148:C152 L148:XFD152 A157:XFD159 A156:K156 N156:XFD156 O30:XFD33 A31:L33 M32:M33">
    <cfRule type="cellIs" dxfId="228" priority="71" operator="equal">
      <formula>0</formula>
    </cfRule>
  </conditionalFormatting>
  <conditionalFormatting sqref="J9 L9">
    <cfRule type="cellIs" dxfId="227" priority="69" operator="equal">
      <formula>0</formula>
    </cfRule>
  </conditionalFormatting>
  <conditionalFormatting sqref="J10:M10">
    <cfRule type="cellIs" dxfId="226" priority="68" operator="equal">
      <formula>0</formula>
    </cfRule>
  </conditionalFormatting>
  <conditionalFormatting sqref="J23">
    <cfRule type="cellIs" dxfId="225" priority="64" operator="equal">
      <formula>0</formula>
    </cfRule>
  </conditionalFormatting>
  <conditionalFormatting sqref="J31 L31">
    <cfRule type="cellIs" dxfId="224" priority="63" operator="equal">
      <formula>0</formula>
    </cfRule>
  </conditionalFormatting>
  <conditionalFormatting sqref="J30">
    <cfRule type="cellIs" dxfId="223" priority="62" operator="equal">
      <formula>0</formula>
    </cfRule>
  </conditionalFormatting>
  <conditionalFormatting sqref="J39 L39">
    <cfRule type="cellIs" dxfId="222" priority="61" operator="equal">
      <formula>0</formula>
    </cfRule>
  </conditionalFormatting>
  <conditionalFormatting sqref="J38">
    <cfRule type="cellIs" dxfId="221" priority="60" operator="equal">
      <formula>0</formula>
    </cfRule>
  </conditionalFormatting>
  <conditionalFormatting sqref="A1:XFD4">
    <cfRule type="cellIs" dxfId="220" priority="57" operator="equal">
      <formula>0</formula>
    </cfRule>
  </conditionalFormatting>
  <conditionalFormatting sqref="J45 L45">
    <cfRule type="cellIs" dxfId="219" priority="56" operator="equal">
      <formula>0</formula>
    </cfRule>
  </conditionalFormatting>
  <conditionalFormatting sqref="J44">
    <cfRule type="cellIs" dxfId="218" priority="55" operator="equal">
      <formula>0</formula>
    </cfRule>
  </conditionalFormatting>
  <conditionalFormatting sqref="G68:H74">
    <cfRule type="cellIs" dxfId="217" priority="54" operator="equal">
      <formula>0</formula>
    </cfRule>
  </conditionalFormatting>
  <conditionalFormatting sqref="G73:H73">
    <cfRule type="cellIs" dxfId="216" priority="53" operator="equal">
      <formula>0</formula>
    </cfRule>
  </conditionalFormatting>
  <conditionalFormatting sqref="B135">
    <cfRule type="cellIs" dxfId="215" priority="51" operator="equal">
      <formula>0</formula>
    </cfRule>
  </conditionalFormatting>
  <conditionalFormatting sqref="B137">
    <cfRule type="cellIs" dxfId="214" priority="50" operator="equal">
      <formula>0</formula>
    </cfRule>
  </conditionalFormatting>
  <conditionalFormatting sqref="B139">
    <cfRule type="cellIs" dxfId="213" priority="49" operator="equal">
      <formula>0</formula>
    </cfRule>
  </conditionalFormatting>
  <conditionalFormatting sqref="B141">
    <cfRule type="cellIs" dxfId="212" priority="48" operator="equal">
      <formula>0</formula>
    </cfRule>
  </conditionalFormatting>
  <conditionalFormatting sqref="Q137">
    <cfRule type="cellIs" dxfId="211" priority="47" operator="equal">
      <formula>0</formula>
    </cfRule>
  </conditionalFormatting>
  <conditionalFormatting sqref="Q139">
    <cfRule type="cellIs" dxfId="210" priority="46" operator="equal">
      <formula>0</formula>
    </cfRule>
  </conditionalFormatting>
  <conditionalFormatting sqref="Q141">
    <cfRule type="cellIs" dxfId="209" priority="45" operator="equal">
      <formula>0</formula>
    </cfRule>
  </conditionalFormatting>
  <conditionalFormatting sqref="Q143">
    <cfRule type="cellIs" dxfId="208" priority="44" operator="equal">
      <formula>0</formula>
    </cfRule>
  </conditionalFormatting>
  <conditionalFormatting sqref="I137:P143">
    <cfRule type="cellIs" dxfId="207" priority="43" operator="equal">
      <formula>0</formula>
    </cfRule>
  </conditionalFormatting>
  <conditionalFormatting sqref="A160:B160 A161:A162 A173:B173 A165 A167 A169 A171 I160:R162 U165:XFD165 U167:XFD173 U160:XFD162 I165:J165 I167:J167 I169:J169 I171:J171">
    <cfRule type="cellIs" dxfId="206" priority="42" operator="equal">
      <formula>0</formula>
    </cfRule>
  </conditionalFormatting>
  <conditionalFormatting sqref="B165">
    <cfRule type="cellIs" dxfId="205" priority="41" operator="equal">
      <formula>0</formula>
    </cfRule>
  </conditionalFormatting>
  <conditionalFormatting sqref="K172:R172">
    <cfRule type="cellIs" dxfId="204" priority="33" operator="equal">
      <formula>0</formula>
    </cfRule>
  </conditionalFormatting>
  <conditionalFormatting sqref="G163:H163">
    <cfRule type="cellIs" dxfId="203" priority="30" operator="equal">
      <formula>0</formula>
    </cfRule>
  </conditionalFormatting>
  <conditionalFormatting sqref="G160:H162">
    <cfRule type="cellIs" dxfId="202" priority="29" operator="equal">
      <formula>0</formula>
    </cfRule>
  </conditionalFormatting>
  <conditionalFormatting sqref="G172:H172 G170:H170 G168:H168 G166:H166">
    <cfRule type="cellIs" dxfId="201" priority="27" operator="equal">
      <formula>0</formula>
    </cfRule>
  </conditionalFormatting>
  <conditionalFormatting sqref="G173:H173 G167:H167 G169:H169 G171:H171 G165:H165">
    <cfRule type="cellIs" dxfId="200" priority="26" operator="equal">
      <formula>0</formula>
    </cfRule>
  </conditionalFormatting>
  <conditionalFormatting sqref="G164:H164">
    <cfRule type="cellIs" dxfId="199" priority="28" operator="equal">
      <formula>0</formula>
    </cfRule>
  </conditionalFormatting>
  <conditionalFormatting sqref="T160:T173">
    <cfRule type="cellIs" dxfId="198" priority="25" operator="equal">
      <formula>0</formula>
    </cfRule>
  </conditionalFormatting>
  <conditionalFormatting sqref="S172 S170 S168 S166 S163:S164">
    <cfRule type="cellIs" dxfId="197" priority="24" operator="equal">
      <formula>0</formula>
    </cfRule>
  </conditionalFormatting>
  <conditionalFormatting sqref="S173 S167 S169 S171 S160:S162 S165">
    <cfRule type="cellIs" dxfId="196" priority="23" operator="equal">
      <formula>0</formula>
    </cfRule>
  </conditionalFormatting>
  <conditionalFormatting sqref="B167">
    <cfRule type="cellIs" dxfId="195" priority="22" operator="equal">
      <formula>0</formula>
    </cfRule>
  </conditionalFormatting>
  <conditionalFormatting sqref="B169">
    <cfRule type="cellIs" dxfId="194" priority="21" operator="equal">
      <formula>0</formula>
    </cfRule>
  </conditionalFormatting>
  <conditionalFormatting sqref="B171">
    <cfRule type="cellIs" dxfId="193" priority="20" operator="equal">
      <formula>0</formula>
    </cfRule>
  </conditionalFormatting>
  <conditionalFormatting sqref="I173:J173">
    <cfRule type="cellIs" dxfId="192" priority="19" operator="equal">
      <formula>0</formula>
    </cfRule>
  </conditionalFormatting>
  <conditionalFormatting sqref="A95:XFD96">
    <cfRule type="cellIs" dxfId="191" priority="17" operator="equal">
      <formula>0</formula>
    </cfRule>
  </conditionalFormatting>
  <conditionalFormatting sqref="A81:XFD82">
    <cfRule type="cellIs" dxfId="190" priority="16" operator="equal">
      <formula>0</formula>
    </cfRule>
  </conditionalFormatting>
  <conditionalFormatting sqref="K173:R173">
    <cfRule type="cellIs" dxfId="189" priority="18" operator="equal">
      <formula>0</formula>
    </cfRule>
  </conditionalFormatting>
  <conditionalFormatting sqref="A96:XFD96">
    <cfRule type="cellIs" dxfId="188" priority="15" operator="equal">
      <formula>0</formula>
    </cfRule>
  </conditionalFormatting>
  <conditionalFormatting sqref="A124:XFD124">
    <cfRule type="cellIs" dxfId="187" priority="14" operator="equal">
      <formula>0</formula>
    </cfRule>
  </conditionalFormatting>
  <conditionalFormatting sqref="A158:XFD159">
    <cfRule type="cellIs" dxfId="186" priority="13" operator="equal">
      <formula>0</formula>
    </cfRule>
  </conditionalFormatting>
  <conditionalFormatting sqref="B25:C25">
    <cfRule type="cellIs" dxfId="185" priority="12" operator="equal">
      <formula>0</formula>
    </cfRule>
  </conditionalFormatting>
  <conditionalFormatting sqref="N11:N19">
    <cfRule type="cellIs" dxfId="184" priority="11" operator="equal">
      <formula>0</formula>
    </cfRule>
  </conditionalFormatting>
  <conditionalFormatting sqref="E70:F74">
    <cfRule type="cellIs" dxfId="183" priority="10" operator="equal">
      <formula>0</formula>
    </cfRule>
  </conditionalFormatting>
  <conditionalFormatting sqref="N104:O104">
    <cfRule type="cellIs" dxfId="182" priority="9" operator="equal">
      <formula>0</formula>
    </cfRule>
  </conditionalFormatting>
  <conditionalFormatting sqref="N116:O121">
    <cfRule type="cellIs" dxfId="181" priority="8" operator="equal">
      <formula>0</formula>
    </cfRule>
  </conditionalFormatting>
  <conditionalFormatting sqref="N105:O114">
    <cfRule type="cellIs" dxfId="180" priority="7" operator="equal">
      <formula>0</formula>
    </cfRule>
  </conditionalFormatting>
  <conditionalFormatting sqref="I135:P135">
    <cfRule type="cellIs" dxfId="179" priority="6" operator="equal">
      <formula>0</formula>
    </cfRule>
  </conditionalFormatting>
  <conditionalFormatting sqref="D148:K152">
    <cfRule type="cellIs" dxfId="178" priority="5" operator="equal">
      <formula>0</formula>
    </cfRule>
  </conditionalFormatting>
  <conditionalFormatting sqref="L156:M156">
    <cfRule type="cellIs" dxfId="177" priority="4" operator="equal">
      <formula>0</formula>
    </cfRule>
  </conditionalFormatting>
  <conditionalFormatting sqref="K166:R166">
    <cfRule type="cellIs" dxfId="176" priority="3" operator="equal">
      <formula>0</formula>
    </cfRule>
  </conditionalFormatting>
  <conditionalFormatting sqref="K165:R171">
    <cfRule type="cellIs" dxfId="175" priority="2" operator="equal">
      <formula>0</formula>
    </cfRule>
  </conditionalFormatting>
  <conditionalFormatting sqref="K168:R168 K170:R170">
    <cfRule type="cellIs" dxfId="174" priority="1" operator="equal">
      <formula>0</formula>
    </cfRule>
  </conditionalFormatting>
  <dataValidations count="6">
    <dataValidation type="list" allowBlank="1" showInputMessage="1" showErrorMessage="1" sqref="J20" xr:uid="{00000000-0002-0000-0A00-000000000000}">
      <formula1>Si_No</formula1>
    </dataValidation>
    <dataValidation type="list" allowBlank="1" showInputMessage="1" showErrorMessage="1" sqref="N20" xr:uid="{00000000-0002-0000-0A00-000001000000}">
      <formula1>EstadoActual</formula1>
    </dataValidation>
    <dataValidation type="list" allowBlank="1" showInputMessage="1" showErrorMessage="1" sqref="L20" xr:uid="{00000000-0002-0000-0A00-000002000000}">
      <formula1>MuroContencion</formula1>
    </dataValidation>
    <dataValidation type="decimal" allowBlank="1" showInputMessage="1" showErrorMessage="1" sqref="F104:H114 F116:H121" xr:uid="{00000000-0002-0000-0A00-000003000000}">
      <formula1>0</formula1>
      <formula2>1000000</formula2>
    </dataValidation>
    <dataValidation type="decimal" operator="greaterThan" allowBlank="1" showInputMessage="1" showErrorMessage="1" sqref="D148:K152 M40:N40 J47:N62 N11:O19 I135:P135 E70:F74 E86:O93 N104:P114 I137:P137 I139:P139 I141:P141 I143:P143 N116:P121 M25:N25 L156:M156 M32:N33" xr:uid="{00000000-0002-0000-0A00-000004000000}">
      <formula1>0</formula1>
    </dataValidation>
    <dataValidation operator="greaterThan" allowBlank="1" showInputMessage="1" showErrorMessage="1" sqref="B86:D93" xr:uid="{00000000-0002-0000-0A00-000005000000}"/>
  </dataValidations>
  <pageMargins left="0.7" right="0.7" top="0.75" bottom="0.75" header="0.3" footer="0.3"/>
  <pageSetup paperSize="9" scale="30" orientation="portrait" horizontalDpi="0" verticalDpi="0"/>
  <rowBreaks count="1" manualBreakCount="1">
    <brk id="94" min="1" max="18"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20"/>
  <dimension ref="B1:Z234"/>
  <sheetViews>
    <sheetView topLeftCell="D66" zoomScaleNormal="100" workbookViewId="0">
      <selection activeCell="G70" sqref="G70:H74"/>
    </sheetView>
  </sheetViews>
  <sheetFormatPr baseColWidth="10" defaultColWidth="11.88671875" defaultRowHeight="15"/>
  <cols>
    <col min="1" max="1" width="11.88671875" style="4"/>
    <col min="2" max="3" width="12.109375" style="4" customWidth="1"/>
    <col min="4" max="4" width="13.44140625" style="4" customWidth="1"/>
    <col min="5" max="6" width="12.109375" style="4" customWidth="1"/>
    <col min="7" max="12" width="12" style="4" customWidth="1"/>
    <col min="13" max="13" width="13.44140625" style="4" customWidth="1"/>
    <col min="14" max="14" width="16.6640625" style="4" customWidth="1"/>
    <col min="15" max="18" width="12" style="4" customWidth="1"/>
    <col min="19" max="19" width="8.88671875" style="4" customWidth="1"/>
    <col min="20" max="16384" width="11.88671875" style="4"/>
  </cols>
  <sheetData>
    <row r="1" spans="2:15" ht="18.95" customHeight="1"/>
    <row r="2" spans="2:15" s="80" customFormat="1" ht="18.95" customHeight="1">
      <c r="B2" s="80" t="s">
        <v>4452</v>
      </c>
    </row>
    <row r="3" spans="2:15" ht="18.95" customHeight="1"/>
    <row r="4" spans="2:15" s="13" customFormat="1" ht="18.95" customHeight="1">
      <c r="B4" s="21" t="s">
        <v>138</v>
      </c>
      <c r="C4" s="22"/>
      <c r="D4" s="23"/>
      <c r="E4" s="23"/>
      <c r="F4" s="23"/>
      <c r="G4" s="79"/>
      <c r="H4" s="23"/>
      <c r="I4" s="23"/>
      <c r="J4" s="23"/>
      <c r="K4" s="23"/>
      <c r="L4" s="24"/>
      <c r="M4" s="24"/>
      <c r="N4" s="24"/>
      <c r="O4" s="24"/>
    </row>
    <row r="5" spans="2:15" s="322" customFormat="1" ht="15.75">
      <c r="B5" s="336"/>
      <c r="C5" s="336"/>
      <c r="D5" s="336"/>
      <c r="E5" s="336"/>
      <c r="F5" s="336"/>
    </row>
    <row r="6" spans="2:15" s="322" customFormat="1" ht="18" customHeight="1">
      <c r="B6" s="695" t="s">
        <v>4270</v>
      </c>
      <c r="C6" s="695"/>
      <c r="D6" s="320" t="str">
        <f>+'Problema-Objetivo'!C40</f>
        <v/>
      </c>
      <c r="E6" s="321"/>
      <c r="F6" s="321"/>
      <c r="G6" s="321"/>
      <c r="H6" s="321"/>
      <c r="I6" s="321"/>
      <c r="J6" s="321"/>
      <c r="K6" s="321"/>
      <c r="L6" s="321"/>
      <c r="M6" s="321"/>
      <c r="N6" s="321"/>
      <c r="O6" s="321"/>
    </row>
    <row r="7" spans="2:15" s="322" customFormat="1" ht="18" customHeight="1">
      <c r="B7" s="323"/>
    </row>
    <row r="8" spans="2:15" s="322" customFormat="1" ht="18" customHeight="1">
      <c r="B8" s="323" t="s">
        <v>4201</v>
      </c>
    </row>
    <row r="9" spans="2:15" s="322" customFormat="1" ht="36" customHeight="1">
      <c r="B9" s="691" t="s">
        <v>130</v>
      </c>
      <c r="C9" s="691"/>
      <c r="D9" s="698" t="s">
        <v>131</v>
      </c>
      <c r="E9" s="700" t="s">
        <v>140</v>
      </c>
      <c r="F9" s="701"/>
      <c r="G9" s="701"/>
      <c r="H9" s="701"/>
      <c r="I9" s="702"/>
      <c r="J9" s="691" t="s">
        <v>132</v>
      </c>
      <c r="K9" s="691"/>
      <c r="L9" s="691" t="s">
        <v>133</v>
      </c>
      <c r="M9" s="691"/>
      <c r="N9" s="698" t="s">
        <v>139</v>
      </c>
      <c r="O9" s="698" t="s">
        <v>4273</v>
      </c>
    </row>
    <row r="10" spans="2:15" s="322" customFormat="1" ht="50.1" customHeight="1">
      <c r="B10" s="691"/>
      <c r="C10" s="691"/>
      <c r="D10" s="699"/>
      <c r="E10" s="703"/>
      <c r="F10" s="704"/>
      <c r="G10" s="704"/>
      <c r="H10" s="704"/>
      <c r="I10" s="705"/>
      <c r="J10" s="324" t="s">
        <v>134</v>
      </c>
      <c r="K10" s="325" t="s">
        <v>135</v>
      </c>
      <c r="L10" s="324" t="s">
        <v>134</v>
      </c>
      <c r="M10" s="325" t="s">
        <v>135</v>
      </c>
      <c r="N10" s="699"/>
      <c r="O10" s="699"/>
    </row>
    <row r="11" spans="2:15" s="322" customFormat="1" ht="32.1" customHeight="1">
      <c r="B11" s="716">
        <f>+'Análisis Técnico'!B110:C110</f>
        <v>0</v>
      </c>
      <c r="C11" s="717"/>
      <c r="D11" s="326" t="str">
        <f>+'Análisis Técnico'!D110</f>
        <v>Infraestructura</v>
      </c>
      <c r="E11" s="692" t="str">
        <f>+'Análisis Técnico'!E110</f>
        <v xml:space="preserve">Sala de cuidado diurno </v>
      </c>
      <c r="F11" s="693">
        <f>+'Análisis Técnico'!F110</f>
        <v>0</v>
      </c>
      <c r="G11" s="693">
        <f>+'Análisis Técnico'!G110</f>
        <v>0</v>
      </c>
      <c r="H11" s="693">
        <f>+'Análisis Técnico'!H110</f>
        <v>0</v>
      </c>
      <c r="I11" s="694">
        <f>+'Análisis Técnico'!I110</f>
        <v>0</v>
      </c>
      <c r="J11" s="328" t="str">
        <f>+'Análisis Técnico'!K110</f>
        <v>Sala</v>
      </c>
      <c r="K11" s="328">
        <f>+'Análisis Técnico'!L110</f>
        <v>0</v>
      </c>
      <c r="L11" s="328" t="str">
        <f>+'Análisis Técnico'!M110</f>
        <v>m2</v>
      </c>
      <c r="M11" s="328">
        <f>+'Análisis Técnico'!N110</f>
        <v>0</v>
      </c>
      <c r="N11" s="371"/>
      <c r="O11" s="337">
        <f>+N11*M11</f>
        <v>0</v>
      </c>
    </row>
    <row r="12" spans="2:15" s="322" customFormat="1" ht="32.1" customHeight="1">
      <c r="B12" s="716">
        <f>+'Análisis Técnico'!B111:C111</f>
        <v>0</v>
      </c>
      <c r="C12" s="717"/>
      <c r="D12" s="326" t="str">
        <f>+'Análisis Técnico'!D111</f>
        <v>Infraestructura</v>
      </c>
      <c r="E12" s="692" t="str">
        <f>+'Análisis Técnico'!E111</f>
        <v xml:space="preserve">Sala de usos múltiples </v>
      </c>
      <c r="F12" s="693">
        <f>+'Análisis Técnico'!F111</f>
        <v>0</v>
      </c>
      <c r="G12" s="693">
        <f>+'Análisis Técnico'!G111</f>
        <v>0</v>
      </c>
      <c r="H12" s="693">
        <f>+'Análisis Técnico'!H111</f>
        <v>0</v>
      </c>
      <c r="I12" s="694">
        <f>+'Análisis Técnico'!I111</f>
        <v>0</v>
      </c>
      <c r="J12" s="191" t="str">
        <f>+'Análisis Técnico'!K111</f>
        <v>Sala</v>
      </c>
      <c r="K12" s="328">
        <f>+'Análisis Técnico'!L111</f>
        <v>0</v>
      </c>
      <c r="L12" s="328" t="str">
        <f>+'Análisis Técnico'!M111</f>
        <v>m2</v>
      </c>
      <c r="M12" s="328">
        <f>+'Análisis Técnico'!N111</f>
        <v>0</v>
      </c>
      <c r="N12" s="371"/>
      <c r="O12" s="337">
        <f t="shared" ref="O12:O19" si="0">+N12*M12</f>
        <v>0</v>
      </c>
    </row>
    <row r="13" spans="2:15" s="322" customFormat="1" ht="32.1" customHeight="1">
      <c r="B13" s="716">
        <f>+'Análisis Técnico'!B112:C112</f>
        <v>0</v>
      </c>
      <c r="C13" s="717"/>
      <c r="D13" s="326" t="str">
        <f>+'Análisis Técnico'!D112</f>
        <v>Infraestructura</v>
      </c>
      <c r="E13" s="692" t="str">
        <f>+'Análisis Técnico'!E112</f>
        <v xml:space="preserve">Ambiente de recreación activa </v>
      </c>
      <c r="F13" s="693">
        <f>+'Análisis Técnico'!F112</f>
        <v>0</v>
      </c>
      <c r="G13" s="693">
        <f>+'Análisis Técnico'!G112</f>
        <v>0</v>
      </c>
      <c r="H13" s="693">
        <f>+'Análisis Técnico'!H112</f>
        <v>0</v>
      </c>
      <c r="I13" s="694">
        <f>+'Análisis Técnico'!I112</f>
        <v>0</v>
      </c>
      <c r="J13" s="191" t="str">
        <f>+'Análisis Técnico'!K112</f>
        <v>Ambiente</v>
      </c>
      <c r="K13" s="328">
        <f>+'Análisis Técnico'!L112</f>
        <v>0</v>
      </c>
      <c r="L13" s="328" t="str">
        <f>+'Análisis Técnico'!M112</f>
        <v>m2</v>
      </c>
      <c r="M13" s="328">
        <f>+'Análisis Técnico'!N112</f>
        <v>0</v>
      </c>
      <c r="N13" s="371"/>
      <c r="O13" s="337">
        <f t="shared" si="0"/>
        <v>0</v>
      </c>
    </row>
    <row r="14" spans="2:15" s="322" customFormat="1" ht="32.1" customHeight="1">
      <c r="B14" s="716">
        <f>+'Análisis Técnico'!B113:C113</f>
        <v>0</v>
      </c>
      <c r="C14" s="717"/>
      <c r="D14" s="326" t="str">
        <f>+'Análisis Técnico'!D113</f>
        <v>Infraestructura</v>
      </c>
      <c r="E14" s="692" t="str">
        <f>+'Análisis Técnico'!E113</f>
        <v xml:space="preserve">Ambiente de servicios generales </v>
      </c>
      <c r="F14" s="693">
        <f>+'Análisis Técnico'!F113</f>
        <v>0</v>
      </c>
      <c r="G14" s="693">
        <f>+'Análisis Técnico'!G113</f>
        <v>0</v>
      </c>
      <c r="H14" s="693">
        <f>+'Análisis Técnico'!H113</f>
        <v>0</v>
      </c>
      <c r="I14" s="694">
        <f>+'Análisis Técnico'!I113</f>
        <v>0</v>
      </c>
      <c r="J14" s="191" t="str">
        <f>+'Análisis Técnico'!K113</f>
        <v>Ambiente</v>
      </c>
      <c r="K14" s="328">
        <f>+'Análisis Técnico'!L113</f>
        <v>0</v>
      </c>
      <c r="L14" s="328" t="str">
        <f>+'Análisis Técnico'!M113</f>
        <v>m2</v>
      </c>
      <c r="M14" s="328">
        <f>+'Análisis Técnico'!N113</f>
        <v>0</v>
      </c>
      <c r="N14" s="371"/>
      <c r="O14" s="337">
        <f t="shared" si="0"/>
        <v>0</v>
      </c>
    </row>
    <row r="15" spans="2:15" s="322" customFormat="1" ht="32.1" customHeight="1">
      <c r="B15" s="716">
        <f>+'Análisis Técnico'!B114:C114</f>
        <v>0</v>
      </c>
      <c r="C15" s="717"/>
      <c r="D15" s="326" t="str">
        <f>+'Análisis Técnico'!D114</f>
        <v>Infraestructura</v>
      </c>
      <c r="E15" s="692" t="str">
        <f>+'Análisis Técnico'!E114</f>
        <v xml:space="preserve">Ambiente de preparación y expendio de alimentos </v>
      </c>
      <c r="F15" s="693">
        <f>+'Análisis Técnico'!F114</f>
        <v>0</v>
      </c>
      <c r="G15" s="693">
        <f>+'Análisis Técnico'!G114</f>
        <v>0</v>
      </c>
      <c r="H15" s="693">
        <f>+'Análisis Técnico'!H114</f>
        <v>0</v>
      </c>
      <c r="I15" s="694">
        <f>+'Análisis Técnico'!I114</f>
        <v>0</v>
      </c>
      <c r="J15" s="191" t="str">
        <f>+'Análisis Técnico'!K114</f>
        <v>Ambiente</v>
      </c>
      <c r="K15" s="328">
        <f>+'Análisis Técnico'!L114</f>
        <v>0</v>
      </c>
      <c r="L15" s="328" t="str">
        <f>+'Análisis Técnico'!M114</f>
        <v>m2</v>
      </c>
      <c r="M15" s="328">
        <f>+'Análisis Técnico'!N114</f>
        <v>0</v>
      </c>
      <c r="N15" s="371"/>
      <c r="O15" s="337">
        <f t="shared" si="0"/>
        <v>0</v>
      </c>
    </row>
    <row r="16" spans="2:15" s="322" customFormat="1" ht="32.1" customHeight="1">
      <c r="B16" s="716">
        <f>+'Análisis Técnico'!B115:C115</f>
        <v>0</v>
      </c>
      <c r="C16" s="717"/>
      <c r="D16" s="326" t="str">
        <f>+'Análisis Técnico'!D115</f>
        <v>Infraestructura</v>
      </c>
      <c r="E16" s="692" t="str">
        <f>+'Análisis Técnico'!E115</f>
        <v xml:space="preserve">Almacén </v>
      </c>
      <c r="F16" s="693">
        <f>+'Análisis Técnico'!F115</f>
        <v>0</v>
      </c>
      <c r="G16" s="693">
        <f>+'Análisis Técnico'!G115</f>
        <v>0</v>
      </c>
      <c r="H16" s="693">
        <f>+'Análisis Técnico'!H115</f>
        <v>0</v>
      </c>
      <c r="I16" s="694">
        <f>+'Análisis Técnico'!I115</f>
        <v>0</v>
      </c>
      <c r="J16" s="191" t="str">
        <f>+'Análisis Técnico'!K115</f>
        <v>Almacén</v>
      </c>
      <c r="K16" s="328">
        <f>+'Análisis Técnico'!L115</f>
        <v>0</v>
      </c>
      <c r="L16" s="328" t="str">
        <f>+'Análisis Técnico'!M115</f>
        <v>m2</v>
      </c>
      <c r="M16" s="328">
        <f>+'Análisis Técnico'!N115</f>
        <v>0</v>
      </c>
      <c r="N16" s="371"/>
      <c r="O16" s="337">
        <f t="shared" si="0"/>
        <v>0</v>
      </c>
    </row>
    <row r="17" spans="2:26" s="322" customFormat="1" ht="32.1" customHeight="1">
      <c r="B17" s="716">
        <f>+'Análisis Técnico'!B116:C116</f>
        <v>0</v>
      </c>
      <c r="C17" s="717"/>
      <c r="D17" s="326" t="str">
        <f>+'Análisis Técnico'!D116</f>
        <v>Infraestructura</v>
      </c>
      <c r="E17" s="692" t="str">
        <f>+'Análisis Técnico'!E116</f>
        <v xml:space="preserve">Cerco perimétrico </v>
      </c>
      <c r="F17" s="693">
        <f>+'Análisis Técnico'!F116</f>
        <v>0</v>
      </c>
      <c r="G17" s="693">
        <f>+'Análisis Técnico'!G116</f>
        <v>0</v>
      </c>
      <c r="H17" s="693">
        <f>+'Análisis Técnico'!H116</f>
        <v>0</v>
      </c>
      <c r="I17" s="694">
        <f>+'Análisis Técnico'!I116</f>
        <v>0</v>
      </c>
      <c r="J17" s="191" t="str">
        <f>+'Análisis Técnico'!K116</f>
        <v>Unidad</v>
      </c>
      <c r="K17" s="328">
        <f>+'Análisis Técnico'!L116</f>
        <v>0</v>
      </c>
      <c r="L17" s="328" t="str">
        <f>+'Análisis Técnico'!M116</f>
        <v>ml</v>
      </c>
      <c r="M17" s="328">
        <f>+'Análisis Técnico'!N116</f>
        <v>0</v>
      </c>
      <c r="N17" s="371"/>
      <c r="O17" s="337">
        <f t="shared" si="0"/>
        <v>0</v>
      </c>
    </row>
    <row r="18" spans="2:26" s="322" customFormat="1" ht="32.1" customHeight="1">
      <c r="B18" s="716">
        <f>+'Análisis Técnico'!B117:C117</f>
        <v>0</v>
      </c>
      <c r="C18" s="717"/>
      <c r="D18" s="326" t="str">
        <f>+'Análisis Técnico'!D117</f>
        <v>Infraestructura</v>
      </c>
      <c r="E18" s="692" t="str">
        <f>+'Análisis Técnico'!E117</f>
        <v xml:space="preserve">Muro de contención </v>
      </c>
      <c r="F18" s="693">
        <f>+'Análisis Técnico'!F117</f>
        <v>0</v>
      </c>
      <c r="G18" s="693">
        <f>+'Análisis Técnico'!G117</f>
        <v>0</v>
      </c>
      <c r="H18" s="693">
        <f>+'Análisis Técnico'!H117</f>
        <v>0</v>
      </c>
      <c r="I18" s="694">
        <f>+'Análisis Técnico'!I117</f>
        <v>0</v>
      </c>
      <c r="J18" s="191" t="str">
        <f>+'Análisis Técnico'!K117</f>
        <v>Unidad</v>
      </c>
      <c r="K18" s="328">
        <f>+'Análisis Técnico'!L117</f>
        <v>0</v>
      </c>
      <c r="L18" s="328" t="str">
        <f>+'Análisis Técnico'!M117</f>
        <v>ml o m3</v>
      </c>
      <c r="M18" s="328">
        <f>+'Análisis Técnico'!N117</f>
        <v>0</v>
      </c>
      <c r="N18" s="371"/>
      <c r="O18" s="337">
        <f t="shared" si="0"/>
        <v>0</v>
      </c>
    </row>
    <row r="19" spans="2:26" s="322" customFormat="1" ht="32.1" customHeight="1">
      <c r="B19" s="716">
        <f>+'Análisis Técnico'!B118:C118</f>
        <v>0</v>
      </c>
      <c r="C19" s="717"/>
      <c r="D19" s="326" t="str">
        <f>+'Análisis Técnico'!D118</f>
        <v>Infraestructura</v>
      </c>
      <c r="E19" s="692" t="str">
        <f>+'Análisis Técnico'!E118</f>
        <v>Otros ambientes complementarios</v>
      </c>
      <c r="F19" s="693">
        <f>+'Análisis Técnico'!F118</f>
        <v>0</v>
      </c>
      <c r="G19" s="693">
        <f>+'Análisis Técnico'!G118</f>
        <v>0</v>
      </c>
      <c r="H19" s="693">
        <f>+'Análisis Técnico'!H118</f>
        <v>0</v>
      </c>
      <c r="I19" s="694">
        <f>+'Análisis Técnico'!I118</f>
        <v>0</v>
      </c>
      <c r="J19" s="191" t="str">
        <f>+'Análisis Técnico'!K118</f>
        <v>Unidad</v>
      </c>
      <c r="K19" s="328">
        <f>+'Análisis Técnico'!L118</f>
        <v>0</v>
      </c>
      <c r="L19" s="328" t="s">
        <v>136</v>
      </c>
      <c r="M19" s="328">
        <f>+'Análisis Técnico'!N118</f>
        <v>0</v>
      </c>
      <c r="N19" s="371"/>
      <c r="O19" s="337">
        <f t="shared" si="0"/>
        <v>0</v>
      </c>
    </row>
    <row r="20" spans="2:26" s="322" customFormat="1" ht="39.950000000000003" customHeight="1">
      <c r="B20" s="331"/>
      <c r="C20" s="332"/>
      <c r="D20" s="332"/>
      <c r="E20" s="314"/>
      <c r="F20" s="314"/>
      <c r="G20" s="314"/>
      <c r="H20" s="314"/>
      <c r="I20" s="314"/>
      <c r="J20" s="332"/>
      <c r="K20" s="332"/>
      <c r="L20" s="332"/>
      <c r="M20" s="332"/>
      <c r="N20" s="332"/>
      <c r="O20" s="333"/>
      <c r="P20" s="333"/>
      <c r="Q20" s="333"/>
      <c r="R20" s="333"/>
      <c r="S20" s="333"/>
      <c r="T20" s="333"/>
      <c r="U20" s="333"/>
      <c r="V20" s="333"/>
      <c r="W20" s="334"/>
      <c r="X20" s="333"/>
      <c r="Y20" s="333"/>
      <c r="Z20" s="333"/>
    </row>
    <row r="21" spans="2:26" s="322" customFormat="1" ht="18" customHeight="1">
      <c r="B21" s="695" t="s">
        <v>142</v>
      </c>
      <c r="C21" s="695"/>
      <c r="D21" s="320" t="str">
        <f>+'Problema-Objetivo'!C44</f>
        <v/>
      </c>
      <c r="E21" s="321"/>
      <c r="F21" s="321"/>
      <c r="G21" s="321"/>
      <c r="H21" s="321"/>
      <c r="I21" s="321"/>
      <c r="J21" s="321"/>
      <c r="K21" s="321"/>
      <c r="L21" s="321"/>
      <c r="M21" s="321"/>
      <c r="N21" s="321"/>
      <c r="O21" s="321"/>
    </row>
    <row r="22" spans="2:26" s="322" customFormat="1" ht="18" customHeight="1">
      <c r="B22" s="323"/>
    </row>
    <row r="23" spans="2:26" s="322" customFormat="1" ht="36" customHeight="1">
      <c r="B23" s="691" t="str">
        <f>+B9</f>
        <v>Acción sobre el activo</v>
      </c>
      <c r="C23" s="691"/>
      <c r="D23" s="698" t="s">
        <v>131</v>
      </c>
      <c r="E23" s="700" t="s">
        <v>140</v>
      </c>
      <c r="F23" s="701"/>
      <c r="G23" s="701"/>
      <c r="H23" s="701"/>
      <c r="I23" s="702"/>
      <c r="J23" s="691" t="s">
        <v>132</v>
      </c>
      <c r="K23" s="691"/>
      <c r="L23" s="691"/>
      <c r="M23" s="700" t="s">
        <v>4273</v>
      </c>
      <c r="N23" s="702"/>
    </row>
    <row r="24" spans="2:26" s="322" customFormat="1" ht="50.1" customHeight="1">
      <c r="B24" s="691"/>
      <c r="C24" s="691"/>
      <c r="D24" s="699"/>
      <c r="E24" s="703"/>
      <c r="F24" s="704"/>
      <c r="G24" s="704"/>
      <c r="H24" s="704"/>
      <c r="I24" s="705"/>
      <c r="J24" s="691" t="s">
        <v>134</v>
      </c>
      <c r="K24" s="691"/>
      <c r="L24" s="325" t="s">
        <v>135</v>
      </c>
      <c r="M24" s="703"/>
      <c r="N24" s="705"/>
    </row>
    <row r="25" spans="2:26" s="322" customFormat="1" ht="32.1" customHeight="1">
      <c r="B25" s="716">
        <f>+'Análisis Técnico'!B124:C124</f>
        <v>0</v>
      </c>
      <c r="C25" s="717"/>
      <c r="D25" s="326" t="str">
        <f>+'Análisis Técnico'!D124</f>
        <v>Equipos</v>
      </c>
      <c r="E25" s="692" t="str">
        <f>+'Análisis Técnico'!E124</f>
        <v xml:space="preserve">Equipo de ambiente de preparación y expendio de alimentos - Cuna Más </v>
      </c>
      <c r="F25" s="693">
        <f>+'Análisis Técnico'!F124</f>
        <v>0</v>
      </c>
      <c r="G25" s="693">
        <f>+'Análisis Técnico'!G124</f>
        <v>0</v>
      </c>
      <c r="H25" s="693">
        <f>+'Análisis Técnico'!H124</f>
        <v>0</v>
      </c>
      <c r="I25" s="694">
        <f>+'Análisis Técnico'!I124</f>
        <v>0</v>
      </c>
      <c r="J25" s="689" t="str">
        <f>+'Análisis Técnico'!J124</f>
        <v>Número de equipos</v>
      </c>
      <c r="K25" s="689">
        <f>+'Análisis Técnico'!K124</f>
        <v>0</v>
      </c>
      <c r="L25" s="338">
        <f>+'Análisis Técnico'!L124</f>
        <v>0</v>
      </c>
      <c r="M25" s="770"/>
      <c r="N25" s="771"/>
    </row>
    <row r="26" spans="2:26" ht="18.95" customHeight="1"/>
    <row r="27" spans="2:26" ht="18.95" customHeight="1"/>
    <row r="28" spans="2:26" s="322" customFormat="1" ht="18" customHeight="1">
      <c r="B28" s="695" t="s">
        <v>4272</v>
      </c>
      <c r="C28" s="695"/>
      <c r="D28" s="320" t="str">
        <f>+'Problema-Objetivo'!C45</f>
        <v/>
      </c>
      <c r="E28" s="321"/>
      <c r="F28" s="321"/>
      <c r="G28" s="321"/>
      <c r="H28" s="321"/>
      <c r="I28" s="321"/>
      <c r="J28" s="321"/>
      <c r="K28" s="321"/>
      <c r="L28" s="321"/>
      <c r="M28" s="321"/>
      <c r="N28" s="321"/>
      <c r="O28" s="321"/>
    </row>
    <row r="29" spans="2:26" s="322" customFormat="1" ht="18" customHeight="1">
      <c r="B29" s="323"/>
    </row>
    <row r="30" spans="2:26" s="322" customFormat="1" ht="36" customHeight="1">
      <c r="B30" s="691" t="str">
        <f>+B23</f>
        <v>Acción sobre el activo</v>
      </c>
      <c r="C30" s="691"/>
      <c r="D30" s="698" t="s">
        <v>131</v>
      </c>
      <c r="E30" s="700" t="s">
        <v>140</v>
      </c>
      <c r="F30" s="701"/>
      <c r="G30" s="701"/>
      <c r="H30" s="701"/>
      <c r="I30" s="702"/>
      <c r="J30" s="691" t="s">
        <v>132</v>
      </c>
      <c r="K30" s="691"/>
      <c r="L30" s="691"/>
      <c r="M30" s="700" t="s">
        <v>4273</v>
      </c>
      <c r="N30" s="702"/>
    </row>
    <row r="31" spans="2:26" s="322" customFormat="1" ht="50.1" customHeight="1">
      <c r="B31" s="691"/>
      <c r="C31" s="691"/>
      <c r="D31" s="699"/>
      <c r="E31" s="703"/>
      <c r="F31" s="704"/>
      <c r="G31" s="704"/>
      <c r="H31" s="704"/>
      <c r="I31" s="705"/>
      <c r="J31" s="691" t="s">
        <v>134</v>
      </c>
      <c r="K31" s="691"/>
      <c r="L31" s="325" t="s">
        <v>135</v>
      </c>
      <c r="M31" s="703"/>
      <c r="N31" s="705"/>
    </row>
    <row r="32" spans="2:26" s="322" customFormat="1" ht="32.1" customHeight="1">
      <c r="B32" s="716">
        <f>+'Análisis Técnico'!B131</f>
        <v>0</v>
      </c>
      <c r="C32" s="717"/>
      <c r="D32" s="326" t="str">
        <f>+'Análisis Técnico'!D131</f>
        <v>Mobiliario</v>
      </c>
      <c r="E32" s="692" t="str">
        <f>+'Análisis Técnico'!E131</f>
        <v>Mobiliario de sala de cuidado diurno</v>
      </c>
      <c r="F32" s="693">
        <f>+'Análisis Técnico'!F131</f>
        <v>0</v>
      </c>
      <c r="G32" s="693">
        <f>+'Análisis Técnico'!G131</f>
        <v>0</v>
      </c>
      <c r="H32" s="693">
        <f>+'Análisis Técnico'!H131</f>
        <v>0</v>
      </c>
      <c r="I32" s="694">
        <f>+'Análisis Técnico'!I131</f>
        <v>0</v>
      </c>
      <c r="J32" s="689" t="str">
        <f>+'Análisis Técnico'!J131</f>
        <v>Número de mobiliario</v>
      </c>
      <c r="K32" s="689">
        <f>+'Análisis Técnico'!K131</f>
        <v>0</v>
      </c>
      <c r="L32" s="338">
        <f>+'Análisis Técnico'!L131</f>
        <v>0</v>
      </c>
      <c r="M32" s="770"/>
      <c r="N32" s="771"/>
    </row>
    <row r="33" spans="2:18" s="322" customFormat="1" ht="32.1" customHeight="1">
      <c r="B33" s="716">
        <f>+'Análisis Técnico'!B132</f>
        <v>0</v>
      </c>
      <c r="C33" s="717"/>
      <c r="D33" s="326" t="str">
        <f>+'Análisis Técnico'!D132</f>
        <v>Mobiliario</v>
      </c>
      <c r="E33" s="692" t="str">
        <f>+'Análisis Técnico'!E132</f>
        <v>Mobiliario de ambiente de preparación y expendio de alimentos- Cuna Más</v>
      </c>
      <c r="F33" s="693">
        <f>+'Análisis Técnico'!F132</f>
        <v>0</v>
      </c>
      <c r="G33" s="693">
        <f>+'Análisis Técnico'!G132</f>
        <v>0</v>
      </c>
      <c r="H33" s="693">
        <f>+'Análisis Técnico'!H132</f>
        <v>0</v>
      </c>
      <c r="I33" s="694">
        <f>+'Análisis Técnico'!I132</f>
        <v>0</v>
      </c>
      <c r="J33" s="689" t="str">
        <f>+'Análisis Técnico'!J132</f>
        <v>Número de mobiliario</v>
      </c>
      <c r="K33" s="689">
        <f>+'Análisis Técnico'!K132</f>
        <v>0</v>
      </c>
      <c r="L33" s="338">
        <f>+'Análisis Técnico'!L132</f>
        <v>0</v>
      </c>
      <c r="M33" s="770"/>
      <c r="N33" s="771"/>
    </row>
    <row r="34" spans="2:18" ht="18.95" customHeight="1"/>
    <row r="35" spans="2:18" ht="18.95" customHeight="1"/>
    <row r="36" spans="2:18" s="322" customFormat="1" ht="18" customHeight="1">
      <c r="B36" s="695" t="s">
        <v>4271</v>
      </c>
      <c r="C36" s="695"/>
      <c r="D36" s="320" t="str">
        <f>+'Problema-Objetivo'!C46</f>
        <v/>
      </c>
      <c r="E36" s="321"/>
      <c r="F36" s="321"/>
      <c r="G36" s="321"/>
      <c r="H36" s="321"/>
      <c r="I36" s="321"/>
      <c r="J36" s="321"/>
      <c r="K36" s="321"/>
      <c r="L36" s="321"/>
      <c r="M36" s="321"/>
      <c r="N36" s="321"/>
      <c r="O36" s="321"/>
    </row>
    <row r="37" spans="2:18" s="322" customFormat="1" ht="18" customHeight="1">
      <c r="B37" s="323"/>
    </row>
    <row r="38" spans="2:18" s="322" customFormat="1" ht="36" customHeight="1">
      <c r="B38" s="691" t="str">
        <f>+B30</f>
        <v>Acción sobre el activo</v>
      </c>
      <c r="C38" s="691"/>
      <c r="D38" s="698" t="s">
        <v>131</v>
      </c>
      <c r="E38" s="700" t="s">
        <v>140</v>
      </c>
      <c r="F38" s="701"/>
      <c r="G38" s="701"/>
      <c r="H38" s="701"/>
      <c r="I38" s="702"/>
      <c r="J38" s="691" t="s">
        <v>132</v>
      </c>
      <c r="K38" s="691"/>
      <c r="L38" s="691"/>
      <c r="M38" s="700" t="s">
        <v>4273</v>
      </c>
      <c r="N38" s="702"/>
    </row>
    <row r="39" spans="2:18" s="322" customFormat="1" ht="50.1" customHeight="1">
      <c r="B39" s="691"/>
      <c r="C39" s="691"/>
      <c r="D39" s="699"/>
      <c r="E39" s="703"/>
      <c r="F39" s="704"/>
      <c r="G39" s="704"/>
      <c r="H39" s="704"/>
      <c r="I39" s="705"/>
      <c r="J39" s="691" t="s">
        <v>134</v>
      </c>
      <c r="K39" s="691"/>
      <c r="L39" s="325" t="s">
        <v>135</v>
      </c>
      <c r="M39" s="703"/>
      <c r="N39" s="705"/>
    </row>
    <row r="40" spans="2:18" s="322" customFormat="1" ht="32.1" customHeight="1">
      <c r="B40" s="450">
        <f>+'Análisis Técnico'!B138</f>
        <v>0</v>
      </c>
      <c r="C40" s="452"/>
      <c r="D40" s="326" t="str">
        <f>+'Análisis Técnico'!D138</f>
        <v>Intangibles</v>
      </c>
      <c r="E40" s="692" t="str">
        <f>+'Análisis Técnico'!E138</f>
        <v>Recursos humanos</v>
      </c>
      <c r="F40" s="693">
        <f>+'Análisis Técnico'!F138</f>
        <v>0</v>
      </c>
      <c r="G40" s="693">
        <f>+'Análisis Técnico'!G138</f>
        <v>0</v>
      </c>
      <c r="H40" s="693">
        <f>+'Análisis Técnico'!H138</f>
        <v>0</v>
      </c>
      <c r="I40" s="694">
        <f>+'Análisis Técnico'!I138</f>
        <v>0</v>
      </c>
      <c r="J40" s="689" t="str">
        <f>+'Análisis Técnico'!J138</f>
        <v>Número de eventos de capacitación</v>
      </c>
      <c r="K40" s="689">
        <f>+'Análisis Técnico'!K138</f>
        <v>0</v>
      </c>
      <c r="L40" s="338">
        <f>+'Análisis Técnico'!L138</f>
        <v>0</v>
      </c>
      <c r="M40" s="770"/>
      <c r="N40" s="771"/>
    </row>
    <row r="41" spans="2:18" ht="18.95" customHeight="1"/>
    <row r="42" spans="2:18" s="322" customFormat="1" ht="18" customHeight="1">
      <c r="B42" s="320" t="str">
        <f>+B46</f>
        <v>Medidas de reducción del riesgo de desastre y mitigación ambiental</v>
      </c>
      <c r="C42" s="320"/>
      <c r="D42" s="320"/>
      <c r="E42" s="321"/>
      <c r="F42" s="321"/>
      <c r="G42" s="321"/>
      <c r="H42" s="321"/>
      <c r="I42" s="321"/>
      <c r="J42" s="321"/>
      <c r="K42" s="321"/>
      <c r="L42" s="321"/>
      <c r="M42" s="321"/>
      <c r="N42" s="321"/>
      <c r="O42" s="321"/>
    </row>
    <row r="43" spans="2:18" s="322" customFormat="1" ht="18" customHeight="1">
      <c r="B43" s="323"/>
    </row>
    <row r="44" spans="2:18" s="322" customFormat="1" ht="36" customHeight="1">
      <c r="B44" s="691">
        <f>+B37</f>
        <v>0</v>
      </c>
      <c r="C44" s="691"/>
      <c r="D44" s="698"/>
      <c r="E44" s="700" t="s">
        <v>140</v>
      </c>
      <c r="F44" s="701"/>
      <c r="G44" s="701"/>
      <c r="H44" s="701"/>
      <c r="I44" s="702"/>
      <c r="J44" s="691" t="s">
        <v>132</v>
      </c>
      <c r="K44" s="691"/>
      <c r="L44" s="691"/>
      <c r="M44" s="698" t="s">
        <v>139</v>
      </c>
      <c r="N44" s="698" t="s">
        <v>4273</v>
      </c>
    </row>
    <row r="45" spans="2:18" s="322" customFormat="1" ht="50.1" customHeight="1">
      <c r="B45" s="691"/>
      <c r="C45" s="691"/>
      <c r="D45" s="699"/>
      <c r="E45" s="703"/>
      <c r="F45" s="704"/>
      <c r="G45" s="704"/>
      <c r="H45" s="704"/>
      <c r="I45" s="705"/>
      <c r="J45" s="691" t="s">
        <v>134</v>
      </c>
      <c r="K45" s="691"/>
      <c r="L45" s="325" t="s">
        <v>135</v>
      </c>
      <c r="M45" s="699"/>
      <c r="N45" s="699"/>
    </row>
    <row r="46" spans="2:18" s="322" customFormat="1" ht="15.95" customHeight="1">
      <c r="B46" s="339" t="s">
        <v>143</v>
      </c>
      <c r="C46" s="340"/>
      <c r="D46" s="340"/>
      <c r="E46" s="340"/>
      <c r="F46" s="340"/>
      <c r="G46" s="340"/>
      <c r="H46" s="340"/>
      <c r="I46" s="340"/>
      <c r="J46" s="340"/>
      <c r="K46" s="340"/>
      <c r="L46" s="340"/>
      <c r="M46" s="340"/>
      <c r="N46" s="341"/>
      <c r="O46" s="342"/>
      <c r="P46" s="342"/>
      <c r="Q46" s="342"/>
      <c r="R46" s="342"/>
    </row>
    <row r="47" spans="2:18" s="322" customFormat="1" ht="30.75" customHeight="1">
      <c r="B47" s="713">
        <f>+'Análisis Técnico'!G76</f>
        <v>0</v>
      </c>
      <c r="C47" s="714"/>
      <c r="D47" s="714"/>
      <c r="E47" s="714"/>
      <c r="F47" s="714"/>
      <c r="G47" s="714"/>
      <c r="H47" s="714"/>
      <c r="I47" s="715"/>
      <c r="J47" s="374"/>
      <c r="K47" s="374"/>
      <c r="L47" s="374"/>
      <c r="M47" s="375"/>
      <c r="N47" s="375"/>
      <c r="O47" s="342"/>
      <c r="P47" s="342"/>
      <c r="Q47" s="342"/>
      <c r="R47" s="342"/>
    </row>
    <row r="48" spans="2:18" s="322" customFormat="1" ht="30.75" customHeight="1">
      <c r="B48" s="713">
        <f>+'Análisis Técnico'!G77</f>
        <v>0</v>
      </c>
      <c r="C48" s="714"/>
      <c r="D48" s="714"/>
      <c r="E48" s="714"/>
      <c r="F48" s="714"/>
      <c r="G48" s="714"/>
      <c r="H48" s="714"/>
      <c r="I48" s="715"/>
      <c r="J48" s="374"/>
      <c r="K48" s="374"/>
      <c r="L48" s="374"/>
      <c r="M48" s="375"/>
      <c r="N48" s="375"/>
      <c r="O48" s="342"/>
      <c r="P48" s="342"/>
      <c r="Q48" s="342"/>
      <c r="R48" s="342"/>
    </row>
    <row r="49" spans="2:18" s="322" customFormat="1" ht="30.75" customHeight="1">
      <c r="B49" s="713">
        <f>+'Análisis Técnico'!G78</f>
        <v>0</v>
      </c>
      <c r="C49" s="714"/>
      <c r="D49" s="714"/>
      <c r="E49" s="714"/>
      <c r="F49" s="714"/>
      <c r="G49" s="714"/>
      <c r="H49" s="714"/>
      <c r="I49" s="715"/>
      <c r="J49" s="374"/>
      <c r="K49" s="374"/>
      <c r="L49" s="374"/>
      <c r="M49" s="375"/>
      <c r="N49" s="375"/>
      <c r="O49" s="342"/>
      <c r="P49" s="342"/>
      <c r="Q49" s="342"/>
      <c r="R49" s="342"/>
    </row>
    <row r="50" spans="2:18" s="322" customFormat="1" ht="30.75" customHeight="1">
      <c r="B50" s="713">
        <f>+'Análisis Técnico'!G79</f>
        <v>0</v>
      </c>
      <c r="C50" s="714"/>
      <c r="D50" s="714"/>
      <c r="E50" s="714"/>
      <c r="F50" s="714"/>
      <c r="G50" s="714"/>
      <c r="H50" s="714"/>
      <c r="I50" s="715"/>
      <c r="J50" s="374"/>
      <c r="K50" s="374"/>
      <c r="L50" s="374"/>
      <c r="M50" s="375"/>
      <c r="N50" s="375"/>
      <c r="O50" s="342"/>
      <c r="P50" s="342"/>
      <c r="Q50" s="342"/>
      <c r="R50" s="342"/>
    </row>
    <row r="51" spans="2:18" s="322" customFormat="1" ht="30.75" customHeight="1">
      <c r="B51" s="713">
        <f>+'Análisis Técnico'!G80</f>
        <v>0</v>
      </c>
      <c r="C51" s="714"/>
      <c r="D51" s="714"/>
      <c r="E51" s="714"/>
      <c r="F51" s="714"/>
      <c r="G51" s="714"/>
      <c r="H51" s="714"/>
      <c r="I51" s="715"/>
      <c r="J51" s="374"/>
      <c r="K51" s="374"/>
      <c r="L51" s="374"/>
      <c r="M51" s="375"/>
      <c r="N51" s="375"/>
      <c r="O51" s="342"/>
      <c r="P51" s="342"/>
      <c r="Q51" s="342"/>
      <c r="R51" s="342"/>
    </row>
    <row r="52" spans="2:18" s="322" customFormat="1" ht="30.75" customHeight="1">
      <c r="B52" s="713">
        <f>+'Análisis Técnico'!G81</f>
        <v>0</v>
      </c>
      <c r="C52" s="714"/>
      <c r="D52" s="714"/>
      <c r="E52" s="714"/>
      <c r="F52" s="714"/>
      <c r="G52" s="714"/>
      <c r="H52" s="714"/>
      <c r="I52" s="715"/>
      <c r="J52" s="374"/>
      <c r="K52" s="374"/>
      <c r="L52" s="374"/>
      <c r="M52" s="375"/>
      <c r="N52" s="375"/>
      <c r="O52" s="342"/>
      <c r="P52" s="342"/>
      <c r="Q52" s="342"/>
      <c r="R52" s="342"/>
    </row>
    <row r="53" spans="2:18" s="322" customFormat="1" ht="30.75" customHeight="1">
      <c r="B53" s="713">
        <f>+'Análisis Técnico'!G82</f>
        <v>0</v>
      </c>
      <c r="C53" s="714"/>
      <c r="D53" s="714"/>
      <c r="E53" s="714"/>
      <c r="F53" s="714"/>
      <c r="G53" s="714"/>
      <c r="H53" s="714"/>
      <c r="I53" s="715"/>
      <c r="J53" s="374"/>
      <c r="K53" s="374"/>
      <c r="L53" s="374"/>
      <c r="M53" s="375"/>
      <c r="N53" s="375"/>
      <c r="O53" s="342"/>
      <c r="P53" s="342"/>
      <c r="Q53" s="342"/>
      <c r="R53" s="342"/>
    </row>
    <row r="54" spans="2:18" s="322" customFormat="1" ht="30.75" customHeight="1">
      <c r="B54" s="713">
        <f>+'Análisis Técnico'!G83</f>
        <v>0</v>
      </c>
      <c r="C54" s="714"/>
      <c r="D54" s="714"/>
      <c r="E54" s="714"/>
      <c r="F54" s="714"/>
      <c r="G54" s="714"/>
      <c r="H54" s="714"/>
      <c r="I54" s="715"/>
      <c r="J54" s="374"/>
      <c r="K54" s="374"/>
      <c r="L54" s="374"/>
      <c r="M54" s="375"/>
      <c r="N54" s="375"/>
      <c r="O54" s="342"/>
      <c r="P54" s="342"/>
      <c r="Q54" s="342"/>
      <c r="R54" s="342"/>
    </row>
    <row r="55" spans="2:18" s="322" customFormat="1" ht="30.75" customHeight="1">
      <c r="B55" s="713">
        <f>+'Análisis Técnico'!G84</f>
        <v>0</v>
      </c>
      <c r="C55" s="714"/>
      <c r="D55" s="714"/>
      <c r="E55" s="714"/>
      <c r="F55" s="714"/>
      <c r="G55" s="714"/>
      <c r="H55" s="714"/>
      <c r="I55" s="715"/>
      <c r="J55" s="374"/>
      <c r="K55" s="374"/>
      <c r="L55" s="374"/>
      <c r="M55" s="375"/>
      <c r="N55" s="375"/>
      <c r="O55" s="342"/>
      <c r="P55" s="342"/>
      <c r="Q55" s="342"/>
      <c r="R55" s="342"/>
    </row>
    <row r="56" spans="2:18" s="322" customFormat="1" ht="30.75" customHeight="1">
      <c r="B56" s="713">
        <f>+'Análisis Técnico'!G85</f>
        <v>0</v>
      </c>
      <c r="C56" s="714"/>
      <c r="D56" s="714"/>
      <c r="E56" s="714"/>
      <c r="F56" s="714"/>
      <c r="G56" s="714"/>
      <c r="H56" s="714"/>
      <c r="I56" s="715"/>
      <c r="J56" s="374"/>
      <c r="K56" s="374"/>
      <c r="L56" s="374"/>
      <c r="M56" s="375"/>
      <c r="N56" s="375"/>
      <c r="O56" s="342"/>
      <c r="P56" s="342"/>
      <c r="Q56" s="342"/>
      <c r="R56" s="342"/>
    </row>
    <row r="57" spans="2:18" s="322" customFormat="1" ht="30.75" customHeight="1">
      <c r="B57" s="713">
        <f>+'Análisis Técnico'!G86</f>
        <v>0</v>
      </c>
      <c r="C57" s="714"/>
      <c r="D57" s="714"/>
      <c r="E57" s="714"/>
      <c r="F57" s="714"/>
      <c r="G57" s="714"/>
      <c r="H57" s="714"/>
      <c r="I57" s="715"/>
      <c r="J57" s="374"/>
      <c r="K57" s="374"/>
      <c r="L57" s="374"/>
      <c r="M57" s="375"/>
      <c r="N57" s="375"/>
      <c r="O57" s="342"/>
      <c r="P57" s="342"/>
      <c r="Q57" s="342"/>
      <c r="R57" s="342"/>
    </row>
    <row r="58" spans="2:18" s="322" customFormat="1" ht="30.75" customHeight="1">
      <c r="B58" s="713">
        <f>+'Análisis Técnico'!G87</f>
        <v>0</v>
      </c>
      <c r="C58" s="714"/>
      <c r="D58" s="714"/>
      <c r="E58" s="714"/>
      <c r="F58" s="714"/>
      <c r="G58" s="714"/>
      <c r="H58" s="714"/>
      <c r="I58" s="715"/>
      <c r="J58" s="374"/>
      <c r="K58" s="374"/>
      <c r="L58" s="374"/>
      <c r="M58" s="375"/>
      <c r="N58" s="375"/>
      <c r="O58" s="342"/>
      <c r="P58" s="342"/>
      <c r="Q58" s="342"/>
      <c r="R58" s="342"/>
    </row>
    <row r="59" spans="2:18" s="322" customFormat="1" ht="30.75" customHeight="1">
      <c r="B59" s="713">
        <f>+'Análisis Técnico'!G88</f>
        <v>0</v>
      </c>
      <c r="C59" s="714"/>
      <c r="D59" s="714"/>
      <c r="E59" s="714"/>
      <c r="F59" s="714"/>
      <c r="G59" s="714"/>
      <c r="H59" s="714"/>
      <c r="I59" s="715"/>
      <c r="J59" s="374"/>
      <c r="K59" s="374"/>
      <c r="L59" s="374"/>
      <c r="M59" s="375"/>
      <c r="N59" s="375"/>
      <c r="O59" s="342"/>
      <c r="P59" s="342"/>
      <c r="Q59" s="342"/>
      <c r="R59" s="342"/>
    </row>
    <row r="60" spans="2:18" s="322" customFormat="1" ht="30.75" customHeight="1">
      <c r="B60" s="713">
        <f>+'Análisis Técnico'!G89</f>
        <v>0</v>
      </c>
      <c r="C60" s="714"/>
      <c r="D60" s="714"/>
      <c r="E60" s="714"/>
      <c r="F60" s="714"/>
      <c r="G60" s="714"/>
      <c r="H60" s="714"/>
      <c r="I60" s="715"/>
      <c r="J60" s="374"/>
      <c r="K60" s="374"/>
      <c r="L60" s="374"/>
      <c r="M60" s="375"/>
      <c r="N60" s="375"/>
      <c r="O60" s="342"/>
      <c r="P60" s="342"/>
      <c r="Q60" s="342"/>
      <c r="R60" s="342"/>
    </row>
    <row r="61" spans="2:18" s="322" customFormat="1" ht="30.75" customHeight="1">
      <c r="B61" s="713">
        <f>+'Análisis Técnico'!G90</f>
        <v>0</v>
      </c>
      <c r="C61" s="714"/>
      <c r="D61" s="714"/>
      <c r="E61" s="714"/>
      <c r="F61" s="714"/>
      <c r="G61" s="714"/>
      <c r="H61" s="714"/>
      <c r="I61" s="715"/>
      <c r="J61" s="374"/>
      <c r="K61" s="374"/>
      <c r="L61" s="374"/>
      <c r="M61" s="375"/>
      <c r="N61" s="375"/>
      <c r="O61" s="342"/>
      <c r="P61" s="342"/>
      <c r="Q61" s="342"/>
      <c r="R61" s="342"/>
    </row>
    <row r="62" spans="2:18" s="322" customFormat="1" ht="30.75" customHeight="1">
      <c r="B62" s="713">
        <f>+'Análisis Técnico'!G91</f>
        <v>0</v>
      </c>
      <c r="C62" s="714"/>
      <c r="D62" s="714"/>
      <c r="E62" s="714"/>
      <c r="F62" s="714"/>
      <c r="G62" s="714"/>
      <c r="H62" s="714"/>
      <c r="I62" s="715"/>
      <c r="J62" s="374"/>
      <c r="K62" s="374"/>
      <c r="L62" s="374"/>
      <c r="M62" s="375"/>
      <c r="N62" s="375"/>
      <c r="O62" s="342"/>
      <c r="Q62" s="342"/>
      <c r="R62" s="342"/>
    </row>
    <row r="63" spans="2:18" s="342" customFormat="1" ht="6" customHeight="1"/>
    <row r="64" spans="2:18" s="342" customFormat="1" ht="26.1" customHeight="1">
      <c r="B64" s="764" t="s">
        <v>4276</v>
      </c>
      <c r="C64" s="764"/>
      <c r="D64" s="764"/>
      <c r="E64" s="764"/>
      <c r="F64" s="764"/>
      <c r="G64" s="764"/>
      <c r="H64" s="764"/>
      <c r="I64" s="764"/>
      <c r="J64" s="764"/>
      <c r="K64" s="764"/>
      <c r="L64" s="765"/>
      <c r="M64" s="772">
        <f>+SUM(N47:N62)+M40+M32+M25+SUM(O11:O19)+M33</f>
        <v>0</v>
      </c>
      <c r="N64" s="772"/>
    </row>
    <row r="65" spans="2:8" s="342" customFormat="1">
      <c r="B65" s="343"/>
      <c r="C65" s="343"/>
      <c r="D65" s="343"/>
      <c r="E65" s="343"/>
      <c r="F65" s="343"/>
      <c r="G65" s="343"/>
      <c r="H65" s="343"/>
    </row>
    <row r="66" spans="2:8" s="342" customFormat="1" ht="18.75" customHeight="1">
      <c r="B66" s="344" t="s">
        <v>4277</v>
      </c>
      <c r="C66" s="343"/>
      <c r="D66" s="343"/>
      <c r="E66" s="343"/>
      <c r="F66" s="343"/>
      <c r="G66" s="343"/>
      <c r="H66" s="343"/>
    </row>
    <row r="67" spans="2:8" s="342" customFormat="1"/>
    <row r="68" spans="2:8" s="342" customFormat="1" ht="39" customHeight="1">
      <c r="B68" s="728" t="s">
        <v>144</v>
      </c>
      <c r="C68" s="728"/>
      <c r="D68" s="728"/>
      <c r="E68" s="671" t="s">
        <v>145</v>
      </c>
      <c r="F68" s="671"/>
      <c r="G68" s="671" t="s">
        <v>4275</v>
      </c>
      <c r="H68" s="671"/>
    </row>
    <row r="69" spans="2:8" s="342" customFormat="1" ht="6.6" customHeight="1"/>
    <row r="70" spans="2:8" s="342" customFormat="1" ht="33.950000000000003" customHeight="1">
      <c r="B70" s="768" t="s">
        <v>146</v>
      </c>
      <c r="C70" s="768"/>
      <c r="D70" s="768"/>
      <c r="E70" s="766"/>
      <c r="F70" s="767"/>
      <c r="G70" s="762" t="str">
        <f>IF($M$64&gt;0,+E70/$M$64,"")</f>
        <v/>
      </c>
      <c r="H70" s="763"/>
    </row>
    <row r="71" spans="2:8" s="342" customFormat="1" ht="33.950000000000003" customHeight="1">
      <c r="B71" s="735" t="s">
        <v>147</v>
      </c>
      <c r="C71" s="735"/>
      <c r="D71" s="735"/>
      <c r="E71" s="766"/>
      <c r="F71" s="767"/>
      <c r="G71" s="762" t="str">
        <f t="shared" ref="G71:G74" si="1">IF($M$64&gt;0,+E71/$M$64,"")</f>
        <v/>
      </c>
      <c r="H71" s="763"/>
    </row>
    <row r="72" spans="2:8" s="342" customFormat="1" ht="33.950000000000003" customHeight="1">
      <c r="B72" s="768" t="s">
        <v>148</v>
      </c>
      <c r="C72" s="768"/>
      <c r="D72" s="768"/>
      <c r="E72" s="766"/>
      <c r="F72" s="767"/>
      <c r="G72" s="762" t="str">
        <f t="shared" si="1"/>
        <v/>
      </c>
      <c r="H72" s="763"/>
    </row>
    <row r="73" spans="2:8" s="342" customFormat="1" ht="33.950000000000003" customHeight="1">
      <c r="B73" s="768" t="s">
        <v>149</v>
      </c>
      <c r="C73" s="768"/>
      <c r="D73" s="768"/>
      <c r="E73" s="766"/>
      <c r="F73" s="767"/>
      <c r="G73" s="762" t="str">
        <f t="shared" si="1"/>
        <v/>
      </c>
      <c r="H73" s="763"/>
    </row>
    <row r="74" spans="2:8" s="342" customFormat="1" ht="33.950000000000003" customHeight="1">
      <c r="B74" s="768" t="s">
        <v>4274</v>
      </c>
      <c r="C74" s="768"/>
      <c r="D74" s="768"/>
      <c r="E74" s="766"/>
      <c r="F74" s="767"/>
      <c r="G74" s="762" t="str">
        <f t="shared" si="1"/>
        <v/>
      </c>
      <c r="H74" s="763"/>
    </row>
    <row r="75" spans="2:8" s="342" customFormat="1"/>
    <row r="76" spans="2:8" s="342" customFormat="1" ht="30.6" customHeight="1">
      <c r="B76" s="758" t="s">
        <v>150</v>
      </c>
      <c r="C76" s="758"/>
      <c r="D76" s="759"/>
      <c r="E76" s="769">
        <f>SUM(E70:F74)</f>
        <v>0</v>
      </c>
      <c r="F76" s="761"/>
    </row>
    <row r="77" spans="2:8" s="342" customFormat="1"/>
    <row r="78" spans="2:8" s="342" customFormat="1" ht="30.6" customHeight="1">
      <c r="B78" s="758" t="s">
        <v>151</v>
      </c>
      <c r="C78" s="758"/>
      <c r="D78" s="759"/>
      <c r="E78" s="760">
        <f>+E76+M64</f>
        <v>0</v>
      </c>
      <c r="F78" s="761"/>
      <c r="G78" s="345"/>
    </row>
    <row r="79" spans="2:8" s="342" customFormat="1"/>
    <row r="80" spans="2:8" s="342" customFormat="1"/>
    <row r="81" spans="2:15" s="13" customFormat="1" ht="18.95" customHeight="1">
      <c r="B81" s="21" t="s">
        <v>152</v>
      </c>
      <c r="C81" s="22"/>
      <c r="D81" s="23"/>
      <c r="E81" s="23"/>
      <c r="F81" s="23"/>
      <c r="G81" s="79"/>
      <c r="H81" s="23"/>
      <c r="I81" s="23"/>
      <c r="J81" s="23"/>
      <c r="K81" s="23"/>
      <c r="L81" s="24"/>
      <c r="M81" s="24"/>
      <c r="N81" s="24"/>
      <c r="O81" s="24"/>
    </row>
    <row r="82" spans="2:15" s="322" customFormat="1" ht="15.75">
      <c r="B82" s="336"/>
      <c r="C82" s="336"/>
      <c r="D82" s="336"/>
      <c r="E82" s="336"/>
      <c r="F82" s="336"/>
    </row>
    <row r="83" spans="2:15" s="346" customFormat="1" ht="17.45" customHeight="1">
      <c r="B83" s="728" t="s">
        <v>153</v>
      </c>
      <c r="C83" s="728"/>
      <c r="D83" s="728" t="s">
        <v>95</v>
      </c>
      <c r="E83" s="728" t="s">
        <v>135</v>
      </c>
      <c r="F83" s="671" t="s">
        <v>154</v>
      </c>
      <c r="G83" s="671"/>
      <c r="H83" s="671"/>
      <c r="I83" s="671"/>
      <c r="J83" s="671"/>
      <c r="K83" s="671"/>
      <c r="L83" s="671"/>
      <c r="M83" s="671"/>
      <c r="N83" s="671"/>
      <c r="O83" s="671"/>
    </row>
    <row r="84" spans="2:15" s="346" customFormat="1" ht="33.950000000000003" customHeight="1">
      <c r="B84" s="728"/>
      <c r="C84" s="728"/>
      <c r="D84" s="728"/>
      <c r="E84" s="728"/>
      <c r="F84" s="81" t="str">
        <f>+Brecha!E13</f>
        <v/>
      </c>
      <c r="G84" s="81" t="str">
        <f>+Brecha!F13</f>
        <v/>
      </c>
      <c r="H84" s="81" t="str">
        <f>+Brecha!G13</f>
        <v/>
      </c>
      <c r="I84" s="81" t="str">
        <f>+Brecha!H13</f>
        <v/>
      </c>
      <c r="J84" s="81" t="str">
        <f>+Brecha!I13</f>
        <v/>
      </c>
      <c r="K84" s="81" t="str">
        <f>+Brecha!J13</f>
        <v/>
      </c>
      <c r="L84" s="81" t="str">
        <f>+Brecha!K13</f>
        <v/>
      </c>
      <c r="M84" s="81" t="str">
        <f>+Brecha!L13</f>
        <v/>
      </c>
      <c r="N84" s="81" t="str">
        <f>+Brecha!M13</f>
        <v/>
      </c>
      <c r="O84" s="81" t="str">
        <f>+Brecha!N13</f>
        <v/>
      </c>
    </row>
    <row r="85" spans="2:15" s="342" customFormat="1" ht="5.0999999999999996" customHeight="1">
      <c r="B85" s="347"/>
      <c r="C85" s="347"/>
      <c r="D85" s="347"/>
      <c r="E85" s="347"/>
      <c r="F85" s="347"/>
      <c r="G85" s="347"/>
      <c r="H85" s="347"/>
      <c r="I85" s="347"/>
      <c r="J85" s="347"/>
      <c r="K85" s="347"/>
      <c r="L85" s="347"/>
      <c r="M85" s="347"/>
      <c r="N85" s="347"/>
    </row>
    <row r="86" spans="2:15" s="342" customFormat="1" ht="39" customHeight="1">
      <c r="B86" s="756"/>
      <c r="C86" s="756"/>
      <c r="D86" s="404"/>
      <c r="E86" s="403"/>
      <c r="F86" s="371"/>
      <c r="G86" s="371"/>
      <c r="H86" s="371"/>
      <c r="I86" s="371"/>
      <c r="J86" s="371"/>
      <c r="K86" s="371"/>
      <c r="L86" s="371"/>
      <c r="M86" s="371"/>
      <c r="N86" s="371"/>
      <c r="O86" s="371"/>
    </row>
    <row r="87" spans="2:15" s="342" customFormat="1" ht="39" customHeight="1">
      <c r="B87" s="756"/>
      <c r="C87" s="756"/>
      <c r="D87" s="404"/>
      <c r="E87" s="402"/>
      <c r="F87" s="371"/>
      <c r="G87" s="371"/>
      <c r="H87" s="371"/>
      <c r="I87" s="371"/>
      <c r="J87" s="371"/>
      <c r="K87" s="371"/>
      <c r="L87" s="371"/>
      <c r="M87" s="371"/>
      <c r="N87" s="371"/>
      <c r="O87" s="371"/>
    </row>
    <row r="88" spans="2:15" s="342" customFormat="1" ht="39" customHeight="1">
      <c r="B88" s="757"/>
      <c r="C88" s="757"/>
      <c r="D88" s="404"/>
      <c r="E88" s="402"/>
      <c r="F88" s="371"/>
      <c r="G88" s="371"/>
      <c r="H88" s="371"/>
      <c r="I88" s="371"/>
      <c r="J88" s="371"/>
      <c r="K88" s="371"/>
      <c r="L88" s="371"/>
      <c r="M88" s="371"/>
      <c r="N88" s="371"/>
      <c r="O88" s="371"/>
    </row>
    <row r="89" spans="2:15" s="342" customFormat="1" ht="39" customHeight="1">
      <c r="B89" s="757"/>
      <c r="C89" s="757"/>
      <c r="D89" s="404"/>
      <c r="E89" s="402"/>
      <c r="F89" s="371"/>
      <c r="G89" s="371"/>
      <c r="H89" s="371"/>
      <c r="I89" s="371"/>
      <c r="J89" s="371"/>
      <c r="K89" s="371"/>
      <c r="L89" s="371"/>
      <c r="M89" s="371"/>
      <c r="N89" s="371"/>
      <c r="O89" s="371"/>
    </row>
    <row r="90" spans="2:15" s="342" customFormat="1" ht="39" customHeight="1">
      <c r="B90" s="757"/>
      <c r="C90" s="757"/>
      <c r="D90" s="404"/>
      <c r="E90" s="402"/>
      <c r="F90" s="371"/>
      <c r="G90" s="371"/>
      <c r="H90" s="371"/>
      <c r="I90" s="371"/>
      <c r="J90" s="371"/>
      <c r="K90" s="371"/>
      <c r="L90" s="371"/>
      <c r="M90" s="371"/>
      <c r="N90" s="371"/>
      <c r="O90" s="371"/>
    </row>
    <row r="91" spans="2:15" s="342" customFormat="1" ht="39" customHeight="1">
      <c r="B91" s="757"/>
      <c r="C91" s="757"/>
      <c r="D91" s="404"/>
      <c r="E91" s="402"/>
      <c r="F91" s="371"/>
      <c r="G91" s="371"/>
      <c r="H91" s="371"/>
      <c r="I91" s="371"/>
      <c r="J91" s="371"/>
      <c r="K91" s="371"/>
      <c r="L91" s="371"/>
      <c r="M91" s="371"/>
      <c r="N91" s="371"/>
      <c r="O91" s="371"/>
    </row>
    <row r="92" spans="2:15" s="342" customFormat="1" ht="39" customHeight="1">
      <c r="B92" s="757"/>
      <c r="C92" s="757"/>
      <c r="D92" s="404"/>
      <c r="E92" s="402"/>
      <c r="F92" s="371"/>
      <c r="G92" s="371"/>
      <c r="H92" s="371"/>
      <c r="I92" s="371"/>
      <c r="J92" s="371"/>
      <c r="K92" s="371"/>
      <c r="L92" s="371"/>
      <c r="M92" s="371"/>
      <c r="N92" s="371"/>
      <c r="O92" s="371"/>
    </row>
    <row r="93" spans="2:15" s="342" customFormat="1" ht="39" customHeight="1">
      <c r="B93" s="757"/>
      <c r="C93" s="757"/>
      <c r="D93" s="404"/>
      <c r="E93" s="402"/>
      <c r="F93" s="371"/>
      <c r="G93" s="371"/>
      <c r="H93" s="371"/>
      <c r="I93" s="371"/>
      <c r="J93" s="371"/>
      <c r="K93" s="371"/>
      <c r="L93" s="371"/>
      <c r="M93" s="371"/>
      <c r="N93" s="371"/>
      <c r="O93" s="371"/>
    </row>
    <row r="94" spans="2:15" s="342" customFormat="1" ht="15.75">
      <c r="C94" s="314"/>
      <c r="E94" s="348"/>
      <c r="F94" s="331"/>
      <c r="G94" s="349"/>
      <c r="H94" s="331"/>
    </row>
    <row r="95" spans="2:15" s="13" customFormat="1" ht="18.95" customHeight="1">
      <c r="B95" s="21" t="s">
        <v>155</v>
      </c>
      <c r="C95" s="22"/>
      <c r="D95" s="23"/>
      <c r="E95" s="23"/>
      <c r="F95" s="23"/>
      <c r="G95" s="79"/>
      <c r="H95" s="23"/>
      <c r="I95" s="23"/>
      <c r="J95" s="23"/>
      <c r="K95" s="23"/>
      <c r="L95" s="24"/>
      <c r="M95" s="24"/>
      <c r="N95" s="24"/>
      <c r="O95" s="24"/>
    </row>
    <row r="96" spans="2:15" s="322" customFormat="1" ht="15.75">
      <c r="B96" s="336"/>
      <c r="C96" s="336"/>
      <c r="D96" s="336"/>
      <c r="E96" s="336"/>
      <c r="F96" s="336"/>
    </row>
    <row r="97" spans="2:20" s="342" customFormat="1">
      <c r="B97" s="746" t="s">
        <v>156</v>
      </c>
      <c r="C97" s="746"/>
      <c r="D97" s="746"/>
      <c r="E97" s="746"/>
      <c r="F97" s="746"/>
      <c r="G97" s="750">
        <f>+Horizonte!I18</f>
        <v>0</v>
      </c>
      <c r="H97" s="751"/>
    </row>
    <row r="98" spans="2:20" s="342" customFormat="1">
      <c r="B98" s="746" t="s">
        <v>157</v>
      </c>
      <c r="C98" s="746"/>
      <c r="D98" s="746"/>
      <c r="E98" s="746"/>
      <c r="F98" s="747"/>
      <c r="G98" s="748">
        <v>10</v>
      </c>
      <c r="H98" s="749"/>
    </row>
    <row r="99" spans="2:20" s="342" customFormat="1" ht="18" customHeight="1">
      <c r="C99" s="343"/>
      <c r="D99" s="343"/>
      <c r="E99" s="343"/>
      <c r="F99" s="343"/>
      <c r="G99" s="343"/>
      <c r="H99" s="343"/>
      <c r="I99" s="343"/>
    </row>
    <row r="100" spans="2:20" s="13" customFormat="1" ht="18" customHeight="1">
      <c r="B100" s="15" t="s">
        <v>4279</v>
      </c>
      <c r="H100" s="17"/>
      <c r="J100" s="15" t="s">
        <v>4281</v>
      </c>
      <c r="P100" s="17"/>
    </row>
    <row r="101" spans="2:20" s="13" customFormat="1" ht="18" customHeight="1">
      <c r="B101" s="535" t="s">
        <v>4134</v>
      </c>
      <c r="C101" s="536"/>
      <c r="D101" s="536"/>
      <c r="E101" s="537"/>
      <c r="F101" s="511" t="s">
        <v>4147</v>
      </c>
      <c r="G101" s="511"/>
      <c r="H101" s="511"/>
      <c r="J101" s="535" t="s">
        <v>4134</v>
      </c>
      <c r="K101" s="536"/>
      <c r="L101" s="536"/>
      <c r="M101" s="537"/>
      <c r="N101" s="511" t="s">
        <v>4147</v>
      </c>
      <c r="O101" s="511"/>
      <c r="P101" s="511"/>
    </row>
    <row r="102" spans="2:20" s="13" customFormat="1" ht="18" customHeight="1">
      <c r="B102" s="538"/>
      <c r="C102" s="539"/>
      <c r="D102" s="539"/>
      <c r="E102" s="540"/>
      <c r="F102" s="223" t="s">
        <v>135</v>
      </c>
      <c r="G102" s="223" t="s">
        <v>4135</v>
      </c>
      <c r="H102" s="223" t="s">
        <v>177</v>
      </c>
      <c r="J102" s="538"/>
      <c r="K102" s="539"/>
      <c r="L102" s="539"/>
      <c r="M102" s="540"/>
      <c r="N102" s="223" t="s">
        <v>135</v>
      </c>
      <c r="O102" s="223" t="s">
        <v>4135</v>
      </c>
      <c r="P102" s="223" t="s">
        <v>177</v>
      </c>
    </row>
    <row r="103" spans="2:20" s="13" customFormat="1" ht="18" customHeight="1">
      <c r="B103" s="13" t="s">
        <v>4148</v>
      </c>
      <c r="J103" s="13" t="s">
        <v>4148</v>
      </c>
    </row>
    <row r="104" spans="2:20" s="13" customFormat="1" ht="18" customHeight="1">
      <c r="B104" s="532" t="s">
        <v>4136</v>
      </c>
      <c r="C104" s="533"/>
      <c r="D104" s="533"/>
      <c r="E104" s="534"/>
      <c r="F104" s="350">
        <f>+'Unidad Productora'!F94</f>
        <v>0</v>
      </c>
      <c r="G104" s="225">
        <f>+'Unidad Productora'!G94</f>
        <v>0</v>
      </c>
      <c r="H104" s="225"/>
      <c r="J104" s="532" t="s">
        <v>4136</v>
      </c>
      <c r="K104" s="533"/>
      <c r="L104" s="533"/>
      <c r="M104" s="534"/>
      <c r="N104" s="406"/>
      <c r="O104" s="407"/>
      <c r="P104" s="351"/>
    </row>
    <row r="105" spans="2:20" s="13" customFormat="1" ht="18" customHeight="1">
      <c r="B105" s="541" t="s">
        <v>4137</v>
      </c>
      <c r="C105" s="542"/>
      <c r="D105" s="542"/>
      <c r="E105" s="543"/>
      <c r="F105" s="350">
        <f>+'Unidad Productora'!F95</f>
        <v>0</v>
      </c>
      <c r="G105" s="225">
        <f>+'Unidad Productora'!G95</f>
        <v>0</v>
      </c>
      <c r="H105" s="225">
        <f>+'Unidad Productora'!H95</f>
        <v>0</v>
      </c>
      <c r="J105" s="541" t="s">
        <v>4137</v>
      </c>
      <c r="K105" s="542"/>
      <c r="L105" s="542"/>
      <c r="M105" s="543"/>
      <c r="N105" s="376"/>
      <c r="O105" s="377"/>
      <c r="P105" s="351">
        <f>+O105*N105</f>
        <v>0</v>
      </c>
    </row>
    <row r="106" spans="2:20" s="13" customFormat="1" ht="18" customHeight="1">
      <c r="B106" s="541" t="s">
        <v>4138</v>
      </c>
      <c r="C106" s="542"/>
      <c r="D106" s="542"/>
      <c r="E106" s="543"/>
      <c r="F106" s="350">
        <f>+'Unidad Productora'!F96</f>
        <v>0</v>
      </c>
      <c r="G106" s="225">
        <f>+'Unidad Productora'!G96</f>
        <v>0</v>
      </c>
      <c r="H106" s="225">
        <f>+'Unidad Productora'!H96</f>
        <v>0</v>
      </c>
      <c r="J106" s="541" t="s">
        <v>4138</v>
      </c>
      <c r="K106" s="542"/>
      <c r="L106" s="542"/>
      <c r="M106" s="543"/>
      <c r="N106" s="376"/>
      <c r="O106" s="377"/>
      <c r="P106" s="351">
        <f t="shared" ref="P106:P121" si="2">+O106*N106</f>
        <v>0</v>
      </c>
    </row>
    <row r="107" spans="2:20" s="13" customFormat="1" ht="18" customHeight="1">
      <c r="B107" s="541" t="s">
        <v>4139</v>
      </c>
      <c r="C107" s="542"/>
      <c r="D107" s="542"/>
      <c r="E107" s="543"/>
      <c r="F107" s="350">
        <f>+'Unidad Productora'!F97</f>
        <v>0</v>
      </c>
      <c r="G107" s="225">
        <f>+'Unidad Productora'!G97</f>
        <v>0</v>
      </c>
      <c r="H107" s="225">
        <f>+'Unidad Productora'!H97</f>
        <v>0</v>
      </c>
      <c r="J107" s="541" t="s">
        <v>4139</v>
      </c>
      <c r="K107" s="542"/>
      <c r="L107" s="542"/>
      <c r="M107" s="543"/>
      <c r="N107" s="376"/>
      <c r="O107" s="377"/>
      <c r="P107" s="351">
        <f t="shared" si="2"/>
        <v>0</v>
      </c>
    </row>
    <row r="108" spans="2:20" s="13" customFormat="1" ht="18" customHeight="1">
      <c r="B108" s="541" t="s">
        <v>4140</v>
      </c>
      <c r="C108" s="542"/>
      <c r="D108" s="542"/>
      <c r="E108" s="543"/>
      <c r="F108" s="350">
        <f>+'Unidad Productora'!F98</f>
        <v>0</v>
      </c>
      <c r="G108" s="225">
        <f>+'Unidad Productora'!G98</f>
        <v>0</v>
      </c>
      <c r="H108" s="225">
        <f>+'Unidad Productora'!H98</f>
        <v>0</v>
      </c>
      <c r="J108" s="541" t="s">
        <v>4140</v>
      </c>
      <c r="K108" s="542"/>
      <c r="L108" s="542"/>
      <c r="M108" s="543"/>
      <c r="N108" s="376"/>
      <c r="O108" s="377"/>
      <c r="P108" s="351">
        <f t="shared" si="2"/>
        <v>0</v>
      </c>
      <c r="R108" s="352"/>
      <c r="S108" s="353"/>
      <c r="T108" s="352"/>
    </row>
    <row r="109" spans="2:20" s="13" customFormat="1" ht="18" customHeight="1">
      <c r="B109" s="541" t="s">
        <v>4141</v>
      </c>
      <c r="C109" s="542"/>
      <c r="D109" s="542"/>
      <c r="E109" s="543"/>
      <c r="F109" s="350">
        <f>+'Unidad Productora'!F99</f>
        <v>0</v>
      </c>
      <c r="G109" s="225">
        <f>+'Unidad Productora'!G99</f>
        <v>0</v>
      </c>
      <c r="H109" s="225">
        <f>+'Unidad Productora'!H99</f>
        <v>0</v>
      </c>
      <c r="J109" s="541" t="s">
        <v>4141</v>
      </c>
      <c r="K109" s="542"/>
      <c r="L109" s="542"/>
      <c r="M109" s="543"/>
      <c r="N109" s="376"/>
      <c r="O109" s="377"/>
      <c r="P109" s="351">
        <f t="shared" si="2"/>
        <v>0</v>
      </c>
    </row>
    <row r="110" spans="2:20" s="13" customFormat="1" ht="18" customHeight="1">
      <c r="B110" s="541" t="s">
        <v>4142</v>
      </c>
      <c r="C110" s="542"/>
      <c r="D110" s="542"/>
      <c r="E110" s="543"/>
      <c r="F110" s="350">
        <f>+'Unidad Productora'!F100</f>
        <v>0</v>
      </c>
      <c r="G110" s="225">
        <f>+'Unidad Productora'!G100</f>
        <v>0</v>
      </c>
      <c r="H110" s="225">
        <f>+'Unidad Productora'!H100</f>
        <v>0</v>
      </c>
      <c r="J110" s="541" t="s">
        <v>4142</v>
      </c>
      <c r="K110" s="542"/>
      <c r="L110" s="542"/>
      <c r="M110" s="543"/>
      <c r="N110" s="376"/>
      <c r="O110" s="377"/>
      <c r="P110" s="351">
        <f t="shared" si="2"/>
        <v>0</v>
      </c>
    </row>
    <row r="111" spans="2:20" s="13" customFormat="1" ht="18" customHeight="1">
      <c r="B111" s="532" t="s">
        <v>4143</v>
      </c>
      <c r="C111" s="533"/>
      <c r="D111" s="533"/>
      <c r="E111" s="534"/>
      <c r="F111" s="350">
        <f>+'Unidad Productora'!F101</f>
        <v>0</v>
      </c>
      <c r="G111" s="225">
        <f>+'Unidad Productora'!G101</f>
        <v>0</v>
      </c>
      <c r="H111" s="225">
        <f>+'Unidad Productora'!H101</f>
        <v>0</v>
      </c>
      <c r="J111" s="532" t="s">
        <v>4143</v>
      </c>
      <c r="K111" s="533"/>
      <c r="L111" s="533"/>
      <c r="M111" s="534"/>
      <c r="N111" s="376"/>
      <c r="O111" s="377"/>
      <c r="P111" s="351">
        <f t="shared" si="2"/>
        <v>0</v>
      </c>
    </row>
    <row r="112" spans="2:20" s="13" customFormat="1" ht="18" customHeight="1">
      <c r="B112" s="541" t="s">
        <v>4144</v>
      </c>
      <c r="C112" s="542"/>
      <c r="D112" s="542"/>
      <c r="E112" s="543"/>
      <c r="F112" s="350">
        <f>+'Unidad Productora'!F102</f>
        <v>0</v>
      </c>
      <c r="G112" s="225">
        <f>+'Unidad Productora'!G102</f>
        <v>0</v>
      </c>
      <c r="H112" s="225">
        <f>+'Unidad Productora'!H102</f>
        <v>0</v>
      </c>
      <c r="J112" s="541" t="s">
        <v>4144</v>
      </c>
      <c r="K112" s="542"/>
      <c r="L112" s="542"/>
      <c r="M112" s="543"/>
      <c r="N112" s="376"/>
      <c r="O112" s="377"/>
      <c r="P112" s="351">
        <f t="shared" si="2"/>
        <v>0</v>
      </c>
    </row>
    <row r="113" spans="2:16" s="13" customFormat="1" ht="18" customHeight="1">
      <c r="B113" s="541" t="s">
        <v>4145</v>
      </c>
      <c r="C113" s="542"/>
      <c r="D113" s="542"/>
      <c r="E113" s="543"/>
      <c r="F113" s="350">
        <f>+'Unidad Productora'!F103</f>
        <v>0</v>
      </c>
      <c r="G113" s="225">
        <f>+'Unidad Productora'!G103</f>
        <v>0</v>
      </c>
      <c r="H113" s="225">
        <f>+'Unidad Productora'!H103</f>
        <v>0</v>
      </c>
      <c r="J113" s="541" t="s">
        <v>4145</v>
      </c>
      <c r="K113" s="542"/>
      <c r="L113" s="542"/>
      <c r="M113" s="543"/>
      <c r="N113" s="376"/>
      <c r="O113" s="377"/>
      <c r="P113" s="351">
        <f t="shared" si="2"/>
        <v>0</v>
      </c>
    </row>
    <row r="114" spans="2:16" s="13" customFormat="1" ht="18" customHeight="1">
      <c r="B114" s="541" t="s">
        <v>4146</v>
      </c>
      <c r="C114" s="542"/>
      <c r="D114" s="542"/>
      <c r="E114" s="543"/>
      <c r="F114" s="350">
        <f>+'Unidad Productora'!F104</f>
        <v>0</v>
      </c>
      <c r="G114" s="225">
        <f>+'Unidad Productora'!G104</f>
        <v>0</v>
      </c>
      <c r="H114" s="225">
        <f>+'Unidad Productora'!H104</f>
        <v>0</v>
      </c>
      <c r="J114" s="541" t="s">
        <v>4146</v>
      </c>
      <c r="K114" s="542"/>
      <c r="L114" s="542"/>
      <c r="M114" s="543"/>
      <c r="N114" s="376"/>
      <c r="O114" s="377"/>
      <c r="P114" s="351">
        <f t="shared" si="2"/>
        <v>0</v>
      </c>
    </row>
    <row r="115" spans="2:16" s="13" customFormat="1" ht="18" customHeight="1">
      <c r="B115" s="13" t="s">
        <v>4278</v>
      </c>
      <c r="G115" s="354"/>
      <c r="H115" s="354"/>
      <c r="J115" s="13" t="s">
        <v>4278</v>
      </c>
      <c r="O115" s="354"/>
      <c r="P115" s="354"/>
    </row>
    <row r="116" spans="2:16" s="13" customFormat="1" ht="18" customHeight="1">
      <c r="B116" s="532" t="s">
        <v>4149</v>
      </c>
      <c r="C116" s="533"/>
      <c r="D116" s="533"/>
      <c r="E116" s="534"/>
      <c r="F116" s="350">
        <f>+'Unidad Productora'!F110</f>
        <v>0</v>
      </c>
      <c r="G116" s="225">
        <f>+'Unidad Productora'!G110</f>
        <v>0</v>
      </c>
      <c r="H116" s="225"/>
      <c r="J116" s="532" t="s">
        <v>4149</v>
      </c>
      <c r="K116" s="533"/>
      <c r="L116" s="533"/>
      <c r="M116" s="534"/>
      <c r="N116" s="406"/>
      <c r="O116" s="407"/>
      <c r="P116" s="351"/>
    </row>
    <row r="117" spans="2:16" s="13" customFormat="1" ht="18" customHeight="1">
      <c r="B117" s="541" t="s">
        <v>4150</v>
      </c>
      <c r="C117" s="542"/>
      <c r="D117" s="542"/>
      <c r="E117" s="543"/>
      <c r="F117" s="350">
        <f>+'Unidad Productora'!F111</f>
        <v>0</v>
      </c>
      <c r="G117" s="225">
        <f>+'Unidad Productora'!G111</f>
        <v>0</v>
      </c>
      <c r="H117" s="225">
        <f>+'Unidad Productora'!H111</f>
        <v>0</v>
      </c>
      <c r="J117" s="541" t="s">
        <v>4150</v>
      </c>
      <c r="K117" s="542"/>
      <c r="L117" s="542"/>
      <c r="M117" s="543"/>
      <c r="N117" s="376"/>
      <c r="O117" s="377"/>
      <c r="P117" s="351">
        <f t="shared" si="2"/>
        <v>0</v>
      </c>
    </row>
    <row r="118" spans="2:16" s="13" customFormat="1" ht="18" customHeight="1">
      <c r="B118" s="541" t="s">
        <v>4151</v>
      </c>
      <c r="C118" s="542"/>
      <c r="D118" s="542"/>
      <c r="E118" s="543"/>
      <c r="F118" s="350">
        <f>+'Unidad Productora'!F112</f>
        <v>0</v>
      </c>
      <c r="G118" s="225">
        <f>+'Unidad Productora'!G112</f>
        <v>0</v>
      </c>
      <c r="H118" s="225">
        <f>+'Unidad Productora'!H112</f>
        <v>0</v>
      </c>
      <c r="J118" s="541" t="s">
        <v>4151</v>
      </c>
      <c r="K118" s="542"/>
      <c r="L118" s="542"/>
      <c r="M118" s="543"/>
      <c r="N118" s="376"/>
      <c r="O118" s="377"/>
      <c r="P118" s="351">
        <f t="shared" si="2"/>
        <v>0</v>
      </c>
    </row>
    <row r="119" spans="2:16" s="13" customFormat="1" ht="18" customHeight="1">
      <c r="B119" s="541" t="s">
        <v>4152</v>
      </c>
      <c r="C119" s="542"/>
      <c r="D119" s="542"/>
      <c r="E119" s="543"/>
      <c r="F119" s="350">
        <f>+'Unidad Productora'!F113</f>
        <v>0</v>
      </c>
      <c r="G119" s="225">
        <f>+'Unidad Productora'!G113</f>
        <v>0</v>
      </c>
      <c r="H119" s="225">
        <f>+'Unidad Productora'!H113</f>
        <v>0</v>
      </c>
      <c r="J119" s="541" t="s">
        <v>4152</v>
      </c>
      <c r="K119" s="542"/>
      <c r="L119" s="542"/>
      <c r="M119" s="543"/>
      <c r="N119" s="376"/>
      <c r="O119" s="377"/>
      <c r="P119" s="351">
        <f t="shared" si="2"/>
        <v>0</v>
      </c>
    </row>
    <row r="120" spans="2:16" s="13" customFormat="1" ht="18" customHeight="1">
      <c r="B120" s="541" t="s">
        <v>4153</v>
      </c>
      <c r="C120" s="542"/>
      <c r="D120" s="542"/>
      <c r="E120" s="543"/>
      <c r="F120" s="350">
        <f>+'Unidad Productora'!F114</f>
        <v>0</v>
      </c>
      <c r="G120" s="225">
        <f>+'Unidad Productora'!G114</f>
        <v>0</v>
      </c>
      <c r="H120" s="225">
        <f>+'Unidad Productora'!H114</f>
        <v>0</v>
      </c>
      <c r="J120" s="541" t="s">
        <v>4153</v>
      </c>
      <c r="K120" s="542"/>
      <c r="L120" s="542"/>
      <c r="M120" s="543"/>
      <c r="N120" s="376"/>
      <c r="O120" s="377"/>
      <c r="P120" s="351">
        <f t="shared" si="2"/>
        <v>0</v>
      </c>
    </row>
    <row r="121" spans="2:16" s="13" customFormat="1" ht="18" customHeight="1">
      <c r="B121" s="541" t="s">
        <v>4280</v>
      </c>
      <c r="C121" s="542"/>
      <c r="D121" s="542"/>
      <c r="E121" s="543"/>
      <c r="F121" s="350">
        <f>+'Unidad Productora'!F115</f>
        <v>0</v>
      </c>
      <c r="G121" s="225">
        <f>+'Unidad Productora'!G115</f>
        <v>0</v>
      </c>
      <c r="H121" s="355">
        <f>+'Unidad Productora'!H115</f>
        <v>0</v>
      </c>
      <c r="J121" s="541" t="s">
        <v>4280</v>
      </c>
      <c r="K121" s="542"/>
      <c r="L121" s="542"/>
      <c r="M121" s="543"/>
      <c r="N121" s="376"/>
      <c r="O121" s="377"/>
      <c r="P121" s="356">
        <f t="shared" si="2"/>
        <v>0</v>
      </c>
    </row>
    <row r="122" spans="2:16" s="13" customFormat="1" ht="18" customHeight="1">
      <c r="H122" s="357">
        <f>SUM(H105:H121)</f>
        <v>0</v>
      </c>
      <c r="I122" s="20"/>
      <c r="J122" s="20"/>
      <c r="K122" s="20"/>
      <c r="L122" s="20"/>
      <c r="M122" s="20"/>
      <c r="N122" s="20"/>
      <c r="O122" s="20"/>
      <c r="P122" s="357">
        <f>SUM(P105:P121)</f>
        <v>0</v>
      </c>
    </row>
    <row r="123" spans="2:16" s="13" customFormat="1" ht="18" customHeight="1"/>
    <row r="124" spans="2:16" s="13" customFormat="1" ht="18.95" customHeight="1">
      <c r="B124" s="21" t="s">
        <v>158</v>
      </c>
      <c r="C124" s="22"/>
      <c r="D124" s="23"/>
      <c r="E124" s="23"/>
      <c r="F124" s="23"/>
      <c r="G124" s="79"/>
      <c r="H124" s="23"/>
      <c r="I124" s="23"/>
      <c r="J124" s="23"/>
      <c r="K124" s="23"/>
      <c r="L124" s="24"/>
      <c r="M124" s="24"/>
      <c r="N124" s="24"/>
      <c r="O124" s="24"/>
    </row>
    <row r="125" spans="2:16" s="342" customFormat="1"/>
    <row r="126" spans="2:16" s="342" customFormat="1" ht="15.75">
      <c r="B126" s="358" t="s">
        <v>159</v>
      </c>
      <c r="F126" s="750">
        <f>+Horizonte!I12</f>
        <v>0</v>
      </c>
      <c r="G126" s="751"/>
      <c r="H126" s="346" t="s">
        <v>160</v>
      </c>
    </row>
    <row r="127" spans="2:16" s="342" customFormat="1">
      <c r="B127" s="358" t="s">
        <v>161</v>
      </c>
      <c r="F127" s="752" t="s">
        <v>4293</v>
      </c>
      <c r="G127" s="753"/>
    </row>
    <row r="128" spans="2:16" s="342" customFormat="1" ht="15.75">
      <c r="B128" s="358" t="s">
        <v>162</v>
      </c>
      <c r="F128" s="754"/>
      <c r="G128" s="755"/>
      <c r="H128" s="346" t="s">
        <v>163</v>
      </c>
    </row>
    <row r="129" spans="2:18" s="342" customFormat="1"/>
    <row r="130" spans="2:18" s="342" customFormat="1" ht="15" customHeight="1">
      <c r="B130" s="719" t="s">
        <v>4282</v>
      </c>
      <c r="C130" s="720"/>
      <c r="D130" s="720"/>
      <c r="E130" s="720"/>
      <c r="F130" s="721"/>
      <c r="G130" s="671" t="s">
        <v>131</v>
      </c>
      <c r="H130" s="671"/>
      <c r="I130" s="728" t="s">
        <v>4284</v>
      </c>
      <c r="J130" s="728"/>
      <c r="K130" s="728"/>
      <c r="L130" s="728"/>
      <c r="M130" s="728"/>
      <c r="N130" s="728"/>
      <c r="O130" s="728"/>
      <c r="P130" s="728"/>
      <c r="Q130" s="671" t="s">
        <v>164</v>
      </c>
      <c r="R130" s="671"/>
    </row>
    <row r="131" spans="2:18" s="342" customFormat="1" ht="27" customHeight="1">
      <c r="B131" s="722"/>
      <c r="C131" s="723"/>
      <c r="D131" s="723"/>
      <c r="E131" s="723"/>
      <c r="F131" s="724"/>
      <c r="G131" s="671"/>
      <c r="H131" s="671"/>
      <c r="I131" s="728" t="s">
        <v>4285</v>
      </c>
      <c r="J131" s="728" t="s">
        <v>4286</v>
      </c>
      <c r="K131" s="728" t="s">
        <v>4287</v>
      </c>
      <c r="L131" s="728" t="s">
        <v>4288</v>
      </c>
      <c r="M131" s="728" t="s">
        <v>4289</v>
      </c>
      <c r="N131" s="728" t="s">
        <v>4290</v>
      </c>
      <c r="O131" s="728" t="s">
        <v>4291</v>
      </c>
      <c r="P131" s="728" t="s">
        <v>4292</v>
      </c>
      <c r="Q131" s="671"/>
      <c r="R131" s="671"/>
    </row>
    <row r="132" spans="2:18" s="342" customFormat="1" ht="27.95" customHeight="1">
      <c r="B132" s="725"/>
      <c r="C132" s="726"/>
      <c r="D132" s="726"/>
      <c r="E132" s="726"/>
      <c r="F132" s="727"/>
      <c r="G132" s="671"/>
      <c r="H132" s="671"/>
      <c r="I132" s="728"/>
      <c r="J132" s="728"/>
      <c r="K132" s="728"/>
      <c r="L132" s="728"/>
      <c r="M132" s="728"/>
      <c r="N132" s="728"/>
      <c r="O132" s="728"/>
      <c r="P132" s="728"/>
      <c r="Q132" s="671"/>
      <c r="R132" s="671"/>
    </row>
    <row r="133" spans="2:18" s="342" customFormat="1" ht="8.1" customHeight="1"/>
    <row r="134" spans="2:18" s="322" customFormat="1" ht="15.95" customHeight="1">
      <c r="B134" s="709" t="s">
        <v>141</v>
      </c>
      <c r="C134" s="710"/>
      <c r="D134" s="710"/>
      <c r="E134" s="711"/>
      <c r="F134" s="712"/>
      <c r="G134" s="718"/>
      <c r="H134" s="712"/>
      <c r="I134" s="359"/>
      <c r="J134" s="359"/>
      <c r="K134" s="359"/>
      <c r="L134" s="359"/>
      <c r="M134" s="359"/>
      <c r="N134" s="359"/>
      <c r="O134" s="359"/>
      <c r="P134" s="359"/>
      <c r="Q134" s="718"/>
      <c r="R134" s="712"/>
    </row>
    <row r="135" spans="2:18" s="322" customFormat="1" ht="27.75" customHeight="1">
      <c r="B135" s="713" t="str">
        <f>+D6</f>
        <v/>
      </c>
      <c r="C135" s="714"/>
      <c r="D135" s="714"/>
      <c r="E135" s="714"/>
      <c r="F135" s="715"/>
      <c r="G135" s="718" t="s">
        <v>66</v>
      </c>
      <c r="H135" s="712"/>
      <c r="I135" s="375"/>
      <c r="J135" s="375"/>
      <c r="K135" s="375"/>
      <c r="L135" s="375"/>
      <c r="M135" s="375"/>
      <c r="N135" s="375"/>
      <c r="O135" s="375"/>
      <c r="P135" s="375"/>
      <c r="Q135" s="730">
        <f>+SUM(O11:O19)</f>
        <v>0</v>
      </c>
      <c r="R135" s="731"/>
    </row>
    <row r="136" spans="2:18" s="322" customFormat="1" ht="15.95" customHeight="1">
      <c r="B136" s="709" t="s">
        <v>142</v>
      </c>
      <c r="C136" s="710"/>
      <c r="D136" s="710"/>
      <c r="E136" s="711"/>
      <c r="F136" s="712"/>
      <c r="G136" s="718"/>
      <c r="H136" s="712"/>
      <c r="I136" s="359"/>
      <c r="J136" s="359"/>
      <c r="K136" s="359"/>
      <c r="L136" s="359"/>
      <c r="M136" s="359"/>
      <c r="N136" s="359"/>
      <c r="O136" s="359"/>
      <c r="P136" s="359"/>
      <c r="Q136" s="718"/>
      <c r="R136" s="712"/>
    </row>
    <row r="137" spans="2:18" s="322" customFormat="1" ht="27.75" customHeight="1">
      <c r="B137" s="713" t="str">
        <f>+D21</f>
        <v/>
      </c>
      <c r="C137" s="714"/>
      <c r="D137" s="714"/>
      <c r="E137" s="714"/>
      <c r="F137" s="715"/>
      <c r="G137" s="718" t="s">
        <v>68</v>
      </c>
      <c r="H137" s="712"/>
      <c r="I137" s="375"/>
      <c r="J137" s="375"/>
      <c r="K137" s="375"/>
      <c r="L137" s="375"/>
      <c r="M137" s="375"/>
      <c r="N137" s="375"/>
      <c r="O137" s="375"/>
      <c r="P137" s="375"/>
      <c r="Q137" s="730">
        <f>SUM(M25)</f>
        <v>0</v>
      </c>
      <c r="R137" s="731"/>
    </row>
    <row r="138" spans="2:18" s="322" customFormat="1" ht="15.95" customHeight="1">
      <c r="B138" s="709" t="s">
        <v>4272</v>
      </c>
      <c r="C138" s="710"/>
      <c r="D138" s="710"/>
      <c r="E138" s="711"/>
      <c r="F138" s="712"/>
      <c r="G138" s="718"/>
      <c r="H138" s="712"/>
      <c r="I138" s="359"/>
      <c r="J138" s="359"/>
      <c r="K138" s="359"/>
      <c r="L138" s="359"/>
      <c r="M138" s="359"/>
      <c r="N138" s="359"/>
      <c r="O138" s="359"/>
      <c r="P138" s="359"/>
      <c r="Q138" s="718"/>
      <c r="R138" s="712"/>
    </row>
    <row r="139" spans="2:18" s="322" customFormat="1" ht="27.75" customHeight="1">
      <c r="B139" s="713" t="str">
        <f>+D28</f>
        <v/>
      </c>
      <c r="C139" s="714"/>
      <c r="D139" s="714"/>
      <c r="E139" s="714"/>
      <c r="F139" s="715"/>
      <c r="G139" s="718" t="s">
        <v>137</v>
      </c>
      <c r="H139" s="712"/>
      <c r="I139" s="375"/>
      <c r="J139" s="375"/>
      <c r="K139" s="375"/>
      <c r="L139" s="375"/>
      <c r="M139" s="375"/>
      <c r="N139" s="375"/>
      <c r="O139" s="375"/>
      <c r="P139" s="375"/>
      <c r="Q139" s="730">
        <f>SUM(M32:N33)</f>
        <v>0</v>
      </c>
      <c r="R139" s="731"/>
    </row>
    <row r="140" spans="2:18" s="322" customFormat="1" ht="15.95" customHeight="1">
      <c r="B140" s="709" t="s">
        <v>4271</v>
      </c>
      <c r="C140" s="710"/>
      <c r="D140" s="710"/>
      <c r="E140" s="711"/>
      <c r="F140" s="712"/>
      <c r="G140" s="718"/>
      <c r="H140" s="712"/>
      <c r="I140" s="359"/>
      <c r="J140" s="359"/>
      <c r="K140" s="359"/>
      <c r="L140" s="359"/>
      <c r="M140" s="359"/>
      <c r="N140" s="359"/>
      <c r="O140" s="359"/>
      <c r="P140" s="359"/>
      <c r="Q140" s="729"/>
      <c r="R140" s="712"/>
    </row>
    <row r="141" spans="2:18" s="322" customFormat="1" ht="27.75" customHeight="1">
      <c r="B141" s="713" t="str">
        <f>+D36</f>
        <v/>
      </c>
      <c r="C141" s="714"/>
      <c r="D141" s="714"/>
      <c r="E141" s="714"/>
      <c r="F141" s="715"/>
      <c r="G141" s="718" t="s">
        <v>124</v>
      </c>
      <c r="H141" s="712"/>
      <c r="I141" s="375"/>
      <c r="J141" s="375"/>
      <c r="K141" s="375"/>
      <c r="L141" s="375"/>
      <c r="M141" s="375"/>
      <c r="N141" s="375"/>
      <c r="O141" s="375"/>
      <c r="P141" s="375"/>
      <c r="Q141" s="730">
        <f>SUM(M40)</f>
        <v>0</v>
      </c>
      <c r="R141" s="731"/>
    </row>
    <row r="142" spans="2:18" s="322" customFormat="1" ht="15.95" customHeight="1">
      <c r="B142" s="360" t="s">
        <v>143</v>
      </c>
      <c r="C142" s="340"/>
      <c r="D142" s="340"/>
      <c r="E142" s="340"/>
      <c r="F142" s="340"/>
      <c r="G142" s="340"/>
      <c r="H142" s="340"/>
      <c r="I142" s="359"/>
      <c r="J142" s="359"/>
      <c r="K142" s="359"/>
      <c r="L142" s="359"/>
      <c r="M142" s="359"/>
      <c r="N142" s="359"/>
      <c r="O142" s="359"/>
      <c r="P142" s="359"/>
      <c r="Q142" s="342"/>
      <c r="R142" s="342"/>
    </row>
    <row r="143" spans="2:18" s="322" customFormat="1" ht="30.75" customHeight="1" thickBot="1">
      <c r="B143" s="713" t="s">
        <v>4283</v>
      </c>
      <c r="C143" s="714"/>
      <c r="D143" s="714"/>
      <c r="E143" s="714"/>
      <c r="F143" s="715"/>
      <c r="G143" s="745"/>
      <c r="H143" s="745"/>
      <c r="I143" s="375"/>
      <c r="J143" s="375"/>
      <c r="K143" s="375"/>
      <c r="L143" s="375"/>
      <c r="M143" s="375"/>
      <c r="N143" s="375"/>
      <c r="O143" s="375"/>
      <c r="P143" s="375"/>
      <c r="Q143" s="730">
        <f>SUM(N47:N62)</f>
        <v>0</v>
      </c>
      <c r="R143" s="731"/>
    </row>
    <row r="144" spans="2:18" s="342" customFormat="1" ht="36.6" customHeight="1" thickBot="1">
      <c r="B144" s="739" t="s">
        <v>165</v>
      </c>
      <c r="C144" s="739"/>
      <c r="D144" s="739"/>
      <c r="E144" s="739"/>
      <c r="F144" s="739"/>
      <c r="G144" s="739"/>
      <c r="H144" s="739"/>
      <c r="I144" s="739"/>
      <c r="J144" s="739"/>
      <c r="K144" s="739"/>
      <c r="L144" s="739"/>
      <c r="M144" s="739"/>
      <c r="N144" s="739"/>
      <c r="O144" s="739"/>
      <c r="P144" s="740"/>
      <c r="Q144" s="741">
        <f>+Q135+Q137+Q139+Q141+Q143</f>
        <v>0</v>
      </c>
      <c r="R144" s="742"/>
    </row>
    <row r="145" spans="2:19" s="342" customFormat="1" ht="8.1" customHeight="1"/>
    <row r="146" spans="2:19" s="342" customFormat="1" ht="40.5" customHeight="1">
      <c r="B146" s="667" t="s">
        <v>144</v>
      </c>
      <c r="C146" s="669"/>
      <c r="D146" s="325" t="str">
        <f>+I131</f>
        <v>Tri 1</v>
      </c>
      <c r="E146" s="325" t="str">
        <f t="shared" ref="E146:K146" si="3">+J131</f>
        <v>Tri 2</v>
      </c>
      <c r="F146" s="325" t="str">
        <f t="shared" si="3"/>
        <v>Tri 3</v>
      </c>
      <c r="G146" s="325" t="str">
        <f t="shared" si="3"/>
        <v>Tri 4</v>
      </c>
      <c r="H146" s="325" t="str">
        <f t="shared" si="3"/>
        <v>Tri 5</v>
      </c>
      <c r="I146" s="325" t="str">
        <f t="shared" si="3"/>
        <v>Tri 6</v>
      </c>
      <c r="J146" s="325" t="str">
        <f t="shared" si="3"/>
        <v>Tri 7</v>
      </c>
      <c r="K146" s="325" t="str">
        <f t="shared" si="3"/>
        <v>Tri 8</v>
      </c>
      <c r="L146" s="743" t="s">
        <v>167</v>
      </c>
      <c r="M146" s="744"/>
    </row>
    <row r="147" spans="2:19" s="342" customFormat="1" ht="8.1" customHeight="1"/>
    <row r="148" spans="2:19" s="342" customFormat="1" ht="35.1" customHeight="1">
      <c r="B148" s="735" t="str">
        <f>+B70</f>
        <v>Gestión del proyecto</v>
      </c>
      <c r="C148" s="735"/>
      <c r="D148" s="375"/>
      <c r="E148" s="375"/>
      <c r="F148" s="375"/>
      <c r="G148" s="375"/>
      <c r="H148" s="375"/>
      <c r="I148" s="375"/>
      <c r="J148" s="375"/>
      <c r="K148" s="375"/>
      <c r="L148" s="736">
        <f>+E70</f>
        <v>0</v>
      </c>
      <c r="M148" s="736"/>
    </row>
    <row r="149" spans="2:19" s="342" customFormat="1" ht="39" customHeight="1">
      <c r="B149" s="735" t="str">
        <f>+B71</f>
        <v>Expediente técnico o documento equivalente</v>
      </c>
      <c r="C149" s="735"/>
      <c r="D149" s="375"/>
      <c r="E149" s="375"/>
      <c r="F149" s="375"/>
      <c r="G149" s="375"/>
      <c r="H149" s="375"/>
      <c r="I149" s="375"/>
      <c r="J149" s="375"/>
      <c r="K149" s="375"/>
      <c r="L149" s="736">
        <f>+E71</f>
        <v>0</v>
      </c>
      <c r="M149" s="736"/>
    </row>
    <row r="150" spans="2:19" s="342" customFormat="1" ht="32.1" customHeight="1">
      <c r="B150" s="735" t="str">
        <f>+B72</f>
        <v>Supervisión</v>
      </c>
      <c r="C150" s="735"/>
      <c r="D150" s="375"/>
      <c r="E150" s="375"/>
      <c r="F150" s="375"/>
      <c r="G150" s="375"/>
      <c r="H150" s="375"/>
      <c r="I150" s="375"/>
      <c r="J150" s="375"/>
      <c r="K150" s="375"/>
      <c r="L150" s="736">
        <f>+E72</f>
        <v>0</v>
      </c>
      <c r="M150" s="736"/>
    </row>
    <row r="151" spans="2:19" s="342" customFormat="1" ht="32.1" customHeight="1">
      <c r="B151" s="735" t="str">
        <f>+B73</f>
        <v>Liquidación</v>
      </c>
      <c r="C151" s="735"/>
      <c r="D151" s="375"/>
      <c r="E151" s="375"/>
      <c r="F151" s="375"/>
      <c r="G151" s="375"/>
      <c r="H151" s="375"/>
      <c r="I151" s="375"/>
      <c r="J151" s="375"/>
      <c r="K151" s="375"/>
      <c r="L151" s="736">
        <f>+E73</f>
        <v>0</v>
      </c>
      <c r="M151" s="736"/>
    </row>
    <row r="152" spans="2:19" s="342" customFormat="1" ht="32.1" customHeight="1" thickBot="1">
      <c r="B152" s="735" t="str">
        <f>+B74</f>
        <v>Gastos generales</v>
      </c>
      <c r="C152" s="735"/>
      <c r="D152" s="375"/>
      <c r="E152" s="375"/>
      <c r="F152" s="375"/>
      <c r="G152" s="375"/>
      <c r="H152" s="375"/>
      <c r="I152" s="375"/>
      <c r="J152" s="375"/>
      <c r="K152" s="375"/>
      <c r="L152" s="736">
        <f>+E74</f>
        <v>0</v>
      </c>
      <c r="M152" s="736"/>
    </row>
    <row r="153" spans="2:19" s="342" customFormat="1" ht="32.1" customHeight="1" thickBot="1">
      <c r="B153" s="732" t="s">
        <v>165</v>
      </c>
      <c r="C153" s="732"/>
      <c r="D153" s="732"/>
      <c r="E153" s="732"/>
      <c r="F153" s="732"/>
      <c r="G153" s="732"/>
      <c r="H153" s="732"/>
      <c r="I153" s="732"/>
      <c r="J153" s="732"/>
      <c r="K153" s="732"/>
      <c r="L153" s="737">
        <f>SUM(L148:M152)</f>
        <v>0</v>
      </c>
      <c r="M153" s="738"/>
    </row>
    <row r="154" spans="2:19" s="342" customFormat="1" ht="32.1" customHeight="1" thickBot="1">
      <c r="B154" s="732" t="s">
        <v>169</v>
      </c>
      <c r="C154" s="732"/>
      <c r="D154" s="732"/>
      <c r="E154" s="732"/>
      <c r="F154" s="732"/>
      <c r="G154" s="732"/>
      <c r="H154" s="732"/>
      <c r="I154" s="732"/>
      <c r="J154" s="732"/>
      <c r="K154" s="732"/>
      <c r="L154" s="737">
        <f>+L153+Q144</f>
        <v>0</v>
      </c>
      <c r="M154" s="738"/>
    </row>
    <row r="155" spans="2:19" s="342" customFormat="1" ht="32.1" customHeight="1" thickBot="1">
      <c r="B155" s="362"/>
      <c r="C155" s="362"/>
      <c r="D155" s="362"/>
      <c r="E155" s="362"/>
      <c r="F155" s="362"/>
      <c r="G155" s="362"/>
      <c r="H155" s="362"/>
      <c r="I155" s="362"/>
      <c r="J155" s="362"/>
      <c r="K155" s="362"/>
    </row>
    <row r="156" spans="2:19" s="342" customFormat="1" ht="32.1" customHeight="1" thickBot="1">
      <c r="B156" s="732" t="s">
        <v>4421</v>
      </c>
      <c r="C156" s="732"/>
      <c r="D156" s="732"/>
      <c r="E156" s="732"/>
      <c r="F156" s="732"/>
      <c r="G156" s="732"/>
      <c r="H156" s="732"/>
      <c r="I156" s="732"/>
      <c r="J156" s="732"/>
      <c r="K156" s="732"/>
      <c r="L156" s="733"/>
      <c r="M156" s="734"/>
      <c r="N156" s="322" t="s">
        <v>4294</v>
      </c>
    </row>
    <row r="157" spans="2:19" s="342" customFormat="1"/>
    <row r="158" spans="2:19" s="13" customFormat="1" ht="18.95" customHeight="1">
      <c r="B158" s="21" t="s">
        <v>170</v>
      </c>
      <c r="C158" s="22"/>
      <c r="D158" s="23"/>
      <c r="E158" s="23"/>
      <c r="F158" s="23"/>
      <c r="G158" s="79"/>
      <c r="H158" s="23"/>
      <c r="I158" s="23"/>
      <c r="J158" s="23"/>
      <c r="K158" s="23"/>
      <c r="L158" s="24"/>
      <c r="M158" s="24"/>
      <c r="N158" s="24"/>
      <c r="O158" s="24"/>
    </row>
    <row r="159" spans="2:19" s="342" customFormat="1"/>
    <row r="160" spans="2:19" s="342" customFormat="1" ht="15" customHeight="1">
      <c r="B160" s="719" t="s">
        <v>4282</v>
      </c>
      <c r="C160" s="720"/>
      <c r="D160" s="720"/>
      <c r="E160" s="720"/>
      <c r="F160" s="721"/>
      <c r="G160" s="671" t="s">
        <v>131</v>
      </c>
      <c r="H160" s="671"/>
      <c r="I160" s="671" t="s">
        <v>171</v>
      </c>
      <c r="J160" s="671"/>
      <c r="K160" s="728" t="s">
        <v>4295</v>
      </c>
      <c r="L160" s="728"/>
      <c r="M160" s="728"/>
      <c r="N160" s="728"/>
      <c r="O160" s="728"/>
      <c r="P160" s="728"/>
      <c r="Q160" s="728"/>
      <c r="R160" s="728"/>
      <c r="S160" s="671" t="s">
        <v>172</v>
      </c>
    </row>
    <row r="161" spans="2:20" s="342" customFormat="1" ht="27" customHeight="1">
      <c r="B161" s="722"/>
      <c r="C161" s="723"/>
      <c r="D161" s="723"/>
      <c r="E161" s="723"/>
      <c r="F161" s="724"/>
      <c r="G161" s="671"/>
      <c r="H161" s="671"/>
      <c r="I161" s="671"/>
      <c r="J161" s="671"/>
      <c r="K161" s="728" t="s">
        <v>4285</v>
      </c>
      <c r="L161" s="728" t="s">
        <v>4286</v>
      </c>
      <c r="M161" s="728" t="s">
        <v>4287</v>
      </c>
      <c r="N161" s="728" t="s">
        <v>4288</v>
      </c>
      <c r="O161" s="728" t="s">
        <v>4289</v>
      </c>
      <c r="P161" s="728" t="s">
        <v>4290</v>
      </c>
      <c r="Q161" s="728" t="s">
        <v>4291</v>
      </c>
      <c r="R161" s="728" t="s">
        <v>4292</v>
      </c>
      <c r="S161" s="671"/>
    </row>
    <row r="162" spans="2:20" s="342" customFormat="1">
      <c r="B162" s="725"/>
      <c r="C162" s="726"/>
      <c r="D162" s="726"/>
      <c r="E162" s="726"/>
      <c r="F162" s="727"/>
      <c r="G162" s="671"/>
      <c r="H162" s="671"/>
      <c r="I162" s="671"/>
      <c r="J162" s="671"/>
      <c r="K162" s="728"/>
      <c r="L162" s="728"/>
      <c r="M162" s="728"/>
      <c r="N162" s="728"/>
      <c r="O162" s="728"/>
      <c r="P162" s="728"/>
      <c r="Q162" s="728"/>
      <c r="R162" s="728"/>
      <c r="S162" s="671"/>
    </row>
    <row r="163" spans="2:20" s="342" customFormat="1" ht="8.1" customHeight="1"/>
    <row r="164" spans="2:20" s="322" customFormat="1" ht="15.95" customHeight="1">
      <c r="B164" s="709" t="s">
        <v>141</v>
      </c>
      <c r="C164" s="710"/>
      <c r="D164" s="710"/>
      <c r="E164" s="711"/>
      <c r="F164" s="712"/>
      <c r="G164" s="716"/>
      <c r="H164" s="717"/>
      <c r="I164" s="718"/>
      <c r="J164" s="712"/>
      <c r="K164" s="359"/>
      <c r="L164" s="359"/>
      <c r="M164" s="359"/>
      <c r="N164" s="359"/>
      <c r="O164" s="359"/>
      <c r="P164" s="359"/>
      <c r="Q164" s="359"/>
      <c r="R164" s="359"/>
      <c r="S164" s="361"/>
      <c r="T164" s="342"/>
    </row>
    <row r="165" spans="2:20" s="322" customFormat="1" ht="35.1" customHeight="1">
      <c r="B165" s="713" t="str">
        <f>+B135</f>
        <v/>
      </c>
      <c r="C165" s="714"/>
      <c r="D165" s="714"/>
      <c r="E165" s="714"/>
      <c r="F165" s="715"/>
      <c r="G165" s="716" t="s">
        <v>66</v>
      </c>
      <c r="H165" s="717"/>
      <c r="I165" s="450" t="s">
        <v>136</v>
      </c>
      <c r="J165" s="452"/>
      <c r="K165" s="363" t="str">
        <f>IF($E$76&gt;0,I135/$Q135*$S165,"")</f>
        <v/>
      </c>
      <c r="L165" s="363" t="str">
        <f t="shared" ref="L165:R165" si="4">IF($E$76&gt;0,J135/$Q135*$S165,"")</f>
        <v/>
      </c>
      <c r="M165" s="363" t="str">
        <f t="shared" si="4"/>
        <v/>
      </c>
      <c r="N165" s="363" t="str">
        <f t="shared" si="4"/>
        <v/>
      </c>
      <c r="O165" s="363" t="str">
        <f t="shared" si="4"/>
        <v/>
      </c>
      <c r="P165" s="363" t="str">
        <f t="shared" si="4"/>
        <v/>
      </c>
      <c r="Q165" s="363" t="str">
        <f t="shared" si="4"/>
        <v/>
      </c>
      <c r="R165" s="363" t="str">
        <f t="shared" si="4"/>
        <v/>
      </c>
      <c r="S165" s="364">
        <f>SUM(M11:M19)</f>
        <v>0</v>
      </c>
      <c r="T165" s="342"/>
    </row>
    <row r="166" spans="2:20" s="322" customFormat="1" ht="15.95" customHeight="1">
      <c r="B166" s="709" t="s">
        <v>142</v>
      </c>
      <c r="C166" s="710"/>
      <c r="D166" s="710"/>
      <c r="E166" s="711"/>
      <c r="F166" s="712"/>
      <c r="G166" s="716"/>
      <c r="H166" s="717"/>
      <c r="I166" s="450"/>
      <c r="J166" s="452"/>
      <c r="K166" s="363" t="str">
        <f t="shared" ref="K166:R166" si="5">IF($E$76&gt;0,I136/$Q136*$S166,"")</f>
        <v/>
      </c>
      <c r="L166" s="363" t="str">
        <f t="shared" si="5"/>
        <v/>
      </c>
      <c r="M166" s="363" t="str">
        <f t="shared" si="5"/>
        <v/>
      </c>
      <c r="N166" s="363" t="str">
        <f t="shared" si="5"/>
        <v/>
      </c>
      <c r="O166" s="363" t="str">
        <f t="shared" si="5"/>
        <v/>
      </c>
      <c r="P166" s="363" t="str">
        <f t="shared" si="5"/>
        <v/>
      </c>
      <c r="Q166" s="363" t="str">
        <f t="shared" si="5"/>
        <v/>
      </c>
      <c r="R166" s="363" t="str">
        <f t="shared" si="5"/>
        <v/>
      </c>
      <c r="S166" s="364"/>
      <c r="T166" s="342"/>
    </row>
    <row r="167" spans="2:20" s="322" customFormat="1" ht="35.1" customHeight="1">
      <c r="B167" s="713" t="str">
        <f>+B137</f>
        <v/>
      </c>
      <c r="C167" s="714"/>
      <c r="D167" s="714"/>
      <c r="E167" s="714"/>
      <c r="F167" s="715"/>
      <c r="G167" s="716" t="s">
        <v>4462</v>
      </c>
      <c r="H167" s="717"/>
      <c r="I167" s="450" t="str">
        <f>+J25</f>
        <v>Número de equipos</v>
      </c>
      <c r="J167" s="452"/>
      <c r="K167" s="363" t="str">
        <f t="shared" ref="K167:R167" si="6">IF($E$76&gt;0,I137/$Q137*$S167,"")</f>
        <v/>
      </c>
      <c r="L167" s="363" t="str">
        <f t="shared" si="6"/>
        <v/>
      </c>
      <c r="M167" s="363" t="str">
        <f t="shared" si="6"/>
        <v/>
      </c>
      <c r="N167" s="363" t="str">
        <f t="shared" si="6"/>
        <v/>
      </c>
      <c r="O167" s="363" t="str">
        <f t="shared" si="6"/>
        <v/>
      </c>
      <c r="P167" s="363" t="str">
        <f t="shared" si="6"/>
        <v/>
      </c>
      <c r="Q167" s="363" t="str">
        <f t="shared" si="6"/>
        <v/>
      </c>
      <c r="R167" s="363" t="str">
        <f t="shared" si="6"/>
        <v/>
      </c>
      <c r="S167" s="364">
        <f>SUM(L25)</f>
        <v>0</v>
      </c>
      <c r="T167" s="342"/>
    </row>
    <row r="168" spans="2:20" s="322" customFormat="1" ht="15.95" customHeight="1">
      <c r="B168" s="709" t="s">
        <v>4272</v>
      </c>
      <c r="C168" s="710"/>
      <c r="D168" s="710"/>
      <c r="E168" s="711"/>
      <c r="F168" s="712"/>
      <c r="G168" s="716"/>
      <c r="H168" s="717"/>
      <c r="I168" s="450"/>
      <c r="J168" s="452"/>
      <c r="K168" s="363" t="str">
        <f t="shared" ref="K168:R168" si="7">IF($E$76&gt;0,I138/$Q138*$S168,"")</f>
        <v/>
      </c>
      <c r="L168" s="363" t="str">
        <f t="shared" si="7"/>
        <v/>
      </c>
      <c r="M168" s="363" t="str">
        <f t="shared" si="7"/>
        <v/>
      </c>
      <c r="N168" s="363" t="str">
        <f t="shared" si="7"/>
        <v/>
      </c>
      <c r="O168" s="363" t="str">
        <f t="shared" si="7"/>
        <v/>
      </c>
      <c r="P168" s="363" t="str">
        <f t="shared" si="7"/>
        <v/>
      </c>
      <c r="Q168" s="363" t="str">
        <f t="shared" si="7"/>
        <v/>
      </c>
      <c r="R168" s="363" t="str">
        <f t="shared" si="7"/>
        <v/>
      </c>
      <c r="S168" s="364"/>
      <c r="T168" s="342"/>
    </row>
    <row r="169" spans="2:20" s="322" customFormat="1" ht="35.1" customHeight="1">
      <c r="B169" s="713" t="str">
        <f>+B139</f>
        <v/>
      </c>
      <c r="C169" s="714"/>
      <c r="D169" s="714"/>
      <c r="E169" s="714"/>
      <c r="F169" s="715"/>
      <c r="G169" s="716" t="s">
        <v>137</v>
      </c>
      <c r="H169" s="717"/>
      <c r="I169" s="450" t="str">
        <f>+J32</f>
        <v>Número de mobiliario</v>
      </c>
      <c r="J169" s="452"/>
      <c r="K169" s="363" t="str">
        <f t="shared" ref="K169:R169" si="8">IF($E$76&gt;0,I139/$Q139*$S169,"")</f>
        <v/>
      </c>
      <c r="L169" s="363" t="str">
        <f t="shared" si="8"/>
        <v/>
      </c>
      <c r="M169" s="363" t="str">
        <f t="shared" si="8"/>
        <v/>
      </c>
      <c r="N169" s="363" t="str">
        <f t="shared" si="8"/>
        <v/>
      </c>
      <c r="O169" s="363" t="str">
        <f t="shared" si="8"/>
        <v/>
      </c>
      <c r="P169" s="363" t="str">
        <f t="shared" si="8"/>
        <v/>
      </c>
      <c r="Q169" s="363" t="str">
        <f t="shared" si="8"/>
        <v/>
      </c>
      <c r="R169" s="363" t="str">
        <f t="shared" si="8"/>
        <v/>
      </c>
      <c r="S169" s="364">
        <f>SUM(L32:L33)</f>
        <v>0</v>
      </c>
      <c r="T169" s="342"/>
    </row>
    <row r="170" spans="2:20" s="322" customFormat="1" ht="15.95" customHeight="1">
      <c r="B170" s="709" t="s">
        <v>4271</v>
      </c>
      <c r="C170" s="710"/>
      <c r="D170" s="710"/>
      <c r="E170" s="711"/>
      <c r="F170" s="712"/>
      <c r="G170" s="716"/>
      <c r="H170" s="717"/>
      <c r="I170" s="450"/>
      <c r="J170" s="452"/>
      <c r="K170" s="363" t="str">
        <f t="shared" ref="K170:R170" si="9">IF($E$76&gt;0,I140/$Q140*$S170,"")</f>
        <v/>
      </c>
      <c r="L170" s="363" t="str">
        <f t="shared" si="9"/>
        <v/>
      </c>
      <c r="M170" s="363" t="str">
        <f t="shared" si="9"/>
        <v/>
      </c>
      <c r="N170" s="363" t="str">
        <f t="shared" si="9"/>
        <v/>
      </c>
      <c r="O170" s="363" t="str">
        <f t="shared" si="9"/>
        <v/>
      </c>
      <c r="P170" s="363" t="str">
        <f t="shared" si="9"/>
        <v/>
      </c>
      <c r="Q170" s="363" t="str">
        <f t="shared" si="9"/>
        <v/>
      </c>
      <c r="R170" s="363" t="str">
        <f t="shared" si="9"/>
        <v/>
      </c>
      <c r="S170" s="364"/>
      <c r="T170" s="342"/>
    </row>
    <row r="171" spans="2:20" s="322" customFormat="1" ht="35.1" customHeight="1">
      <c r="B171" s="713" t="str">
        <f>+B141</f>
        <v/>
      </c>
      <c r="C171" s="714"/>
      <c r="D171" s="714"/>
      <c r="E171" s="714"/>
      <c r="F171" s="715"/>
      <c r="G171" s="716" t="s">
        <v>124</v>
      </c>
      <c r="H171" s="717"/>
      <c r="I171" s="450" t="str">
        <f>+J40</f>
        <v>Número de eventos de capacitación</v>
      </c>
      <c r="J171" s="452"/>
      <c r="K171" s="363" t="str">
        <f t="shared" ref="K171:R171" si="10">IF($E$76&gt;0,I141/$Q141*$S171,"")</f>
        <v/>
      </c>
      <c r="L171" s="363" t="str">
        <f t="shared" si="10"/>
        <v/>
      </c>
      <c r="M171" s="363" t="str">
        <f t="shared" si="10"/>
        <v/>
      </c>
      <c r="N171" s="363" t="str">
        <f t="shared" si="10"/>
        <v/>
      </c>
      <c r="O171" s="363" t="str">
        <f t="shared" si="10"/>
        <v/>
      </c>
      <c r="P171" s="363" t="str">
        <f t="shared" si="10"/>
        <v/>
      </c>
      <c r="Q171" s="363" t="str">
        <f t="shared" si="10"/>
        <v/>
      </c>
      <c r="R171" s="363" t="str">
        <f t="shared" si="10"/>
        <v/>
      </c>
      <c r="S171" s="364">
        <f>+L40</f>
        <v>0</v>
      </c>
      <c r="T171" s="342"/>
    </row>
    <row r="172" spans="2:20" s="322" customFormat="1" ht="15.95" customHeight="1">
      <c r="B172" s="360" t="s">
        <v>143</v>
      </c>
      <c r="C172" s="340"/>
      <c r="D172" s="340"/>
      <c r="E172" s="340"/>
      <c r="F172" s="340"/>
      <c r="G172" s="366"/>
      <c r="H172" s="366"/>
      <c r="I172" s="367"/>
      <c r="J172" s="367"/>
      <c r="K172" s="365"/>
      <c r="L172" s="365"/>
      <c r="M172" s="365"/>
      <c r="N172" s="365"/>
      <c r="O172" s="365"/>
      <c r="P172" s="365"/>
      <c r="Q172" s="365"/>
      <c r="R172" s="365"/>
      <c r="S172" s="368"/>
      <c r="T172" s="342"/>
    </row>
    <row r="173" spans="2:20" s="322" customFormat="1" ht="35.1" customHeight="1">
      <c r="B173" s="713" t="s">
        <v>4283</v>
      </c>
      <c r="C173" s="714"/>
      <c r="D173" s="714"/>
      <c r="E173" s="714"/>
      <c r="F173" s="715"/>
      <c r="G173" s="708"/>
      <c r="H173" s="708"/>
      <c r="I173" s="689" t="s">
        <v>4296</v>
      </c>
      <c r="J173" s="689"/>
      <c r="K173" s="369" t="str">
        <f>IF(Q143=0,"",+I143/$Q143*$S173)</f>
        <v/>
      </c>
      <c r="L173" s="369" t="str">
        <f t="shared" ref="L173:R173" si="11">IF(R143=0,"",+J143/$Q143*$S173)</f>
        <v/>
      </c>
      <c r="M173" s="369" t="str">
        <f t="shared" si="11"/>
        <v/>
      </c>
      <c r="N173" s="369" t="str">
        <f t="shared" si="11"/>
        <v/>
      </c>
      <c r="O173" s="369" t="str">
        <f t="shared" si="11"/>
        <v/>
      </c>
      <c r="P173" s="369" t="str">
        <f t="shared" si="11"/>
        <v/>
      </c>
      <c r="Q173" s="369" t="str">
        <f t="shared" si="11"/>
        <v/>
      </c>
      <c r="R173" s="369" t="str">
        <f t="shared" si="11"/>
        <v/>
      </c>
      <c r="S173" s="370">
        <f>+COUNT(N47:N62)</f>
        <v>0</v>
      </c>
      <c r="T173" s="342"/>
    </row>
    <row r="174" spans="2:20" s="342" customFormat="1">
      <c r="C174" s="343"/>
      <c r="D174" s="343"/>
      <c r="E174" s="343"/>
      <c r="F174" s="343"/>
      <c r="G174" s="343"/>
      <c r="H174" s="343"/>
      <c r="I174" s="343"/>
    </row>
    <row r="233" spans="3:8" s="342" customFormat="1" ht="15.75">
      <c r="C233" s="314"/>
      <c r="E233" s="348"/>
      <c r="F233" s="331"/>
      <c r="G233" s="349"/>
      <c r="H233" s="331"/>
    </row>
    <row r="234" spans="3:8" s="342" customFormat="1" ht="15.75">
      <c r="C234" s="314"/>
      <c r="E234" s="348"/>
      <c r="F234" s="331"/>
      <c r="G234" s="349"/>
      <c r="H234" s="331"/>
    </row>
  </sheetData>
  <sheetProtection sheet="1" objects="1" scenarios="1"/>
  <mergeCells count="274">
    <mergeCell ref="B6:C6"/>
    <mergeCell ref="B9:C10"/>
    <mergeCell ref="D9:D10"/>
    <mergeCell ref="E9:I10"/>
    <mergeCell ref="J9:K9"/>
    <mergeCell ref="L9:M9"/>
    <mergeCell ref="B13:C13"/>
    <mergeCell ref="E13:I13"/>
    <mergeCell ref="B14:C14"/>
    <mergeCell ref="E14:I14"/>
    <mergeCell ref="O9:O10"/>
    <mergeCell ref="B11:C11"/>
    <mergeCell ref="E11:I11"/>
    <mergeCell ref="B12:C12"/>
    <mergeCell ref="E12:I12"/>
    <mergeCell ref="B21:C21"/>
    <mergeCell ref="B17:C17"/>
    <mergeCell ref="E17:I17"/>
    <mergeCell ref="B23:C24"/>
    <mergeCell ref="D23:D24"/>
    <mergeCell ref="E23:I24"/>
    <mergeCell ref="J23:L23"/>
    <mergeCell ref="M23:N24"/>
    <mergeCell ref="J24:K24"/>
    <mergeCell ref="B16:C16"/>
    <mergeCell ref="E16:I16"/>
    <mergeCell ref="B18:C18"/>
    <mergeCell ref="E18:I18"/>
    <mergeCell ref="B19:C19"/>
    <mergeCell ref="E19:I19"/>
    <mergeCell ref="B15:C15"/>
    <mergeCell ref="E15:I15"/>
    <mergeCell ref="N9:N10"/>
    <mergeCell ref="J25:K25"/>
    <mergeCell ref="M25:N25"/>
    <mergeCell ref="B28:C28"/>
    <mergeCell ref="B30:C31"/>
    <mergeCell ref="D30:D31"/>
    <mergeCell ref="E30:I31"/>
    <mergeCell ref="J30:L30"/>
    <mergeCell ref="M30:N31"/>
    <mergeCell ref="J31:K31"/>
    <mergeCell ref="B25:C25"/>
    <mergeCell ref="E25:I25"/>
    <mergeCell ref="B32:C32"/>
    <mergeCell ref="E32:I32"/>
    <mergeCell ref="M32:N32"/>
    <mergeCell ref="B36:C36"/>
    <mergeCell ref="B38:C39"/>
    <mergeCell ref="D38:D39"/>
    <mergeCell ref="E38:I39"/>
    <mergeCell ref="J38:L38"/>
    <mergeCell ref="M38:N39"/>
    <mergeCell ref="J39:K39"/>
    <mergeCell ref="M33:N33"/>
    <mergeCell ref="B33:C33"/>
    <mergeCell ref="E33:I33"/>
    <mergeCell ref="J33:K33"/>
    <mergeCell ref="J32:K32"/>
    <mergeCell ref="B40:C40"/>
    <mergeCell ref="E40:I40"/>
    <mergeCell ref="J40:K40"/>
    <mergeCell ref="M40:N40"/>
    <mergeCell ref="B44:C45"/>
    <mergeCell ref="D44:D45"/>
    <mergeCell ref="E44:I45"/>
    <mergeCell ref="J44:L44"/>
    <mergeCell ref="M44:M45"/>
    <mergeCell ref="B51:I51"/>
    <mergeCell ref="B52:I52"/>
    <mergeCell ref="B53:I53"/>
    <mergeCell ref="B54:I54"/>
    <mergeCell ref="B55:I55"/>
    <mergeCell ref="B56:I56"/>
    <mergeCell ref="N44:N45"/>
    <mergeCell ref="J45:K45"/>
    <mergeCell ref="B47:I47"/>
    <mergeCell ref="B48:I48"/>
    <mergeCell ref="B49:I49"/>
    <mergeCell ref="B50:I50"/>
    <mergeCell ref="B64:L64"/>
    <mergeCell ref="M64:N64"/>
    <mergeCell ref="B68:D68"/>
    <mergeCell ref="E68:F68"/>
    <mergeCell ref="G68:H68"/>
    <mergeCell ref="B70:D70"/>
    <mergeCell ref="E70:F70"/>
    <mergeCell ref="G70:H70"/>
    <mergeCell ref="B57:I57"/>
    <mergeCell ref="B58:I58"/>
    <mergeCell ref="B59:I59"/>
    <mergeCell ref="B60:I60"/>
    <mergeCell ref="B61:I61"/>
    <mergeCell ref="B62:I62"/>
    <mergeCell ref="B73:D73"/>
    <mergeCell ref="E73:F73"/>
    <mergeCell ref="G73:H73"/>
    <mergeCell ref="B74:D74"/>
    <mergeCell ref="E74:F74"/>
    <mergeCell ref="G74:H74"/>
    <mergeCell ref="B71:D71"/>
    <mergeCell ref="E71:F71"/>
    <mergeCell ref="G71:H71"/>
    <mergeCell ref="B72:D72"/>
    <mergeCell ref="E72:F72"/>
    <mergeCell ref="G72:H72"/>
    <mergeCell ref="B86:C86"/>
    <mergeCell ref="B87:C87"/>
    <mergeCell ref="B88:C88"/>
    <mergeCell ref="B89:C89"/>
    <mergeCell ref="B90:C90"/>
    <mergeCell ref="B91:C91"/>
    <mergeCell ref="B76:D76"/>
    <mergeCell ref="E76:F76"/>
    <mergeCell ref="B78:D78"/>
    <mergeCell ref="E78:F78"/>
    <mergeCell ref="B83:C84"/>
    <mergeCell ref="D83:D84"/>
    <mergeCell ref="E83:E84"/>
    <mergeCell ref="F83:O83"/>
    <mergeCell ref="B101:E102"/>
    <mergeCell ref="F101:H101"/>
    <mergeCell ref="J101:M102"/>
    <mergeCell ref="N101:P101"/>
    <mergeCell ref="B104:E104"/>
    <mergeCell ref="J104:M104"/>
    <mergeCell ref="B92:C92"/>
    <mergeCell ref="B93:C93"/>
    <mergeCell ref="B97:F97"/>
    <mergeCell ref="G97:H97"/>
    <mergeCell ref="B98:F98"/>
    <mergeCell ref="G98:H98"/>
    <mergeCell ref="B108:E108"/>
    <mergeCell ref="J108:M108"/>
    <mergeCell ref="B109:E109"/>
    <mergeCell ref="J109:M109"/>
    <mergeCell ref="B110:E110"/>
    <mergeCell ref="J110:M110"/>
    <mergeCell ref="B105:E105"/>
    <mergeCell ref="J105:M105"/>
    <mergeCell ref="B106:E106"/>
    <mergeCell ref="J106:M106"/>
    <mergeCell ref="B107:E107"/>
    <mergeCell ref="J107:M107"/>
    <mergeCell ref="B114:E114"/>
    <mergeCell ref="J114:M114"/>
    <mergeCell ref="B116:E116"/>
    <mergeCell ref="J116:M116"/>
    <mergeCell ref="B117:E117"/>
    <mergeCell ref="J117:M117"/>
    <mergeCell ref="B111:E111"/>
    <mergeCell ref="J111:M111"/>
    <mergeCell ref="B112:E112"/>
    <mergeCell ref="J112:M112"/>
    <mergeCell ref="B113:E113"/>
    <mergeCell ref="J113:M113"/>
    <mergeCell ref="B121:E121"/>
    <mergeCell ref="J121:M121"/>
    <mergeCell ref="F126:G126"/>
    <mergeCell ref="F127:G127"/>
    <mergeCell ref="F128:G128"/>
    <mergeCell ref="B130:F132"/>
    <mergeCell ref="G130:H132"/>
    <mergeCell ref="I130:P130"/>
    <mergeCell ref="B118:E118"/>
    <mergeCell ref="J118:M118"/>
    <mergeCell ref="B119:E119"/>
    <mergeCell ref="J119:M119"/>
    <mergeCell ref="B120:E120"/>
    <mergeCell ref="J120:M120"/>
    <mergeCell ref="Q130:R132"/>
    <mergeCell ref="I131:I132"/>
    <mergeCell ref="J131:J132"/>
    <mergeCell ref="K131:K132"/>
    <mergeCell ref="L131:L132"/>
    <mergeCell ref="M131:M132"/>
    <mergeCell ref="N131:N132"/>
    <mergeCell ref="O131:O132"/>
    <mergeCell ref="P131:P132"/>
    <mergeCell ref="B136:D136"/>
    <mergeCell ref="E136:F136"/>
    <mergeCell ref="G136:H136"/>
    <mergeCell ref="Q136:R136"/>
    <mergeCell ref="B137:F137"/>
    <mergeCell ref="G137:H137"/>
    <mergeCell ref="Q137:R137"/>
    <mergeCell ref="B134:D134"/>
    <mergeCell ref="E134:F134"/>
    <mergeCell ref="G134:H134"/>
    <mergeCell ref="Q134:R134"/>
    <mergeCell ref="B135:F135"/>
    <mergeCell ref="G135:H135"/>
    <mergeCell ref="Q135:R135"/>
    <mergeCell ref="B140:D140"/>
    <mergeCell ref="E140:F140"/>
    <mergeCell ref="G140:H140"/>
    <mergeCell ref="Q140:R140"/>
    <mergeCell ref="B141:F141"/>
    <mergeCell ref="G141:H141"/>
    <mergeCell ref="Q141:R141"/>
    <mergeCell ref="B138:D138"/>
    <mergeCell ref="E138:F138"/>
    <mergeCell ref="G138:H138"/>
    <mergeCell ref="Q138:R138"/>
    <mergeCell ref="B139:F139"/>
    <mergeCell ref="G139:H139"/>
    <mergeCell ref="Q139:R139"/>
    <mergeCell ref="B148:C148"/>
    <mergeCell ref="L148:M148"/>
    <mergeCell ref="B149:C149"/>
    <mergeCell ref="L149:M149"/>
    <mergeCell ref="B150:C150"/>
    <mergeCell ref="L150:M150"/>
    <mergeCell ref="B143:F143"/>
    <mergeCell ref="G143:H143"/>
    <mergeCell ref="Q143:R143"/>
    <mergeCell ref="B144:P144"/>
    <mergeCell ref="Q144:R144"/>
    <mergeCell ref="B146:C146"/>
    <mergeCell ref="L146:M146"/>
    <mergeCell ref="B154:K154"/>
    <mergeCell ref="L154:M154"/>
    <mergeCell ref="B156:K156"/>
    <mergeCell ref="L156:M156"/>
    <mergeCell ref="B160:F162"/>
    <mergeCell ref="G160:H162"/>
    <mergeCell ref="I160:J162"/>
    <mergeCell ref="K160:R160"/>
    <mergeCell ref="B151:C151"/>
    <mergeCell ref="L151:M151"/>
    <mergeCell ref="B152:C152"/>
    <mergeCell ref="L152:M152"/>
    <mergeCell ref="B153:K153"/>
    <mergeCell ref="L153:M153"/>
    <mergeCell ref="B164:D164"/>
    <mergeCell ref="E164:F164"/>
    <mergeCell ref="G164:H164"/>
    <mergeCell ref="I164:J164"/>
    <mergeCell ref="B165:F165"/>
    <mergeCell ref="G165:H165"/>
    <mergeCell ref="I165:J165"/>
    <mergeCell ref="S160:S162"/>
    <mergeCell ref="K161:K162"/>
    <mergeCell ref="L161:L162"/>
    <mergeCell ref="M161:M162"/>
    <mergeCell ref="N161:N162"/>
    <mergeCell ref="O161:O162"/>
    <mergeCell ref="P161:P162"/>
    <mergeCell ref="Q161:Q162"/>
    <mergeCell ref="R161:R162"/>
    <mergeCell ref="B173:F173"/>
    <mergeCell ref="G173:H173"/>
    <mergeCell ref="I173:J173"/>
    <mergeCell ref="B170:D170"/>
    <mergeCell ref="E170:F170"/>
    <mergeCell ref="G170:H170"/>
    <mergeCell ref="I170:J170"/>
    <mergeCell ref="B171:F171"/>
    <mergeCell ref="G171:H171"/>
    <mergeCell ref="I171:J171"/>
    <mergeCell ref="B168:D168"/>
    <mergeCell ref="E168:F168"/>
    <mergeCell ref="G168:H168"/>
    <mergeCell ref="I168:J168"/>
    <mergeCell ref="B169:F169"/>
    <mergeCell ref="G169:H169"/>
    <mergeCell ref="I169:J169"/>
    <mergeCell ref="B166:D166"/>
    <mergeCell ref="E166:F166"/>
    <mergeCell ref="G166:H166"/>
    <mergeCell ref="I166:J166"/>
    <mergeCell ref="B167:F167"/>
    <mergeCell ref="G167:H167"/>
    <mergeCell ref="I167:J167"/>
  </mergeCells>
  <conditionalFormatting sqref="A26:XFD29 A23:M23 A34:XFD37 A30:M30 A38:M38 O38:XFD40 M40 A133:XFD134 A130:B130 A131:A132 A143:B143 G143:H143 A136:XFD136 A135 A138:H138 A137 G137:H137 A140:H140 A139 G139:H139 A142:H142 A141 G141:H141 G130:XFD132 S135:XFD135 S137:XFD137 S139:XFD139 S141:XFD141 S143:XFD143 G135:Q135 Q142:XFD142 Q140:XFD140 Q138:XFD138 A174:XFD1048576 A163:F164 A166:F166 A168:F168 A170:F170 A172:F172 I172:J172 I170:J170 I168:J168 I166:R166 I163:R164 U163:XFD164 U166:XFD166 A24:L24 A25 A39:L40 A41:XFD61 A62:O62 Q62:XFD62 A144:XFD159 O23:XFD25 D25:M25 A1:XFD22 A63:XFD63 A65:XFD69 A64:L64 O64:XFD64 A94:XFD129 A86:A93 P86:XFD93 A75:XFD85 A70:D74 I70:XFD74 O30:XFD33 A31:L33 M32:M33">
    <cfRule type="cellIs" dxfId="173" priority="56" operator="equal">
      <formula>0</formula>
    </cfRule>
  </conditionalFormatting>
  <conditionalFormatting sqref="J9 L9">
    <cfRule type="cellIs" dxfId="172" priority="55" operator="equal">
      <formula>0</formula>
    </cfRule>
  </conditionalFormatting>
  <conditionalFormatting sqref="J10:M10">
    <cfRule type="cellIs" dxfId="171" priority="54" operator="equal">
      <formula>0</formula>
    </cfRule>
  </conditionalFormatting>
  <conditionalFormatting sqref="J23">
    <cfRule type="cellIs" dxfId="170" priority="53" operator="equal">
      <formula>0</formula>
    </cfRule>
  </conditionalFormatting>
  <conditionalFormatting sqref="J31 L31">
    <cfRule type="cellIs" dxfId="169" priority="52" operator="equal">
      <formula>0</formula>
    </cfRule>
  </conditionalFormatting>
  <conditionalFormatting sqref="J30">
    <cfRule type="cellIs" dxfId="168" priority="51" operator="equal">
      <formula>0</formula>
    </cfRule>
  </conditionalFormatting>
  <conditionalFormatting sqref="J39 L39">
    <cfRule type="cellIs" dxfId="167" priority="50" operator="equal">
      <formula>0</formula>
    </cfRule>
  </conditionalFormatting>
  <conditionalFormatting sqref="J38">
    <cfRule type="cellIs" dxfId="166" priority="49" operator="equal">
      <formula>0</formula>
    </cfRule>
  </conditionalFormatting>
  <conditionalFormatting sqref="A1:XFD4">
    <cfRule type="cellIs" dxfId="165" priority="48" operator="equal">
      <formula>0</formula>
    </cfRule>
  </conditionalFormatting>
  <conditionalFormatting sqref="J45 L45">
    <cfRule type="cellIs" dxfId="164" priority="47" operator="equal">
      <formula>0</formula>
    </cfRule>
  </conditionalFormatting>
  <conditionalFormatting sqref="J44">
    <cfRule type="cellIs" dxfId="163" priority="46" operator="equal">
      <formula>0</formula>
    </cfRule>
  </conditionalFormatting>
  <conditionalFormatting sqref="G68:H69">
    <cfRule type="cellIs" dxfId="162" priority="45" operator="equal">
      <formula>0</formula>
    </cfRule>
  </conditionalFormatting>
  <conditionalFormatting sqref="B135">
    <cfRule type="cellIs" dxfId="161" priority="43" operator="equal">
      <formula>0</formula>
    </cfRule>
  </conditionalFormatting>
  <conditionalFormatting sqref="B137">
    <cfRule type="cellIs" dxfId="160" priority="42" operator="equal">
      <formula>0</formula>
    </cfRule>
  </conditionalFormatting>
  <conditionalFormatting sqref="B139">
    <cfRule type="cellIs" dxfId="159" priority="41" operator="equal">
      <formula>0</formula>
    </cfRule>
  </conditionalFormatting>
  <conditionalFormatting sqref="B141">
    <cfRule type="cellIs" dxfId="158" priority="40" operator="equal">
      <formula>0</formula>
    </cfRule>
  </conditionalFormatting>
  <conditionalFormatting sqref="Q137">
    <cfRule type="cellIs" dxfId="157" priority="39" operator="equal">
      <formula>0</formula>
    </cfRule>
  </conditionalFormatting>
  <conditionalFormatting sqref="Q139">
    <cfRule type="cellIs" dxfId="156" priority="38" operator="equal">
      <formula>0</formula>
    </cfRule>
  </conditionalFormatting>
  <conditionalFormatting sqref="Q141">
    <cfRule type="cellIs" dxfId="155" priority="37" operator="equal">
      <formula>0</formula>
    </cfRule>
  </conditionalFormatting>
  <conditionalFormatting sqref="Q143">
    <cfRule type="cellIs" dxfId="154" priority="36" operator="equal">
      <formula>0</formula>
    </cfRule>
  </conditionalFormatting>
  <conditionalFormatting sqref="I137:P143">
    <cfRule type="cellIs" dxfId="153" priority="35" operator="equal">
      <formula>0</formula>
    </cfRule>
  </conditionalFormatting>
  <conditionalFormatting sqref="A160:B160 A161:A162 A173:B173 A165 A167 A169 A171 I160:R162 U165:XFD165 U167:XFD173 U160:XFD162 I165:R165 I167:R167 I169:R169 I171:R171 K165:R171">
    <cfRule type="cellIs" dxfId="152" priority="34" operator="equal">
      <formula>0</formula>
    </cfRule>
  </conditionalFormatting>
  <conditionalFormatting sqref="B165">
    <cfRule type="cellIs" dxfId="151" priority="33" operator="equal">
      <formula>0</formula>
    </cfRule>
  </conditionalFormatting>
  <conditionalFormatting sqref="K168:R168 K170:R170 K172:R172">
    <cfRule type="cellIs" dxfId="150" priority="32" operator="equal">
      <formula>0</formula>
    </cfRule>
  </conditionalFormatting>
  <conditionalFormatting sqref="G163:H163">
    <cfRule type="cellIs" dxfId="149" priority="31" operator="equal">
      <formula>0</formula>
    </cfRule>
  </conditionalFormatting>
  <conditionalFormatting sqref="G160:H162">
    <cfRule type="cellIs" dxfId="148" priority="30" operator="equal">
      <formula>0</formula>
    </cfRule>
  </conditionalFormatting>
  <conditionalFormatting sqref="G172:H172 G170:H170 G168:H168 G166:H166">
    <cfRule type="cellIs" dxfId="147" priority="28" operator="equal">
      <formula>0</formula>
    </cfRule>
  </conditionalFormatting>
  <conditionalFormatting sqref="G173:H173 G167:H167 G169:H169 G171:H171 G165:H165">
    <cfRule type="cellIs" dxfId="146" priority="27" operator="equal">
      <formula>0</formula>
    </cfRule>
  </conditionalFormatting>
  <conditionalFormatting sqref="G164:H164">
    <cfRule type="cellIs" dxfId="145" priority="29" operator="equal">
      <formula>0</formula>
    </cfRule>
  </conditionalFormatting>
  <conditionalFormatting sqref="T160:T173">
    <cfRule type="cellIs" dxfId="144" priority="26" operator="equal">
      <formula>0</formula>
    </cfRule>
  </conditionalFormatting>
  <conditionalFormatting sqref="S163:S164">
    <cfRule type="cellIs" dxfId="143" priority="25" operator="equal">
      <formula>0</formula>
    </cfRule>
  </conditionalFormatting>
  <conditionalFormatting sqref="S160:S162">
    <cfRule type="cellIs" dxfId="142" priority="24" operator="equal">
      <formula>0</formula>
    </cfRule>
  </conditionalFormatting>
  <conditionalFormatting sqref="B167">
    <cfRule type="cellIs" dxfId="141" priority="23" operator="equal">
      <formula>0</formula>
    </cfRule>
  </conditionalFormatting>
  <conditionalFormatting sqref="B169">
    <cfRule type="cellIs" dxfId="140" priority="22" operator="equal">
      <formula>0</formula>
    </cfRule>
  </conditionalFormatting>
  <conditionalFormatting sqref="B171">
    <cfRule type="cellIs" dxfId="139" priority="21" operator="equal">
      <formula>0</formula>
    </cfRule>
  </conditionalFormatting>
  <conditionalFormatting sqref="I173:J173">
    <cfRule type="cellIs" dxfId="138" priority="20" operator="equal">
      <formula>0</formula>
    </cfRule>
  </conditionalFormatting>
  <conditionalFormatting sqref="A95:XFD96">
    <cfRule type="cellIs" dxfId="137" priority="18" operator="equal">
      <formula>0</formula>
    </cfRule>
  </conditionalFormatting>
  <conditionalFormatting sqref="A81:XFD82">
    <cfRule type="cellIs" dxfId="136" priority="17" operator="equal">
      <formula>0</formula>
    </cfRule>
  </conditionalFormatting>
  <conditionalFormatting sqref="K173:R173">
    <cfRule type="cellIs" dxfId="135" priority="19" operator="equal">
      <formula>0</formula>
    </cfRule>
  </conditionalFormatting>
  <conditionalFormatting sqref="A96:XFD96">
    <cfRule type="cellIs" dxfId="134" priority="16" operator="equal">
      <formula>0</formula>
    </cfRule>
  </conditionalFormatting>
  <conditionalFormatting sqref="A124:XFD124">
    <cfRule type="cellIs" dxfId="133" priority="15" operator="equal">
      <formula>0</formula>
    </cfRule>
  </conditionalFormatting>
  <conditionalFormatting sqref="A158:XFD159">
    <cfRule type="cellIs" dxfId="132" priority="14" operator="equal">
      <formula>0</formula>
    </cfRule>
  </conditionalFormatting>
  <conditionalFormatting sqref="B25:C25">
    <cfRule type="cellIs" dxfId="131" priority="13" operator="equal">
      <formula>0</formula>
    </cfRule>
  </conditionalFormatting>
  <conditionalFormatting sqref="B86:O93">
    <cfRule type="cellIs" dxfId="130" priority="9" operator="equal">
      <formula>0</formula>
    </cfRule>
  </conditionalFormatting>
  <conditionalFormatting sqref="S172 S170 S168 S166">
    <cfRule type="cellIs" dxfId="129" priority="8" operator="equal">
      <formula>0</formula>
    </cfRule>
  </conditionalFormatting>
  <conditionalFormatting sqref="S173 S167 S169 S171 S165">
    <cfRule type="cellIs" dxfId="128" priority="7" operator="equal">
      <formula>0</formula>
    </cfRule>
  </conditionalFormatting>
  <conditionalFormatting sqref="E70:F74">
    <cfRule type="cellIs" dxfId="127" priority="6" operator="equal">
      <formula>0</formula>
    </cfRule>
  </conditionalFormatting>
  <conditionalFormatting sqref="M64:N64">
    <cfRule type="cellIs" dxfId="126" priority="4" operator="equal">
      <formula>0</formula>
    </cfRule>
  </conditionalFormatting>
  <conditionalFormatting sqref="G70:H74">
    <cfRule type="cellIs" dxfId="125" priority="3" operator="equal">
      <formula>0</formula>
    </cfRule>
  </conditionalFormatting>
  <conditionalFormatting sqref="G70:H74">
    <cfRule type="cellIs" dxfId="124" priority="2" operator="equal">
      <formula>0</formula>
    </cfRule>
  </conditionalFormatting>
  <conditionalFormatting sqref="G73:H73">
    <cfRule type="cellIs" dxfId="123" priority="1" operator="equal">
      <formula>0</formula>
    </cfRule>
  </conditionalFormatting>
  <dataValidations count="6">
    <dataValidation type="decimal" operator="greaterThan" allowBlank="1" showInputMessage="1" showErrorMessage="1" sqref="L156:M156 M40:N40 J47:N62 E86:O93 D148:K152 N104:P114 I135:P135 I137:P137 I139:P139 I141:P141 I143:P143 N116:P121 N11:O19 M25:N25 E70:F74 M32:N33" xr:uid="{00000000-0002-0000-0B00-000000000000}">
      <formula1>0</formula1>
    </dataValidation>
    <dataValidation type="decimal" allowBlank="1" showInputMessage="1" showErrorMessage="1" sqref="F104:H114 F116:H121" xr:uid="{00000000-0002-0000-0B00-000001000000}">
      <formula1>0</formula1>
      <formula2>1000000</formula2>
    </dataValidation>
    <dataValidation type="list" allowBlank="1" showInputMessage="1" showErrorMessage="1" sqref="L20" xr:uid="{00000000-0002-0000-0B00-000002000000}">
      <formula1>MuroContencion</formula1>
    </dataValidation>
    <dataValidation type="list" allowBlank="1" showInputMessage="1" showErrorMessage="1" sqref="N20" xr:uid="{00000000-0002-0000-0B00-000003000000}">
      <formula1>EstadoActual</formula1>
    </dataValidation>
    <dataValidation type="list" allowBlank="1" showInputMessage="1" showErrorMessage="1" sqref="J20" xr:uid="{00000000-0002-0000-0B00-000004000000}">
      <formula1>Si_No</formula1>
    </dataValidation>
    <dataValidation operator="greaterThan" allowBlank="1" showInputMessage="1" showErrorMessage="1" sqref="B86:D93" xr:uid="{00000000-0002-0000-0B00-000005000000}"/>
  </dataValidations>
  <pageMargins left="0.7" right="0.7" top="0.75" bottom="0.75" header="0.3" footer="0.3"/>
  <pageSetup paperSize="9" scale="30" orientation="portrait" horizontalDpi="0" verticalDpi="0"/>
  <rowBreaks count="1" manualBreakCount="1">
    <brk id="94" min="1" max="18"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2"/>
  <dimension ref="B1:Z234"/>
  <sheetViews>
    <sheetView zoomScaleNormal="100" workbookViewId="0">
      <selection activeCell="G70" sqref="G70:H74"/>
    </sheetView>
  </sheetViews>
  <sheetFormatPr baseColWidth="10" defaultColWidth="11.88671875" defaultRowHeight="15"/>
  <cols>
    <col min="1" max="1" width="11.88671875" style="4"/>
    <col min="2" max="3" width="12.109375" style="4" customWidth="1"/>
    <col min="4" max="4" width="13.44140625" style="4" customWidth="1"/>
    <col min="5" max="6" width="12.109375" style="4" customWidth="1"/>
    <col min="7" max="12" width="12" style="4" customWidth="1"/>
    <col min="13" max="13" width="13.44140625" style="4" customWidth="1"/>
    <col min="14" max="14" width="16.6640625" style="4" customWidth="1"/>
    <col min="15" max="18" width="12" style="4" customWidth="1"/>
    <col min="19" max="19" width="8.88671875" style="4" customWidth="1"/>
    <col min="20" max="16384" width="11.88671875" style="4"/>
  </cols>
  <sheetData>
    <row r="1" spans="2:15" ht="18.95" customHeight="1"/>
    <row r="2" spans="2:15" s="80" customFormat="1" ht="18.95" customHeight="1">
      <c r="B2" s="80" t="s">
        <v>4453</v>
      </c>
    </row>
    <row r="3" spans="2:15" ht="18.95" customHeight="1"/>
    <row r="4" spans="2:15" s="13" customFormat="1" ht="18.95" customHeight="1">
      <c r="B4" s="21" t="s">
        <v>138</v>
      </c>
      <c r="C4" s="22"/>
      <c r="D4" s="23"/>
      <c r="E4" s="23"/>
      <c r="F4" s="23"/>
      <c r="G4" s="79"/>
      <c r="H4" s="23"/>
      <c r="I4" s="23"/>
      <c r="J4" s="23"/>
      <c r="K4" s="23"/>
      <c r="L4" s="24"/>
      <c r="M4" s="24"/>
      <c r="N4" s="24"/>
      <c r="O4" s="24"/>
    </row>
    <row r="5" spans="2:15" s="322" customFormat="1" ht="15.75">
      <c r="B5" s="336"/>
      <c r="C5" s="336"/>
      <c r="D5" s="336"/>
      <c r="E5" s="336"/>
      <c r="F5" s="336"/>
    </row>
    <row r="6" spans="2:15" s="322" customFormat="1" ht="18" customHeight="1">
      <c r="B6" s="695" t="s">
        <v>4270</v>
      </c>
      <c r="C6" s="695"/>
      <c r="D6" s="320" t="str">
        <f>+'Problema-Objetivo'!C40</f>
        <v/>
      </c>
      <c r="E6" s="321"/>
      <c r="F6" s="321"/>
      <c r="G6" s="321"/>
      <c r="H6" s="321"/>
      <c r="I6" s="321"/>
      <c r="J6" s="321"/>
      <c r="K6" s="321"/>
      <c r="L6" s="321"/>
      <c r="M6" s="321"/>
      <c r="N6" s="321"/>
      <c r="O6" s="321"/>
    </row>
    <row r="7" spans="2:15" s="322" customFormat="1" ht="18" customHeight="1">
      <c r="B7" s="323"/>
    </row>
    <row r="8" spans="2:15" s="322" customFormat="1" ht="18" customHeight="1">
      <c r="B8" s="323" t="s">
        <v>4201</v>
      </c>
    </row>
    <row r="9" spans="2:15" s="322" customFormat="1" ht="36" customHeight="1">
      <c r="B9" s="691" t="s">
        <v>130</v>
      </c>
      <c r="C9" s="691"/>
      <c r="D9" s="698" t="s">
        <v>131</v>
      </c>
      <c r="E9" s="700" t="s">
        <v>140</v>
      </c>
      <c r="F9" s="701"/>
      <c r="G9" s="701"/>
      <c r="H9" s="701"/>
      <c r="I9" s="702"/>
      <c r="J9" s="691" t="s">
        <v>132</v>
      </c>
      <c r="K9" s="691"/>
      <c r="L9" s="691" t="s">
        <v>133</v>
      </c>
      <c r="M9" s="691"/>
      <c r="N9" s="698" t="s">
        <v>139</v>
      </c>
      <c r="O9" s="698" t="s">
        <v>4273</v>
      </c>
    </row>
    <row r="10" spans="2:15" s="322" customFormat="1" ht="50.1" customHeight="1">
      <c r="B10" s="691"/>
      <c r="C10" s="691"/>
      <c r="D10" s="699"/>
      <c r="E10" s="703"/>
      <c r="F10" s="704"/>
      <c r="G10" s="704"/>
      <c r="H10" s="704"/>
      <c r="I10" s="705"/>
      <c r="J10" s="324" t="s">
        <v>134</v>
      </c>
      <c r="K10" s="325" t="s">
        <v>135</v>
      </c>
      <c r="L10" s="324" t="s">
        <v>134</v>
      </c>
      <c r="M10" s="325" t="s">
        <v>135</v>
      </c>
      <c r="N10" s="699"/>
      <c r="O10" s="699"/>
    </row>
    <row r="11" spans="2:15" s="322" customFormat="1" ht="32.1" customHeight="1">
      <c r="B11" s="716">
        <f>+'Análisis Técnico'!B110:C110</f>
        <v>0</v>
      </c>
      <c r="C11" s="717"/>
      <c r="D11" s="326" t="str">
        <f>+'Análisis Técnico'!D110</f>
        <v>Infraestructura</v>
      </c>
      <c r="E11" s="692" t="str">
        <f>+'Análisis Técnico'!E110</f>
        <v xml:space="preserve">Sala de cuidado diurno </v>
      </c>
      <c r="F11" s="693">
        <f>+'Análisis Técnico'!F110</f>
        <v>0</v>
      </c>
      <c r="G11" s="693">
        <f>+'Análisis Técnico'!G110</f>
        <v>0</v>
      </c>
      <c r="H11" s="693">
        <f>+'Análisis Técnico'!H110</f>
        <v>0</v>
      </c>
      <c r="I11" s="694">
        <f>+'Análisis Técnico'!I110</f>
        <v>0</v>
      </c>
      <c r="J11" s="328" t="str">
        <f>+'Análisis Técnico'!K110</f>
        <v>Sala</v>
      </c>
      <c r="K11" s="328">
        <f>+'Análisis Técnico'!L110</f>
        <v>0</v>
      </c>
      <c r="L11" s="328" t="str">
        <f>+'Análisis Técnico'!M110</f>
        <v>m2</v>
      </c>
      <c r="M11" s="328">
        <f>+'Análisis Técnico'!N110</f>
        <v>0</v>
      </c>
      <c r="N11" s="371"/>
      <c r="O11" s="337">
        <f>+N11*M11</f>
        <v>0</v>
      </c>
    </row>
    <row r="12" spans="2:15" s="322" customFormat="1" ht="32.1" customHeight="1">
      <c r="B12" s="716">
        <f>+'Análisis Técnico'!B111:C111</f>
        <v>0</v>
      </c>
      <c r="C12" s="717"/>
      <c r="D12" s="326" t="str">
        <f>+'Análisis Técnico'!D111</f>
        <v>Infraestructura</v>
      </c>
      <c r="E12" s="692" t="str">
        <f>+'Análisis Técnico'!E111</f>
        <v xml:space="preserve">Sala de usos múltiples </v>
      </c>
      <c r="F12" s="693">
        <f>+'Análisis Técnico'!F111</f>
        <v>0</v>
      </c>
      <c r="G12" s="693">
        <f>+'Análisis Técnico'!G111</f>
        <v>0</v>
      </c>
      <c r="H12" s="693">
        <f>+'Análisis Técnico'!H111</f>
        <v>0</v>
      </c>
      <c r="I12" s="694">
        <f>+'Análisis Técnico'!I111</f>
        <v>0</v>
      </c>
      <c r="J12" s="191" t="str">
        <f>+'Análisis Técnico'!K111</f>
        <v>Sala</v>
      </c>
      <c r="K12" s="328">
        <f>+'Análisis Técnico'!L111</f>
        <v>0</v>
      </c>
      <c r="L12" s="328" t="str">
        <f>+'Análisis Técnico'!M111</f>
        <v>m2</v>
      </c>
      <c r="M12" s="328">
        <f>+'Análisis Técnico'!N111</f>
        <v>0</v>
      </c>
      <c r="N12" s="371"/>
      <c r="O12" s="337">
        <f t="shared" ref="O12:O19" si="0">+N12*M12</f>
        <v>0</v>
      </c>
    </row>
    <row r="13" spans="2:15" s="322" customFormat="1" ht="32.1" customHeight="1">
      <c r="B13" s="716">
        <f>+'Análisis Técnico'!B112:C112</f>
        <v>0</v>
      </c>
      <c r="C13" s="717"/>
      <c r="D13" s="326" t="str">
        <f>+'Análisis Técnico'!D112</f>
        <v>Infraestructura</v>
      </c>
      <c r="E13" s="692" t="str">
        <f>+'Análisis Técnico'!E112</f>
        <v xml:space="preserve">Ambiente de recreación activa </v>
      </c>
      <c r="F13" s="693">
        <f>+'Análisis Técnico'!F112</f>
        <v>0</v>
      </c>
      <c r="G13" s="693">
        <f>+'Análisis Técnico'!G112</f>
        <v>0</v>
      </c>
      <c r="H13" s="693">
        <f>+'Análisis Técnico'!H112</f>
        <v>0</v>
      </c>
      <c r="I13" s="694">
        <f>+'Análisis Técnico'!I112</f>
        <v>0</v>
      </c>
      <c r="J13" s="191" t="str">
        <f>+'Análisis Técnico'!K112</f>
        <v>Ambiente</v>
      </c>
      <c r="K13" s="328">
        <f>+'Análisis Técnico'!L112</f>
        <v>0</v>
      </c>
      <c r="L13" s="328" t="str">
        <f>+'Análisis Técnico'!M112</f>
        <v>m2</v>
      </c>
      <c r="M13" s="328">
        <f>+'Análisis Técnico'!N112</f>
        <v>0</v>
      </c>
      <c r="N13" s="371"/>
      <c r="O13" s="337">
        <f t="shared" si="0"/>
        <v>0</v>
      </c>
    </row>
    <row r="14" spans="2:15" s="322" customFormat="1" ht="32.1" customHeight="1">
      <c r="B14" s="716">
        <f>+'Análisis Técnico'!B113:C113</f>
        <v>0</v>
      </c>
      <c r="C14" s="717"/>
      <c r="D14" s="326" t="str">
        <f>+'Análisis Técnico'!D113</f>
        <v>Infraestructura</v>
      </c>
      <c r="E14" s="692" t="str">
        <f>+'Análisis Técnico'!E113</f>
        <v xml:space="preserve">Ambiente de servicios generales </v>
      </c>
      <c r="F14" s="693">
        <f>+'Análisis Técnico'!F113</f>
        <v>0</v>
      </c>
      <c r="G14" s="693">
        <f>+'Análisis Técnico'!G113</f>
        <v>0</v>
      </c>
      <c r="H14" s="693">
        <f>+'Análisis Técnico'!H113</f>
        <v>0</v>
      </c>
      <c r="I14" s="694">
        <f>+'Análisis Técnico'!I113</f>
        <v>0</v>
      </c>
      <c r="J14" s="191" t="str">
        <f>+'Análisis Técnico'!K113</f>
        <v>Ambiente</v>
      </c>
      <c r="K14" s="328">
        <f>+'Análisis Técnico'!L113</f>
        <v>0</v>
      </c>
      <c r="L14" s="328" t="str">
        <f>+'Análisis Técnico'!M113</f>
        <v>m2</v>
      </c>
      <c r="M14" s="328">
        <f>+'Análisis Técnico'!N113</f>
        <v>0</v>
      </c>
      <c r="N14" s="371"/>
      <c r="O14" s="337">
        <f t="shared" si="0"/>
        <v>0</v>
      </c>
    </row>
    <row r="15" spans="2:15" s="322" customFormat="1" ht="32.1" customHeight="1">
      <c r="B15" s="716">
        <f>+'Análisis Técnico'!B114:C114</f>
        <v>0</v>
      </c>
      <c r="C15" s="717"/>
      <c r="D15" s="326" t="str">
        <f>+'Análisis Técnico'!D114</f>
        <v>Infraestructura</v>
      </c>
      <c r="E15" s="692" t="str">
        <f>+'Análisis Técnico'!E114</f>
        <v xml:space="preserve">Ambiente de preparación y expendio de alimentos </v>
      </c>
      <c r="F15" s="693">
        <f>+'Análisis Técnico'!F114</f>
        <v>0</v>
      </c>
      <c r="G15" s="693">
        <f>+'Análisis Técnico'!G114</f>
        <v>0</v>
      </c>
      <c r="H15" s="693">
        <f>+'Análisis Técnico'!H114</f>
        <v>0</v>
      </c>
      <c r="I15" s="694">
        <f>+'Análisis Técnico'!I114</f>
        <v>0</v>
      </c>
      <c r="J15" s="191" t="str">
        <f>+'Análisis Técnico'!K114</f>
        <v>Ambiente</v>
      </c>
      <c r="K15" s="328">
        <f>+'Análisis Técnico'!L114</f>
        <v>0</v>
      </c>
      <c r="L15" s="328" t="str">
        <f>+'Análisis Técnico'!M114</f>
        <v>m2</v>
      </c>
      <c r="M15" s="328">
        <f>+'Análisis Técnico'!N114</f>
        <v>0</v>
      </c>
      <c r="N15" s="371"/>
      <c r="O15" s="337">
        <f t="shared" si="0"/>
        <v>0</v>
      </c>
    </row>
    <row r="16" spans="2:15" s="322" customFormat="1" ht="32.1" customHeight="1">
      <c r="B16" s="716">
        <f>+'Análisis Técnico'!B115:C115</f>
        <v>0</v>
      </c>
      <c r="C16" s="717"/>
      <c r="D16" s="326" t="str">
        <f>+'Análisis Técnico'!D115</f>
        <v>Infraestructura</v>
      </c>
      <c r="E16" s="692" t="str">
        <f>+'Análisis Técnico'!E115</f>
        <v xml:space="preserve">Almacén </v>
      </c>
      <c r="F16" s="693">
        <f>+'Análisis Técnico'!F115</f>
        <v>0</v>
      </c>
      <c r="G16" s="693">
        <f>+'Análisis Técnico'!G115</f>
        <v>0</v>
      </c>
      <c r="H16" s="693">
        <f>+'Análisis Técnico'!H115</f>
        <v>0</v>
      </c>
      <c r="I16" s="694">
        <f>+'Análisis Técnico'!I115</f>
        <v>0</v>
      </c>
      <c r="J16" s="191" t="str">
        <f>+'Análisis Técnico'!K115</f>
        <v>Almacén</v>
      </c>
      <c r="K16" s="328">
        <f>+'Análisis Técnico'!L115</f>
        <v>0</v>
      </c>
      <c r="L16" s="328" t="str">
        <f>+'Análisis Técnico'!M115</f>
        <v>m2</v>
      </c>
      <c r="M16" s="328">
        <f>+'Análisis Técnico'!N115</f>
        <v>0</v>
      </c>
      <c r="N16" s="371"/>
      <c r="O16" s="337">
        <f t="shared" si="0"/>
        <v>0</v>
      </c>
    </row>
    <row r="17" spans="2:26" s="322" customFormat="1" ht="32.1" customHeight="1">
      <c r="B17" s="716">
        <f>+'Análisis Técnico'!B116:C116</f>
        <v>0</v>
      </c>
      <c r="C17" s="717"/>
      <c r="D17" s="326" t="str">
        <f>+'Análisis Técnico'!D116</f>
        <v>Infraestructura</v>
      </c>
      <c r="E17" s="692" t="str">
        <f>+'Análisis Técnico'!E116</f>
        <v xml:space="preserve">Cerco perimétrico </v>
      </c>
      <c r="F17" s="693">
        <f>+'Análisis Técnico'!F116</f>
        <v>0</v>
      </c>
      <c r="G17" s="693">
        <f>+'Análisis Técnico'!G116</f>
        <v>0</v>
      </c>
      <c r="H17" s="693">
        <f>+'Análisis Técnico'!H116</f>
        <v>0</v>
      </c>
      <c r="I17" s="694">
        <f>+'Análisis Técnico'!I116</f>
        <v>0</v>
      </c>
      <c r="J17" s="191" t="str">
        <f>+'Análisis Técnico'!K116</f>
        <v>Unidad</v>
      </c>
      <c r="K17" s="328">
        <f>+'Análisis Técnico'!L116</f>
        <v>0</v>
      </c>
      <c r="L17" s="328" t="str">
        <f>+'Análisis Técnico'!M116</f>
        <v>ml</v>
      </c>
      <c r="M17" s="328">
        <f>+'Análisis Técnico'!N116</f>
        <v>0</v>
      </c>
      <c r="N17" s="371"/>
      <c r="O17" s="337">
        <f t="shared" si="0"/>
        <v>0</v>
      </c>
    </row>
    <row r="18" spans="2:26" s="322" customFormat="1" ht="32.1" customHeight="1">
      <c r="B18" s="716">
        <f>+'Análisis Técnico'!B117:C117</f>
        <v>0</v>
      </c>
      <c r="C18" s="717"/>
      <c r="D18" s="326" t="str">
        <f>+'Análisis Técnico'!D117</f>
        <v>Infraestructura</v>
      </c>
      <c r="E18" s="692" t="str">
        <f>+'Análisis Técnico'!E117</f>
        <v xml:space="preserve">Muro de contención </v>
      </c>
      <c r="F18" s="693">
        <f>+'Análisis Técnico'!F117</f>
        <v>0</v>
      </c>
      <c r="G18" s="693">
        <f>+'Análisis Técnico'!G117</f>
        <v>0</v>
      </c>
      <c r="H18" s="693">
        <f>+'Análisis Técnico'!H117</f>
        <v>0</v>
      </c>
      <c r="I18" s="694">
        <f>+'Análisis Técnico'!I117</f>
        <v>0</v>
      </c>
      <c r="J18" s="191" t="str">
        <f>+'Análisis Técnico'!K117</f>
        <v>Unidad</v>
      </c>
      <c r="K18" s="328">
        <f>+'Análisis Técnico'!L117</f>
        <v>0</v>
      </c>
      <c r="L18" s="328" t="str">
        <f>+'Análisis Técnico'!M117</f>
        <v>ml o m3</v>
      </c>
      <c r="M18" s="328">
        <f>+'Análisis Técnico'!N117</f>
        <v>0</v>
      </c>
      <c r="N18" s="371"/>
      <c r="O18" s="337">
        <f t="shared" si="0"/>
        <v>0</v>
      </c>
    </row>
    <row r="19" spans="2:26" s="322" customFormat="1" ht="32.1" customHeight="1">
      <c r="B19" s="716">
        <f>+'Análisis Técnico'!B118:C118</f>
        <v>0</v>
      </c>
      <c r="C19" s="717"/>
      <c r="D19" s="326" t="str">
        <f>+'Análisis Técnico'!D118</f>
        <v>Infraestructura</v>
      </c>
      <c r="E19" s="692" t="str">
        <f>+'Análisis Técnico'!E118</f>
        <v>Otros ambientes complementarios</v>
      </c>
      <c r="F19" s="693">
        <f>+'Análisis Técnico'!F118</f>
        <v>0</v>
      </c>
      <c r="G19" s="693">
        <f>+'Análisis Técnico'!G118</f>
        <v>0</v>
      </c>
      <c r="H19" s="693">
        <f>+'Análisis Técnico'!H118</f>
        <v>0</v>
      </c>
      <c r="I19" s="694">
        <f>+'Análisis Técnico'!I118</f>
        <v>0</v>
      </c>
      <c r="J19" s="191" t="str">
        <f>+'Análisis Técnico'!K118</f>
        <v>Unidad</v>
      </c>
      <c r="K19" s="328">
        <f>+'Análisis Técnico'!L118</f>
        <v>0</v>
      </c>
      <c r="L19" s="328" t="s">
        <v>136</v>
      </c>
      <c r="M19" s="328">
        <f>+'Análisis Técnico'!N118</f>
        <v>0</v>
      </c>
      <c r="N19" s="371"/>
      <c r="O19" s="337">
        <f t="shared" si="0"/>
        <v>0</v>
      </c>
    </row>
    <row r="20" spans="2:26" s="322" customFormat="1" ht="39.950000000000003" customHeight="1">
      <c r="B20" s="331"/>
      <c r="C20" s="332"/>
      <c r="D20" s="332"/>
      <c r="E20" s="314"/>
      <c r="F20" s="314"/>
      <c r="G20" s="314"/>
      <c r="H20" s="314"/>
      <c r="I20" s="314"/>
      <c r="J20" s="332"/>
      <c r="K20" s="332"/>
      <c r="L20" s="332"/>
      <c r="M20" s="332"/>
      <c r="N20" s="332"/>
      <c r="O20" s="333"/>
      <c r="P20" s="333"/>
      <c r="Q20" s="333"/>
      <c r="R20" s="333"/>
      <c r="S20" s="333"/>
      <c r="T20" s="333"/>
      <c r="U20" s="333"/>
      <c r="V20" s="333"/>
      <c r="W20" s="334"/>
      <c r="X20" s="333"/>
      <c r="Y20" s="333"/>
      <c r="Z20" s="333"/>
    </row>
    <row r="21" spans="2:26" s="322" customFormat="1" ht="18" customHeight="1">
      <c r="B21" s="695" t="s">
        <v>142</v>
      </c>
      <c r="C21" s="695"/>
      <c r="D21" s="320" t="str">
        <f>+'Problema-Objetivo'!C44</f>
        <v/>
      </c>
      <c r="E21" s="321"/>
      <c r="F21" s="321"/>
      <c r="G21" s="321"/>
      <c r="H21" s="321"/>
      <c r="I21" s="321"/>
      <c r="J21" s="321"/>
      <c r="K21" s="321"/>
      <c r="L21" s="321"/>
      <c r="M21" s="321"/>
      <c r="N21" s="321"/>
      <c r="O21" s="321"/>
    </row>
    <row r="22" spans="2:26" s="322" customFormat="1" ht="18" customHeight="1">
      <c r="B22" s="323"/>
    </row>
    <row r="23" spans="2:26" s="322" customFormat="1" ht="36" customHeight="1">
      <c r="B23" s="691" t="str">
        <f>+B9</f>
        <v>Acción sobre el activo</v>
      </c>
      <c r="C23" s="691"/>
      <c r="D23" s="698" t="s">
        <v>131</v>
      </c>
      <c r="E23" s="700" t="s">
        <v>140</v>
      </c>
      <c r="F23" s="701"/>
      <c r="G23" s="701"/>
      <c r="H23" s="701"/>
      <c r="I23" s="702"/>
      <c r="J23" s="691" t="s">
        <v>132</v>
      </c>
      <c r="K23" s="691"/>
      <c r="L23" s="691"/>
      <c r="M23" s="700" t="s">
        <v>4273</v>
      </c>
      <c r="N23" s="702"/>
    </row>
    <row r="24" spans="2:26" s="322" customFormat="1" ht="50.1" customHeight="1">
      <c r="B24" s="691"/>
      <c r="C24" s="691"/>
      <c r="D24" s="699"/>
      <c r="E24" s="703"/>
      <c r="F24" s="704"/>
      <c r="G24" s="704"/>
      <c r="H24" s="704"/>
      <c r="I24" s="705"/>
      <c r="J24" s="691" t="s">
        <v>134</v>
      </c>
      <c r="K24" s="691"/>
      <c r="L24" s="325" t="s">
        <v>135</v>
      </c>
      <c r="M24" s="703"/>
      <c r="N24" s="705"/>
    </row>
    <row r="25" spans="2:26" s="322" customFormat="1" ht="32.1" customHeight="1">
      <c r="B25" s="716">
        <f>+'Análisis Técnico'!B124:C124</f>
        <v>0</v>
      </c>
      <c r="C25" s="717"/>
      <c r="D25" s="326" t="str">
        <f>+'Análisis Técnico'!D124</f>
        <v>Equipos</v>
      </c>
      <c r="E25" s="692" t="str">
        <f>+'Análisis Técnico'!E124</f>
        <v xml:space="preserve">Equipo de ambiente de preparación y expendio de alimentos - Cuna Más </v>
      </c>
      <c r="F25" s="693">
        <f>+'Análisis Técnico'!F124</f>
        <v>0</v>
      </c>
      <c r="G25" s="693">
        <f>+'Análisis Técnico'!G124</f>
        <v>0</v>
      </c>
      <c r="H25" s="693">
        <f>+'Análisis Técnico'!H124</f>
        <v>0</v>
      </c>
      <c r="I25" s="694">
        <f>+'Análisis Técnico'!I124</f>
        <v>0</v>
      </c>
      <c r="J25" s="689" t="str">
        <f>+'Análisis Técnico'!J124</f>
        <v>Número de equipos</v>
      </c>
      <c r="K25" s="689">
        <f>+'Análisis Técnico'!K124</f>
        <v>0</v>
      </c>
      <c r="L25" s="338">
        <f>+'Análisis Técnico'!L124</f>
        <v>0</v>
      </c>
      <c r="M25" s="770"/>
      <c r="N25" s="771"/>
    </row>
    <row r="26" spans="2:26" ht="18.95" customHeight="1"/>
    <row r="27" spans="2:26" ht="18.95" customHeight="1"/>
    <row r="28" spans="2:26" s="322" customFormat="1" ht="18" customHeight="1">
      <c r="B28" s="695" t="s">
        <v>4272</v>
      </c>
      <c r="C28" s="695"/>
      <c r="D28" s="320" t="str">
        <f>+'Problema-Objetivo'!C45</f>
        <v/>
      </c>
      <c r="E28" s="321"/>
      <c r="F28" s="321"/>
      <c r="G28" s="321"/>
      <c r="H28" s="321"/>
      <c r="I28" s="321"/>
      <c r="J28" s="321"/>
      <c r="K28" s="321"/>
      <c r="L28" s="321"/>
      <c r="M28" s="321"/>
      <c r="N28" s="321"/>
      <c r="O28" s="321"/>
    </row>
    <row r="29" spans="2:26" s="322" customFormat="1" ht="18" customHeight="1">
      <c r="B29" s="323"/>
    </row>
    <row r="30" spans="2:26" s="322" customFormat="1" ht="36" customHeight="1">
      <c r="B30" s="691" t="str">
        <f>+B23</f>
        <v>Acción sobre el activo</v>
      </c>
      <c r="C30" s="691"/>
      <c r="D30" s="698" t="s">
        <v>131</v>
      </c>
      <c r="E30" s="700" t="s">
        <v>140</v>
      </c>
      <c r="F30" s="701"/>
      <c r="G30" s="701"/>
      <c r="H30" s="701"/>
      <c r="I30" s="702"/>
      <c r="J30" s="691" t="s">
        <v>132</v>
      </c>
      <c r="K30" s="691"/>
      <c r="L30" s="691"/>
      <c r="M30" s="700" t="s">
        <v>4273</v>
      </c>
      <c r="N30" s="702"/>
    </row>
    <row r="31" spans="2:26" s="322" customFormat="1" ht="50.1" customHeight="1">
      <c r="B31" s="691"/>
      <c r="C31" s="691"/>
      <c r="D31" s="699"/>
      <c r="E31" s="703"/>
      <c r="F31" s="704"/>
      <c r="G31" s="704"/>
      <c r="H31" s="704"/>
      <c r="I31" s="705"/>
      <c r="J31" s="691" t="s">
        <v>134</v>
      </c>
      <c r="K31" s="691"/>
      <c r="L31" s="325" t="s">
        <v>135</v>
      </c>
      <c r="M31" s="703"/>
      <c r="N31" s="705"/>
    </row>
    <row r="32" spans="2:26" s="322" customFormat="1" ht="32.1" customHeight="1">
      <c r="B32" s="716">
        <f>+'Análisis Técnico'!B131</f>
        <v>0</v>
      </c>
      <c r="C32" s="717"/>
      <c r="D32" s="326" t="str">
        <f>+'Análisis Técnico'!D131</f>
        <v>Mobiliario</v>
      </c>
      <c r="E32" s="692" t="str">
        <f>+'Análisis Técnico'!E131</f>
        <v>Mobiliario de sala de cuidado diurno</v>
      </c>
      <c r="F32" s="693">
        <f>+'Análisis Técnico'!F131</f>
        <v>0</v>
      </c>
      <c r="G32" s="693">
        <f>+'Análisis Técnico'!G131</f>
        <v>0</v>
      </c>
      <c r="H32" s="693">
        <f>+'Análisis Técnico'!H131</f>
        <v>0</v>
      </c>
      <c r="I32" s="694">
        <f>+'Análisis Técnico'!I131</f>
        <v>0</v>
      </c>
      <c r="J32" s="689" t="str">
        <f>+'Análisis Técnico'!J131</f>
        <v>Número de mobiliario</v>
      </c>
      <c r="K32" s="689">
        <f>+'Análisis Técnico'!K131</f>
        <v>0</v>
      </c>
      <c r="L32" s="338">
        <f>+'Análisis Técnico'!L131</f>
        <v>0</v>
      </c>
      <c r="M32" s="770"/>
      <c r="N32" s="771"/>
    </row>
    <row r="33" spans="2:18" s="322" customFormat="1" ht="32.1" customHeight="1">
      <c r="B33" s="716">
        <f>+'Análisis Técnico'!B132</f>
        <v>0</v>
      </c>
      <c r="C33" s="717"/>
      <c r="D33" s="326" t="str">
        <f>+'Análisis Técnico'!D132</f>
        <v>Mobiliario</v>
      </c>
      <c r="E33" s="692" t="str">
        <f>+'Análisis Técnico'!E132</f>
        <v>Mobiliario de ambiente de preparación y expendio de alimentos- Cuna Más</v>
      </c>
      <c r="F33" s="693">
        <f>+'Análisis Técnico'!F132</f>
        <v>0</v>
      </c>
      <c r="G33" s="693">
        <f>+'Análisis Técnico'!G132</f>
        <v>0</v>
      </c>
      <c r="H33" s="693">
        <f>+'Análisis Técnico'!H132</f>
        <v>0</v>
      </c>
      <c r="I33" s="694">
        <f>+'Análisis Técnico'!I132</f>
        <v>0</v>
      </c>
      <c r="J33" s="689" t="str">
        <f>+'Análisis Técnico'!J132</f>
        <v>Número de mobiliario</v>
      </c>
      <c r="K33" s="689">
        <f>+'Análisis Técnico'!K132</f>
        <v>0</v>
      </c>
      <c r="L33" s="338">
        <f>+'Análisis Técnico'!L132</f>
        <v>0</v>
      </c>
      <c r="M33" s="372"/>
      <c r="N33" s="373"/>
    </row>
    <row r="34" spans="2:18" ht="18.95" customHeight="1"/>
    <row r="35" spans="2:18" ht="18.95" customHeight="1"/>
    <row r="36" spans="2:18" s="322" customFormat="1" ht="18" customHeight="1">
      <c r="B36" s="695" t="s">
        <v>4271</v>
      </c>
      <c r="C36" s="695"/>
      <c r="D36" s="320" t="str">
        <f>+'Problema-Objetivo'!C46</f>
        <v/>
      </c>
      <c r="E36" s="321"/>
      <c r="F36" s="321"/>
      <c r="G36" s="321"/>
      <c r="H36" s="321"/>
      <c r="I36" s="321"/>
      <c r="J36" s="321"/>
      <c r="K36" s="321"/>
      <c r="L36" s="321"/>
      <c r="M36" s="321"/>
      <c r="N36" s="321"/>
      <c r="O36" s="321"/>
    </row>
    <row r="37" spans="2:18" s="322" customFormat="1" ht="18" customHeight="1">
      <c r="B37" s="323"/>
    </row>
    <row r="38" spans="2:18" s="322" customFormat="1" ht="36" customHeight="1">
      <c r="B38" s="691" t="str">
        <f>+B30</f>
        <v>Acción sobre el activo</v>
      </c>
      <c r="C38" s="691"/>
      <c r="D38" s="698" t="s">
        <v>131</v>
      </c>
      <c r="E38" s="700" t="s">
        <v>140</v>
      </c>
      <c r="F38" s="701"/>
      <c r="G38" s="701"/>
      <c r="H38" s="701"/>
      <c r="I38" s="702"/>
      <c r="J38" s="691" t="s">
        <v>132</v>
      </c>
      <c r="K38" s="691"/>
      <c r="L38" s="691"/>
      <c r="M38" s="700" t="s">
        <v>4273</v>
      </c>
      <c r="N38" s="702"/>
    </row>
    <row r="39" spans="2:18" s="322" customFormat="1" ht="50.1" customHeight="1">
      <c r="B39" s="691"/>
      <c r="C39" s="691"/>
      <c r="D39" s="699"/>
      <c r="E39" s="703"/>
      <c r="F39" s="704"/>
      <c r="G39" s="704"/>
      <c r="H39" s="704"/>
      <c r="I39" s="705"/>
      <c r="J39" s="691" t="s">
        <v>134</v>
      </c>
      <c r="K39" s="691"/>
      <c r="L39" s="325" t="s">
        <v>135</v>
      </c>
      <c r="M39" s="703"/>
      <c r="N39" s="705"/>
    </row>
    <row r="40" spans="2:18" s="322" customFormat="1" ht="32.1" customHeight="1">
      <c r="B40" s="450">
        <f>+'Análisis Técnico'!B138</f>
        <v>0</v>
      </c>
      <c r="C40" s="452"/>
      <c r="D40" s="326" t="str">
        <f>+'Análisis Técnico'!D138</f>
        <v>Intangibles</v>
      </c>
      <c r="E40" s="692" t="str">
        <f>+'Análisis Técnico'!E138</f>
        <v>Recursos humanos</v>
      </c>
      <c r="F40" s="693">
        <f>+'Análisis Técnico'!F138</f>
        <v>0</v>
      </c>
      <c r="G40" s="693">
        <f>+'Análisis Técnico'!G138</f>
        <v>0</v>
      </c>
      <c r="H40" s="693">
        <f>+'Análisis Técnico'!H138</f>
        <v>0</v>
      </c>
      <c r="I40" s="694">
        <f>+'Análisis Técnico'!I138</f>
        <v>0</v>
      </c>
      <c r="J40" s="689" t="str">
        <f>+'Análisis Técnico'!J138</f>
        <v>Número de eventos de capacitación</v>
      </c>
      <c r="K40" s="689">
        <f>+'Análisis Técnico'!K138</f>
        <v>0</v>
      </c>
      <c r="L40" s="338">
        <f>+'Análisis Técnico'!L138</f>
        <v>0</v>
      </c>
      <c r="M40" s="770"/>
      <c r="N40" s="771"/>
    </row>
    <row r="41" spans="2:18" ht="18.95" customHeight="1"/>
    <row r="42" spans="2:18" s="322" customFormat="1" ht="18" customHeight="1">
      <c r="B42" s="320" t="str">
        <f>+B46</f>
        <v>Medidas de reducción del riesgo de desastre y mitigación ambiental</v>
      </c>
      <c r="C42" s="320"/>
      <c r="D42" s="320"/>
      <c r="E42" s="321"/>
      <c r="F42" s="321"/>
      <c r="G42" s="321"/>
      <c r="H42" s="321"/>
      <c r="I42" s="321"/>
      <c r="J42" s="321"/>
      <c r="K42" s="321"/>
      <c r="L42" s="321"/>
      <c r="M42" s="321"/>
      <c r="N42" s="321"/>
      <c r="O42" s="321"/>
    </row>
    <row r="43" spans="2:18" s="322" customFormat="1" ht="18" customHeight="1">
      <c r="B43" s="323"/>
    </row>
    <row r="44" spans="2:18" s="322" customFormat="1" ht="36" customHeight="1">
      <c r="B44" s="691">
        <f>+B37</f>
        <v>0</v>
      </c>
      <c r="C44" s="691"/>
      <c r="D44" s="698"/>
      <c r="E44" s="700" t="s">
        <v>140</v>
      </c>
      <c r="F44" s="701"/>
      <c r="G44" s="701"/>
      <c r="H44" s="701"/>
      <c r="I44" s="702"/>
      <c r="J44" s="691" t="s">
        <v>132</v>
      </c>
      <c r="K44" s="691"/>
      <c r="L44" s="691"/>
      <c r="M44" s="698" t="s">
        <v>139</v>
      </c>
      <c r="N44" s="698" t="s">
        <v>4273</v>
      </c>
    </row>
    <row r="45" spans="2:18" s="322" customFormat="1" ht="50.1" customHeight="1">
      <c r="B45" s="691"/>
      <c r="C45" s="691"/>
      <c r="D45" s="699"/>
      <c r="E45" s="703"/>
      <c r="F45" s="704"/>
      <c r="G45" s="704"/>
      <c r="H45" s="704"/>
      <c r="I45" s="705"/>
      <c r="J45" s="691" t="s">
        <v>134</v>
      </c>
      <c r="K45" s="691"/>
      <c r="L45" s="325" t="s">
        <v>135</v>
      </c>
      <c r="M45" s="699"/>
      <c r="N45" s="699"/>
    </row>
    <row r="46" spans="2:18" s="322" customFormat="1" ht="15.95" customHeight="1">
      <c r="B46" s="339" t="s">
        <v>143</v>
      </c>
      <c r="C46" s="340"/>
      <c r="D46" s="340"/>
      <c r="E46" s="340"/>
      <c r="F46" s="340"/>
      <c r="G46" s="340"/>
      <c r="H46" s="340"/>
      <c r="I46" s="340"/>
      <c r="J46" s="340"/>
      <c r="K46" s="340"/>
      <c r="L46" s="340"/>
      <c r="M46" s="340"/>
      <c r="N46" s="341"/>
      <c r="O46" s="342"/>
      <c r="P46" s="342"/>
      <c r="Q46" s="342"/>
      <c r="R46" s="342"/>
    </row>
    <row r="47" spans="2:18" s="322" customFormat="1" ht="30.75" customHeight="1">
      <c r="B47" s="713">
        <f>+'Análisis Técnico'!G76</f>
        <v>0</v>
      </c>
      <c r="C47" s="714"/>
      <c r="D47" s="714"/>
      <c r="E47" s="714"/>
      <c r="F47" s="714"/>
      <c r="G47" s="714"/>
      <c r="H47" s="714"/>
      <c r="I47" s="715"/>
      <c r="J47" s="374"/>
      <c r="K47" s="374"/>
      <c r="L47" s="374"/>
      <c r="M47" s="375"/>
      <c r="N47" s="375"/>
      <c r="O47" s="342"/>
      <c r="P47" s="342"/>
      <c r="Q47" s="342"/>
      <c r="R47" s="342"/>
    </row>
    <row r="48" spans="2:18" s="322" customFormat="1" ht="30.75" customHeight="1">
      <c r="B48" s="713">
        <f>+'Análisis Técnico'!G77</f>
        <v>0</v>
      </c>
      <c r="C48" s="714"/>
      <c r="D48" s="714"/>
      <c r="E48" s="714"/>
      <c r="F48" s="714"/>
      <c r="G48" s="714"/>
      <c r="H48" s="714"/>
      <c r="I48" s="715"/>
      <c r="J48" s="374"/>
      <c r="K48" s="374"/>
      <c r="L48" s="374"/>
      <c r="M48" s="375"/>
      <c r="N48" s="375"/>
      <c r="O48" s="342"/>
      <c r="P48" s="342"/>
      <c r="Q48" s="342"/>
      <c r="R48" s="342"/>
    </row>
    <row r="49" spans="2:18" s="322" customFormat="1" ht="30.75" customHeight="1">
      <c r="B49" s="713">
        <f>+'Análisis Técnico'!G78</f>
        <v>0</v>
      </c>
      <c r="C49" s="714"/>
      <c r="D49" s="714"/>
      <c r="E49" s="714"/>
      <c r="F49" s="714"/>
      <c r="G49" s="714"/>
      <c r="H49" s="714"/>
      <c r="I49" s="715"/>
      <c r="J49" s="374"/>
      <c r="K49" s="374"/>
      <c r="L49" s="374"/>
      <c r="M49" s="375"/>
      <c r="N49" s="375"/>
      <c r="O49" s="342"/>
      <c r="P49" s="342"/>
      <c r="Q49" s="342"/>
      <c r="R49" s="342"/>
    </row>
    <row r="50" spans="2:18" s="322" customFormat="1" ht="30.75" customHeight="1">
      <c r="B50" s="713">
        <f>+'Análisis Técnico'!G79</f>
        <v>0</v>
      </c>
      <c r="C50" s="714"/>
      <c r="D50" s="714"/>
      <c r="E50" s="714"/>
      <c r="F50" s="714"/>
      <c r="G50" s="714"/>
      <c r="H50" s="714"/>
      <c r="I50" s="715"/>
      <c r="J50" s="374"/>
      <c r="K50" s="374"/>
      <c r="L50" s="374"/>
      <c r="M50" s="375"/>
      <c r="N50" s="375"/>
      <c r="O50" s="342"/>
      <c r="P50" s="342"/>
      <c r="Q50" s="342"/>
      <c r="R50" s="342"/>
    </row>
    <row r="51" spans="2:18" s="322" customFormat="1" ht="30.75" customHeight="1">
      <c r="B51" s="713">
        <f>+'Análisis Técnico'!G80</f>
        <v>0</v>
      </c>
      <c r="C51" s="714"/>
      <c r="D51" s="714"/>
      <c r="E51" s="714"/>
      <c r="F51" s="714"/>
      <c r="G51" s="714"/>
      <c r="H51" s="714"/>
      <c r="I51" s="715"/>
      <c r="J51" s="374"/>
      <c r="K51" s="374"/>
      <c r="L51" s="374"/>
      <c r="M51" s="375"/>
      <c r="N51" s="375"/>
      <c r="O51" s="342"/>
      <c r="P51" s="342"/>
      <c r="Q51" s="342"/>
      <c r="R51" s="342"/>
    </row>
    <row r="52" spans="2:18" s="322" customFormat="1" ht="30.75" customHeight="1">
      <c r="B52" s="713">
        <f>+'Análisis Técnico'!G81</f>
        <v>0</v>
      </c>
      <c r="C52" s="714"/>
      <c r="D52" s="714"/>
      <c r="E52" s="714"/>
      <c r="F52" s="714"/>
      <c r="G52" s="714"/>
      <c r="H52" s="714"/>
      <c r="I52" s="715"/>
      <c r="J52" s="374"/>
      <c r="K52" s="374"/>
      <c r="L52" s="374"/>
      <c r="M52" s="375"/>
      <c r="N52" s="375"/>
      <c r="O52" s="342"/>
      <c r="P52" s="342"/>
      <c r="Q52" s="342"/>
      <c r="R52" s="342"/>
    </row>
    <row r="53" spans="2:18" s="322" customFormat="1" ht="30.75" customHeight="1">
      <c r="B53" s="713">
        <f>+'Análisis Técnico'!G82</f>
        <v>0</v>
      </c>
      <c r="C53" s="714"/>
      <c r="D53" s="714"/>
      <c r="E53" s="714"/>
      <c r="F53" s="714"/>
      <c r="G53" s="714"/>
      <c r="H53" s="714"/>
      <c r="I53" s="715"/>
      <c r="J53" s="374"/>
      <c r="K53" s="374"/>
      <c r="L53" s="374"/>
      <c r="M53" s="375"/>
      <c r="N53" s="375"/>
      <c r="O53" s="342"/>
      <c r="P53" s="342"/>
      <c r="Q53" s="342"/>
      <c r="R53" s="342"/>
    </row>
    <row r="54" spans="2:18" s="322" customFormat="1" ht="30.75" customHeight="1">
      <c r="B54" s="713">
        <f>+'Análisis Técnico'!G83</f>
        <v>0</v>
      </c>
      <c r="C54" s="714"/>
      <c r="D54" s="714"/>
      <c r="E54" s="714"/>
      <c r="F54" s="714"/>
      <c r="G54" s="714"/>
      <c r="H54" s="714"/>
      <c r="I54" s="715"/>
      <c r="J54" s="374"/>
      <c r="K54" s="374"/>
      <c r="L54" s="374"/>
      <c r="M54" s="375"/>
      <c r="N54" s="375"/>
      <c r="O54" s="342"/>
      <c r="P54" s="342"/>
      <c r="Q54" s="342"/>
      <c r="R54" s="342"/>
    </row>
    <row r="55" spans="2:18" s="322" customFormat="1" ht="30.75" customHeight="1">
      <c r="B55" s="713">
        <f>+'Análisis Técnico'!G84</f>
        <v>0</v>
      </c>
      <c r="C55" s="714"/>
      <c r="D55" s="714"/>
      <c r="E55" s="714"/>
      <c r="F55" s="714"/>
      <c r="G55" s="714"/>
      <c r="H55" s="714"/>
      <c r="I55" s="715"/>
      <c r="J55" s="374"/>
      <c r="K55" s="374"/>
      <c r="L55" s="374"/>
      <c r="M55" s="375"/>
      <c r="N55" s="375"/>
      <c r="O55" s="342"/>
      <c r="P55" s="342"/>
      <c r="Q55" s="342"/>
      <c r="R55" s="342"/>
    </row>
    <row r="56" spans="2:18" s="322" customFormat="1" ht="30.75" customHeight="1">
      <c r="B56" s="713">
        <f>+'Análisis Técnico'!G85</f>
        <v>0</v>
      </c>
      <c r="C56" s="714"/>
      <c r="D56" s="714"/>
      <c r="E56" s="714"/>
      <c r="F56" s="714"/>
      <c r="G56" s="714"/>
      <c r="H56" s="714"/>
      <c r="I56" s="715"/>
      <c r="J56" s="374"/>
      <c r="K56" s="374"/>
      <c r="L56" s="374"/>
      <c r="M56" s="375"/>
      <c r="N56" s="375"/>
      <c r="O56" s="342"/>
      <c r="P56" s="342"/>
      <c r="Q56" s="342"/>
      <c r="R56" s="342"/>
    </row>
    <row r="57" spans="2:18" s="322" customFormat="1" ht="30.75" customHeight="1">
      <c r="B57" s="713">
        <f>+'Análisis Técnico'!G86</f>
        <v>0</v>
      </c>
      <c r="C57" s="714"/>
      <c r="D57" s="714"/>
      <c r="E57" s="714"/>
      <c r="F57" s="714"/>
      <c r="G57" s="714"/>
      <c r="H57" s="714"/>
      <c r="I57" s="715"/>
      <c r="J57" s="374"/>
      <c r="K57" s="374"/>
      <c r="L57" s="374"/>
      <c r="M57" s="375"/>
      <c r="N57" s="375"/>
      <c r="O57" s="342"/>
      <c r="P57" s="342"/>
      <c r="Q57" s="342"/>
      <c r="R57" s="342"/>
    </row>
    <row r="58" spans="2:18" s="322" customFormat="1" ht="30.75" customHeight="1">
      <c r="B58" s="713">
        <f>+'Análisis Técnico'!G87</f>
        <v>0</v>
      </c>
      <c r="C58" s="714"/>
      <c r="D58" s="714"/>
      <c r="E58" s="714"/>
      <c r="F58" s="714"/>
      <c r="G58" s="714"/>
      <c r="H58" s="714"/>
      <c r="I58" s="715"/>
      <c r="J58" s="374"/>
      <c r="K58" s="374"/>
      <c r="L58" s="374"/>
      <c r="M58" s="375"/>
      <c r="N58" s="375"/>
      <c r="O58" s="342"/>
      <c r="P58" s="342"/>
      <c r="Q58" s="342"/>
      <c r="R58" s="342"/>
    </row>
    <row r="59" spans="2:18" s="322" customFormat="1" ht="30.75" customHeight="1">
      <c r="B59" s="713">
        <f>+'Análisis Técnico'!G88</f>
        <v>0</v>
      </c>
      <c r="C59" s="714"/>
      <c r="D59" s="714"/>
      <c r="E59" s="714"/>
      <c r="F59" s="714"/>
      <c r="G59" s="714"/>
      <c r="H59" s="714"/>
      <c r="I59" s="715"/>
      <c r="J59" s="374"/>
      <c r="K59" s="374"/>
      <c r="L59" s="374"/>
      <c r="M59" s="375"/>
      <c r="N59" s="375"/>
      <c r="O59" s="342"/>
      <c r="P59" s="342"/>
      <c r="Q59" s="342"/>
      <c r="R59" s="342"/>
    </row>
    <row r="60" spans="2:18" s="322" customFormat="1" ht="30.75" customHeight="1">
      <c r="B60" s="713">
        <f>+'Análisis Técnico'!G89</f>
        <v>0</v>
      </c>
      <c r="C60" s="714"/>
      <c r="D60" s="714"/>
      <c r="E60" s="714"/>
      <c r="F60" s="714"/>
      <c r="G60" s="714"/>
      <c r="H60" s="714"/>
      <c r="I60" s="715"/>
      <c r="J60" s="374"/>
      <c r="K60" s="374"/>
      <c r="L60" s="374"/>
      <c r="M60" s="375"/>
      <c r="N60" s="375"/>
      <c r="O60" s="342"/>
      <c r="P60" s="342"/>
      <c r="Q60" s="342"/>
      <c r="R60" s="342"/>
    </row>
    <row r="61" spans="2:18" s="322" customFormat="1" ht="30.75" customHeight="1">
      <c r="B61" s="713">
        <f>+'Análisis Técnico'!G90</f>
        <v>0</v>
      </c>
      <c r="C61" s="714"/>
      <c r="D61" s="714"/>
      <c r="E61" s="714"/>
      <c r="F61" s="714"/>
      <c r="G61" s="714"/>
      <c r="H61" s="714"/>
      <c r="I61" s="715"/>
      <c r="J61" s="374"/>
      <c r="K61" s="374"/>
      <c r="L61" s="374"/>
      <c r="M61" s="375"/>
      <c r="N61" s="375"/>
      <c r="O61" s="342"/>
      <c r="P61" s="342"/>
      <c r="Q61" s="342"/>
      <c r="R61" s="342"/>
    </row>
    <row r="62" spans="2:18" s="322" customFormat="1" ht="30.75" customHeight="1">
      <c r="B62" s="713">
        <f>+'Análisis Técnico'!G91</f>
        <v>0</v>
      </c>
      <c r="C62" s="714"/>
      <c r="D62" s="714"/>
      <c r="E62" s="714"/>
      <c r="F62" s="714"/>
      <c r="G62" s="714"/>
      <c r="H62" s="714"/>
      <c r="I62" s="715"/>
      <c r="J62" s="374"/>
      <c r="K62" s="374"/>
      <c r="L62" s="374"/>
      <c r="M62" s="375"/>
      <c r="N62" s="375"/>
      <c r="O62" s="342"/>
      <c r="Q62" s="342"/>
      <c r="R62" s="342"/>
    </row>
    <row r="63" spans="2:18" s="342" customFormat="1" ht="6" customHeight="1"/>
    <row r="64" spans="2:18" s="342" customFormat="1" ht="26.1" customHeight="1">
      <c r="B64" s="764" t="s">
        <v>4276</v>
      </c>
      <c r="C64" s="764"/>
      <c r="D64" s="764"/>
      <c r="E64" s="764"/>
      <c r="F64" s="764"/>
      <c r="G64" s="764"/>
      <c r="H64" s="764"/>
      <c r="I64" s="764"/>
      <c r="J64" s="764"/>
      <c r="K64" s="764"/>
      <c r="L64" s="765"/>
      <c r="M64" s="772">
        <f>+SUM(N47:N62)+M40+M32+M25+SUM(O11:O19)+M33</f>
        <v>0</v>
      </c>
      <c r="N64" s="772"/>
    </row>
    <row r="65" spans="2:8" s="342" customFormat="1">
      <c r="B65" s="343"/>
      <c r="C65" s="343"/>
      <c r="D65" s="343"/>
      <c r="E65" s="343"/>
      <c r="F65" s="343"/>
      <c r="G65" s="343"/>
      <c r="H65" s="343"/>
    </row>
    <row r="66" spans="2:8" s="342" customFormat="1" ht="18.75" customHeight="1">
      <c r="B66" s="344" t="s">
        <v>4277</v>
      </c>
      <c r="C66" s="343"/>
      <c r="D66" s="343"/>
      <c r="E66" s="343"/>
      <c r="F66" s="343"/>
      <c r="G66" s="343"/>
      <c r="H66" s="343"/>
    </row>
    <row r="67" spans="2:8" s="342" customFormat="1"/>
    <row r="68" spans="2:8" s="342" customFormat="1" ht="39" customHeight="1">
      <c r="B68" s="728" t="s">
        <v>144</v>
      </c>
      <c r="C68" s="728"/>
      <c r="D68" s="728"/>
      <c r="E68" s="671" t="s">
        <v>145</v>
      </c>
      <c r="F68" s="671"/>
      <c r="G68" s="671" t="s">
        <v>4275</v>
      </c>
      <c r="H68" s="671"/>
    </row>
    <row r="69" spans="2:8" s="342" customFormat="1" ht="6.6" customHeight="1"/>
    <row r="70" spans="2:8" s="342" customFormat="1" ht="33.950000000000003" customHeight="1">
      <c r="B70" s="768" t="s">
        <v>146</v>
      </c>
      <c r="C70" s="768"/>
      <c r="D70" s="768"/>
      <c r="E70" s="766"/>
      <c r="F70" s="767"/>
      <c r="G70" s="762" t="str">
        <f>IF($M$64&gt;0,+E70/$M$64,"")</f>
        <v/>
      </c>
      <c r="H70" s="763"/>
    </row>
    <row r="71" spans="2:8" s="342" customFormat="1" ht="33.950000000000003" customHeight="1">
      <c r="B71" s="735" t="s">
        <v>147</v>
      </c>
      <c r="C71" s="735"/>
      <c r="D71" s="735"/>
      <c r="E71" s="766"/>
      <c r="F71" s="767"/>
      <c r="G71" s="762" t="str">
        <f t="shared" ref="G71:G74" si="1">IF($M$64&gt;0,+E71/$M$64,"")</f>
        <v/>
      </c>
      <c r="H71" s="763"/>
    </row>
    <row r="72" spans="2:8" s="342" customFormat="1" ht="33.950000000000003" customHeight="1">
      <c r="B72" s="768" t="s">
        <v>148</v>
      </c>
      <c r="C72" s="768"/>
      <c r="D72" s="768"/>
      <c r="E72" s="766"/>
      <c r="F72" s="767"/>
      <c r="G72" s="762" t="str">
        <f t="shared" si="1"/>
        <v/>
      </c>
      <c r="H72" s="763"/>
    </row>
    <row r="73" spans="2:8" s="342" customFormat="1" ht="33.950000000000003" customHeight="1">
      <c r="B73" s="768" t="s">
        <v>149</v>
      </c>
      <c r="C73" s="768"/>
      <c r="D73" s="768"/>
      <c r="E73" s="766"/>
      <c r="F73" s="767"/>
      <c r="G73" s="762" t="str">
        <f t="shared" si="1"/>
        <v/>
      </c>
      <c r="H73" s="763"/>
    </row>
    <row r="74" spans="2:8" s="342" customFormat="1" ht="33.950000000000003" customHeight="1">
      <c r="B74" s="768" t="s">
        <v>4274</v>
      </c>
      <c r="C74" s="768"/>
      <c r="D74" s="768"/>
      <c r="E74" s="766"/>
      <c r="F74" s="767"/>
      <c r="G74" s="762" t="str">
        <f t="shared" si="1"/>
        <v/>
      </c>
      <c r="H74" s="763"/>
    </row>
    <row r="75" spans="2:8" s="342" customFormat="1"/>
    <row r="76" spans="2:8" s="342" customFormat="1" ht="30.6" customHeight="1">
      <c r="B76" s="758" t="s">
        <v>150</v>
      </c>
      <c r="C76" s="758"/>
      <c r="D76" s="759"/>
      <c r="E76" s="769">
        <f>SUM(E70:F74)</f>
        <v>0</v>
      </c>
      <c r="F76" s="761"/>
    </row>
    <row r="77" spans="2:8" s="342" customFormat="1"/>
    <row r="78" spans="2:8" s="342" customFormat="1" ht="30.6" customHeight="1">
      <c r="B78" s="758" t="s">
        <v>151</v>
      </c>
      <c r="C78" s="758"/>
      <c r="D78" s="759"/>
      <c r="E78" s="760">
        <f>+E76+M64</f>
        <v>0</v>
      </c>
      <c r="F78" s="761"/>
      <c r="G78" s="345"/>
    </row>
    <row r="79" spans="2:8" s="342" customFormat="1"/>
    <row r="80" spans="2:8" s="342" customFormat="1"/>
    <row r="81" spans="2:15" s="13" customFormat="1" ht="18.95" customHeight="1">
      <c r="B81" s="21" t="s">
        <v>152</v>
      </c>
      <c r="C81" s="22"/>
      <c r="D81" s="23"/>
      <c r="E81" s="23"/>
      <c r="F81" s="23"/>
      <c r="G81" s="79"/>
      <c r="H81" s="23"/>
      <c r="I81" s="23"/>
      <c r="J81" s="23"/>
      <c r="K81" s="23"/>
      <c r="L81" s="24"/>
      <c r="M81" s="24"/>
      <c r="N81" s="24"/>
      <c r="O81" s="24"/>
    </row>
    <row r="82" spans="2:15" s="322" customFormat="1" ht="15.75">
      <c r="B82" s="336"/>
      <c r="C82" s="336"/>
      <c r="D82" s="336"/>
      <c r="E82" s="336"/>
      <c r="F82" s="336"/>
    </row>
    <row r="83" spans="2:15" s="346" customFormat="1" ht="17.45" customHeight="1">
      <c r="B83" s="728" t="s">
        <v>153</v>
      </c>
      <c r="C83" s="728"/>
      <c r="D83" s="728" t="s">
        <v>95</v>
      </c>
      <c r="E83" s="728" t="s">
        <v>135</v>
      </c>
      <c r="F83" s="671" t="s">
        <v>154</v>
      </c>
      <c r="G83" s="671"/>
      <c r="H83" s="671"/>
      <c r="I83" s="671"/>
      <c r="J83" s="671"/>
      <c r="K83" s="671"/>
      <c r="L83" s="671"/>
      <c r="M83" s="671"/>
      <c r="N83" s="671"/>
      <c r="O83" s="671"/>
    </row>
    <row r="84" spans="2:15" s="346" customFormat="1" ht="33.950000000000003" customHeight="1">
      <c r="B84" s="728"/>
      <c r="C84" s="728"/>
      <c r="D84" s="728"/>
      <c r="E84" s="728"/>
      <c r="F84" s="81" t="str">
        <f>+Brecha!E13</f>
        <v/>
      </c>
      <c r="G84" s="81" t="str">
        <f>+Brecha!F13</f>
        <v/>
      </c>
      <c r="H84" s="81" t="str">
        <f>+Brecha!G13</f>
        <v/>
      </c>
      <c r="I84" s="81" t="str">
        <f>+Brecha!H13</f>
        <v/>
      </c>
      <c r="J84" s="81" t="str">
        <f>+Brecha!I13</f>
        <v/>
      </c>
      <c r="K84" s="81" t="str">
        <f>+Brecha!J13</f>
        <v/>
      </c>
      <c r="L84" s="81" t="str">
        <f>+Brecha!K13</f>
        <v/>
      </c>
      <c r="M84" s="81" t="str">
        <f>+Brecha!L13</f>
        <v/>
      </c>
      <c r="N84" s="81" t="str">
        <f>+Brecha!M13</f>
        <v/>
      </c>
      <c r="O84" s="81" t="str">
        <f>+Brecha!N13</f>
        <v/>
      </c>
    </row>
    <row r="85" spans="2:15" s="342" customFormat="1" ht="5.0999999999999996" customHeight="1">
      <c r="B85" s="347"/>
      <c r="C85" s="347"/>
      <c r="D85" s="347"/>
      <c r="E85" s="347"/>
      <c r="F85" s="347"/>
      <c r="G85" s="347"/>
      <c r="H85" s="347"/>
      <c r="I85" s="347"/>
      <c r="J85" s="347"/>
      <c r="K85" s="347"/>
      <c r="L85" s="347"/>
      <c r="M85" s="347"/>
      <c r="N85" s="347"/>
    </row>
    <row r="86" spans="2:15" s="342" customFormat="1" ht="39" customHeight="1">
      <c r="B86" s="756"/>
      <c r="C86" s="756"/>
      <c r="D86" s="404"/>
      <c r="E86" s="403"/>
      <c r="F86" s="371"/>
      <c r="G86" s="371"/>
      <c r="H86" s="371"/>
      <c r="I86" s="371"/>
      <c r="J86" s="371"/>
      <c r="K86" s="371"/>
      <c r="L86" s="371"/>
      <c r="M86" s="371"/>
      <c r="N86" s="371"/>
      <c r="O86" s="371"/>
    </row>
    <row r="87" spans="2:15" s="342" customFormat="1" ht="39" customHeight="1">
      <c r="B87" s="756"/>
      <c r="C87" s="756"/>
      <c r="D87" s="404"/>
      <c r="E87" s="402"/>
      <c r="F87" s="371"/>
      <c r="G87" s="371"/>
      <c r="H87" s="371"/>
      <c r="I87" s="371"/>
      <c r="J87" s="371"/>
      <c r="K87" s="371"/>
      <c r="L87" s="371"/>
      <c r="M87" s="371"/>
      <c r="N87" s="371"/>
      <c r="O87" s="371"/>
    </row>
    <row r="88" spans="2:15" s="342" customFormat="1" ht="39" customHeight="1">
      <c r="B88" s="757"/>
      <c r="C88" s="757"/>
      <c r="D88" s="404"/>
      <c r="E88" s="402"/>
      <c r="F88" s="371"/>
      <c r="G88" s="371"/>
      <c r="H88" s="371"/>
      <c r="I88" s="371"/>
      <c r="J88" s="371"/>
      <c r="K88" s="371"/>
      <c r="L88" s="371"/>
      <c r="M88" s="371"/>
      <c r="N88" s="371"/>
      <c r="O88" s="371"/>
    </row>
    <row r="89" spans="2:15" s="342" customFormat="1" ht="39" customHeight="1">
      <c r="B89" s="757"/>
      <c r="C89" s="757"/>
      <c r="D89" s="404"/>
      <c r="E89" s="402"/>
      <c r="F89" s="371"/>
      <c r="G89" s="371"/>
      <c r="H89" s="371"/>
      <c r="I89" s="371"/>
      <c r="J89" s="371"/>
      <c r="K89" s="371"/>
      <c r="L89" s="371"/>
      <c r="M89" s="371"/>
      <c r="N89" s="371"/>
      <c r="O89" s="371"/>
    </row>
    <row r="90" spans="2:15" s="342" customFormat="1" ht="39" customHeight="1">
      <c r="B90" s="757"/>
      <c r="C90" s="757"/>
      <c r="D90" s="404"/>
      <c r="E90" s="402"/>
      <c r="F90" s="371"/>
      <c r="G90" s="371"/>
      <c r="H90" s="371"/>
      <c r="I90" s="371"/>
      <c r="J90" s="371"/>
      <c r="K90" s="371"/>
      <c r="L90" s="371"/>
      <c r="M90" s="371"/>
      <c r="N90" s="371"/>
      <c r="O90" s="371"/>
    </row>
    <row r="91" spans="2:15" s="342" customFormat="1" ht="39" customHeight="1">
      <c r="B91" s="757"/>
      <c r="C91" s="757"/>
      <c r="D91" s="404"/>
      <c r="E91" s="402"/>
      <c r="F91" s="371"/>
      <c r="G91" s="371"/>
      <c r="H91" s="371"/>
      <c r="I91" s="371"/>
      <c r="J91" s="371"/>
      <c r="K91" s="371"/>
      <c r="L91" s="371"/>
      <c r="M91" s="371"/>
      <c r="N91" s="371"/>
      <c r="O91" s="371"/>
    </row>
    <row r="92" spans="2:15" s="342" customFormat="1" ht="39" customHeight="1">
      <c r="B92" s="757"/>
      <c r="C92" s="757"/>
      <c r="D92" s="404"/>
      <c r="E92" s="402"/>
      <c r="F92" s="371"/>
      <c r="G92" s="371"/>
      <c r="H92" s="371"/>
      <c r="I92" s="371"/>
      <c r="J92" s="371"/>
      <c r="K92" s="371"/>
      <c r="L92" s="371"/>
      <c r="M92" s="371"/>
      <c r="N92" s="371"/>
      <c r="O92" s="371"/>
    </row>
    <row r="93" spans="2:15" s="342" customFormat="1" ht="39" customHeight="1">
      <c r="B93" s="757"/>
      <c r="C93" s="757"/>
      <c r="D93" s="404"/>
      <c r="E93" s="402"/>
      <c r="F93" s="371"/>
      <c r="G93" s="371"/>
      <c r="H93" s="371"/>
      <c r="I93" s="371"/>
      <c r="J93" s="371"/>
      <c r="K93" s="371"/>
      <c r="L93" s="371"/>
      <c r="M93" s="371"/>
      <c r="N93" s="371"/>
      <c r="O93" s="371"/>
    </row>
    <row r="94" spans="2:15" s="342" customFormat="1" ht="15.75">
      <c r="C94" s="314"/>
      <c r="E94" s="348"/>
      <c r="F94" s="331"/>
      <c r="G94" s="349"/>
      <c r="H94" s="331"/>
    </row>
    <row r="95" spans="2:15" s="13" customFormat="1" ht="18.95" customHeight="1">
      <c r="B95" s="21" t="s">
        <v>155</v>
      </c>
      <c r="C95" s="22"/>
      <c r="D95" s="23"/>
      <c r="E95" s="23"/>
      <c r="F95" s="23"/>
      <c r="G95" s="79"/>
      <c r="H95" s="23"/>
      <c r="I95" s="23"/>
      <c r="J95" s="23"/>
      <c r="K95" s="23"/>
      <c r="L95" s="24"/>
      <c r="M95" s="24"/>
      <c r="N95" s="24"/>
      <c r="O95" s="24"/>
    </row>
    <row r="96" spans="2:15" s="322" customFormat="1" ht="15.75">
      <c r="B96" s="336"/>
      <c r="C96" s="336"/>
      <c r="D96" s="336"/>
      <c r="E96" s="336"/>
      <c r="F96" s="336"/>
    </row>
    <row r="97" spans="2:20" s="342" customFormat="1">
      <c r="B97" s="746" t="s">
        <v>156</v>
      </c>
      <c r="C97" s="746"/>
      <c r="D97" s="746"/>
      <c r="E97" s="746"/>
      <c r="F97" s="746"/>
      <c r="G97" s="750">
        <f>+Horizonte!I18</f>
        <v>0</v>
      </c>
      <c r="H97" s="751"/>
    </row>
    <row r="98" spans="2:20" s="342" customFormat="1">
      <c r="B98" s="746" t="s">
        <v>157</v>
      </c>
      <c r="C98" s="746"/>
      <c r="D98" s="746"/>
      <c r="E98" s="746"/>
      <c r="F98" s="747"/>
      <c r="G98" s="748">
        <v>10</v>
      </c>
      <c r="H98" s="749"/>
    </row>
    <row r="99" spans="2:20" s="342" customFormat="1" ht="18" customHeight="1">
      <c r="C99" s="343"/>
      <c r="D99" s="343"/>
      <c r="E99" s="343"/>
      <c r="F99" s="343"/>
      <c r="G99" s="343"/>
      <c r="H99" s="343"/>
      <c r="I99" s="343"/>
    </row>
    <row r="100" spans="2:20" s="13" customFormat="1" ht="18" customHeight="1">
      <c r="B100" s="15" t="s">
        <v>4279</v>
      </c>
      <c r="H100" s="17"/>
      <c r="J100" s="15" t="s">
        <v>4281</v>
      </c>
      <c r="P100" s="17"/>
    </row>
    <row r="101" spans="2:20" s="13" customFormat="1" ht="18" customHeight="1">
      <c r="B101" s="535" t="s">
        <v>4134</v>
      </c>
      <c r="C101" s="536"/>
      <c r="D101" s="536"/>
      <c r="E101" s="537"/>
      <c r="F101" s="511" t="s">
        <v>4147</v>
      </c>
      <c r="G101" s="511"/>
      <c r="H101" s="511"/>
      <c r="J101" s="535" t="s">
        <v>4134</v>
      </c>
      <c r="K101" s="536"/>
      <c r="L101" s="536"/>
      <c r="M101" s="537"/>
      <c r="N101" s="511" t="s">
        <v>4147</v>
      </c>
      <c r="O101" s="511"/>
      <c r="P101" s="511"/>
    </row>
    <row r="102" spans="2:20" s="13" customFormat="1" ht="18" customHeight="1">
      <c r="B102" s="538"/>
      <c r="C102" s="539"/>
      <c r="D102" s="539"/>
      <c r="E102" s="540"/>
      <c r="F102" s="223" t="s">
        <v>135</v>
      </c>
      <c r="G102" s="223" t="s">
        <v>4135</v>
      </c>
      <c r="H102" s="223" t="s">
        <v>177</v>
      </c>
      <c r="J102" s="538"/>
      <c r="K102" s="539"/>
      <c r="L102" s="539"/>
      <c r="M102" s="540"/>
      <c r="N102" s="223" t="s">
        <v>135</v>
      </c>
      <c r="O102" s="223" t="s">
        <v>4135</v>
      </c>
      <c r="P102" s="223" t="s">
        <v>177</v>
      </c>
    </row>
    <row r="103" spans="2:20" s="13" customFormat="1" ht="18" customHeight="1">
      <c r="B103" s="13" t="s">
        <v>4148</v>
      </c>
      <c r="J103" s="13" t="s">
        <v>4148</v>
      </c>
    </row>
    <row r="104" spans="2:20" s="13" customFormat="1" ht="18" customHeight="1">
      <c r="B104" s="532" t="s">
        <v>4136</v>
      </c>
      <c r="C104" s="533"/>
      <c r="D104" s="533"/>
      <c r="E104" s="534"/>
      <c r="F104" s="350">
        <f>+'Unidad Productora'!F94</f>
        <v>0</v>
      </c>
      <c r="G104" s="225">
        <f>+'Unidad Productora'!G94</f>
        <v>0</v>
      </c>
      <c r="H104" s="225"/>
      <c r="J104" s="532" t="s">
        <v>4136</v>
      </c>
      <c r="K104" s="533"/>
      <c r="L104" s="533"/>
      <c r="M104" s="534"/>
      <c r="N104" s="406"/>
      <c r="O104" s="407"/>
      <c r="P104" s="351"/>
    </row>
    <row r="105" spans="2:20" s="13" customFormat="1" ht="18" customHeight="1">
      <c r="B105" s="541" t="s">
        <v>4137</v>
      </c>
      <c r="C105" s="542"/>
      <c r="D105" s="542"/>
      <c r="E105" s="543"/>
      <c r="F105" s="350">
        <f>+'Unidad Productora'!F95</f>
        <v>0</v>
      </c>
      <c r="G105" s="225">
        <f>+'Unidad Productora'!G95</f>
        <v>0</v>
      </c>
      <c r="H105" s="225">
        <f>+'Unidad Productora'!H95</f>
        <v>0</v>
      </c>
      <c r="J105" s="541" t="s">
        <v>4137</v>
      </c>
      <c r="K105" s="542"/>
      <c r="L105" s="542"/>
      <c r="M105" s="543"/>
      <c r="N105" s="376"/>
      <c r="O105" s="377"/>
      <c r="P105" s="351">
        <f>+O105*N105</f>
        <v>0</v>
      </c>
    </row>
    <row r="106" spans="2:20" s="13" customFormat="1" ht="18" customHeight="1">
      <c r="B106" s="541" t="s">
        <v>4138</v>
      </c>
      <c r="C106" s="542"/>
      <c r="D106" s="542"/>
      <c r="E106" s="543"/>
      <c r="F106" s="350">
        <f>+'Unidad Productora'!F96</f>
        <v>0</v>
      </c>
      <c r="G106" s="225">
        <f>+'Unidad Productora'!G96</f>
        <v>0</v>
      </c>
      <c r="H106" s="225">
        <f>+'Unidad Productora'!H96</f>
        <v>0</v>
      </c>
      <c r="J106" s="541" t="s">
        <v>4138</v>
      </c>
      <c r="K106" s="542"/>
      <c r="L106" s="542"/>
      <c r="M106" s="543"/>
      <c r="N106" s="376"/>
      <c r="O106" s="377"/>
      <c r="P106" s="351">
        <f t="shared" ref="P106:P121" si="2">+O106*N106</f>
        <v>0</v>
      </c>
    </row>
    <row r="107" spans="2:20" s="13" customFormat="1" ht="18" customHeight="1">
      <c r="B107" s="541" t="s">
        <v>4139</v>
      </c>
      <c r="C107" s="542"/>
      <c r="D107" s="542"/>
      <c r="E107" s="543"/>
      <c r="F107" s="350">
        <f>+'Unidad Productora'!F97</f>
        <v>0</v>
      </c>
      <c r="G107" s="225">
        <f>+'Unidad Productora'!G97</f>
        <v>0</v>
      </c>
      <c r="H107" s="225">
        <f>+'Unidad Productora'!H97</f>
        <v>0</v>
      </c>
      <c r="J107" s="541" t="s">
        <v>4139</v>
      </c>
      <c r="K107" s="542"/>
      <c r="L107" s="542"/>
      <c r="M107" s="543"/>
      <c r="N107" s="376"/>
      <c r="O107" s="377"/>
      <c r="P107" s="351">
        <f t="shared" si="2"/>
        <v>0</v>
      </c>
    </row>
    <row r="108" spans="2:20" s="13" customFormat="1" ht="18" customHeight="1">
      <c r="B108" s="541" t="s">
        <v>4140</v>
      </c>
      <c r="C108" s="542"/>
      <c r="D108" s="542"/>
      <c r="E108" s="543"/>
      <c r="F108" s="350">
        <f>+'Unidad Productora'!F98</f>
        <v>0</v>
      </c>
      <c r="G108" s="225">
        <f>+'Unidad Productora'!G98</f>
        <v>0</v>
      </c>
      <c r="H108" s="225">
        <f>+'Unidad Productora'!H98</f>
        <v>0</v>
      </c>
      <c r="J108" s="541" t="s">
        <v>4140</v>
      </c>
      <c r="K108" s="542"/>
      <c r="L108" s="542"/>
      <c r="M108" s="543"/>
      <c r="N108" s="376"/>
      <c r="O108" s="377"/>
      <c r="P108" s="351">
        <f t="shared" si="2"/>
        <v>0</v>
      </c>
      <c r="R108" s="352"/>
      <c r="S108" s="353"/>
      <c r="T108" s="352"/>
    </row>
    <row r="109" spans="2:20" s="13" customFormat="1" ht="18" customHeight="1">
      <c r="B109" s="541" t="s">
        <v>4141</v>
      </c>
      <c r="C109" s="542"/>
      <c r="D109" s="542"/>
      <c r="E109" s="543"/>
      <c r="F109" s="350">
        <f>+'Unidad Productora'!F99</f>
        <v>0</v>
      </c>
      <c r="G109" s="225">
        <f>+'Unidad Productora'!G99</f>
        <v>0</v>
      </c>
      <c r="H109" s="225">
        <f>+'Unidad Productora'!H99</f>
        <v>0</v>
      </c>
      <c r="J109" s="541" t="s">
        <v>4141</v>
      </c>
      <c r="K109" s="542"/>
      <c r="L109" s="542"/>
      <c r="M109" s="543"/>
      <c r="N109" s="376"/>
      <c r="O109" s="377"/>
      <c r="P109" s="351">
        <f t="shared" si="2"/>
        <v>0</v>
      </c>
    </row>
    <row r="110" spans="2:20" s="13" customFormat="1" ht="18" customHeight="1">
      <c r="B110" s="541" t="s">
        <v>4142</v>
      </c>
      <c r="C110" s="542"/>
      <c r="D110" s="542"/>
      <c r="E110" s="543"/>
      <c r="F110" s="350">
        <f>+'Unidad Productora'!F100</f>
        <v>0</v>
      </c>
      <c r="G110" s="225">
        <f>+'Unidad Productora'!G100</f>
        <v>0</v>
      </c>
      <c r="H110" s="225">
        <f>+'Unidad Productora'!H100</f>
        <v>0</v>
      </c>
      <c r="J110" s="541" t="s">
        <v>4142</v>
      </c>
      <c r="K110" s="542"/>
      <c r="L110" s="542"/>
      <c r="M110" s="543"/>
      <c r="N110" s="376"/>
      <c r="O110" s="377"/>
      <c r="P110" s="351">
        <f t="shared" si="2"/>
        <v>0</v>
      </c>
    </row>
    <row r="111" spans="2:20" s="13" customFormat="1" ht="18" customHeight="1">
      <c r="B111" s="532" t="s">
        <v>4143</v>
      </c>
      <c r="C111" s="533"/>
      <c r="D111" s="533"/>
      <c r="E111" s="534"/>
      <c r="F111" s="350">
        <f>+'Unidad Productora'!F101</f>
        <v>0</v>
      </c>
      <c r="G111" s="225">
        <f>+'Unidad Productora'!G101</f>
        <v>0</v>
      </c>
      <c r="H111" s="225">
        <f>+'Unidad Productora'!H101</f>
        <v>0</v>
      </c>
      <c r="J111" s="532" t="s">
        <v>4143</v>
      </c>
      <c r="K111" s="533"/>
      <c r="L111" s="533"/>
      <c r="M111" s="534"/>
      <c r="N111" s="376"/>
      <c r="O111" s="377"/>
      <c r="P111" s="351">
        <f t="shared" si="2"/>
        <v>0</v>
      </c>
    </row>
    <row r="112" spans="2:20" s="13" customFormat="1" ht="18" customHeight="1">
      <c r="B112" s="541" t="s">
        <v>4144</v>
      </c>
      <c r="C112" s="542"/>
      <c r="D112" s="542"/>
      <c r="E112" s="543"/>
      <c r="F112" s="350">
        <f>+'Unidad Productora'!F102</f>
        <v>0</v>
      </c>
      <c r="G112" s="225">
        <f>+'Unidad Productora'!G102</f>
        <v>0</v>
      </c>
      <c r="H112" s="225">
        <f>+'Unidad Productora'!H102</f>
        <v>0</v>
      </c>
      <c r="J112" s="541" t="s">
        <v>4144</v>
      </c>
      <c r="K112" s="542"/>
      <c r="L112" s="542"/>
      <c r="M112" s="543"/>
      <c r="N112" s="376"/>
      <c r="O112" s="377"/>
      <c r="P112" s="351">
        <f t="shared" si="2"/>
        <v>0</v>
      </c>
    </row>
    <row r="113" spans="2:16" s="13" customFormat="1" ht="18" customHeight="1">
      <c r="B113" s="541" t="s">
        <v>4145</v>
      </c>
      <c r="C113" s="542"/>
      <c r="D113" s="542"/>
      <c r="E113" s="543"/>
      <c r="F113" s="350">
        <f>+'Unidad Productora'!F103</f>
        <v>0</v>
      </c>
      <c r="G113" s="225">
        <f>+'Unidad Productora'!G103</f>
        <v>0</v>
      </c>
      <c r="H113" s="225">
        <f>+'Unidad Productora'!H103</f>
        <v>0</v>
      </c>
      <c r="J113" s="541" t="s">
        <v>4145</v>
      </c>
      <c r="K113" s="542"/>
      <c r="L113" s="542"/>
      <c r="M113" s="543"/>
      <c r="N113" s="376"/>
      <c r="O113" s="377"/>
      <c r="P113" s="351">
        <f t="shared" si="2"/>
        <v>0</v>
      </c>
    </row>
    <row r="114" spans="2:16" s="13" customFormat="1" ht="18" customHeight="1">
      <c r="B114" s="541" t="s">
        <v>4146</v>
      </c>
      <c r="C114" s="542"/>
      <c r="D114" s="542"/>
      <c r="E114" s="543"/>
      <c r="F114" s="350">
        <f>+'Unidad Productora'!F104</f>
        <v>0</v>
      </c>
      <c r="G114" s="225">
        <f>+'Unidad Productora'!G104</f>
        <v>0</v>
      </c>
      <c r="H114" s="225">
        <f>+'Unidad Productora'!H104</f>
        <v>0</v>
      </c>
      <c r="J114" s="541" t="s">
        <v>4146</v>
      </c>
      <c r="K114" s="542"/>
      <c r="L114" s="542"/>
      <c r="M114" s="543"/>
      <c r="N114" s="376"/>
      <c r="O114" s="377"/>
      <c r="P114" s="351">
        <f t="shared" si="2"/>
        <v>0</v>
      </c>
    </row>
    <row r="115" spans="2:16" s="13" customFormat="1" ht="18" customHeight="1">
      <c r="B115" s="13" t="s">
        <v>4278</v>
      </c>
      <c r="G115" s="354"/>
      <c r="H115" s="354"/>
      <c r="J115" s="13" t="s">
        <v>4278</v>
      </c>
      <c r="O115" s="354"/>
      <c r="P115" s="354"/>
    </row>
    <row r="116" spans="2:16" s="13" customFormat="1" ht="18" customHeight="1">
      <c r="B116" s="532" t="s">
        <v>4149</v>
      </c>
      <c r="C116" s="533"/>
      <c r="D116" s="533"/>
      <c r="E116" s="534"/>
      <c r="F116" s="350">
        <f>+'Unidad Productora'!F110</f>
        <v>0</v>
      </c>
      <c r="G116" s="225">
        <f>+'Unidad Productora'!G110</f>
        <v>0</v>
      </c>
      <c r="H116" s="225"/>
      <c r="J116" s="532" t="s">
        <v>4149</v>
      </c>
      <c r="K116" s="533"/>
      <c r="L116" s="533"/>
      <c r="M116" s="534"/>
      <c r="N116" s="406"/>
      <c r="O116" s="407"/>
      <c r="P116" s="351"/>
    </row>
    <row r="117" spans="2:16" s="13" customFormat="1" ht="18" customHeight="1">
      <c r="B117" s="541" t="s">
        <v>4150</v>
      </c>
      <c r="C117" s="542"/>
      <c r="D117" s="542"/>
      <c r="E117" s="543"/>
      <c r="F117" s="350">
        <f>+'Unidad Productora'!F111</f>
        <v>0</v>
      </c>
      <c r="G117" s="225">
        <f>+'Unidad Productora'!G111</f>
        <v>0</v>
      </c>
      <c r="H117" s="225">
        <f>+'Unidad Productora'!H111</f>
        <v>0</v>
      </c>
      <c r="J117" s="541" t="s">
        <v>4150</v>
      </c>
      <c r="K117" s="542"/>
      <c r="L117" s="542"/>
      <c r="M117" s="543"/>
      <c r="N117" s="376"/>
      <c r="O117" s="377"/>
      <c r="P117" s="351">
        <f t="shared" si="2"/>
        <v>0</v>
      </c>
    </row>
    <row r="118" spans="2:16" s="13" customFormat="1" ht="18" customHeight="1">
      <c r="B118" s="541" t="s">
        <v>4151</v>
      </c>
      <c r="C118" s="542"/>
      <c r="D118" s="542"/>
      <c r="E118" s="543"/>
      <c r="F118" s="350">
        <f>+'Unidad Productora'!F112</f>
        <v>0</v>
      </c>
      <c r="G118" s="225">
        <f>+'Unidad Productora'!G112</f>
        <v>0</v>
      </c>
      <c r="H118" s="225">
        <f>+'Unidad Productora'!H112</f>
        <v>0</v>
      </c>
      <c r="J118" s="541" t="s">
        <v>4151</v>
      </c>
      <c r="K118" s="542"/>
      <c r="L118" s="542"/>
      <c r="M118" s="543"/>
      <c r="N118" s="376"/>
      <c r="O118" s="377"/>
      <c r="P118" s="351">
        <f t="shared" si="2"/>
        <v>0</v>
      </c>
    </row>
    <row r="119" spans="2:16" s="13" customFormat="1" ht="18" customHeight="1">
      <c r="B119" s="541" t="s">
        <v>4152</v>
      </c>
      <c r="C119" s="542"/>
      <c r="D119" s="542"/>
      <c r="E119" s="543"/>
      <c r="F119" s="350">
        <f>+'Unidad Productora'!F113</f>
        <v>0</v>
      </c>
      <c r="G119" s="225">
        <f>+'Unidad Productora'!G113</f>
        <v>0</v>
      </c>
      <c r="H119" s="225">
        <f>+'Unidad Productora'!H113</f>
        <v>0</v>
      </c>
      <c r="J119" s="541" t="s">
        <v>4152</v>
      </c>
      <c r="K119" s="542"/>
      <c r="L119" s="542"/>
      <c r="M119" s="543"/>
      <c r="N119" s="376"/>
      <c r="O119" s="377"/>
      <c r="P119" s="351">
        <f t="shared" si="2"/>
        <v>0</v>
      </c>
    </row>
    <row r="120" spans="2:16" s="13" customFormat="1" ht="18" customHeight="1">
      <c r="B120" s="541" t="s">
        <v>4153</v>
      </c>
      <c r="C120" s="542"/>
      <c r="D120" s="542"/>
      <c r="E120" s="543"/>
      <c r="F120" s="350">
        <f>+'Unidad Productora'!F114</f>
        <v>0</v>
      </c>
      <c r="G120" s="225">
        <f>+'Unidad Productora'!G114</f>
        <v>0</v>
      </c>
      <c r="H120" s="225">
        <f>+'Unidad Productora'!H114</f>
        <v>0</v>
      </c>
      <c r="J120" s="541" t="s">
        <v>4153</v>
      </c>
      <c r="K120" s="542"/>
      <c r="L120" s="542"/>
      <c r="M120" s="543"/>
      <c r="N120" s="376"/>
      <c r="O120" s="377"/>
      <c r="P120" s="351">
        <f t="shared" si="2"/>
        <v>0</v>
      </c>
    </row>
    <row r="121" spans="2:16" s="13" customFormat="1" ht="18" customHeight="1">
      <c r="B121" s="541" t="s">
        <v>4280</v>
      </c>
      <c r="C121" s="542"/>
      <c r="D121" s="542"/>
      <c r="E121" s="543"/>
      <c r="F121" s="350">
        <f>+'Unidad Productora'!F115</f>
        <v>0</v>
      </c>
      <c r="G121" s="225">
        <f>+'Unidad Productora'!G115</f>
        <v>0</v>
      </c>
      <c r="H121" s="355">
        <f>+'Unidad Productora'!H115</f>
        <v>0</v>
      </c>
      <c r="J121" s="541" t="s">
        <v>4280</v>
      </c>
      <c r="K121" s="542"/>
      <c r="L121" s="542"/>
      <c r="M121" s="543"/>
      <c r="N121" s="376"/>
      <c r="O121" s="377"/>
      <c r="P121" s="356">
        <f t="shared" si="2"/>
        <v>0</v>
      </c>
    </row>
    <row r="122" spans="2:16" s="13" customFormat="1" ht="18" customHeight="1">
      <c r="H122" s="357">
        <f>SUM(H105:H121)</f>
        <v>0</v>
      </c>
      <c r="I122" s="20"/>
      <c r="J122" s="20"/>
      <c r="K122" s="20"/>
      <c r="L122" s="20"/>
      <c r="M122" s="20"/>
      <c r="N122" s="20"/>
      <c r="O122" s="20"/>
      <c r="P122" s="357">
        <f>SUM(P105:P121)</f>
        <v>0</v>
      </c>
    </row>
    <row r="123" spans="2:16" s="13" customFormat="1" ht="18" customHeight="1"/>
    <row r="124" spans="2:16" s="13" customFormat="1" ht="18.95" customHeight="1">
      <c r="B124" s="21" t="s">
        <v>158</v>
      </c>
      <c r="C124" s="22"/>
      <c r="D124" s="23"/>
      <c r="E124" s="23"/>
      <c r="F124" s="23"/>
      <c r="G124" s="79"/>
      <c r="H124" s="23"/>
      <c r="I124" s="23"/>
      <c r="J124" s="23"/>
      <c r="K124" s="23"/>
      <c r="L124" s="24"/>
      <c r="M124" s="24"/>
      <c r="N124" s="24"/>
      <c r="O124" s="24"/>
    </row>
    <row r="125" spans="2:16" s="342" customFormat="1"/>
    <row r="126" spans="2:16" s="342" customFormat="1" ht="15.75">
      <c r="B126" s="358" t="s">
        <v>159</v>
      </c>
      <c r="F126" s="750">
        <f>+Horizonte!I12</f>
        <v>0</v>
      </c>
      <c r="G126" s="751"/>
      <c r="H126" s="346" t="s">
        <v>160</v>
      </c>
    </row>
    <row r="127" spans="2:16" s="342" customFormat="1">
      <c r="B127" s="358" t="s">
        <v>161</v>
      </c>
      <c r="F127" s="752" t="s">
        <v>4293</v>
      </c>
      <c r="G127" s="753"/>
    </row>
    <row r="128" spans="2:16" s="342" customFormat="1" ht="15.75">
      <c r="B128" s="358" t="s">
        <v>162</v>
      </c>
      <c r="F128" s="754"/>
      <c r="G128" s="755"/>
      <c r="H128" s="346" t="s">
        <v>163</v>
      </c>
    </row>
    <row r="129" spans="2:18" s="342" customFormat="1"/>
    <row r="130" spans="2:18" s="342" customFormat="1" ht="15" customHeight="1">
      <c r="B130" s="719" t="s">
        <v>4282</v>
      </c>
      <c r="C130" s="720"/>
      <c r="D130" s="720"/>
      <c r="E130" s="720"/>
      <c r="F130" s="721"/>
      <c r="G130" s="671" t="s">
        <v>131</v>
      </c>
      <c r="H130" s="671"/>
      <c r="I130" s="728" t="s">
        <v>4284</v>
      </c>
      <c r="J130" s="728"/>
      <c r="K130" s="728"/>
      <c r="L130" s="728"/>
      <c r="M130" s="728"/>
      <c r="N130" s="728"/>
      <c r="O130" s="728"/>
      <c r="P130" s="728"/>
      <c r="Q130" s="671" t="s">
        <v>164</v>
      </c>
      <c r="R130" s="671"/>
    </row>
    <row r="131" spans="2:18" s="342" customFormat="1" ht="27" customHeight="1">
      <c r="B131" s="722"/>
      <c r="C131" s="723"/>
      <c r="D131" s="723"/>
      <c r="E131" s="723"/>
      <c r="F131" s="724"/>
      <c r="G131" s="671"/>
      <c r="H131" s="671"/>
      <c r="I131" s="728" t="s">
        <v>4285</v>
      </c>
      <c r="J131" s="728" t="s">
        <v>4286</v>
      </c>
      <c r="K131" s="728" t="s">
        <v>4287</v>
      </c>
      <c r="L131" s="728" t="s">
        <v>4288</v>
      </c>
      <c r="M131" s="728" t="s">
        <v>4289</v>
      </c>
      <c r="N131" s="728" t="s">
        <v>4290</v>
      </c>
      <c r="O131" s="728" t="s">
        <v>4291</v>
      </c>
      <c r="P131" s="728" t="s">
        <v>4292</v>
      </c>
      <c r="Q131" s="671"/>
      <c r="R131" s="671"/>
    </row>
    <row r="132" spans="2:18" s="342" customFormat="1" ht="27.95" customHeight="1">
      <c r="B132" s="725"/>
      <c r="C132" s="726"/>
      <c r="D132" s="726"/>
      <c r="E132" s="726"/>
      <c r="F132" s="727"/>
      <c r="G132" s="671"/>
      <c r="H132" s="671"/>
      <c r="I132" s="728"/>
      <c r="J132" s="728"/>
      <c r="K132" s="728"/>
      <c r="L132" s="728"/>
      <c r="M132" s="728"/>
      <c r="N132" s="728"/>
      <c r="O132" s="728"/>
      <c r="P132" s="728"/>
      <c r="Q132" s="671"/>
      <c r="R132" s="671"/>
    </row>
    <row r="133" spans="2:18" s="342" customFormat="1" ht="8.1" customHeight="1"/>
    <row r="134" spans="2:18" s="322" customFormat="1" ht="15.95" customHeight="1">
      <c r="B134" s="709" t="s">
        <v>141</v>
      </c>
      <c r="C134" s="710"/>
      <c r="D134" s="710"/>
      <c r="E134" s="711"/>
      <c r="F134" s="712"/>
      <c r="G134" s="718"/>
      <c r="H134" s="712"/>
      <c r="I134" s="359"/>
      <c r="J134" s="359"/>
      <c r="K134" s="359"/>
      <c r="L134" s="359"/>
      <c r="M134" s="359"/>
      <c r="N134" s="359"/>
      <c r="O134" s="359"/>
      <c r="P134" s="359"/>
      <c r="Q134" s="718"/>
      <c r="R134" s="712"/>
    </row>
    <row r="135" spans="2:18" s="322" customFormat="1" ht="27.75" customHeight="1">
      <c r="B135" s="713" t="str">
        <f>+D6</f>
        <v/>
      </c>
      <c r="C135" s="714"/>
      <c r="D135" s="714"/>
      <c r="E135" s="714"/>
      <c r="F135" s="715"/>
      <c r="G135" s="718" t="s">
        <v>66</v>
      </c>
      <c r="H135" s="712"/>
      <c r="I135" s="375"/>
      <c r="J135" s="375"/>
      <c r="K135" s="375"/>
      <c r="L135" s="375"/>
      <c r="M135" s="375"/>
      <c r="N135" s="375"/>
      <c r="O135" s="375"/>
      <c r="P135" s="375"/>
      <c r="Q135" s="730">
        <f>+SUM(O11:O19)</f>
        <v>0</v>
      </c>
      <c r="R135" s="731"/>
    </row>
    <row r="136" spans="2:18" s="322" customFormat="1" ht="15.95" customHeight="1">
      <c r="B136" s="709" t="s">
        <v>142</v>
      </c>
      <c r="C136" s="710"/>
      <c r="D136" s="710"/>
      <c r="E136" s="711"/>
      <c r="F136" s="712"/>
      <c r="G136" s="718"/>
      <c r="H136" s="712"/>
      <c r="I136" s="359"/>
      <c r="J136" s="359"/>
      <c r="K136" s="359"/>
      <c r="L136" s="359"/>
      <c r="M136" s="359"/>
      <c r="N136" s="359"/>
      <c r="O136" s="359"/>
      <c r="P136" s="359"/>
      <c r="Q136" s="718"/>
      <c r="R136" s="712"/>
    </row>
    <row r="137" spans="2:18" s="322" customFormat="1" ht="27.75" customHeight="1">
      <c r="B137" s="713" t="str">
        <f>+D21</f>
        <v/>
      </c>
      <c r="C137" s="714"/>
      <c r="D137" s="714"/>
      <c r="E137" s="714"/>
      <c r="F137" s="715"/>
      <c r="G137" s="718" t="s">
        <v>68</v>
      </c>
      <c r="H137" s="712"/>
      <c r="I137" s="375"/>
      <c r="J137" s="375"/>
      <c r="K137" s="375"/>
      <c r="L137" s="375"/>
      <c r="M137" s="375"/>
      <c r="N137" s="375"/>
      <c r="O137" s="375"/>
      <c r="P137" s="375"/>
      <c r="Q137" s="730">
        <f>SUM(M25)</f>
        <v>0</v>
      </c>
      <c r="R137" s="731"/>
    </row>
    <row r="138" spans="2:18" s="322" customFormat="1" ht="15.95" customHeight="1">
      <c r="B138" s="709" t="s">
        <v>4272</v>
      </c>
      <c r="C138" s="710"/>
      <c r="D138" s="710"/>
      <c r="E138" s="711"/>
      <c r="F138" s="712"/>
      <c r="G138" s="718"/>
      <c r="H138" s="712"/>
      <c r="I138" s="359"/>
      <c r="J138" s="359"/>
      <c r="K138" s="359"/>
      <c r="L138" s="359"/>
      <c r="M138" s="359"/>
      <c r="N138" s="359"/>
      <c r="O138" s="359"/>
      <c r="P138" s="359"/>
      <c r="Q138" s="718"/>
      <c r="R138" s="712"/>
    </row>
    <row r="139" spans="2:18" s="322" customFormat="1" ht="27.75" customHeight="1">
      <c r="B139" s="713" t="str">
        <f>+D28</f>
        <v/>
      </c>
      <c r="C139" s="714"/>
      <c r="D139" s="714"/>
      <c r="E139" s="714"/>
      <c r="F139" s="715"/>
      <c r="G139" s="718" t="s">
        <v>137</v>
      </c>
      <c r="H139" s="712"/>
      <c r="I139" s="375"/>
      <c r="J139" s="375"/>
      <c r="K139" s="375"/>
      <c r="L139" s="375"/>
      <c r="M139" s="375"/>
      <c r="N139" s="375"/>
      <c r="O139" s="375"/>
      <c r="P139" s="375"/>
      <c r="Q139" s="730">
        <f>SUM(M32:N33)</f>
        <v>0</v>
      </c>
      <c r="R139" s="731"/>
    </row>
    <row r="140" spans="2:18" s="322" customFormat="1" ht="15.95" customHeight="1">
      <c r="B140" s="709" t="s">
        <v>4271</v>
      </c>
      <c r="C140" s="710"/>
      <c r="D140" s="710"/>
      <c r="E140" s="711"/>
      <c r="F140" s="712"/>
      <c r="G140" s="718"/>
      <c r="H140" s="712"/>
      <c r="I140" s="359"/>
      <c r="J140" s="359"/>
      <c r="K140" s="359"/>
      <c r="L140" s="359"/>
      <c r="M140" s="359"/>
      <c r="N140" s="359"/>
      <c r="O140" s="359"/>
      <c r="P140" s="359"/>
      <c r="Q140" s="729"/>
      <c r="R140" s="712"/>
    </row>
    <row r="141" spans="2:18" s="322" customFormat="1" ht="27.75" customHeight="1">
      <c r="B141" s="713" t="str">
        <f>+D36</f>
        <v/>
      </c>
      <c r="C141" s="714"/>
      <c r="D141" s="714"/>
      <c r="E141" s="714"/>
      <c r="F141" s="715"/>
      <c r="G141" s="718" t="s">
        <v>124</v>
      </c>
      <c r="H141" s="712"/>
      <c r="I141" s="375"/>
      <c r="J141" s="375"/>
      <c r="K141" s="375"/>
      <c r="L141" s="375"/>
      <c r="M141" s="375"/>
      <c r="N141" s="375"/>
      <c r="O141" s="375"/>
      <c r="P141" s="375"/>
      <c r="Q141" s="730">
        <f>SUM(M40)</f>
        <v>0</v>
      </c>
      <c r="R141" s="731"/>
    </row>
    <row r="142" spans="2:18" s="322" customFormat="1" ht="15.95" customHeight="1">
      <c r="B142" s="360" t="s">
        <v>143</v>
      </c>
      <c r="C142" s="340"/>
      <c r="D142" s="340"/>
      <c r="E142" s="340"/>
      <c r="F142" s="340"/>
      <c r="G142" s="340"/>
      <c r="H142" s="340"/>
      <c r="I142" s="359"/>
      <c r="J142" s="359"/>
      <c r="K142" s="359"/>
      <c r="L142" s="359"/>
      <c r="M142" s="359"/>
      <c r="N142" s="359"/>
      <c r="O142" s="359"/>
      <c r="P142" s="359"/>
      <c r="Q142" s="342"/>
      <c r="R142" s="342"/>
    </row>
    <row r="143" spans="2:18" s="322" customFormat="1" ht="30.75" customHeight="1" thickBot="1">
      <c r="B143" s="713" t="s">
        <v>4283</v>
      </c>
      <c r="C143" s="714"/>
      <c r="D143" s="714"/>
      <c r="E143" s="714"/>
      <c r="F143" s="715"/>
      <c r="G143" s="745"/>
      <c r="H143" s="745"/>
      <c r="I143" s="375"/>
      <c r="J143" s="375"/>
      <c r="K143" s="375"/>
      <c r="L143" s="375"/>
      <c r="M143" s="375"/>
      <c r="N143" s="375"/>
      <c r="O143" s="375"/>
      <c r="P143" s="375"/>
      <c r="Q143" s="730">
        <f>SUM(N47:N62)</f>
        <v>0</v>
      </c>
      <c r="R143" s="731"/>
    </row>
    <row r="144" spans="2:18" s="342" customFormat="1" ht="36.6" customHeight="1" thickBot="1">
      <c r="B144" s="739" t="s">
        <v>165</v>
      </c>
      <c r="C144" s="739"/>
      <c r="D144" s="739"/>
      <c r="E144" s="739"/>
      <c r="F144" s="739"/>
      <c r="G144" s="739"/>
      <c r="H144" s="739"/>
      <c r="I144" s="739"/>
      <c r="J144" s="739"/>
      <c r="K144" s="739"/>
      <c r="L144" s="739"/>
      <c r="M144" s="739"/>
      <c r="N144" s="739"/>
      <c r="O144" s="739"/>
      <c r="P144" s="740"/>
      <c r="Q144" s="741">
        <f>+Q135+Q137+Q139+Q141+Q143</f>
        <v>0</v>
      </c>
      <c r="R144" s="742"/>
    </row>
    <row r="145" spans="2:19" s="342" customFormat="1" ht="8.1" customHeight="1"/>
    <row r="146" spans="2:19" s="342" customFormat="1" ht="40.5" customHeight="1">
      <c r="B146" s="667" t="s">
        <v>144</v>
      </c>
      <c r="C146" s="669"/>
      <c r="D146" s="325" t="str">
        <f>+I131</f>
        <v>Tri 1</v>
      </c>
      <c r="E146" s="325" t="str">
        <f t="shared" ref="E146:K146" si="3">+J131</f>
        <v>Tri 2</v>
      </c>
      <c r="F146" s="325" t="str">
        <f t="shared" si="3"/>
        <v>Tri 3</v>
      </c>
      <c r="G146" s="325" t="str">
        <f t="shared" si="3"/>
        <v>Tri 4</v>
      </c>
      <c r="H146" s="325" t="str">
        <f t="shared" si="3"/>
        <v>Tri 5</v>
      </c>
      <c r="I146" s="325" t="str">
        <f t="shared" si="3"/>
        <v>Tri 6</v>
      </c>
      <c r="J146" s="325" t="str">
        <f t="shared" si="3"/>
        <v>Tri 7</v>
      </c>
      <c r="K146" s="325" t="str">
        <f t="shared" si="3"/>
        <v>Tri 8</v>
      </c>
      <c r="L146" s="743" t="s">
        <v>167</v>
      </c>
      <c r="M146" s="744"/>
    </row>
    <row r="147" spans="2:19" s="342" customFormat="1" ht="8.1" customHeight="1"/>
    <row r="148" spans="2:19" s="342" customFormat="1" ht="35.1" customHeight="1">
      <c r="B148" s="735" t="str">
        <f>+B70</f>
        <v>Gestión del proyecto</v>
      </c>
      <c r="C148" s="735"/>
      <c r="D148" s="375"/>
      <c r="E148" s="375"/>
      <c r="F148" s="375"/>
      <c r="G148" s="375"/>
      <c r="H148" s="375"/>
      <c r="I148" s="375"/>
      <c r="J148" s="375"/>
      <c r="K148" s="375"/>
      <c r="L148" s="736">
        <f>+E70</f>
        <v>0</v>
      </c>
      <c r="M148" s="736"/>
    </row>
    <row r="149" spans="2:19" s="342" customFormat="1" ht="39" customHeight="1">
      <c r="B149" s="735" t="str">
        <f>+B71</f>
        <v>Expediente técnico o documento equivalente</v>
      </c>
      <c r="C149" s="735"/>
      <c r="D149" s="375"/>
      <c r="E149" s="375"/>
      <c r="F149" s="375"/>
      <c r="G149" s="375"/>
      <c r="H149" s="375"/>
      <c r="I149" s="375"/>
      <c r="J149" s="375"/>
      <c r="K149" s="375"/>
      <c r="L149" s="736">
        <f>+E71</f>
        <v>0</v>
      </c>
      <c r="M149" s="736"/>
    </row>
    <row r="150" spans="2:19" s="342" customFormat="1" ht="32.1" customHeight="1">
      <c r="B150" s="735" t="str">
        <f>+B72</f>
        <v>Supervisión</v>
      </c>
      <c r="C150" s="735"/>
      <c r="D150" s="375"/>
      <c r="E150" s="375"/>
      <c r="F150" s="375"/>
      <c r="G150" s="375"/>
      <c r="H150" s="375"/>
      <c r="I150" s="375"/>
      <c r="J150" s="375"/>
      <c r="K150" s="375"/>
      <c r="L150" s="736">
        <f>+E72</f>
        <v>0</v>
      </c>
      <c r="M150" s="736"/>
    </row>
    <row r="151" spans="2:19" s="342" customFormat="1" ht="32.1" customHeight="1">
      <c r="B151" s="735" t="str">
        <f>+B73</f>
        <v>Liquidación</v>
      </c>
      <c r="C151" s="735"/>
      <c r="D151" s="375"/>
      <c r="E151" s="375"/>
      <c r="F151" s="375"/>
      <c r="G151" s="375"/>
      <c r="H151" s="375"/>
      <c r="I151" s="375"/>
      <c r="J151" s="375"/>
      <c r="K151" s="375"/>
      <c r="L151" s="736">
        <f>+E73</f>
        <v>0</v>
      </c>
      <c r="M151" s="736"/>
    </row>
    <row r="152" spans="2:19" s="342" customFormat="1" ht="32.1" customHeight="1" thickBot="1">
      <c r="B152" s="735" t="str">
        <f>+B74</f>
        <v>Gastos generales</v>
      </c>
      <c r="C152" s="735"/>
      <c r="D152" s="375"/>
      <c r="E152" s="375"/>
      <c r="F152" s="375"/>
      <c r="G152" s="375"/>
      <c r="H152" s="375"/>
      <c r="I152" s="375"/>
      <c r="J152" s="375"/>
      <c r="K152" s="375"/>
      <c r="L152" s="736">
        <f>+E74</f>
        <v>0</v>
      </c>
      <c r="M152" s="736"/>
    </row>
    <row r="153" spans="2:19" s="342" customFormat="1" ht="32.1" customHeight="1" thickBot="1">
      <c r="B153" s="732" t="s">
        <v>165</v>
      </c>
      <c r="C153" s="732"/>
      <c r="D153" s="732"/>
      <c r="E153" s="732"/>
      <c r="F153" s="732"/>
      <c r="G153" s="732"/>
      <c r="H153" s="732"/>
      <c r="I153" s="732"/>
      <c r="J153" s="732"/>
      <c r="K153" s="732"/>
      <c r="L153" s="737">
        <f>SUM(L148:M152)</f>
        <v>0</v>
      </c>
      <c r="M153" s="738"/>
    </row>
    <row r="154" spans="2:19" s="342" customFormat="1" ht="32.1" customHeight="1" thickBot="1">
      <c r="B154" s="732" t="s">
        <v>169</v>
      </c>
      <c r="C154" s="732"/>
      <c r="D154" s="732"/>
      <c r="E154" s="732"/>
      <c r="F154" s="732"/>
      <c r="G154" s="732"/>
      <c r="H154" s="732"/>
      <c r="I154" s="732"/>
      <c r="J154" s="732"/>
      <c r="K154" s="732"/>
      <c r="L154" s="737">
        <f>+L153+Q144</f>
        <v>0</v>
      </c>
      <c r="M154" s="738"/>
    </row>
    <row r="155" spans="2:19" s="342" customFormat="1" ht="32.1" customHeight="1" thickBot="1">
      <c r="B155" s="362"/>
      <c r="C155" s="362"/>
      <c r="D155" s="362"/>
      <c r="E155" s="362"/>
      <c r="F155" s="362"/>
      <c r="G155" s="362"/>
      <c r="H155" s="362"/>
      <c r="I155" s="362"/>
      <c r="J155" s="362"/>
      <c r="K155" s="362"/>
    </row>
    <row r="156" spans="2:19" s="342" customFormat="1" ht="32.1" customHeight="1" thickBot="1">
      <c r="B156" s="732" t="s">
        <v>4421</v>
      </c>
      <c r="C156" s="732"/>
      <c r="D156" s="732"/>
      <c r="E156" s="732"/>
      <c r="F156" s="732"/>
      <c r="G156" s="732"/>
      <c r="H156" s="732"/>
      <c r="I156" s="732"/>
      <c r="J156" s="732"/>
      <c r="K156" s="732"/>
      <c r="L156" s="733"/>
      <c r="M156" s="734"/>
      <c r="N156" s="322" t="s">
        <v>4294</v>
      </c>
    </row>
    <row r="157" spans="2:19" s="342" customFormat="1"/>
    <row r="158" spans="2:19" s="13" customFormat="1" ht="18.95" customHeight="1">
      <c r="B158" s="21" t="s">
        <v>170</v>
      </c>
      <c r="C158" s="22"/>
      <c r="D158" s="23"/>
      <c r="E158" s="23"/>
      <c r="F158" s="23"/>
      <c r="G158" s="79"/>
      <c r="H158" s="23"/>
      <c r="I158" s="23"/>
      <c r="J158" s="23"/>
      <c r="K158" s="23"/>
      <c r="L158" s="24"/>
      <c r="M158" s="24"/>
      <c r="N158" s="24"/>
      <c r="O158" s="24"/>
    </row>
    <row r="159" spans="2:19" s="342" customFormat="1"/>
    <row r="160" spans="2:19" s="342" customFormat="1" ht="15" customHeight="1">
      <c r="B160" s="719" t="s">
        <v>4282</v>
      </c>
      <c r="C160" s="720"/>
      <c r="D160" s="720"/>
      <c r="E160" s="720"/>
      <c r="F160" s="721"/>
      <c r="G160" s="671" t="s">
        <v>131</v>
      </c>
      <c r="H160" s="671"/>
      <c r="I160" s="671" t="s">
        <v>171</v>
      </c>
      <c r="J160" s="671"/>
      <c r="K160" s="728" t="s">
        <v>4295</v>
      </c>
      <c r="L160" s="728"/>
      <c r="M160" s="728"/>
      <c r="N160" s="728"/>
      <c r="O160" s="728"/>
      <c r="P160" s="728"/>
      <c r="Q160" s="728"/>
      <c r="R160" s="728"/>
      <c r="S160" s="671" t="s">
        <v>172</v>
      </c>
    </row>
    <row r="161" spans="2:20" s="342" customFormat="1" ht="27" customHeight="1">
      <c r="B161" s="722"/>
      <c r="C161" s="723"/>
      <c r="D161" s="723"/>
      <c r="E161" s="723"/>
      <c r="F161" s="724"/>
      <c r="G161" s="671"/>
      <c r="H161" s="671"/>
      <c r="I161" s="671"/>
      <c r="J161" s="671"/>
      <c r="K161" s="728" t="s">
        <v>4285</v>
      </c>
      <c r="L161" s="728" t="s">
        <v>4286</v>
      </c>
      <c r="M161" s="728" t="s">
        <v>4287</v>
      </c>
      <c r="N161" s="728" t="s">
        <v>4288</v>
      </c>
      <c r="O161" s="728" t="s">
        <v>4289</v>
      </c>
      <c r="P161" s="728" t="s">
        <v>4290</v>
      </c>
      <c r="Q161" s="728" t="s">
        <v>4291</v>
      </c>
      <c r="R161" s="728" t="s">
        <v>4292</v>
      </c>
      <c r="S161" s="671"/>
    </row>
    <row r="162" spans="2:20" s="342" customFormat="1">
      <c r="B162" s="725"/>
      <c r="C162" s="726"/>
      <c r="D162" s="726"/>
      <c r="E162" s="726"/>
      <c r="F162" s="727"/>
      <c r="G162" s="671"/>
      <c r="H162" s="671"/>
      <c r="I162" s="671"/>
      <c r="J162" s="671"/>
      <c r="K162" s="728"/>
      <c r="L162" s="728"/>
      <c r="M162" s="728"/>
      <c r="N162" s="728"/>
      <c r="O162" s="728"/>
      <c r="P162" s="728"/>
      <c r="Q162" s="728"/>
      <c r="R162" s="728"/>
      <c r="S162" s="671"/>
    </row>
    <row r="163" spans="2:20" s="342" customFormat="1" ht="8.1" customHeight="1"/>
    <row r="164" spans="2:20" s="322" customFormat="1" ht="15.95" customHeight="1">
      <c r="B164" s="709" t="s">
        <v>141</v>
      </c>
      <c r="C164" s="710"/>
      <c r="D164" s="710"/>
      <c r="E164" s="711"/>
      <c r="F164" s="712"/>
      <c r="G164" s="716"/>
      <c r="H164" s="717"/>
      <c r="I164" s="718"/>
      <c r="J164" s="712"/>
      <c r="K164" s="359"/>
      <c r="L164" s="359"/>
      <c r="M164" s="359"/>
      <c r="N164" s="359"/>
      <c r="O164" s="359"/>
      <c r="P164" s="359"/>
      <c r="Q164" s="359"/>
      <c r="R164" s="359"/>
      <c r="S164" s="361"/>
      <c r="T164" s="342"/>
    </row>
    <row r="165" spans="2:20" s="322" customFormat="1" ht="35.1" customHeight="1">
      <c r="B165" s="713" t="str">
        <f>+B135</f>
        <v/>
      </c>
      <c r="C165" s="714"/>
      <c r="D165" s="714"/>
      <c r="E165" s="714"/>
      <c r="F165" s="715"/>
      <c r="G165" s="716" t="s">
        <v>66</v>
      </c>
      <c r="H165" s="717"/>
      <c r="I165" s="450" t="s">
        <v>136</v>
      </c>
      <c r="J165" s="452"/>
      <c r="K165" s="363" t="str">
        <f>IF($E$76&gt;0,I135/$Q135*$S165,"")</f>
        <v/>
      </c>
      <c r="L165" s="363" t="str">
        <f t="shared" ref="L165:R165" si="4">IF($E$76&gt;0,J135/$Q135*$S165,"")</f>
        <v/>
      </c>
      <c r="M165" s="363" t="str">
        <f t="shared" si="4"/>
        <v/>
      </c>
      <c r="N165" s="363" t="str">
        <f t="shared" si="4"/>
        <v/>
      </c>
      <c r="O165" s="363" t="str">
        <f t="shared" si="4"/>
        <v/>
      </c>
      <c r="P165" s="363" t="str">
        <f t="shared" si="4"/>
        <v/>
      </c>
      <c r="Q165" s="363" t="str">
        <f t="shared" si="4"/>
        <v/>
      </c>
      <c r="R165" s="363" t="str">
        <f t="shared" si="4"/>
        <v/>
      </c>
      <c r="S165" s="364">
        <f>SUM(M11:M19)</f>
        <v>0</v>
      </c>
      <c r="T165" s="342"/>
    </row>
    <row r="166" spans="2:20" s="322" customFormat="1" ht="15.95" customHeight="1">
      <c r="B166" s="709" t="s">
        <v>142</v>
      </c>
      <c r="C166" s="710"/>
      <c r="D166" s="710"/>
      <c r="E166" s="711"/>
      <c r="F166" s="712"/>
      <c r="G166" s="716"/>
      <c r="H166" s="717"/>
      <c r="I166" s="450"/>
      <c r="J166" s="452"/>
      <c r="K166" s="363" t="str">
        <f t="shared" ref="K166:R171" si="5">IF($E$76&gt;0,I136/$Q136*$S166,"")</f>
        <v/>
      </c>
      <c r="L166" s="363" t="str">
        <f t="shared" si="5"/>
        <v/>
      </c>
      <c r="M166" s="363" t="str">
        <f t="shared" si="5"/>
        <v/>
      </c>
      <c r="N166" s="363" t="str">
        <f t="shared" si="5"/>
        <v/>
      </c>
      <c r="O166" s="363" t="str">
        <f t="shared" si="5"/>
        <v/>
      </c>
      <c r="P166" s="363" t="str">
        <f t="shared" si="5"/>
        <v/>
      </c>
      <c r="Q166" s="363" t="str">
        <f t="shared" si="5"/>
        <v/>
      </c>
      <c r="R166" s="363" t="str">
        <f t="shared" si="5"/>
        <v/>
      </c>
      <c r="S166" s="364"/>
      <c r="T166" s="342"/>
    </row>
    <row r="167" spans="2:20" s="322" customFormat="1" ht="35.1" customHeight="1">
      <c r="B167" s="713" t="str">
        <f>+B137</f>
        <v/>
      </c>
      <c r="C167" s="714"/>
      <c r="D167" s="714"/>
      <c r="E167" s="714"/>
      <c r="F167" s="715"/>
      <c r="G167" s="716" t="s">
        <v>4462</v>
      </c>
      <c r="H167" s="717"/>
      <c r="I167" s="450" t="str">
        <f>+J25</f>
        <v>Número de equipos</v>
      </c>
      <c r="J167" s="452"/>
      <c r="K167" s="363" t="str">
        <f t="shared" si="5"/>
        <v/>
      </c>
      <c r="L167" s="363" t="str">
        <f t="shared" si="5"/>
        <v/>
      </c>
      <c r="M167" s="363" t="str">
        <f t="shared" si="5"/>
        <v/>
      </c>
      <c r="N167" s="363" t="str">
        <f t="shared" si="5"/>
        <v/>
      </c>
      <c r="O167" s="363" t="str">
        <f t="shared" si="5"/>
        <v/>
      </c>
      <c r="P167" s="363" t="str">
        <f t="shared" si="5"/>
        <v/>
      </c>
      <c r="Q167" s="363" t="str">
        <f t="shared" si="5"/>
        <v/>
      </c>
      <c r="R167" s="363" t="str">
        <f t="shared" si="5"/>
        <v/>
      </c>
      <c r="S167" s="364">
        <f>SUM(L25)</f>
        <v>0</v>
      </c>
      <c r="T167" s="342"/>
    </row>
    <row r="168" spans="2:20" s="322" customFormat="1" ht="15.95" customHeight="1">
      <c r="B168" s="709" t="s">
        <v>4272</v>
      </c>
      <c r="C168" s="710"/>
      <c r="D168" s="710"/>
      <c r="E168" s="711"/>
      <c r="F168" s="712"/>
      <c r="G168" s="716"/>
      <c r="H168" s="717"/>
      <c r="I168" s="450"/>
      <c r="J168" s="452"/>
      <c r="K168" s="363" t="str">
        <f t="shared" si="5"/>
        <v/>
      </c>
      <c r="L168" s="363" t="str">
        <f t="shared" si="5"/>
        <v/>
      </c>
      <c r="M168" s="363" t="str">
        <f t="shared" si="5"/>
        <v/>
      </c>
      <c r="N168" s="363" t="str">
        <f t="shared" si="5"/>
        <v/>
      </c>
      <c r="O168" s="363" t="str">
        <f t="shared" si="5"/>
        <v/>
      </c>
      <c r="P168" s="363" t="str">
        <f t="shared" si="5"/>
        <v/>
      </c>
      <c r="Q168" s="363" t="str">
        <f t="shared" si="5"/>
        <v/>
      </c>
      <c r="R168" s="363" t="str">
        <f t="shared" si="5"/>
        <v/>
      </c>
      <c r="S168" s="364"/>
      <c r="T168" s="342"/>
    </row>
    <row r="169" spans="2:20" s="322" customFormat="1" ht="35.1" customHeight="1">
      <c r="B169" s="713" t="str">
        <f>+B139</f>
        <v/>
      </c>
      <c r="C169" s="714"/>
      <c r="D169" s="714"/>
      <c r="E169" s="714"/>
      <c r="F169" s="715"/>
      <c r="G169" s="716" t="s">
        <v>137</v>
      </c>
      <c r="H169" s="717"/>
      <c r="I169" s="450" t="str">
        <f>+J32</f>
        <v>Número de mobiliario</v>
      </c>
      <c r="J169" s="452"/>
      <c r="K169" s="363" t="str">
        <f t="shared" si="5"/>
        <v/>
      </c>
      <c r="L169" s="363" t="str">
        <f t="shared" si="5"/>
        <v/>
      </c>
      <c r="M169" s="363" t="str">
        <f t="shared" si="5"/>
        <v/>
      </c>
      <c r="N169" s="363" t="str">
        <f t="shared" si="5"/>
        <v/>
      </c>
      <c r="O169" s="363" t="str">
        <f t="shared" si="5"/>
        <v/>
      </c>
      <c r="P169" s="363" t="str">
        <f t="shared" si="5"/>
        <v/>
      </c>
      <c r="Q169" s="363" t="str">
        <f t="shared" si="5"/>
        <v/>
      </c>
      <c r="R169" s="363" t="str">
        <f t="shared" si="5"/>
        <v/>
      </c>
      <c r="S169" s="364">
        <f>SUM(L32:L33)</f>
        <v>0</v>
      </c>
      <c r="T169" s="342"/>
    </row>
    <row r="170" spans="2:20" s="322" customFormat="1" ht="15.95" customHeight="1">
      <c r="B170" s="709" t="s">
        <v>4271</v>
      </c>
      <c r="C170" s="710"/>
      <c r="D170" s="710"/>
      <c r="E170" s="711"/>
      <c r="F170" s="712"/>
      <c r="G170" s="716"/>
      <c r="H170" s="717"/>
      <c r="I170" s="450"/>
      <c r="J170" s="452"/>
      <c r="K170" s="363" t="str">
        <f t="shared" si="5"/>
        <v/>
      </c>
      <c r="L170" s="363" t="str">
        <f t="shared" si="5"/>
        <v/>
      </c>
      <c r="M170" s="363" t="str">
        <f t="shared" si="5"/>
        <v/>
      </c>
      <c r="N170" s="363" t="str">
        <f t="shared" si="5"/>
        <v/>
      </c>
      <c r="O170" s="363" t="str">
        <f t="shared" si="5"/>
        <v/>
      </c>
      <c r="P170" s="363" t="str">
        <f t="shared" si="5"/>
        <v/>
      </c>
      <c r="Q170" s="363" t="str">
        <f t="shared" si="5"/>
        <v/>
      </c>
      <c r="R170" s="363" t="str">
        <f t="shared" si="5"/>
        <v/>
      </c>
      <c r="S170" s="364"/>
      <c r="T170" s="342"/>
    </row>
    <row r="171" spans="2:20" s="322" customFormat="1" ht="35.1" customHeight="1">
      <c r="B171" s="713" t="str">
        <f>+B141</f>
        <v/>
      </c>
      <c r="C171" s="714"/>
      <c r="D171" s="714"/>
      <c r="E171" s="714"/>
      <c r="F171" s="715"/>
      <c r="G171" s="716" t="s">
        <v>124</v>
      </c>
      <c r="H171" s="717"/>
      <c r="I171" s="450" t="str">
        <f>+J40</f>
        <v>Número de eventos de capacitación</v>
      </c>
      <c r="J171" s="452"/>
      <c r="K171" s="363" t="str">
        <f t="shared" si="5"/>
        <v/>
      </c>
      <c r="L171" s="363" t="str">
        <f t="shared" si="5"/>
        <v/>
      </c>
      <c r="M171" s="363" t="str">
        <f t="shared" si="5"/>
        <v/>
      </c>
      <c r="N171" s="363" t="str">
        <f t="shared" si="5"/>
        <v/>
      </c>
      <c r="O171" s="363" t="str">
        <f t="shared" si="5"/>
        <v/>
      </c>
      <c r="P171" s="363" t="str">
        <f t="shared" si="5"/>
        <v/>
      </c>
      <c r="Q171" s="363" t="str">
        <f t="shared" si="5"/>
        <v/>
      </c>
      <c r="R171" s="363" t="str">
        <f t="shared" si="5"/>
        <v/>
      </c>
      <c r="S171" s="364">
        <f>+L40</f>
        <v>0</v>
      </c>
      <c r="T171" s="342"/>
    </row>
    <row r="172" spans="2:20" s="322" customFormat="1" ht="15.95" customHeight="1">
      <c r="B172" s="360" t="s">
        <v>143</v>
      </c>
      <c r="C172" s="340"/>
      <c r="D172" s="340"/>
      <c r="E172" s="340"/>
      <c r="F172" s="340"/>
      <c r="G172" s="366"/>
      <c r="H172" s="366"/>
      <c r="I172" s="367"/>
      <c r="J172" s="367"/>
      <c r="K172" s="365"/>
      <c r="L172" s="365"/>
      <c r="M172" s="365"/>
      <c r="N172" s="365"/>
      <c r="O172" s="365"/>
      <c r="P172" s="365"/>
      <c r="Q172" s="365"/>
      <c r="R172" s="365"/>
      <c r="S172" s="368"/>
      <c r="T172" s="342"/>
    </row>
    <row r="173" spans="2:20" s="322" customFormat="1" ht="35.1" customHeight="1">
      <c r="B173" s="713" t="s">
        <v>4283</v>
      </c>
      <c r="C173" s="714"/>
      <c r="D173" s="714"/>
      <c r="E173" s="714"/>
      <c r="F173" s="715"/>
      <c r="G173" s="708"/>
      <c r="H173" s="708"/>
      <c r="I173" s="689" t="s">
        <v>4296</v>
      </c>
      <c r="J173" s="689"/>
      <c r="K173" s="369" t="str">
        <f>IF(Q143=0,"",+I143/$Q143*$S173)</f>
        <v/>
      </c>
      <c r="L173" s="369" t="str">
        <f t="shared" ref="L173:R173" si="6">IF(R143=0,"",+J143/$Q143*$S173)</f>
        <v/>
      </c>
      <c r="M173" s="369" t="str">
        <f t="shared" si="6"/>
        <v/>
      </c>
      <c r="N173" s="369" t="str">
        <f t="shared" si="6"/>
        <v/>
      </c>
      <c r="O173" s="369" t="str">
        <f t="shared" si="6"/>
        <v/>
      </c>
      <c r="P173" s="369" t="str">
        <f t="shared" si="6"/>
        <v/>
      </c>
      <c r="Q173" s="369" t="str">
        <f t="shared" si="6"/>
        <v/>
      </c>
      <c r="R173" s="369" t="str">
        <f t="shared" si="6"/>
        <v/>
      </c>
      <c r="S173" s="370">
        <f>+COUNT(N47:N62)</f>
        <v>0</v>
      </c>
      <c r="T173" s="342"/>
    </row>
    <row r="174" spans="2:20" s="342" customFormat="1">
      <c r="C174" s="343"/>
      <c r="D174" s="343"/>
      <c r="E174" s="343"/>
      <c r="F174" s="343"/>
      <c r="G174" s="343"/>
      <c r="H174" s="343"/>
      <c r="I174" s="343"/>
    </row>
    <row r="233" spans="3:8" s="342" customFormat="1" ht="15.75">
      <c r="C233" s="314"/>
      <c r="E233" s="348"/>
      <c r="F233" s="331"/>
      <c r="G233" s="349"/>
      <c r="H233" s="331"/>
    </row>
    <row r="234" spans="3:8" s="342" customFormat="1" ht="15.75">
      <c r="C234" s="314"/>
      <c r="E234" s="348"/>
      <c r="F234" s="331"/>
      <c r="G234" s="349"/>
      <c r="H234" s="331"/>
    </row>
  </sheetData>
  <sheetProtection sheet="1" objects="1" scenarios="1"/>
  <mergeCells count="273">
    <mergeCell ref="B15:C15"/>
    <mergeCell ref="E15:I15"/>
    <mergeCell ref="N9:N10"/>
    <mergeCell ref="O9:O10"/>
    <mergeCell ref="B11:C11"/>
    <mergeCell ref="E11:I11"/>
    <mergeCell ref="B12:C12"/>
    <mergeCell ref="E12:I12"/>
    <mergeCell ref="B6:C6"/>
    <mergeCell ref="B9:C10"/>
    <mergeCell ref="D9:D10"/>
    <mergeCell ref="E9:I10"/>
    <mergeCell ref="J9:K9"/>
    <mergeCell ref="L9:M9"/>
    <mergeCell ref="B13:C13"/>
    <mergeCell ref="E13:I13"/>
    <mergeCell ref="B14:C14"/>
    <mergeCell ref="E14:I14"/>
    <mergeCell ref="B16:C16"/>
    <mergeCell ref="E16:I16"/>
    <mergeCell ref="B17:C17"/>
    <mergeCell ref="E17:I17"/>
    <mergeCell ref="B18:C18"/>
    <mergeCell ref="E18:I18"/>
    <mergeCell ref="B19:C19"/>
    <mergeCell ref="E19:I19"/>
    <mergeCell ref="B21:C21"/>
    <mergeCell ref="B28:C28"/>
    <mergeCell ref="B30:C31"/>
    <mergeCell ref="D30:D31"/>
    <mergeCell ref="E30:I31"/>
    <mergeCell ref="J30:L30"/>
    <mergeCell ref="M30:N31"/>
    <mergeCell ref="J31:K31"/>
    <mergeCell ref="J24:K24"/>
    <mergeCell ref="B25:C25"/>
    <mergeCell ref="E25:I25"/>
    <mergeCell ref="J25:K25"/>
    <mergeCell ref="M25:N25"/>
    <mergeCell ref="B23:C24"/>
    <mergeCell ref="D23:D24"/>
    <mergeCell ref="E23:I24"/>
    <mergeCell ref="J23:L23"/>
    <mergeCell ref="M23:N24"/>
    <mergeCell ref="B32:C32"/>
    <mergeCell ref="E32:I32"/>
    <mergeCell ref="J32:K32"/>
    <mergeCell ref="M32:N32"/>
    <mergeCell ref="B36:C36"/>
    <mergeCell ref="B33:C33"/>
    <mergeCell ref="E33:I33"/>
    <mergeCell ref="J33:K33"/>
    <mergeCell ref="J39:K39"/>
    <mergeCell ref="B38:C39"/>
    <mergeCell ref="D38:D39"/>
    <mergeCell ref="E38:I39"/>
    <mergeCell ref="J38:L38"/>
    <mergeCell ref="M38:N39"/>
    <mergeCell ref="B40:C40"/>
    <mergeCell ref="E40:I40"/>
    <mergeCell ref="J40:K40"/>
    <mergeCell ref="M40:N40"/>
    <mergeCell ref="B47:I47"/>
    <mergeCell ref="B48:I48"/>
    <mergeCell ref="B49:I49"/>
    <mergeCell ref="B44:C45"/>
    <mergeCell ref="D44:D45"/>
    <mergeCell ref="E44:I45"/>
    <mergeCell ref="J44:L44"/>
    <mergeCell ref="M44:M45"/>
    <mergeCell ref="N44:N45"/>
    <mergeCell ref="J45:K45"/>
    <mergeCell ref="M64:N64"/>
    <mergeCell ref="B68:D68"/>
    <mergeCell ref="E68:F68"/>
    <mergeCell ref="G68:H68"/>
    <mergeCell ref="B50:I50"/>
    <mergeCell ref="B51:I51"/>
    <mergeCell ref="B52:I52"/>
    <mergeCell ref="B53:I53"/>
    <mergeCell ref="B54:I54"/>
    <mergeCell ref="B55:I55"/>
    <mergeCell ref="B70:D70"/>
    <mergeCell ref="E70:F70"/>
    <mergeCell ref="G70:H70"/>
    <mergeCell ref="B71:D71"/>
    <mergeCell ref="E71:F71"/>
    <mergeCell ref="G71:H71"/>
    <mergeCell ref="B56:I56"/>
    <mergeCell ref="B57:I57"/>
    <mergeCell ref="B58:I58"/>
    <mergeCell ref="B59:I59"/>
    <mergeCell ref="B60:I60"/>
    <mergeCell ref="B61:I61"/>
    <mergeCell ref="B62:I62"/>
    <mergeCell ref="B64:L64"/>
    <mergeCell ref="B72:D72"/>
    <mergeCell ref="E72:F72"/>
    <mergeCell ref="G72:H72"/>
    <mergeCell ref="B73:D73"/>
    <mergeCell ref="E73:F73"/>
    <mergeCell ref="G73:H73"/>
    <mergeCell ref="B91:C91"/>
    <mergeCell ref="B92:C92"/>
    <mergeCell ref="B97:F97"/>
    <mergeCell ref="G97:H97"/>
    <mergeCell ref="B93:C93"/>
    <mergeCell ref="B74:D74"/>
    <mergeCell ref="E74:F74"/>
    <mergeCell ref="G74:H74"/>
    <mergeCell ref="B76:D76"/>
    <mergeCell ref="E76:F76"/>
    <mergeCell ref="B78:D78"/>
    <mergeCell ref="E78:F78"/>
    <mergeCell ref="B83:C84"/>
    <mergeCell ref="D83:D84"/>
    <mergeCell ref="E83:E84"/>
    <mergeCell ref="F83:O83"/>
    <mergeCell ref="N101:P101"/>
    <mergeCell ref="B86:C86"/>
    <mergeCell ref="B87:C87"/>
    <mergeCell ref="B88:C88"/>
    <mergeCell ref="B89:C89"/>
    <mergeCell ref="B90:C90"/>
    <mergeCell ref="B98:F98"/>
    <mergeCell ref="G98:H98"/>
    <mergeCell ref="B101:E102"/>
    <mergeCell ref="F101:H101"/>
    <mergeCell ref="B117:E117"/>
    <mergeCell ref="J117:M117"/>
    <mergeCell ref="B104:E104"/>
    <mergeCell ref="J104:M104"/>
    <mergeCell ref="B105:E105"/>
    <mergeCell ref="J105:M105"/>
    <mergeCell ref="B106:E106"/>
    <mergeCell ref="J106:M106"/>
    <mergeCell ref="J101:M102"/>
    <mergeCell ref="B107:E107"/>
    <mergeCell ref="J107:M107"/>
    <mergeCell ref="B108:E108"/>
    <mergeCell ref="J108:M108"/>
    <mergeCell ref="B109:E109"/>
    <mergeCell ref="J109:M109"/>
    <mergeCell ref="B113:E113"/>
    <mergeCell ref="J113:M113"/>
    <mergeCell ref="B116:E116"/>
    <mergeCell ref="J116:M116"/>
    <mergeCell ref="B110:E110"/>
    <mergeCell ref="J110:M110"/>
    <mergeCell ref="B111:E111"/>
    <mergeCell ref="J111:M111"/>
    <mergeCell ref="B112:E112"/>
    <mergeCell ref="J112:M112"/>
    <mergeCell ref="B114:E114"/>
    <mergeCell ref="J114:M114"/>
    <mergeCell ref="B118:E118"/>
    <mergeCell ref="J118:M118"/>
    <mergeCell ref="B119:E119"/>
    <mergeCell ref="J119:M119"/>
    <mergeCell ref="B120:E120"/>
    <mergeCell ref="J120:M120"/>
    <mergeCell ref="F126:G126"/>
    <mergeCell ref="B134:D134"/>
    <mergeCell ref="E134:F134"/>
    <mergeCell ref="F127:G127"/>
    <mergeCell ref="B121:E121"/>
    <mergeCell ref="J121:M121"/>
    <mergeCell ref="I130:P130"/>
    <mergeCell ref="B135:F135"/>
    <mergeCell ref="B136:D136"/>
    <mergeCell ref="E136:F136"/>
    <mergeCell ref="N131:N132"/>
    <mergeCell ref="O131:O132"/>
    <mergeCell ref="P131:P132"/>
    <mergeCell ref="F128:G128"/>
    <mergeCell ref="B130:F132"/>
    <mergeCell ref="G130:H132"/>
    <mergeCell ref="Q130:R132"/>
    <mergeCell ref="I131:I132"/>
    <mergeCell ref="J131:J132"/>
    <mergeCell ref="K131:K132"/>
    <mergeCell ref="L131:L132"/>
    <mergeCell ref="M131:M132"/>
    <mergeCell ref="G137:H137"/>
    <mergeCell ref="Q137:R137"/>
    <mergeCell ref="G138:H138"/>
    <mergeCell ref="Q138:R138"/>
    <mergeCell ref="G135:H135"/>
    <mergeCell ref="Q135:R135"/>
    <mergeCell ref="G136:H136"/>
    <mergeCell ref="Q136:R136"/>
    <mergeCell ref="G134:H134"/>
    <mergeCell ref="Q134:R134"/>
    <mergeCell ref="B137:F137"/>
    <mergeCell ref="B138:D138"/>
    <mergeCell ref="E138:F138"/>
    <mergeCell ref="B139:F139"/>
    <mergeCell ref="B140:D140"/>
    <mergeCell ref="E140:F140"/>
    <mergeCell ref="B148:C148"/>
    <mergeCell ref="L148:M148"/>
    <mergeCell ref="B149:C149"/>
    <mergeCell ref="L149:M149"/>
    <mergeCell ref="B144:P144"/>
    <mergeCell ref="Q143:R143"/>
    <mergeCell ref="G139:H139"/>
    <mergeCell ref="Q139:R139"/>
    <mergeCell ref="G140:H140"/>
    <mergeCell ref="Q140:R140"/>
    <mergeCell ref="B141:F141"/>
    <mergeCell ref="G141:H141"/>
    <mergeCell ref="Q141:R141"/>
    <mergeCell ref="B143:F143"/>
    <mergeCell ref="G143:H143"/>
    <mergeCell ref="Q144:R144"/>
    <mergeCell ref="B146:C146"/>
    <mergeCell ref="L146:M146"/>
    <mergeCell ref="K160:R160"/>
    <mergeCell ref="S160:S162"/>
    <mergeCell ref="K161:K162"/>
    <mergeCell ref="L161:L162"/>
    <mergeCell ref="M161:M162"/>
    <mergeCell ref="B153:K153"/>
    <mergeCell ref="L153:M153"/>
    <mergeCell ref="B150:C150"/>
    <mergeCell ref="L150:M150"/>
    <mergeCell ref="B151:C151"/>
    <mergeCell ref="L151:M151"/>
    <mergeCell ref="L152:M152"/>
    <mergeCell ref="B152:C152"/>
    <mergeCell ref="B154:K154"/>
    <mergeCell ref="L154:M154"/>
    <mergeCell ref="B156:K156"/>
    <mergeCell ref="L156:M156"/>
    <mergeCell ref="N161:N162"/>
    <mergeCell ref="O161:O162"/>
    <mergeCell ref="P161:P162"/>
    <mergeCell ref="Q161:Q162"/>
    <mergeCell ref="R161:R162"/>
    <mergeCell ref="I168:J168"/>
    <mergeCell ref="G165:H165"/>
    <mergeCell ref="I165:J165"/>
    <mergeCell ref="G166:H166"/>
    <mergeCell ref="I166:J166"/>
    <mergeCell ref="G164:H164"/>
    <mergeCell ref="I164:J164"/>
    <mergeCell ref="B160:F162"/>
    <mergeCell ref="G160:H162"/>
    <mergeCell ref="I160:J162"/>
    <mergeCell ref="B173:F173"/>
    <mergeCell ref="G173:H173"/>
    <mergeCell ref="I173:J173"/>
    <mergeCell ref="B164:D164"/>
    <mergeCell ref="E164:F164"/>
    <mergeCell ref="B165:F165"/>
    <mergeCell ref="B166:D166"/>
    <mergeCell ref="E166:F166"/>
    <mergeCell ref="B167:F167"/>
    <mergeCell ref="B168:D168"/>
    <mergeCell ref="E168:F168"/>
    <mergeCell ref="B169:F169"/>
    <mergeCell ref="G169:H169"/>
    <mergeCell ref="I169:J169"/>
    <mergeCell ref="G170:H170"/>
    <mergeCell ref="I170:J170"/>
    <mergeCell ref="B170:D170"/>
    <mergeCell ref="E170:F170"/>
    <mergeCell ref="B171:F171"/>
    <mergeCell ref="G171:H171"/>
    <mergeCell ref="I171:J171"/>
    <mergeCell ref="G167:H167"/>
    <mergeCell ref="I167:J167"/>
    <mergeCell ref="G168:H168"/>
  </mergeCells>
  <conditionalFormatting sqref="A26:XFD29 A23:M23 A34:XFD37 A30:M30 M32 A38:M38 O38:XFD40 M40 A133:XFD134 A130:B130 A131:A132 A143:B143 G143:H143 A136:XFD136 A135 A138:H138 A137 G137:H137 A140:H140 A139 G139:H139 A142:H142 A141 G141:H141 G130:XFD132 S135:XFD135 S137:XFD137 S139:XFD139 S141:XFD141 S143:XFD143 G135:Q135 Q142:XFD142 Q140:XFD140 Q138:XFD138 A174:XFD1048576 A163:F164 A166:F166 A168:F168 A170:F170 A172:F172 I172:J172 I170:J170 I168:J168 I166:J166 I163:R164 U163:XFD164 U166:XFD166 A24:L24 A25 A39:L40 A41:XFD61 A62:O62 Q62:XFD62 A144:XFD159 O23:XFD25 D25:M25 A1:XFD22 A63:XFD63 A31:L32 A33:M33 A65:XFD69 A64:L64 O64:XFD64 A94:XFD129 A86:A93 P86:XFD93 A75:XFD85 A70:D74 I70:XFD74 O30:XFD33">
    <cfRule type="cellIs" dxfId="122" priority="57" operator="equal">
      <formula>0</formula>
    </cfRule>
  </conditionalFormatting>
  <conditionalFormatting sqref="J9 L9">
    <cfRule type="cellIs" dxfId="121" priority="56" operator="equal">
      <formula>0</formula>
    </cfRule>
  </conditionalFormatting>
  <conditionalFormatting sqref="J10:M10">
    <cfRule type="cellIs" dxfId="120" priority="55" operator="equal">
      <formula>0</formula>
    </cfRule>
  </conditionalFormatting>
  <conditionalFormatting sqref="J23">
    <cfRule type="cellIs" dxfId="119" priority="54" operator="equal">
      <formula>0</formula>
    </cfRule>
  </conditionalFormatting>
  <conditionalFormatting sqref="J31 L31">
    <cfRule type="cellIs" dxfId="118" priority="53" operator="equal">
      <formula>0</formula>
    </cfRule>
  </conditionalFormatting>
  <conditionalFormatting sqref="J30">
    <cfRule type="cellIs" dxfId="117" priority="52" operator="equal">
      <formula>0</formula>
    </cfRule>
  </conditionalFormatting>
  <conditionalFormatting sqref="J39 L39">
    <cfRule type="cellIs" dxfId="116" priority="51" operator="equal">
      <formula>0</formula>
    </cfRule>
  </conditionalFormatting>
  <conditionalFormatting sqref="J38">
    <cfRule type="cellIs" dxfId="115" priority="50" operator="equal">
      <formula>0</formula>
    </cfRule>
  </conditionalFormatting>
  <conditionalFormatting sqref="A1:XFD4">
    <cfRule type="cellIs" dxfId="114" priority="49" operator="equal">
      <formula>0</formula>
    </cfRule>
  </conditionalFormatting>
  <conditionalFormatting sqref="J45 L45">
    <cfRule type="cellIs" dxfId="113" priority="48" operator="equal">
      <formula>0</formula>
    </cfRule>
  </conditionalFormatting>
  <conditionalFormatting sqref="J44">
    <cfRule type="cellIs" dxfId="112" priority="47" operator="equal">
      <formula>0</formula>
    </cfRule>
  </conditionalFormatting>
  <conditionalFormatting sqref="G68:H69">
    <cfRule type="cellIs" dxfId="111" priority="46" operator="equal">
      <formula>0</formula>
    </cfRule>
  </conditionalFormatting>
  <conditionalFormatting sqref="B135">
    <cfRule type="cellIs" dxfId="110" priority="44" operator="equal">
      <formula>0</formula>
    </cfRule>
  </conditionalFormatting>
  <conditionalFormatting sqref="B137">
    <cfRule type="cellIs" dxfId="109" priority="43" operator="equal">
      <formula>0</formula>
    </cfRule>
  </conditionalFormatting>
  <conditionalFormatting sqref="B139">
    <cfRule type="cellIs" dxfId="108" priority="42" operator="equal">
      <formula>0</formula>
    </cfRule>
  </conditionalFormatting>
  <conditionalFormatting sqref="B141">
    <cfRule type="cellIs" dxfId="107" priority="41" operator="equal">
      <formula>0</formula>
    </cfRule>
  </conditionalFormatting>
  <conditionalFormatting sqref="Q137">
    <cfRule type="cellIs" dxfId="106" priority="40" operator="equal">
      <formula>0</formula>
    </cfRule>
  </conditionalFormatting>
  <conditionalFormatting sqref="Q139">
    <cfRule type="cellIs" dxfId="105" priority="39" operator="equal">
      <formula>0</formula>
    </cfRule>
  </conditionalFormatting>
  <conditionalFormatting sqref="Q141">
    <cfRule type="cellIs" dxfId="104" priority="38" operator="equal">
      <formula>0</formula>
    </cfRule>
  </conditionalFormatting>
  <conditionalFormatting sqref="Q143">
    <cfRule type="cellIs" dxfId="103" priority="37" operator="equal">
      <formula>0</formula>
    </cfRule>
  </conditionalFormatting>
  <conditionalFormatting sqref="I137:P143">
    <cfRule type="cellIs" dxfId="102" priority="36" operator="equal">
      <formula>0</formula>
    </cfRule>
  </conditionalFormatting>
  <conditionalFormatting sqref="A160:B160 A161:A162 A173:B173 A165 A167 A169 A171 I160:R162 U165:XFD165 U167:XFD173 U160:XFD162 I165:J165 I167:J167 I169:J169 I171:J171">
    <cfRule type="cellIs" dxfId="101" priority="35" operator="equal">
      <formula>0</formula>
    </cfRule>
  </conditionalFormatting>
  <conditionalFormatting sqref="B165">
    <cfRule type="cellIs" dxfId="100" priority="34" operator="equal">
      <formula>0</formula>
    </cfRule>
  </conditionalFormatting>
  <conditionalFormatting sqref="K172:R172">
    <cfRule type="cellIs" dxfId="99" priority="33" operator="equal">
      <formula>0</formula>
    </cfRule>
  </conditionalFormatting>
  <conditionalFormatting sqref="G163:H163">
    <cfRule type="cellIs" dxfId="98" priority="32" operator="equal">
      <formula>0</formula>
    </cfRule>
  </conditionalFormatting>
  <conditionalFormatting sqref="G160:H162">
    <cfRule type="cellIs" dxfId="97" priority="31" operator="equal">
      <formula>0</formula>
    </cfRule>
  </conditionalFormatting>
  <conditionalFormatting sqref="G172:H172 G170:H170 G168:H168 G166:H166">
    <cfRule type="cellIs" dxfId="96" priority="29" operator="equal">
      <formula>0</formula>
    </cfRule>
  </conditionalFormatting>
  <conditionalFormatting sqref="G173:H173 G167:H167 G169:H169 G171:H171 G165:H165">
    <cfRule type="cellIs" dxfId="95" priority="28" operator="equal">
      <formula>0</formula>
    </cfRule>
  </conditionalFormatting>
  <conditionalFormatting sqref="G164:H164">
    <cfRule type="cellIs" dxfId="94" priority="30" operator="equal">
      <formula>0</formula>
    </cfRule>
  </conditionalFormatting>
  <conditionalFormatting sqref="T160:T173">
    <cfRule type="cellIs" dxfId="93" priority="27" operator="equal">
      <formula>0</formula>
    </cfRule>
  </conditionalFormatting>
  <conditionalFormatting sqref="S163:S164">
    <cfRule type="cellIs" dxfId="92" priority="26" operator="equal">
      <formula>0</formula>
    </cfRule>
  </conditionalFormatting>
  <conditionalFormatting sqref="S160:S162">
    <cfRule type="cellIs" dxfId="91" priority="25" operator="equal">
      <formula>0</formula>
    </cfRule>
  </conditionalFormatting>
  <conditionalFormatting sqref="B167">
    <cfRule type="cellIs" dxfId="90" priority="24" operator="equal">
      <formula>0</formula>
    </cfRule>
  </conditionalFormatting>
  <conditionalFormatting sqref="B169">
    <cfRule type="cellIs" dxfId="89" priority="23" operator="equal">
      <formula>0</formula>
    </cfRule>
  </conditionalFormatting>
  <conditionalFormatting sqref="B171">
    <cfRule type="cellIs" dxfId="88" priority="22" operator="equal">
      <formula>0</formula>
    </cfRule>
  </conditionalFormatting>
  <conditionalFormatting sqref="I173:J173">
    <cfRule type="cellIs" dxfId="87" priority="21" operator="equal">
      <formula>0</formula>
    </cfRule>
  </conditionalFormatting>
  <conditionalFormatting sqref="A95:XFD96">
    <cfRule type="cellIs" dxfId="86" priority="19" operator="equal">
      <formula>0</formula>
    </cfRule>
  </conditionalFormatting>
  <conditionalFormatting sqref="A81:XFD82">
    <cfRule type="cellIs" dxfId="85" priority="18" operator="equal">
      <formula>0</formula>
    </cfRule>
  </conditionalFormatting>
  <conditionalFormatting sqref="K173:R173">
    <cfRule type="cellIs" dxfId="84" priority="20" operator="equal">
      <formula>0</formula>
    </cfRule>
  </conditionalFormatting>
  <conditionalFormatting sqref="A96:XFD96">
    <cfRule type="cellIs" dxfId="83" priority="17" operator="equal">
      <formula>0</formula>
    </cfRule>
  </conditionalFormatting>
  <conditionalFormatting sqref="A124:XFD124">
    <cfRule type="cellIs" dxfId="82" priority="16" operator="equal">
      <formula>0</formula>
    </cfRule>
  </conditionalFormatting>
  <conditionalFormatting sqref="A158:XFD159">
    <cfRule type="cellIs" dxfId="81" priority="15" operator="equal">
      <formula>0</formula>
    </cfRule>
  </conditionalFormatting>
  <conditionalFormatting sqref="B25:C25">
    <cfRule type="cellIs" dxfId="80" priority="14" operator="equal">
      <formula>0</formula>
    </cfRule>
  </conditionalFormatting>
  <conditionalFormatting sqref="B86:O93">
    <cfRule type="cellIs" dxfId="79" priority="11" operator="equal">
      <formula>0</formula>
    </cfRule>
  </conditionalFormatting>
  <conditionalFormatting sqref="S172 S170 S168 S166">
    <cfRule type="cellIs" dxfId="78" priority="10" operator="equal">
      <formula>0</formula>
    </cfRule>
  </conditionalFormatting>
  <conditionalFormatting sqref="S173 S167 S169 S171 S165">
    <cfRule type="cellIs" dxfId="77" priority="9" operator="equal">
      <formula>0</formula>
    </cfRule>
  </conditionalFormatting>
  <conditionalFormatting sqref="K166:R166">
    <cfRule type="cellIs" dxfId="76" priority="8" operator="equal">
      <formula>0</formula>
    </cfRule>
  </conditionalFormatting>
  <conditionalFormatting sqref="K165:R171">
    <cfRule type="cellIs" dxfId="75" priority="7" operator="equal">
      <formula>0</formula>
    </cfRule>
  </conditionalFormatting>
  <conditionalFormatting sqref="K168:R168 K170:R170">
    <cfRule type="cellIs" dxfId="74" priority="6" operator="equal">
      <formula>0</formula>
    </cfRule>
  </conditionalFormatting>
  <conditionalFormatting sqref="E70:F74">
    <cfRule type="cellIs" dxfId="73" priority="5" operator="equal">
      <formula>0</formula>
    </cfRule>
  </conditionalFormatting>
  <conditionalFormatting sqref="M64:N64">
    <cfRule type="cellIs" dxfId="72" priority="4" operator="equal">
      <formula>0</formula>
    </cfRule>
  </conditionalFormatting>
  <conditionalFormatting sqref="G70:H74">
    <cfRule type="cellIs" dxfId="71" priority="3" operator="equal">
      <formula>0</formula>
    </cfRule>
  </conditionalFormatting>
  <conditionalFormatting sqref="G70:H74">
    <cfRule type="cellIs" dxfId="70" priority="2" operator="equal">
      <formula>0</formula>
    </cfRule>
  </conditionalFormatting>
  <conditionalFormatting sqref="G73:H73">
    <cfRule type="cellIs" dxfId="69" priority="1" operator="equal">
      <formula>0</formula>
    </cfRule>
  </conditionalFormatting>
  <dataValidations count="6">
    <dataValidation type="list" allowBlank="1" showInputMessage="1" showErrorMessage="1" sqref="J20" xr:uid="{00000000-0002-0000-0C00-000000000000}">
      <formula1>Si_No</formula1>
    </dataValidation>
    <dataValidation type="list" allowBlank="1" showInputMessage="1" showErrorMessage="1" sqref="N20" xr:uid="{00000000-0002-0000-0C00-000001000000}">
      <formula1>EstadoActual</formula1>
    </dataValidation>
    <dataValidation type="list" allowBlank="1" showInputMessage="1" showErrorMessage="1" sqref="L20" xr:uid="{00000000-0002-0000-0C00-000002000000}">
      <formula1>MuroContencion</formula1>
    </dataValidation>
    <dataValidation type="decimal" allowBlank="1" showInputMessage="1" showErrorMessage="1" sqref="F104:H114 F116:H121" xr:uid="{00000000-0002-0000-0C00-000003000000}">
      <formula1>0</formula1>
      <formula2>1000000</formula2>
    </dataValidation>
    <dataValidation type="decimal" operator="greaterThan" allowBlank="1" showInputMessage="1" showErrorMessage="1" sqref="L156:M156 M40:N40 J47:N62 E86:O93 D148:K152 N104:P114 I135:P135 I137:P137 I139:P139 I141:P141 I143:P143 N116:P121 N11:O19 M25:N25 E70:F74 M32:N33" xr:uid="{00000000-0002-0000-0C00-000004000000}">
      <formula1>0</formula1>
    </dataValidation>
    <dataValidation operator="greaterThan" allowBlank="1" showInputMessage="1" showErrorMessage="1" sqref="B86:D93" xr:uid="{00000000-0002-0000-0C00-000005000000}"/>
  </dataValidations>
  <pageMargins left="0.7" right="0.7" top="0.75" bottom="0.75" header="0.3" footer="0.3"/>
  <pageSetup paperSize="9" scale="30" orientation="portrait" horizontalDpi="0" verticalDpi="0"/>
  <rowBreaks count="1" manualBreakCount="1">
    <brk id="93" min="1" max="18"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2">
    <pageSetUpPr fitToPage="1"/>
  </sheetPr>
  <dimension ref="B2:O80"/>
  <sheetViews>
    <sheetView zoomScale="75" zoomScaleNormal="110" workbookViewId="0">
      <selection activeCell="B73" sqref="B73:B79"/>
    </sheetView>
  </sheetViews>
  <sheetFormatPr baseColWidth="10" defaultColWidth="10.6640625" defaultRowHeight="18" customHeight="1"/>
  <cols>
    <col min="1" max="1" width="10.6640625" style="4"/>
    <col min="2" max="2" width="31.5546875" style="4" customWidth="1"/>
    <col min="3" max="5" width="11.5546875" style="4" customWidth="1"/>
    <col min="6" max="6" width="13.33203125" style="4" customWidth="1"/>
    <col min="7" max="7" width="11.5546875" style="4" customWidth="1"/>
    <col min="8" max="8" width="14.44140625" style="4" customWidth="1"/>
    <col min="9" max="13" width="11.5546875" style="4" customWidth="1"/>
    <col min="14" max="16384" width="10.6640625" style="4"/>
  </cols>
  <sheetData>
    <row r="2" spans="2:15" s="80" customFormat="1" ht="18" customHeight="1">
      <c r="B2" s="80" t="s">
        <v>4454</v>
      </c>
    </row>
    <row r="4" spans="2:15" s="13" customFormat="1" ht="18" customHeight="1">
      <c r="B4" s="21" t="s">
        <v>173</v>
      </c>
      <c r="C4" s="22"/>
      <c r="D4" s="23"/>
      <c r="E4" s="23"/>
      <c r="F4" s="23"/>
      <c r="G4" s="79"/>
      <c r="H4" s="23"/>
      <c r="I4" s="23"/>
      <c r="J4" s="23"/>
      <c r="K4" s="23"/>
      <c r="L4" s="24"/>
      <c r="M4" s="24"/>
      <c r="N4" s="4"/>
      <c r="O4" s="4"/>
    </row>
    <row r="5" spans="2:15" ht="18" customHeight="1">
      <c r="B5" s="83"/>
      <c r="C5" s="83"/>
      <c r="D5" s="83"/>
      <c r="E5" s="84"/>
      <c r="F5" s="83"/>
      <c r="G5" s="83"/>
      <c r="H5" s="83"/>
      <c r="I5" s="83"/>
      <c r="J5" s="83"/>
      <c r="K5" s="83"/>
      <c r="L5" s="83"/>
      <c r="M5" s="83"/>
    </row>
    <row r="6" spans="2:15" ht="18" customHeight="1">
      <c r="B6" s="511" t="s">
        <v>4297</v>
      </c>
      <c r="C6" s="511"/>
      <c r="D6" s="511"/>
      <c r="E6" s="511"/>
      <c r="F6" s="511"/>
      <c r="G6" s="511"/>
    </row>
    <row r="7" spans="2:15" ht="3" customHeight="1"/>
    <row r="8" spans="2:15" ht="33.950000000000003" customHeight="1">
      <c r="B8" s="426" t="s">
        <v>4298</v>
      </c>
      <c r="C8" s="427"/>
      <c r="D8" s="427"/>
      <c r="E8" s="427"/>
      <c r="F8" s="427"/>
      <c r="G8" s="428"/>
    </row>
    <row r="9" spans="2:15" ht="33.950000000000003" customHeight="1">
      <c r="B9" s="426" t="s">
        <v>4374</v>
      </c>
      <c r="C9" s="427"/>
      <c r="D9" s="427"/>
      <c r="E9" s="427"/>
      <c r="F9" s="427"/>
      <c r="G9" s="428"/>
    </row>
    <row r="10" spans="2:15" ht="33.950000000000003" customHeight="1">
      <c r="B10" s="426" t="s">
        <v>4299</v>
      </c>
      <c r="C10" s="427"/>
      <c r="D10" s="427"/>
      <c r="E10" s="427"/>
      <c r="F10" s="427"/>
      <c r="G10" s="428"/>
    </row>
    <row r="11" spans="2:15" ht="33.950000000000003" customHeight="1">
      <c r="B11" s="426" t="s">
        <v>4300</v>
      </c>
      <c r="C11" s="427"/>
      <c r="D11" s="427"/>
      <c r="E11" s="427"/>
      <c r="F11" s="427"/>
      <c r="G11" s="428"/>
    </row>
    <row r="12" spans="2:15" ht="33.950000000000003" customHeight="1">
      <c r="B12" s="426" t="s">
        <v>4301</v>
      </c>
      <c r="C12" s="427"/>
      <c r="D12" s="427"/>
      <c r="E12" s="427"/>
      <c r="F12" s="427"/>
      <c r="G12" s="428"/>
    </row>
    <row r="13" spans="2:15" ht="18" customHeight="1">
      <c r="B13" s="85"/>
      <c r="C13" s="83"/>
      <c r="D13" s="83"/>
      <c r="E13" s="84"/>
      <c r="F13" s="83"/>
      <c r="G13" s="83"/>
      <c r="H13" s="83"/>
      <c r="I13" s="83"/>
      <c r="J13" s="83"/>
      <c r="K13" s="83"/>
      <c r="L13" s="83"/>
      <c r="M13" s="83"/>
    </row>
    <row r="14" spans="2:15" ht="18" customHeight="1">
      <c r="B14" s="85"/>
      <c r="C14" s="83"/>
      <c r="D14" s="83"/>
      <c r="E14" s="84"/>
      <c r="F14" s="83"/>
      <c r="G14" s="83"/>
      <c r="H14" s="83"/>
      <c r="I14" s="83"/>
      <c r="J14" s="83"/>
      <c r="K14" s="83"/>
      <c r="L14" s="83"/>
      <c r="M14" s="83"/>
    </row>
    <row r="15" spans="2:15" s="13" customFormat="1" ht="18" customHeight="1">
      <c r="B15" s="21" t="s">
        <v>175</v>
      </c>
      <c r="C15" s="22"/>
      <c r="D15" s="23"/>
      <c r="E15" s="23"/>
      <c r="F15" s="23"/>
      <c r="G15" s="79"/>
      <c r="H15" s="23"/>
      <c r="I15" s="23"/>
      <c r="J15" s="23"/>
      <c r="K15" s="23"/>
      <c r="L15" s="24"/>
      <c r="M15" s="24"/>
      <c r="N15" s="4"/>
      <c r="O15" s="4"/>
    </row>
    <row r="16" spans="2:15" ht="18" customHeight="1">
      <c r="B16" s="85"/>
      <c r="C16" s="83"/>
      <c r="D16" s="83"/>
      <c r="E16" s="84"/>
      <c r="F16" s="83"/>
      <c r="G16" s="83"/>
      <c r="H16" s="83"/>
      <c r="I16" s="83"/>
      <c r="J16" s="83"/>
      <c r="K16" s="83"/>
      <c r="L16" s="83"/>
      <c r="M16" s="83"/>
    </row>
    <row r="17" spans="2:13" ht="18" customHeight="1">
      <c r="B17" s="86" t="s">
        <v>4304</v>
      </c>
      <c r="C17" s="83"/>
      <c r="D17" s="83"/>
      <c r="E17" s="84"/>
      <c r="F17" s="83"/>
      <c r="G17" s="83"/>
      <c r="H17" s="83"/>
      <c r="I17" s="83"/>
      <c r="J17" s="83"/>
      <c r="K17" s="83"/>
      <c r="L17" s="83"/>
      <c r="M17" s="83"/>
    </row>
    <row r="18" spans="2:13" ht="18" customHeight="1">
      <c r="B18" s="85"/>
      <c r="C18" s="83"/>
      <c r="D18" s="83"/>
      <c r="E18" s="84"/>
      <c r="F18" s="83"/>
      <c r="G18" s="83"/>
    </row>
    <row r="19" spans="2:13" ht="54.95" customHeight="1">
      <c r="B19" s="773" t="s">
        <v>4134</v>
      </c>
      <c r="C19" s="774"/>
      <c r="D19" s="774"/>
      <c r="E19" s="775"/>
      <c r="F19" s="87" t="s">
        <v>4303</v>
      </c>
      <c r="G19" s="87" t="s">
        <v>4302</v>
      </c>
      <c r="H19" s="87" t="s">
        <v>176</v>
      </c>
    </row>
    <row r="20" spans="2:13" ht="3" customHeight="1">
      <c r="G20" s="6"/>
    </row>
    <row r="21" spans="2:13" ht="18" customHeight="1">
      <c r="B21" s="105" t="str">
        <f>+CostosAlt1!B134</f>
        <v>Componente 1:</v>
      </c>
      <c r="C21" s="107"/>
      <c r="D21" s="107"/>
      <c r="E21" s="108"/>
      <c r="F21" s="7"/>
      <c r="G21" s="90"/>
      <c r="H21" s="91"/>
    </row>
    <row r="22" spans="2:13" ht="18" customHeight="1">
      <c r="B22" s="88" t="str">
        <f>+CostosAlt1!B135</f>
        <v/>
      </c>
      <c r="C22" s="109"/>
      <c r="D22" s="109"/>
      <c r="E22" s="110"/>
      <c r="F22" s="82">
        <f>+CostosAlt1!Q135</f>
        <v>0</v>
      </c>
      <c r="G22" s="116">
        <f>1/(1.18)</f>
        <v>0.84745762711864414</v>
      </c>
      <c r="H22" s="114">
        <f>+G22*F22</f>
        <v>0</v>
      </c>
    </row>
    <row r="23" spans="2:13" ht="18" customHeight="1">
      <c r="B23" s="105" t="str">
        <f>+CostosAlt1!B136</f>
        <v>Componente 2</v>
      </c>
      <c r="C23" s="107"/>
      <c r="D23" s="107"/>
      <c r="E23" s="108"/>
      <c r="F23" s="82"/>
      <c r="G23" s="116"/>
      <c r="H23" s="91"/>
    </row>
    <row r="24" spans="2:13" ht="18" customHeight="1">
      <c r="B24" s="88" t="str">
        <f>+CostosAlt1!B137</f>
        <v/>
      </c>
      <c r="C24" s="109"/>
      <c r="D24" s="109"/>
      <c r="E24" s="110"/>
      <c r="F24" s="82">
        <f>+CostosAlt1!Q137</f>
        <v>0</v>
      </c>
      <c r="G24" s="116">
        <f>1/(1.18)</f>
        <v>0.84745762711864414</v>
      </c>
      <c r="H24" s="114">
        <f>+G24*F24</f>
        <v>0</v>
      </c>
    </row>
    <row r="25" spans="2:13" ht="18" customHeight="1">
      <c r="B25" s="105" t="str">
        <f>+CostosAlt1!B138</f>
        <v>Componente 3</v>
      </c>
      <c r="C25" s="107"/>
      <c r="D25" s="107"/>
      <c r="E25" s="108"/>
      <c r="F25" s="82"/>
      <c r="G25" s="116"/>
      <c r="H25" s="91"/>
    </row>
    <row r="26" spans="2:13" ht="18" customHeight="1">
      <c r="B26" s="88" t="str">
        <f>+CostosAlt1!B139</f>
        <v/>
      </c>
      <c r="C26" s="109"/>
      <c r="D26" s="109"/>
      <c r="E26" s="110"/>
      <c r="F26" s="82">
        <f>+CostosAlt1!Q139</f>
        <v>0</v>
      </c>
      <c r="G26" s="116">
        <f>1/(1.18)</f>
        <v>0.84745762711864414</v>
      </c>
      <c r="H26" s="114">
        <f>+G26*F26</f>
        <v>0</v>
      </c>
    </row>
    <row r="27" spans="2:13" ht="18" customHeight="1">
      <c r="B27" s="105" t="str">
        <f>+CostosAlt1!B140</f>
        <v>Componente 4</v>
      </c>
      <c r="C27" s="107"/>
      <c r="D27" s="107"/>
      <c r="E27" s="108"/>
      <c r="F27" s="82"/>
      <c r="G27" s="116"/>
      <c r="H27" s="91"/>
    </row>
    <row r="28" spans="2:13" ht="18" customHeight="1">
      <c r="B28" s="88" t="str">
        <f>+CostosAlt1!B141</f>
        <v/>
      </c>
      <c r="C28" s="109"/>
      <c r="D28" s="109"/>
      <c r="E28" s="110"/>
      <c r="F28" s="82">
        <f>+CostosAlt1!Q141</f>
        <v>0</v>
      </c>
      <c r="G28" s="116">
        <f>1/(1.08)</f>
        <v>0.92592592592592582</v>
      </c>
      <c r="H28" s="114">
        <f>+G28*F28</f>
        <v>0</v>
      </c>
    </row>
    <row r="29" spans="2:13" ht="18" customHeight="1">
      <c r="B29" s="105" t="str">
        <f>+CostosAlt1!B142</f>
        <v>Medidas de reducción del riesgo de desastre y mitigación ambiental</v>
      </c>
      <c r="C29" s="107"/>
      <c r="D29" s="107"/>
      <c r="E29" s="108"/>
      <c r="F29" s="82"/>
      <c r="G29" s="116"/>
      <c r="H29" s="91"/>
    </row>
    <row r="30" spans="2:13" ht="18" customHeight="1">
      <c r="B30" s="88" t="str">
        <f>+CostosAlt1!B143</f>
        <v xml:space="preserve">Implementación de medidas </v>
      </c>
      <c r="C30" s="109"/>
      <c r="D30" s="109"/>
      <c r="E30" s="110"/>
      <c r="F30" s="82">
        <f>+CostosAlt1!Q143</f>
        <v>0</v>
      </c>
      <c r="G30" s="116">
        <v>0.79</v>
      </c>
      <c r="H30" s="114">
        <f t="shared" ref="H30:H35" si="0">+G30*F30</f>
        <v>0</v>
      </c>
    </row>
    <row r="31" spans="2:13" ht="18" customHeight="1">
      <c r="B31" s="92" t="str">
        <f>+CostosAlt1!B148</f>
        <v>Gestión del proyecto</v>
      </c>
      <c r="C31" s="111"/>
      <c r="D31" s="111"/>
      <c r="E31" s="89"/>
      <c r="F31" s="82">
        <f>+CostosAlt1!L148</f>
        <v>0</v>
      </c>
      <c r="G31" s="116">
        <f>+G30</f>
        <v>0.79</v>
      </c>
      <c r="H31" s="114">
        <f t="shared" si="0"/>
        <v>0</v>
      </c>
    </row>
    <row r="32" spans="2:13" ht="18" customHeight="1">
      <c r="B32" s="92" t="str">
        <f>+CostosAlt1!B149</f>
        <v>Expediente técnico o documento equivalente</v>
      </c>
      <c r="C32" s="111"/>
      <c r="D32" s="111"/>
      <c r="E32" s="89"/>
      <c r="F32" s="82">
        <f>+CostosAlt1!L149</f>
        <v>0</v>
      </c>
      <c r="G32" s="116">
        <f>+G31</f>
        <v>0.79</v>
      </c>
      <c r="H32" s="114">
        <f t="shared" si="0"/>
        <v>0</v>
      </c>
    </row>
    <row r="33" spans="2:8" ht="18" customHeight="1">
      <c r="B33" s="92" t="str">
        <f>+CostosAlt1!B150</f>
        <v>Supervisión</v>
      </c>
      <c r="C33" s="111"/>
      <c r="D33" s="111"/>
      <c r="E33" s="89"/>
      <c r="F33" s="82">
        <f>+CostosAlt1!L150</f>
        <v>0</v>
      </c>
      <c r="G33" s="116">
        <f t="shared" ref="G33:G35" si="1">+G32</f>
        <v>0.79</v>
      </c>
      <c r="H33" s="114">
        <f t="shared" si="0"/>
        <v>0</v>
      </c>
    </row>
    <row r="34" spans="2:8" ht="18" customHeight="1">
      <c r="B34" s="92" t="str">
        <f>+CostosAlt1!B151</f>
        <v>Liquidación</v>
      </c>
      <c r="C34" s="111"/>
      <c r="D34" s="111"/>
      <c r="E34" s="89"/>
      <c r="F34" s="82">
        <f>+CostosAlt1!L151</f>
        <v>0</v>
      </c>
      <c r="G34" s="116">
        <f t="shared" si="1"/>
        <v>0.79</v>
      </c>
      <c r="H34" s="114">
        <f t="shared" si="0"/>
        <v>0</v>
      </c>
    </row>
    <row r="35" spans="2:8" ht="18" customHeight="1" thickBot="1">
      <c r="B35" s="92" t="str">
        <f>+CostosAlt1!B152</f>
        <v>Gastos generales</v>
      </c>
      <c r="C35" s="111"/>
      <c r="D35" s="111"/>
      <c r="E35" s="89"/>
      <c r="F35" s="82">
        <f>+CostosAlt1!L152</f>
        <v>0</v>
      </c>
      <c r="G35" s="116">
        <f t="shared" si="1"/>
        <v>0.79</v>
      </c>
      <c r="H35" s="114">
        <f t="shared" si="0"/>
        <v>0</v>
      </c>
    </row>
    <row r="36" spans="2:8" ht="18" customHeight="1" thickBot="1">
      <c r="B36" s="106" t="s">
        <v>177</v>
      </c>
      <c r="C36" s="112"/>
      <c r="D36" s="112"/>
      <c r="E36" s="113"/>
      <c r="F36" s="115">
        <f>SUM(F22:F35)</f>
        <v>0</v>
      </c>
      <c r="G36" s="117"/>
      <c r="H36" s="115">
        <f>SUM(H22:H35)</f>
        <v>0</v>
      </c>
    </row>
    <row r="37" spans="2:8" ht="18" customHeight="1">
      <c r="B37" s="83"/>
      <c r="E37" s="6"/>
    </row>
    <row r="38" spans="2:8" ht="18" customHeight="1">
      <c r="B38" s="83"/>
      <c r="E38" s="6"/>
    </row>
    <row r="39" spans="2:8" ht="18" customHeight="1">
      <c r="B39" s="86" t="s">
        <v>4305</v>
      </c>
      <c r="E39" s="6"/>
    </row>
    <row r="40" spans="2:8" ht="18" customHeight="1">
      <c r="E40" s="6"/>
    </row>
    <row r="41" spans="2:8" ht="54.95" customHeight="1">
      <c r="B41" s="773" t="s">
        <v>4134</v>
      </c>
      <c r="C41" s="774"/>
      <c r="D41" s="774"/>
      <c r="E41" s="775"/>
      <c r="F41" s="87" t="s">
        <v>4303</v>
      </c>
      <c r="G41" s="87" t="s">
        <v>4302</v>
      </c>
      <c r="H41" s="87" t="s">
        <v>176</v>
      </c>
    </row>
    <row r="42" spans="2:8" ht="3" customHeight="1">
      <c r="G42" s="6"/>
    </row>
    <row r="43" spans="2:8" ht="18" customHeight="1">
      <c r="B43" s="105" t="s">
        <v>178</v>
      </c>
      <c r="C43" s="109"/>
      <c r="D43" s="109"/>
      <c r="E43" s="110"/>
      <c r="F43" s="82"/>
      <c r="G43" s="116"/>
      <c r="H43" s="114"/>
    </row>
    <row r="44" spans="2:8" ht="18" customHeight="1">
      <c r="B44" s="88" t="str">
        <f>+CostosAlt1!B103</f>
        <v>a. Personal</v>
      </c>
      <c r="C44" s="109"/>
      <c r="D44" s="109"/>
      <c r="E44" s="110"/>
      <c r="F44" s="82"/>
      <c r="G44" s="116"/>
      <c r="H44" s="114"/>
    </row>
    <row r="45" spans="2:8" ht="18" customHeight="1">
      <c r="B45" s="88" t="str">
        <f>+CostosAlt1!B104</f>
        <v>·       Actores comunales:</v>
      </c>
      <c r="C45" s="109"/>
      <c r="D45" s="109"/>
      <c r="E45" s="110"/>
      <c r="F45" s="82">
        <f>SUM(CostosAlt1!P104:P110)-SUM(CostosAlt1!H104:H110)*-1</f>
        <v>0</v>
      </c>
      <c r="G45" s="116">
        <f>+G34</f>
        <v>0.79</v>
      </c>
      <c r="H45" s="114">
        <f>+G45*F45</f>
        <v>0</v>
      </c>
    </row>
    <row r="46" spans="2:8" ht="18" customHeight="1">
      <c r="B46" s="88" t="str">
        <f>+CostosAlt1!B111</f>
        <v xml:space="preserve">·       Equipo técnico profesional del PNCM: </v>
      </c>
      <c r="C46" s="109"/>
      <c r="D46" s="109"/>
      <c r="E46" s="110"/>
      <c r="F46" s="82">
        <f>SUM(CostosAlt1!P112:P114)-SUM(CostosAlt1!H112:H114)</f>
        <v>0</v>
      </c>
      <c r="G46" s="116">
        <f>+G34</f>
        <v>0.79</v>
      </c>
      <c r="H46" s="114">
        <f>+G46*F46</f>
        <v>0</v>
      </c>
    </row>
    <row r="47" spans="2:8" ht="18" customHeight="1" thickBot="1">
      <c r="B47" s="88" t="str">
        <f>+CostosAlt1!B115</f>
        <v>b. Servicios</v>
      </c>
      <c r="C47" s="109"/>
      <c r="D47" s="109"/>
      <c r="E47" s="110"/>
      <c r="F47" s="82">
        <f>SUM(CostosAlt1!P116:P121)-SUM(CostosAlt1!H116:H121)*-1</f>
        <v>0</v>
      </c>
      <c r="G47" s="116">
        <f>+G24</f>
        <v>0.84745762711864414</v>
      </c>
      <c r="H47" s="114">
        <f>+G47*F47</f>
        <v>0</v>
      </c>
    </row>
    <row r="48" spans="2:8" ht="18" customHeight="1" thickBot="1">
      <c r="B48" s="106" t="s">
        <v>177</v>
      </c>
      <c r="C48" s="112"/>
      <c r="D48" s="112"/>
      <c r="E48" s="113"/>
      <c r="F48" s="115">
        <f>SUM(F43:F47)</f>
        <v>0</v>
      </c>
      <c r="G48" s="117"/>
      <c r="H48" s="115">
        <f>SUM(H43:H47)</f>
        <v>0</v>
      </c>
    </row>
    <row r="49" spans="2:15" ht="18" customHeight="1">
      <c r="B49" s="85"/>
      <c r="C49" s="83"/>
      <c r="D49" s="83"/>
      <c r="E49" s="84"/>
      <c r="F49" s="83"/>
      <c r="G49" s="83"/>
      <c r="H49" s="83"/>
      <c r="I49" s="83"/>
      <c r="J49" s="83"/>
      <c r="K49" s="83"/>
      <c r="L49" s="83"/>
      <c r="M49" s="83"/>
    </row>
    <row r="50" spans="2:15" ht="18" customHeight="1">
      <c r="B50" s="85"/>
      <c r="C50" s="83"/>
      <c r="D50" s="83"/>
      <c r="E50" s="84"/>
      <c r="F50" s="83"/>
      <c r="G50" s="83"/>
      <c r="H50" s="83"/>
      <c r="I50" s="83"/>
      <c r="J50" s="83"/>
      <c r="K50" s="83"/>
      <c r="L50" s="83"/>
      <c r="M50" s="83"/>
    </row>
    <row r="51" spans="2:15" s="13" customFormat="1" ht="18" customHeight="1">
      <c r="B51" s="21" t="s">
        <v>4376</v>
      </c>
      <c r="C51" s="22"/>
      <c r="D51" s="23"/>
      <c r="E51" s="23"/>
      <c r="F51" s="23"/>
      <c r="G51" s="79"/>
      <c r="H51" s="23"/>
      <c r="I51" s="23"/>
      <c r="J51" s="23"/>
      <c r="K51" s="23"/>
      <c r="L51" s="24"/>
      <c r="M51" s="24"/>
      <c r="N51" s="4"/>
      <c r="O51" s="4"/>
    </row>
    <row r="52" spans="2:15" ht="18" customHeight="1">
      <c r="B52" s="93"/>
      <c r="C52" s="93"/>
      <c r="D52" s="93"/>
      <c r="E52" s="94"/>
      <c r="F52" s="93"/>
      <c r="G52" s="93"/>
      <c r="H52" s="93"/>
      <c r="I52" s="93"/>
      <c r="J52" s="93"/>
      <c r="K52" s="93"/>
      <c r="L52" s="93"/>
      <c r="M52" s="93"/>
    </row>
    <row r="53" spans="2:15" ht="18" customHeight="1">
      <c r="B53" s="95" t="s">
        <v>174</v>
      </c>
      <c r="C53" s="81" t="str">
        <f>+Brecha!D13</f>
        <v/>
      </c>
      <c r="D53" s="81" t="str">
        <f>+Brecha!E13</f>
        <v/>
      </c>
      <c r="E53" s="81" t="str">
        <f>+Brecha!F13</f>
        <v/>
      </c>
      <c r="F53" s="81" t="str">
        <f>+Brecha!G13</f>
        <v/>
      </c>
      <c r="G53" s="81" t="str">
        <f>+Brecha!H13</f>
        <v/>
      </c>
      <c r="H53" s="81" t="str">
        <f>+Brecha!I13</f>
        <v/>
      </c>
      <c r="I53" s="81" t="str">
        <f>+Brecha!J13</f>
        <v/>
      </c>
      <c r="J53" s="81" t="str">
        <f>+Brecha!K13</f>
        <v/>
      </c>
      <c r="K53" s="81" t="str">
        <f>+Brecha!L13</f>
        <v/>
      </c>
      <c r="L53" s="81" t="str">
        <f>+Brecha!M13</f>
        <v/>
      </c>
      <c r="M53" s="81" t="str">
        <f>+Brecha!N13</f>
        <v/>
      </c>
    </row>
    <row r="54" spans="2:15" ht="18" customHeight="1">
      <c r="B54" s="791" t="s">
        <v>4306</v>
      </c>
      <c r="C54" s="791"/>
      <c r="D54" s="791"/>
      <c r="E54" s="791"/>
      <c r="F54" s="791"/>
      <c r="G54" s="791"/>
      <c r="H54" s="791"/>
      <c r="I54" s="791"/>
      <c r="J54" s="791"/>
      <c r="K54" s="791"/>
      <c r="L54" s="791"/>
      <c r="M54" s="791"/>
    </row>
    <row r="55" spans="2:15" ht="36" customHeight="1">
      <c r="B55" s="97" t="s">
        <v>179</v>
      </c>
      <c r="C55" s="175">
        <f>+H36</f>
        <v>0</v>
      </c>
      <c r="D55" s="175"/>
      <c r="E55" s="175"/>
      <c r="F55" s="175"/>
      <c r="G55" s="175"/>
      <c r="H55" s="175"/>
      <c r="I55" s="175"/>
      <c r="J55" s="175"/>
      <c r="K55" s="175"/>
      <c r="L55" s="175"/>
      <c r="M55" s="175">
        <f>-H22*0.1</f>
        <v>0</v>
      </c>
      <c r="N55" s="2" t="s">
        <v>4460</v>
      </c>
    </row>
    <row r="56" spans="2:15" ht="36" customHeight="1">
      <c r="B56" s="97" t="s">
        <v>180</v>
      </c>
      <c r="C56" s="175"/>
      <c r="D56" s="175">
        <f>+SUM(CostosAlt1!F86:F93)*'Evaluación Social Alt1'!$G$24</f>
        <v>0</v>
      </c>
      <c r="E56" s="175">
        <f>+SUM(CostosAlt1!G86:G93)*'Evaluación Social Alt1'!$G$24</f>
        <v>0</v>
      </c>
      <c r="F56" s="175">
        <f>+SUM(CostosAlt1!H86:H93)*'Evaluación Social Alt1'!$G$24</f>
        <v>0</v>
      </c>
      <c r="G56" s="175">
        <f>+SUM(CostosAlt1!I86:I93)*'Evaluación Social Alt1'!$G$24</f>
        <v>0</v>
      </c>
      <c r="H56" s="175">
        <f>+SUM(CostosAlt1!J86:J93)*'Evaluación Social Alt1'!$G$24</f>
        <v>0</v>
      </c>
      <c r="I56" s="175">
        <f>+SUM(CostosAlt1!K86:K93)*'Evaluación Social Alt1'!$G$24</f>
        <v>0</v>
      </c>
      <c r="J56" s="175">
        <f>+SUM(CostosAlt1!L86:L93)*'Evaluación Social Alt1'!$G$24</f>
        <v>0</v>
      </c>
      <c r="K56" s="175">
        <f>+SUM(CostosAlt1!M86:M93)*'Evaluación Social Alt1'!$G$24</f>
        <v>0</v>
      </c>
      <c r="L56" s="175">
        <f>+SUM(CostosAlt1!N86:N93)*'Evaluación Social Alt1'!$G$24</f>
        <v>0</v>
      </c>
      <c r="M56" s="175">
        <f>+SUM(CostosAlt1!O86:O93)*'Evaluación Social Alt1'!$G$24</f>
        <v>0</v>
      </c>
    </row>
    <row r="57" spans="2:15" ht="36" customHeight="1">
      <c r="B57" s="97" t="s">
        <v>4307</v>
      </c>
      <c r="C57" s="175"/>
      <c r="D57" s="175">
        <f>+H48</f>
        <v>0</v>
      </c>
      <c r="E57" s="175">
        <f>+D57</f>
        <v>0</v>
      </c>
      <c r="F57" s="175">
        <f t="shared" ref="F57:M57" si="2">+E57</f>
        <v>0</v>
      </c>
      <c r="G57" s="175">
        <f t="shared" si="2"/>
        <v>0</v>
      </c>
      <c r="H57" s="175">
        <f t="shared" si="2"/>
        <v>0</v>
      </c>
      <c r="I57" s="175">
        <f t="shared" si="2"/>
        <v>0</v>
      </c>
      <c r="J57" s="175">
        <f t="shared" si="2"/>
        <v>0</v>
      </c>
      <c r="K57" s="175">
        <f t="shared" si="2"/>
        <v>0</v>
      </c>
      <c r="L57" s="175">
        <f t="shared" si="2"/>
        <v>0</v>
      </c>
      <c r="M57" s="175">
        <f t="shared" si="2"/>
        <v>0</v>
      </c>
    </row>
    <row r="58" spans="2:15" ht="36" customHeight="1">
      <c r="B58" s="96" t="s">
        <v>181</v>
      </c>
      <c r="C58" s="175">
        <f>SUM(C55:C57)</f>
        <v>0</v>
      </c>
      <c r="D58" s="175">
        <f t="shared" ref="D58:M58" si="3">SUM(D55:D57)</f>
        <v>0</v>
      </c>
      <c r="E58" s="175">
        <f t="shared" si="3"/>
        <v>0</v>
      </c>
      <c r="F58" s="175">
        <f t="shared" si="3"/>
        <v>0</v>
      </c>
      <c r="G58" s="175">
        <f t="shared" si="3"/>
        <v>0</v>
      </c>
      <c r="H58" s="175">
        <f t="shared" si="3"/>
        <v>0</v>
      </c>
      <c r="I58" s="175">
        <f t="shared" si="3"/>
        <v>0</v>
      </c>
      <c r="J58" s="175">
        <f t="shared" si="3"/>
        <v>0</v>
      </c>
      <c r="K58" s="175">
        <f t="shared" si="3"/>
        <v>0</v>
      </c>
      <c r="L58" s="175">
        <f t="shared" si="3"/>
        <v>0</v>
      </c>
      <c r="M58" s="175">
        <f t="shared" si="3"/>
        <v>0</v>
      </c>
    </row>
    <row r="59" spans="2:15" ht="18" customHeight="1">
      <c r="B59" s="85" t="s">
        <v>4461</v>
      </c>
      <c r="C59" s="83"/>
      <c r="D59" s="83"/>
      <c r="E59" s="84"/>
      <c r="F59" s="83"/>
      <c r="G59" s="83"/>
      <c r="H59" s="83"/>
      <c r="I59" s="83"/>
      <c r="J59" s="83"/>
      <c r="K59" s="83"/>
      <c r="L59" s="83"/>
      <c r="M59" s="83"/>
    </row>
    <row r="60" spans="2:15" ht="18" customHeight="1">
      <c r="B60" s="85"/>
      <c r="C60" s="83"/>
      <c r="D60" s="83"/>
      <c r="E60" s="84"/>
      <c r="F60" s="83"/>
      <c r="G60" s="83"/>
      <c r="H60" s="83"/>
      <c r="I60" s="83"/>
      <c r="J60" s="83"/>
      <c r="K60" s="83"/>
      <c r="L60" s="83"/>
      <c r="M60" s="83"/>
    </row>
    <row r="61" spans="2:15" s="13" customFormat="1" ht="18" customHeight="1">
      <c r="B61" s="21" t="s">
        <v>182</v>
      </c>
      <c r="C61" s="22"/>
      <c r="D61" s="23"/>
      <c r="E61" s="23"/>
      <c r="F61" s="23"/>
      <c r="G61" s="79"/>
      <c r="H61" s="23"/>
      <c r="I61" s="23"/>
      <c r="J61" s="23"/>
      <c r="K61" s="23"/>
      <c r="L61" s="24"/>
      <c r="M61" s="24"/>
      <c r="N61" s="4"/>
      <c r="O61" s="4"/>
    </row>
    <row r="62" spans="2:15" ht="18" customHeight="1">
      <c r="B62" s="80"/>
      <c r="C62" s="80"/>
      <c r="D62" s="99"/>
      <c r="E62" s="99"/>
      <c r="F62" s="99"/>
      <c r="G62" s="83"/>
      <c r="H62" s="83"/>
      <c r="I62" s="83"/>
      <c r="J62" s="83"/>
      <c r="K62" s="83"/>
      <c r="L62" s="83"/>
      <c r="M62" s="83"/>
    </row>
    <row r="63" spans="2:15" ht="18" customHeight="1">
      <c r="B63" s="100" t="s">
        <v>183</v>
      </c>
      <c r="C63" s="783" t="s">
        <v>184</v>
      </c>
      <c r="D63" s="784"/>
      <c r="E63" s="785"/>
      <c r="F63" s="101" t="s">
        <v>111</v>
      </c>
      <c r="G63" s="83"/>
      <c r="H63" s="83"/>
      <c r="I63" s="83"/>
      <c r="J63" s="83"/>
      <c r="K63" s="83"/>
      <c r="L63" s="83"/>
      <c r="M63" s="83"/>
    </row>
    <row r="64" spans="2:15" ht="18" customHeight="1">
      <c r="B64" s="786" t="s">
        <v>4377</v>
      </c>
      <c r="C64" s="788" t="s">
        <v>185</v>
      </c>
      <c r="D64" s="789"/>
      <c r="E64" s="790"/>
      <c r="F64" s="122">
        <f>+NPV(0.08,D58:M58)+C58</f>
        <v>0</v>
      </c>
      <c r="G64" s="83"/>
      <c r="H64" s="83"/>
      <c r="I64" s="83"/>
      <c r="J64" s="83"/>
      <c r="K64" s="83"/>
      <c r="L64" s="83"/>
      <c r="M64" s="83"/>
    </row>
    <row r="65" spans="2:15" ht="18" customHeight="1">
      <c r="B65" s="787"/>
      <c r="C65" s="788" t="s">
        <v>186</v>
      </c>
      <c r="D65" s="789"/>
      <c r="E65" s="790"/>
      <c r="F65" s="123" t="str">
        <f>+IF($F$64&gt;0,F64/SUM(Brecha!D19:N19),"")</f>
        <v/>
      </c>
      <c r="G65" s="83"/>
      <c r="H65" s="83"/>
      <c r="I65" s="83"/>
      <c r="J65" s="83"/>
      <c r="K65" s="83"/>
      <c r="L65" s="83"/>
      <c r="M65" s="83"/>
    </row>
    <row r="67" spans="2:15" ht="18" customHeight="1">
      <c r="B67" s="777"/>
      <c r="C67" s="777"/>
      <c r="D67" s="777"/>
      <c r="E67" s="777"/>
      <c r="F67" s="777"/>
      <c r="G67" s="777"/>
      <c r="H67" s="777"/>
      <c r="I67" s="83"/>
      <c r="J67" s="103"/>
      <c r="K67" s="83"/>
      <c r="L67" s="83"/>
      <c r="M67" s="83"/>
    </row>
    <row r="68" spans="2:15" s="13" customFormat="1" ht="18" customHeight="1">
      <c r="B68" s="21" t="s">
        <v>187</v>
      </c>
      <c r="C68" s="22"/>
      <c r="D68" s="23"/>
      <c r="E68" s="23"/>
      <c r="F68" s="23"/>
      <c r="G68" s="79"/>
      <c r="H68" s="23"/>
      <c r="I68" s="23"/>
      <c r="J68" s="23"/>
      <c r="K68" s="23"/>
      <c r="L68" s="24"/>
      <c r="M68" s="24"/>
      <c r="N68" s="4"/>
      <c r="O68" s="4"/>
    </row>
    <row r="69" spans="2:15" ht="18" customHeight="1">
      <c r="B69" s="178"/>
      <c r="C69" s="178"/>
      <c r="D69" s="178"/>
      <c r="E69" s="178"/>
      <c r="F69" s="178"/>
      <c r="G69" s="178"/>
      <c r="H69" s="178"/>
      <c r="I69" s="178"/>
      <c r="J69" s="178"/>
      <c r="K69" s="178"/>
      <c r="L69" s="178"/>
      <c r="M69" s="178"/>
    </row>
    <row r="70" spans="2:15" s="8" customFormat="1" ht="18" customHeight="1">
      <c r="B70" s="778" t="s">
        <v>188</v>
      </c>
      <c r="C70" s="779"/>
      <c r="D70" s="779"/>
      <c r="E70" s="779"/>
      <c r="F70" s="779"/>
      <c r="G70" s="779"/>
      <c r="H70" s="779"/>
      <c r="I70" s="779"/>
      <c r="J70" s="780"/>
      <c r="N70" s="4"/>
      <c r="O70" s="4"/>
    </row>
    <row r="71" spans="2:15" s="8" customFormat="1" ht="18" customHeight="1">
      <c r="B71" s="781" t="s">
        <v>4488</v>
      </c>
      <c r="C71" s="781"/>
      <c r="D71" s="782" t="s">
        <v>4308</v>
      </c>
      <c r="E71" s="782"/>
      <c r="F71" s="782"/>
      <c r="G71" s="782"/>
      <c r="H71" s="782"/>
      <c r="I71" s="782"/>
      <c r="J71" s="782"/>
      <c r="N71" s="4"/>
      <c r="O71" s="4"/>
    </row>
    <row r="72" spans="2:15" s="8" customFormat="1" ht="18" customHeight="1">
      <c r="B72" s="776"/>
      <c r="C72" s="776"/>
      <c r="D72" s="104">
        <v>20</v>
      </c>
      <c r="E72" s="104">
        <v>15</v>
      </c>
      <c r="F72" s="104">
        <v>10</v>
      </c>
      <c r="G72" s="104">
        <v>0</v>
      </c>
      <c r="H72" s="104">
        <v>-10</v>
      </c>
      <c r="I72" s="104">
        <v>-15</v>
      </c>
      <c r="J72" s="104">
        <v>-20</v>
      </c>
    </row>
    <row r="73" spans="2:15" s="9" customFormat="1" ht="21.95" customHeight="1">
      <c r="B73" s="776" t="s">
        <v>190</v>
      </c>
      <c r="C73" s="104">
        <v>35</v>
      </c>
      <c r="D73" s="174" t="str">
        <f>+IF($F$64&gt;0,($F$64*(1+(D$72/100)))/(SUM(Brecha!$D$19:$N$19)*(1+($C73/100))),"")</f>
        <v/>
      </c>
      <c r="E73" s="174" t="str">
        <f>+IF($F$64&gt;0,($F$64*(1+(E$72/100)))/(SUM(Brecha!$D$19:$N$19)*(1+($C73/100))),"")</f>
        <v/>
      </c>
      <c r="F73" s="174" t="str">
        <f>+IF($F$64&gt;0,($F$64*(1+(F$72/100)))/(SUM(Brecha!$D$19:$N$19)*(1+($C73/100))),"")</f>
        <v/>
      </c>
      <c r="G73" s="174" t="str">
        <f>+IF($F$64&gt;0,($F$64*(1+(G$72/100)))/(SUM(Brecha!$D$19:$N$19)*(1+($C73/100))),"")</f>
        <v/>
      </c>
      <c r="H73" s="174" t="str">
        <f>+IF($F$64&gt;0,($F$64*(1+(H$72/100)))/(SUM(Brecha!$D$19:$N$19)*(1+($C73/100))),"")</f>
        <v/>
      </c>
      <c r="I73" s="174" t="str">
        <f>+IF($F$64&gt;0,($F$64*(1+(I$72/100)))/(SUM(Brecha!$D$19:$N$19)*(1+($C73/100))),"")</f>
        <v/>
      </c>
      <c r="J73" s="174" t="str">
        <f>+IF($F$64&gt;0,($F$64*(1+(J$72/100)))/(SUM(Brecha!$D$19:$N$19)*(1+($C73/100))),"")</f>
        <v/>
      </c>
    </row>
    <row r="74" spans="2:15" s="9" customFormat="1" ht="21.95" customHeight="1">
      <c r="B74" s="776"/>
      <c r="C74" s="104">
        <v>25</v>
      </c>
      <c r="D74" s="174" t="str">
        <f>+IF($F$64&gt;0,($F$64*(1+(D$72/100)))/(SUM(Brecha!$D$19:$N$19)*(1+($C74/100))),"")</f>
        <v/>
      </c>
      <c r="E74" s="174" t="str">
        <f>+IF($F$64&gt;0,($F$64*(1+(E$72/100)))/(SUM(Brecha!$D$19:$N$19)*(1+($C74/100))),"")</f>
        <v/>
      </c>
      <c r="F74" s="174" t="str">
        <f>+IF($F$64&gt;0,($F$64*(1+(F$72/100)))/(SUM(Brecha!$D$19:$N$19)*(1+($C74/100))),"")</f>
        <v/>
      </c>
      <c r="G74" s="174" t="str">
        <f>+IF($F$64&gt;0,($F$64*(1+(G$72/100)))/(SUM(Brecha!$D$19:$N$19)*(1+($C74/100))),"")</f>
        <v/>
      </c>
      <c r="H74" s="174" t="str">
        <f>+IF($F$64&gt;0,($F$64*(1+(H$72/100)))/(SUM(Brecha!$D$19:$N$19)*(1+($C74/100))),"")</f>
        <v/>
      </c>
      <c r="I74" s="174" t="str">
        <f>+IF($F$64&gt;0,($F$64*(1+(I$72/100)))/(SUM(Brecha!$D$19:$N$19)*(1+($C74/100))),"")</f>
        <v/>
      </c>
      <c r="J74" s="174" t="str">
        <f>+IF($F$64&gt;0,($F$64*(1+(J$72/100)))/(SUM(Brecha!$D$19:$N$19)*(1+($C74/100))),"")</f>
        <v/>
      </c>
    </row>
    <row r="75" spans="2:15" s="9" customFormat="1" ht="21.95" customHeight="1">
      <c r="B75" s="776"/>
      <c r="C75" s="104">
        <v>15</v>
      </c>
      <c r="D75" s="174" t="str">
        <f>+IF($F$64&gt;0,($F$64*(1+(D$72/100)))/(SUM(Brecha!$D$19:$N$19)*(1+($C75/100))),"")</f>
        <v/>
      </c>
      <c r="E75" s="174" t="str">
        <f>+IF($F$64&gt;0,($F$64*(1+(E$72/100)))/(SUM(Brecha!$D$19:$N$19)*(1+($C75/100))),"")</f>
        <v/>
      </c>
      <c r="F75" s="174" t="str">
        <f>+IF($F$64&gt;0,($F$64*(1+(F$72/100)))/(SUM(Brecha!$D$19:$N$19)*(1+($C75/100))),"")</f>
        <v/>
      </c>
      <c r="G75" s="174" t="str">
        <f>+IF($F$64&gt;0,($F$64*(1+(G$72/100)))/(SUM(Brecha!$D$19:$N$19)*(1+($C75/100))),"")</f>
        <v/>
      </c>
      <c r="H75" s="174" t="str">
        <f>+IF($F$64&gt;0,($F$64*(1+(H$72/100)))/(SUM(Brecha!$D$19:$N$19)*(1+($C75/100))),"")</f>
        <v/>
      </c>
      <c r="I75" s="174" t="str">
        <f>+IF($F$64&gt;0,($F$64*(1+(I$72/100)))/(SUM(Brecha!$D$19:$N$19)*(1+($C75/100))),"")</f>
        <v/>
      </c>
      <c r="J75" s="174" t="str">
        <f>+IF($F$64&gt;0,($F$64*(1+(J$72/100)))/(SUM(Brecha!$D$19:$N$19)*(1+($C75/100))),"")</f>
        <v/>
      </c>
    </row>
    <row r="76" spans="2:15" s="9" customFormat="1" ht="21.95" customHeight="1">
      <c r="B76" s="776"/>
      <c r="C76" s="104">
        <v>0</v>
      </c>
      <c r="D76" s="174" t="str">
        <f>+IF($F$64&gt;0,($F$64*(1+(D$72/100)))/(SUM(Brecha!$D$19:$N$19)*(1+($C76/100))),"")</f>
        <v/>
      </c>
      <c r="E76" s="174" t="str">
        <f>+IF($F$64&gt;0,($F$64*(1+(E$72/100)))/(SUM(Brecha!$D$19:$N$19)*(1+($C76/100))),"")</f>
        <v/>
      </c>
      <c r="F76" s="174" t="str">
        <f>+IF($F$64&gt;0,($F$64*(1+(F$72/100)))/(SUM(Brecha!$D$19:$N$19)*(1+($C76/100))),"")</f>
        <v/>
      </c>
      <c r="G76" s="174" t="str">
        <f>+IF($F$64&gt;0,($F$64*(1+(G$72/100)))/(SUM(Brecha!$D$19:$N$19)*(1+($C76/100))),"")</f>
        <v/>
      </c>
      <c r="H76" s="174" t="str">
        <f>+IF($F$64&gt;0,($F$64*(1+(H$72/100)))/(SUM(Brecha!$D$19:$N$19)*(1+($C76/100))),"")</f>
        <v/>
      </c>
      <c r="I76" s="174" t="str">
        <f>+IF($F$64&gt;0,($F$64*(1+(I$72/100)))/(SUM(Brecha!$D$19:$N$19)*(1+($C76/100))),"")</f>
        <v/>
      </c>
      <c r="J76" s="174" t="str">
        <f>+IF($F$64&gt;0,($F$64*(1+(J$72/100)))/(SUM(Brecha!$D$19:$N$19)*(1+($C76/100))),"")</f>
        <v/>
      </c>
    </row>
    <row r="77" spans="2:15" s="9" customFormat="1" ht="21.95" customHeight="1">
      <c r="B77" s="776"/>
      <c r="C77" s="104">
        <v>-15</v>
      </c>
      <c r="D77" s="174" t="str">
        <f>+IF($F$64&gt;0,($F$64*(1+(D$72/100)))/(SUM(Brecha!$D$19:$N$19)*(1+($C77/100))),"")</f>
        <v/>
      </c>
      <c r="E77" s="174" t="str">
        <f>+IF($F$64&gt;0,($F$64*(1+(E$72/100)))/(SUM(Brecha!$D$19:$N$19)*(1+($C77/100))),"")</f>
        <v/>
      </c>
      <c r="F77" s="174" t="str">
        <f>+IF($F$64&gt;0,($F$64*(1+(F$72/100)))/(SUM(Brecha!$D$19:$N$19)*(1+($C77/100))),"")</f>
        <v/>
      </c>
      <c r="G77" s="174" t="str">
        <f>+IF($F$64&gt;0,($F$64*(1+(G$72/100)))/(SUM(Brecha!$D$19:$N$19)*(1+($C77/100))),"")</f>
        <v/>
      </c>
      <c r="H77" s="174" t="str">
        <f>+IF($F$64&gt;0,($F$64*(1+(H$72/100)))/(SUM(Brecha!$D$19:$N$19)*(1+($C77/100))),"")</f>
        <v/>
      </c>
      <c r="I77" s="174" t="str">
        <f>+IF($F$64&gt;0,($F$64*(1+(I$72/100)))/(SUM(Brecha!$D$19:$N$19)*(1+($C77/100))),"")</f>
        <v/>
      </c>
      <c r="J77" s="174" t="str">
        <f>+IF($F$64&gt;0,($F$64*(1+(J$72/100)))/(SUM(Brecha!$D$19:$N$19)*(1+($C77/100))),"")</f>
        <v/>
      </c>
    </row>
    <row r="78" spans="2:15" s="9" customFormat="1" ht="21.95" customHeight="1">
      <c r="B78" s="776"/>
      <c r="C78" s="104">
        <v>-25</v>
      </c>
      <c r="D78" s="174" t="str">
        <f>+IF($F$64&gt;0,($F$64*(1+(D$72/100)))/(SUM(Brecha!$D$19:$N$19)*(1+($C78/100))),"")</f>
        <v/>
      </c>
      <c r="E78" s="174" t="str">
        <f>+IF($F$64&gt;0,($F$64*(1+(E$72/100)))/(SUM(Brecha!$D$19:$N$19)*(1+($C78/100))),"")</f>
        <v/>
      </c>
      <c r="F78" s="174" t="str">
        <f>+IF($F$64&gt;0,($F$64*(1+(F$72/100)))/(SUM(Brecha!$D$19:$N$19)*(1+($C78/100))),"")</f>
        <v/>
      </c>
      <c r="G78" s="174" t="str">
        <f>+IF($F$64&gt;0,($F$64*(1+(G$72/100)))/(SUM(Brecha!$D$19:$N$19)*(1+($C78/100))),"")</f>
        <v/>
      </c>
      <c r="H78" s="174" t="str">
        <f>+IF($F$64&gt;0,($F$64*(1+(H$72/100)))/(SUM(Brecha!$D$19:$N$19)*(1+($C78/100))),"")</f>
        <v/>
      </c>
      <c r="I78" s="174" t="str">
        <f>+IF($F$64&gt;0,($F$64*(1+(I$72/100)))/(SUM(Brecha!$D$19:$N$19)*(1+($C78/100))),"")</f>
        <v/>
      </c>
      <c r="J78" s="174" t="str">
        <f>+IF($F$64&gt;0,($F$64*(1+(J$72/100)))/(SUM(Brecha!$D$19:$N$19)*(1+($C78/100))),"")</f>
        <v/>
      </c>
    </row>
    <row r="79" spans="2:15" s="9" customFormat="1" ht="21.95" customHeight="1">
      <c r="B79" s="776"/>
      <c r="C79" s="104">
        <v>-35</v>
      </c>
      <c r="D79" s="174" t="str">
        <f>+IF($F$64&gt;0,($F$64*(1+(D$72/100)))/(SUM(Brecha!$D$19:$N$19)*(1+($C79/100))),"")</f>
        <v/>
      </c>
      <c r="E79" s="174" t="str">
        <f>+IF($F$64&gt;0,($F$64*(1+(E$72/100)))/(SUM(Brecha!$D$19:$N$19)*(1+($C79/100))),"")</f>
        <v/>
      </c>
      <c r="F79" s="174" t="str">
        <f>+IF($F$64&gt;0,($F$64*(1+(F$72/100)))/(SUM(Brecha!$D$19:$N$19)*(1+($C79/100))),"")</f>
        <v/>
      </c>
      <c r="G79" s="174" t="str">
        <f>+IF($F$64&gt;0,($F$64*(1+(G$72/100)))/(SUM(Brecha!$D$19:$N$19)*(1+($C79/100))),"")</f>
        <v/>
      </c>
      <c r="H79" s="174" t="str">
        <f>+IF($F$64&gt;0,($F$64*(1+(H$72/100)))/(SUM(Brecha!$D$19:$N$19)*(1+($C79/100))),"")</f>
        <v/>
      </c>
      <c r="I79" s="174" t="str">
        <f>+IF($F$64&gt;0,($F$64*(1+(I$72/100)))/(SUM(Brecha!$D$19:$N$19)*(1+($C79/100))),"")</f>
        <v/>
      </c>
      <c r="J79" s="174" t="str">
        <f>+IF($F$64&gt;0,($F$64*(1+(J$72/100)))/(SUM(Brecha!$D$19:$N$19)*(1+($C79/100))),"")</f>
        <v/>
      </c>
    </row>
    <row r="80" spans="2:15" ht="18" customHeight="1">
      <c r="B80" s="102"/>
      <c r="C80" s="102"/>
      <c r="D80" s="102"/>
      <c r="E80" s="94"/>
      <c r="F80" s="102"/>
      <c r="G80" s="102"/>
      <c r="H80" s="102"/>
      <c r="I80" s="102"/>
      <c r="J80" s="102"/>
      <c r="K80" s="102"/>
      <c r="L80" s="102"/>
      <c r="M80" s="102"/>
    </row>
  </sheetData>
  <sheetProtection sheet="1" objects="1" scenarios="1"/>
  <mergeCells count="18">
    <mergeCell ref="B8:G8"/>
    <mergeCell ref="B9:G9"/>
    <mergeCell ref="B10:G10"/>
    <mergeCell ref="B11:G11"/>
    <mergeCell ref="B6:G6"/>
    <mergeCell ref="B12:G12"/>
    <mergeCell ref="B19:E19"/>
    <mergeCell ref="B41:E41"/>
    <mergeCell ref="B73:B79"/>
    <mergeCell ref="B67:H67"/>
    <mergeCell ref="B70:J70"/>
    <mergeCell ref="B71:C72"/>
    <mergeCell ref="D71:J71"/>
    <mergeCell ref="C63:E63"/>
    <mergeCell ref="B64:B65"/>
    <mergeCell ref="C64:E64"/>
    <mergeCell ref="C65:E65"/>
    <mergeCell ref="B54:M54"/>
  </mergeCells>
  <conditionalFormatting sqref="A2:XFD3 A4:M4 P4:XFD4">
    <cfRule type="cellIs" dxfId="68" priority="19" operator="equal">
      <formula>0</formula>
    </cfRule>
  </conditionalFormatting>
  <conditionalFormatting sqref="A2:XFD3 A4:M4 P4:XFD4">
    <cfRule type="cellIs" dxfId="67" priority="18" operator="equal">
      <formula>0</formula>
    </cfRule>
  </conditionalFormatting>
  <conditionalFormatting sqref="A15:M15 P15:XFD15">
    <cfRule type="cellIs" dxfId="66" priority="17" operator="equal">
      <formula>0</formula>
    </cfRule>
  </conditionalFormatting>
  <conditionalFormatting sqref="A15:M15 P15:XFD15">
    <cfRule type="cellIs" dxfId="65" priority="16" operator="equal">
      <formula>0</formula>
    </cfRule>
  </conditionalFormatting>
  <conditionalFormatting sqref="F22:F35">
    <cfRule type="cellIs" dxfId="64" priority="9" operator="equal">
      <formula>0</formula>
    </cfRule>
  </conditionalFormatting>
  <conditionalFormatting sqref="F44:F47">
    <cfRule type="cellIs" dxfId="63" priority="8" operator="equal">
      <formula>0</formula>
    </cfRule>
  </conditionalFormatting>
  <conditionalFormatting sqref="F43">
    <cfRule type="cellIs" dxfId="62" priority="7" operator="equal">
      <formula>0</formula>
    </cfRule>
  </conditionalFormatting>
  <conditionalFormatting sqref="A51:M51 P51:XFD51">
    <cfRule type="cellIs" dxfId="61" priority="6" operator="equal">
      <formula>0</formula>
    </cfRule>
  </conditionalFormatting>
  <conditionalFormatting sqref="A51:M51 P51:XFD51">
    <cfRule type="cellIs" dxfId="60" priority="5" operator="equal">
      <formula>0</formula>
    </cfRule>
  </conditionalFormatting>
  <conditionalFormatting sqref="A61:M61 P61:XFD61">
    <cfRule type="cellIs" dxfId="59" priority="4" operator="equal">
      <formula>0</formula>
    </cfRule>
  </conditionalFormatting>
  <conditionalFormatting sqref="A61:M61 P61:XFD61">
    <cfRule type="cellIs" dxfId="58" priority="3" operator="equal">
      <formula>0</formula>
    </cfRule>
  </conditionalFormatting>
  <conditionalFormatting sqref="A68:M68 P68:XFD68">
    <cfRule type="cellIs" dxfId="57" priority="2" operator="equal">
      <formula>0</formula>
    </cfRule>
  </conditionalFormatting>
  <conditionalFormatting sqref="A68:M68 P68:XFD68">
    <cfRule type="cellIs" dxfId="56" priority="1" operator="equal">
      <formula>0</formula>
    </cfRule>
  </conditionalFormatting>
  <pageMargins left="0.7" right="0.7" top="0.75" bottom="0.75" header="0.3" footer="0.3"/>
  <pageSetup paperSize="9" scale="43"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23">
    <pageSetUpPr fitToPage="1"/>
  </sheetPr>
  <dimension ref="B2:O80"/>
  <sheetViews>
    <sheetView zoomScale="110" zoomScaleNormal="110" workbookViewId="0">
      <selection activeCell="G82" sqref="G82"/>
    </sheetView>
  </sheetViews>
  <sheetFormatPr baseColWidth="10" defaultColWidth="10.6640625" defaultRowHeight="18" customHeight="1"/>
  <cols>
    <col min="1" max="1" width="10.6640625" style="4"/>
    <col min="2" max="2" width="31.5546875" style="4" customWidth="1"/>
    <col min="3" max="13" width="13.6640625" style="4" customWidth="1"/>
    <col min="14" max="16384" width="10.6640625" style="4"/>
  </cols>
  <sheetData>
    <row r="2" spans="2:15" s="80" customFormat="1" ht="18" customHeight="1">
      <c r="B2" s="80" t="s">
        <v>4455</v>
      </c>
    </row>
    <row r="4" spans="2:15" s="13" customFormat="1" ht="18" customHeight="1">
      <c r="B4" s="21" t="s">
        <v>173</v>
      </c>
      <c r="C4" s="22"/>
      <c r="D4" s="23"/>
      <c r="E4" s="23"/>
      <c r="F4" s="23"/>
      <c r="G4" s="79"/>
      <c r="H4" s="23"/>
      <c r="I4" s="23"/>
      <c r="J4" s="23"/>
      <c r="K4" s="23"/>
      <c r="L4" s="24"/>
      <c r="M4" s="24"/>
      <c r="N4" s="4"/>
      <c r="O4" s="4"/>
    </row>
    <row r="5" spans="2:15" ht="18" customHeight="1">
      <c r="B5" s="83"/>
      <c r="C5" s="83"/>
      <c r="D5" s="83"/>
      <c r="E5" s="84"/>
      <c r="F5" s="83"/>
      <c r="G5" s="83"/>
      <c r="H5" s="83"/>
      <c r="I5" s="83"/>
      <c r="J5" s="83"/>
      <c r="K5" s="83"/>
      <c r="L5" s="83"/>
      <c r="M5" s="83"/>
    </row>
    <row r="6" spans="2:15" ht="18" customHeight="1">
      <c r="B6" s="511" t="s">
        <v>4297</v>
      </c>
      <c r="C6" s="511"/>
      <c r="D6" s="511"/>
      <c r="E6" s="511"/>
      <c r="F6" s="511"/>
      <c r="G6" s="511"/>
    </row>
    <row r="7" spans="2:15" ht="3" customHeight="1"/>
    <row r="8" spans="2:15" ht="33.950000000000003" customHeight="1">
      <c r="B8" s="426" t="s">
        <v>4298</v>
      </c>
      <c r="C8" s="427"/>
      <c r="D8" s="427"/>
      <c r="E8" s="427"/>
      <c r="F8" s="427"/>
      <c r="G8" s="428"/>
    </row>
    <row r="9" spans="2:15" ht="33.950000000000003" customHeight="1">
      <c r="B9" s="426" t="s">
        <v>4374</v>
      </c>
      <c r="C9" s="427"/>
      <c r="D9" s="427"/>
      <c r="E9" s="427"/>
      <c r="F9" s="427"/>
      <c r="G9" s="428"/>
    </row>
    <row r="10" spans="2:15" ht="33.950000000000003" customHeight="1">
      <c r="B10" s="426" t="s">
        <v>4299</v>
      </c>
      <c r="C10" s="427"/>
      <c r="D10" s="427"/>
      <c r="E10" s="427"/>
      <c r="F10" s="427"/>
      <c r="G10" s="428"/>
    </row>
    <row r="11" spans="2:15" ht="33.950000000000003" customHeight="1">
      <c r="B11" s="426" t="s">
        <v>4300</v>
      </c>
      <c r="C11" s="427"/>
      <c r="D11" s="427"/>
      <c r="E11" s="427"/>
      <c r="F11" s="427"/>
      <c r="G11" s="428"/>
    </row>
    <row r="12" spans="2:15" ht="33.950000000000003" customHeight="1">
      <c r="B12" s="426" t="s">
        <v>4301</v>
      </c>
      <c r="C12" s="427"/>
      <c r="D12" s="427"/>
      <c r="E12" s="427"/>
      <c r="F12" s="427"/>
      <c r="G12" s="428"/>
    </row>
    <row r="13" spans="2:15" ht="18" customHeight="1">
      <c r="B13" s="85"/>
      <c r="C13" s="83"/>
      <c r="D13" s="83"/>
      <c r="E13" s="84"/>
      <c r="F13" s="83"/>
      <c r="G13" s="83"/>
      <c r="H13" s="83"/>
      <c r="I13" s="83"/>
      <c r="J13" s="83"/>
      <c r="K13" s="83"/>
      <c r="L13" s="83"/>
      <c r="M13" s="83"/>
    </row>
    <row r="14" spans="2:15" ht="18" customHeight="1">
      <c r="B14" s="85"/>
      <c r="C14" s="83"/>
      <c r="D14" s="83"/>
      <c r="E14" s="84"/>
      <c r="F14" s="83"/>
      <c r="G14" s="83"/>
      <c r="H14" s="83"/>
      <c r="I14" s="83"/>
      <c r="J14" s="83"/>
      <c r="K14" s="83"/>
      <c r="L14" s="83"/>
      <c r="M14" s="83"/>
    </row>
    <row r="15" spans="2:15" s="13" customFormat="1" ht="18" customHeight="1">
      <c r="B15" s="21" t="s">
        <v>175</v>
      </c>
      <c r="C15" s="22"/>
      <c r="D15" s="23"/>
      <c r="E15" s="23"/>
      <c r="F15" s="23"/>
      <c r="G15" s="79"/>
      <c r="H15" s="23"/>
      <c r="I15" s="23"/>
      <c r="J15" s="23"/>
      <c r="K15" s="23"/>
      <c r="L15" s="24"/>
      <c r="M15" s="24"/>
      <c r="N15" s="4"/>
      <c r="O15" s="4"/>
    </row>
    <row r="16" spans="2:15" ht="18" customHeight="1">
      <c r="B16" s="85"/>
      <c r="C16" s="83"/>
      <c r="D16" s="83"/>
      <c r="E16" s="84"/>
      <c r="F16" s="83"/>
      <c r="G16" s="83"/>
      <c r="H16" s="83"/>
      <c r="I16" s="83"/>
      <c r="J16" s="83"/>
      <c r="K16" s="83"/>
      <c r="L16" s="83"/>
      <c r="M16" s="83"/>
    </row>
    <row r="17" spans="2:13" ht="18" customHeight="1">
      <c r="B17" s="86" t="s">
        <v>4304</v>
      </c>
      <c r="C17" s="83"/>
      <c r="D17" s="83"/>
      <c r="E17" s="84"/>
      <c r="F17" s="83"/>
      <c r="G17" s="83"/>
      <c r="H17" s="83"/>
      <c r="I17" s="83"/>
      <c r="J17" s="83"/>
      <c r="K17" s="83"/>
      <c r="L17" s="83"/>
      <c r="M17" s="83"/>
    </row>
    <row r="18" spans="2:13" ht="18" customHeight="1">
      <c r="B18" s="85"/>
      <c r="C18" s="83"/>
      <c r="D18" s="83"/>
      <c r="E18" s="84"/>
      <c r="F18" s="83"/>
      <c r="G18" s="83"/>
    </row>
    <row r="19" spans="2:13" ht="54.95" customHeight="1">
      <c r="B19" s="773" t="s">
        <v>4134</v>
      </c>
      <c r="C19" s="774"/>
      <c r="D19" s="774"/>
      <c r="E19" s="775"/>
      <c r="F19" s="87" t="s">
        <v>4303</v>
      </c>
      <c r="G19" s="87" t="s">
        <v>4302</v>
      </c>
      <c r="H19" s="87" t="s">
        <v>176</v>
      </c>
    </row>
    <row r="20" spans="2:13" ht="3" customHeight="1">
      <c r="G20" s="6"/>
    </row>
    <row r="21" spans="2:13" ht="18" customHeight="1">
      <c r="B21" s="105" t="str">
        <f>+CostosAlt2!B134</f>
        <v>Componente 1:</v>
      </c>
      <c r="C21" s="107"/>
      <c r="D21" s="107"/>
      <c r="E21" s="108"/>
      <c r="F21" s="7"/>
      <c r="G21" s="90"/>
      <c r="H21" s="91"/>
    </row>
    <row r="22" spans="2:13" ht="18" customHeight="1">
      <c r="B22" s="88" t="str">
        <f>+CostosAlt2!B135</f>
        <v/>
      </c>
      <c r="C22" s="109"/>
      <c r="D22" s="109"/>
      <c r="E22" s="110"/>
      <c r="F22" s="82">
        <f>+CostosAlt2!Q135</f>
        <v>0</v>
      </c>
      <c r="G22" s="116">
        <f>1/(1.18)</f>
        <v>0.84745762711864414</v>
      </c>
      <c r="H22" s="114">
        <f>+G22*F22</f>
        <v>0</v>
      </c>
    </row>
    <row r="23" spans="2:13" ht="18" customHeight="1">
      <c r="B23" s="105" t="str">
        <f>+CostosAlt2!B136</f>
        <v>Componente 2</v>
      </c>
      <c r="C23" s="107"/>
      <c r="D23" s="107"/>
      <c r="E23" s="108"/>
      <c r="F23" s="82"/>
      <c r="G23" s="116"/>
      <c r="H23" s="91"/>
    </row>
    <row r="24" spans="2:13" ht="18" customHeight="1">
      <c r="B24" s="88" t="str">
        <f>+CostosAlt2!B137</f>
        <v/>
      </c>
      <c r="C24" s="109"/>
      <c r="D24" s="109"/>
      <c r="E24" s="110"/>
      <c r="F24" s="82">
        <f>+CostosAlt2!Q137</f>
        <v>0</v>
      </c>
      <c r="G24" s="116">
        <f>1/(1.18)</f>
        <v>0.84745762711864414</v>
      </c>
      <c r="H24" s="114">
        <f>+G24*F24</f>
        <v>0</v>
      </c>
    </row>
    <row r="25" spans="2:13" ht="18" customHeight="1">
      <c r="B25" s="105" t="str">
        <f>+CostosAlt2!B138</f>
        <v>Componente 3</v>
      </c>
      <c r="C25" s="107"/>
      <c r="D25" s="107"/>
      <c r="E25" s="108"/>
      <c r="F25" s="82"/>
      <c r="G25" s="116"/>
      <c r="H25" s="91"/>
    </row>
    <row r="26" spans="2:13" ht="18" customHeight="1">
      <c r="B26" s="88" t="str">
        <f>+CostosAlt2!B139</f>
        <v/>
      </c>
      <c r="C26" s="109"/>
      <c r="D26" s="109"/>
      <c r="E26" s="110"/>
      <c r="F26" s="82">
        <f>+CostosAlt2!Q139</f>
        <v>0</v>
      </c>
      <c r="G26" s="116">
        <f>1/(1.18)</f>
        <v>0.84745762711864414</v>
      </c>
      <c r="H26" s="114">
        <f>+G26*F26</f>
        <v>0</v>
      </c>
    </row>
    <row r="27" spans="2:13" ht="18" customHeight="1">
      <c r="B27" s="105" t="str">
        <f>+CostosAlt2!B140</f>
        <v>Componente 4</v>
      </c>
      <c r="C27" s="107"/>
      <c r="D27" s="107"/>
      <c r="E27" s="108"/>
      <c r="F27" s="82"/>
      <c r="G27" s="116"/>
      <c r="H27" s="91"/>
    </row>
    <row r="28" spans="2:13" ht="18" customHeight="1">
      <c r="B28" s="88" t="str">
        <f>+CostosAlt2!B141</f>
        <v/>
      </c>
      <c r="C28" s="109"/>
      <c r="D28" s="109"/>
      <c r="E28" s="110"/>
      <c r="F28" s="82">
        <f>+CostosAlt2!Q141</f>
        <v>0</v>
      </c>
      <c r="G28" s="116">
        <f>1/(1.08)</f>
        <v>0.92592592592592582</v>
      </c>
      <c r="H28" s="114">
        <f>+G28*F28</f>
        <v>0</v>
      </c>
    </row>
    <row r="29" spans="2:13" ht="18" customHeight="1">
      <c r="B29" s="105" t="str">
        <f>+CostosAlt2!B142</f>
        <v>Medidas de reducción del riesgo de desastre y mitigación ambiental</v>
      </c>
      <c r="C29" s="107"/>
      <c r="D29" s="107"/>
      <c r="E29" s="108"/>
      <c r="F29" s="82"/>
      <c r="G29" s="116"/>
      <c r="H29" s="91"/>
    </row>
    <row r="30" spans="2:13" ht="18" customHeight="1">
      <c r="B30" s="88" t="str">
        <f>+CostosAlt2!B143</f>
        <v xml:space="preserve">Implementación de medidas </v>
      </c>
      <c r="C30" s="109"/>
      <c r="D30" s="109"/>
      <c r="E30" s="110"/>
      <c r="F30" s="82">
        <f>+CostosAlt2!Q143</f>
        <v>0</v>
      </c>
      <c r="G30" s="116">
        <v>0.79</v>
      </c>
      <c r="H30" s="114">
        <f t="shared" ref="H30:H35" si="0">+G30*F30</f>
        <v>0</v>
      </c>
    </row>
    <row r="31" spans="2:13" ht="18" customHeight="1">
      <c r="B31" s="92" t="str">
        <f>+CostosAlt2!B148</f>
        <v>Gestión del proyecto</v>
      </c>
      <c r="C31" s="111"/>
      <c r="D31" s="111"/>
      <c r="E31" s="89"/>
      <c r="F31" s="82">
        <f>+CostosAlt2!L148</f>
        <v>0</v>
      </c>
      <c r="G31" s="116">
        <f>+G30</f>
        <v>0.79</v>
      </c>
      <c r="H31" s="114">
        <f t="shared" si="0"/>
        <v>0</v>
      </c>
    </row>
    <row r="32" spans="2:13" ht="18" customHeight="1">
      <c r="B32" s="92" t="str">
        <f>+CostosAlt2!B149</f>
        <v>Expediente técnico o documento equivalente</v>
      </c>
      <c r="C32" s="111"/>
      <c r="D32" s="111"/>
      <c r="E32" s="89"/>
      <c r="F32" s="82">
        <f>+CostosAlt2!L149</f>
        <v>0</v>
      </c>
      <c r="G32" s="116">
        <f>+G31</f>
        <v>0.79</v>
      </c>
      <c r="H32" s="114">
        <f t="shared" si="0"/>
        <v>0</v>
      </c>
    </row>
    <row r="33" spans="2:8" ht="18" customHeight="1">
      <c r="B33" s="92" t="str">
        <f>+CostosAlt2!B150</f>
        <v>Supervisión</v>
      </c>
      <c r="C33" s="111"/>
      <c r="D33" s="111"/>
      <c r="E33" s="89"/>
      <c r="F33" s="82">
        <f>+CostosAlt2!L150</f>
        <v>0</v>
      </c>
      <c r="G33" s="116">
        <f t="shared" ref="G33:G35" si="1">+G32</f>
        <v>0.79</v>
      </c>
      <c r="H33" s="114">
        <f t="shared" si="0"/>
        <v>0</v>
      </c>
    </row>
    <row r="34" spans="2:8" ht="18" customHeight="1">
      <c r="B34" s="92" t="str">
        <f>+CostosAlt2!B151</f>
        <v>Liquidación</v>
      </c>
      <c r="C34" s="111"/>
      <c r="D34" s="111"/>
      <c r="E34" s="89"/>
      <c r="F34" s="82">
        <f>+CostosAlt2!L151</f>
        <v>0</v>
      </c>
      <c r="G34" s="116">
        <f t="shared" si="1"/>
        <v>0.79</v>
      </c>
      <c r="H34" s="114">
        <f t="shared" si="0"/>
        <v>0</v>
      </c>
    </row>
    <row r="35" spans="2:8" ht="18" customHeight="1" thickBot="1">
      <c r="B35" s="92" t="str">
        <f>+CostosAlt2!B152</f>
        <v>Gastos generales</v>
      </c>
      <c r="C35" s="111"/>
      <c r="D35" s="111"/>
      <c r="E35" s="89"/>
      <c r="F35" s="82">
        <f>+CostosAlt2!L152</f>
        <v>0</v>
      </c>
      <c r="G35" s="116">
        <f t="shared" si="1"/>
        <v>0.79</v>
      </c>
      <c r="H35" s="114">
        <f t="shared" si="0"/>
        <v>0</v>
      </c>
    </row>
    <row r="36" spans="2:8" ht="18" customHeight="1" thickBot="1">
      <c r="B36" s="106" t="s">
        <v>177</v>
      </c>
      <c r="C36" s="112"/>
      <c r="D36" s="112"/>
      <c r="E36" s="113"/>
      <c r="F36" s="115">
        <f>SUM(F22:F35)</f>
        <v>0</v>
      </c>
      <c r="G36" s="116"/>
      <c r="H36" s="115">
        <f>SUM(H22:H35)</f>
        <v>0</v>
      </c>
    </row>
    <row r="37" spans="2:8" ht="18" customHeight="1">
      <c r="B37" s="83"/>
      <c r="E37" s="6"/>
    </row>
    <row r="38" spans="2:8" ht="18" customHeight="1">
      <c r="B38" s="83"/>
      <c r="E38" s="6"/>
    </row>
    <row r="39" spans="2:8" ht="18" customHeight="1">
      <c r="B39" s="86" t="s">
        <v>4305</v>
      </c>
      <c r="E39" s="6"/>
    </row>
    <row r="40" spans="2:8" ht="18" customHeight="1">
      <c r="E40" s="6"/>
    </row>
    <row r="41" spans="2:8" ht="54.95" customHeight="1">
      <c r="B41" s="773" t="s">
        <v>4134</v>
      </c>
      <c r="C41" s="774"/>
      <c r="D41" s="774"/>
      <c r="E41" s="775"/>
      <c r="F41" s="87" t="s">
        <v>4303</v>
      </c>
      <c r="G41" s="87" t="s">
        <v>4302</v>
      </c>
      <c r="H41" s="87" t="s">
        <v>176</v>
      </c>
    </row>
    <row r="42" spans="2:8" ht="3" customHeight="1">
      <c r="G42" s="6"/>
    </row>
    <row r="43" spans="2:8" ht="18" customHeight="1">
      <c r="B43" s="105" t="s">
        <v>178</v>
      </c>
      <c r="C43" s="109"/>
      <c r="D43" s="109"/>
      <c r="E43" s="110"/>
      <c r="F43" s="82"/>
      <c r="G43" s="116"/>
      <c r="H43" s="114"/>
    </row>
    <row r="44" spans="2:8" ht="18" customHeight="1">
      <c r="B44" s="88" t="str">
        <f>+CostosAlt2!B103</f>
        <v>a. Personal</v>
      </c>
      <c r="C44" s="109"/>
      <c r="D44" s="109"/>
      <c r="E44" s="110"/>
      <c r="F44" s="82"/>
      <c r="G44" s="116"/>
      <c r="H44" s="114"/>
    </row>
    <row r="45" spans="2:8" ht="18" customHeight="1">
      <c r="B45" s="88" t="str">
        <f>+CostosAlt2!B104</f>
        <v>·       Actores comunales:</v>
      </c>
      <c r="C45" s="109"/>
      <c r="D45" s="109"/>
      <c r="E45" s="110"/>
      <c r="F45" s="82">
        <f>SUM(CostosAlt2!P104:P110)-SUM(CostosAlt2!H104:H110)</f>
        <v>0</v>
      </c>
      <c r="G45" s="116">
        <f>+'Evaluación Social Alt1'!G45</f>
        <v>0.79</v>
      </c>
      <c r="H45" s="114">
        <f>+G45*F45</f>
        <v>0</v>
      </c>
    </row>
    <row r="46" spans="2:8" ht="18" customHeight="1">
      <c r="B46" s="88" t="str">
        <f>+CostosAlt2!B111</f>
        <v xml:space="preserve">·       Equipo técnico profesional del PNCM: </v>
      </c>
      <c r="C46" s="109"/>
      <c r="D46" s="109"/>
      <c r="E46" s="110"/>
      <c r="F46" s="82">
        <f>SUM(CostosAlt2!P112:P114)-SUM(CostosAlt2!H112:H114)</f>
        <v>0</v>
      </c>
      <c r="G46" s="116">
        <f>+'Evaluación Social Alt1'!G46</f>
        <v>0.79</v>
      </c>
      <c r="H46" s="114">
        <f>+G46*F46</f>
        <v>0</v>
      </c>
    </row>
    <row r="47" spans="2:8" ht="18" customHeight="1" thickBot="1">
      <c r="B47" s="88" t="str">
        <f>+CostosAlt2!B115</f>
        <v>b. Servicios</v>
      </c>
      <c r="C47" s="109"/>
      <c r="D47" s="109"/>
      <c r="E47" s="110"/>
      <c r="F47" s="82">
        <f>SUM(CostosAlt2!P116:P121)-SUM(CostosAlt2!H116:H121)</f>
        <v>0</v>
      </c>
      <c r="G47" s="116">
        <f>+'Evaluación Social Alt1'!G47</f>
        <v>0.84745762711864414</v>
      </c>
      <c r="H47" s="114">
        <f>+G47*F47</f>
        <v>0</v>
      </c>
    </row>
    <row r="48" spans="2:8" ht="18" customHeight="1" thickBot="1">
      <c r="B48" s="106" t="s">
        <v>177</v>
      </c>
      <c r="C48" s="112"/>
      <c r="D48" s="112"/>
      <c r="E48" s="113"/>
      <c r="F48" s="115">
        <f>SUM(F43:F47)</f>
        <v>0</v>
      </c>
      <c r="G48" s="117"/>
      <c r="H48" s="115">
        <f>SUM(H43:H47)</f>
        <v>0</v>
      </c>
    </row>
    <row r="49" spans="2:15" ht="18" customHeight="1">
      <c r="B49" s="85"/>
      <c r="C49" s="83"/>
      <c r="D49" s="83"/>
      <c r="E49" s="84"/>
      <c r="F49" s="83"/>
      <c r="G49" s="83"/>
      <c r="H49" s="83"/>
      <c r="I49" s="83"/>
      <c r="J49" s="83"/>
      <c r="K49" s="83"/>
      <c r="L49" s="83"/>
      <c r="M49" s="83"/>
    </row>
    <row r="50" spans="2:15" ht="18" customHeight="1">
      <c r="B50" s="85"/>
      <c r="C50" s="83"/>
      <c r="D50" s="83"/>
      <c r="E50" s="84"/>
      <c r="F50" s="83"/>
      <c r="G50" s="83"/>
      <c r="H50" s="83"/>
      <c r="I50" s="83"/>
      <c r="J50" s="83"/>
      <c r="K50" s="83"/>
      <c r="L50" s="83"/>
      <c r="M50" s="83"/>
    </row>
    <row r="51" spans="2:15" s="13" customFormat="1" ht="18" customHeight="1">
      <c r="B51" s="21" t="s">
        <v>4376</v>
      </c>
      <c r="C51" s="22"/>
      <c r="D51" s="23"/>
      <c r="E51" s="23"/>
      <c r="F51" s="23"/>
      <c r="G51" s="79"/>
      <c r="H51" s="23"/>
      <c r="I51" s="23"/>
      <c r="J51" s="23"/>
      <c r="K51" s="23"/>
      <c r="L51" s="24"/>
      <c r="M51" s="24"/>
      <c r="N51" s="4"/>
      <c r="O51" s="4"/>
    </row>
    <row r="52" spans="2:15" ht="18" customHeight="1">
      <c r="B52" s="93"/>
      <c r="C52" s="93"/>
      <c r="D52" s="93"/>
      <c r="E52" s="94"/>
      <c r="F52" s="93"/>
      <c r="G52" s="93"/>
      <c r="H52" s="93"/>
      <c r="I52" s="93"/>
      <c r="J52" s="93"/>
      <c r="K52" s="93"/>
      <c r="L52" s="93"/>
      <c r="M52" s="93"/>
    </row>
    <row r="53" spans="2:15" ht="18" customHeight="1">
      <c r="B53" s="95" t="s">
        <v>174</v>
      </c>
      <c r="C53" s="81" t="str">
        <f>+Brecha!D13</f>
        <v/>
      </c>
      <c r="D53" s="81" t="str">
        <f>+Brecha!E13</f>
        <v/>
      </c>
      <c r="E53" s="81" t="str">
        <f>+Brecha!F13</f>
        <v/>
      </c>
      <c r="F53" s="81" t="str">
        <f>+Brecha!G13</f>
        <v/>
      </c>
      <c r="G53" s="81" t="str">
        <f>+Brecha!H13</f>
        <v/>
      </c>
      <c r="H53" s="81" t="str">
        <f>+Brecha!I13</f>
        <v/>
      </c>
      <c r="I53" s="81" t="str">
        <f>+Brecha!J13</f>
        <v/>
      </c>
      <c r="J53" s="81" t="str">
        <f>+Brecha!K13</f>
        <v/>
      </c>
      <c r="K53" s="81" t="str">
        <f>+Brecha!L13</f>
        <v/>
      </c>
      <c r="L53" s="81" t="str">
        <f>+Brecha!M13</f>
        <v/>
      </c>
      <c r="M53" s="81" t="str">
        <f>+Brecha!N13</f>
        <v/>
      </c>
    </row>
    <row r="54" spans="2:15" ht="18" customHeight="1">
      <c r="B54" s="791" t="s">
        <v>4306</v>
      </c>
      <c r="C54" s="791"/>
      <c r="D54" s="791"/>
      <c r="E54" s="791"/>
      <c r="F54" s="791"/>
      <c r="G54" s="791"/>
      <c r="H54" s="791"/>
      <c r="I54" s="791"/>
      <c r="J54" s="791"/>
      <c r="K54" s="791"/>
      <c r="L54" s="791"/>
      <c r="M54" s="791"/>
    </row>
    <row r="55" spans="2:15" ht="36" customHeight="1">
      <c r="B55" s="97" t="s">
        <v>179</v>
      </c>
      <c r="C55" s="120">
        <f>+H36</f>
        <v>0</v>
      </c>
      <c r="D55" s="97"/>
      <c r="E55" s="98"/>
      <c r="F55" s="97"/>
      <c r="G55" s="97"/>
      <c r="H55" s="97"/>
      <c r="I55" s="97"/>
      <c r="J55" s="97"/>
      <c r="K55" s="97"/>
      <c r="L55" s="97"/>
      <c r="M55" s="120">
        <f>-H22*0.1</f>
        <v>0</v>
      </c>
      <c r="N55" s="2" t="s">
        <v>4460</v>
      </c>
    </row>
    <row r="56" spans="2:15" ht="36" customHeight="1">
      <c r="B56" s="97" t="s">
        <v>180</v>
      </c>
      <c r="C56" s="97"/>
      <c r="D56" s="120">
        <f>+SUM(CostosAlt2!F86:F93)*'Evaluación Social Alt2'!$G$24</f>
        <v>0</v>
      </c>
      <c r="E56" s="120">
        <f>+SUM(CostosAlt2!G86:G93)*'Evaluación Social Alt2'!$G$24</f>
        <v>0</v>
      </c>
      <c r="F56" s="120">
        <f>+SUM(CostosAlt2!H86:H93)*'Evaluación Social Alt2'!$G$24</f>
        <v>0</v>
      </c>
      <c r="G56" s="120">
        <f>+SUM(CostosAlt2!I86:I93)*'Evaluación Social Alt2'!$G$24</f>
        <v>0</v>
      </c>
      <c r="H56" s="120">
        <f>+SUM(CostosAlt2!J86:J93)*'Evaluación Social Alt2'!$G$24</f>
        <v>0</v>
      </c>
      <c r="I56" s="120">
        <f>+SUM(CostosAlt2!K86:K93)*'Evaluación Social Alt2'!$G$24</f>
        <v>0</v>
      </c>
      <c r="J56" s="120">
        <f>+SUM(CostosAlt2!L86:L93)*'Evaluación Social Alt2'!$G$24</f>
        <v>0</v>
      </c>
      <c r="K56" s="120">
        <f>+SUM(CostosAlt2!M86:M93)*'Evaluación Social Alt2'!$G$24</f>
        <v>0</v>
      </c>
      <c r="L56" s="120">
        <f>+SUM(CostosAlt2!N86:N93)*'Evaluación Social Alt2'!$G$24</f>
        <v>0</v>
      </c>
      <c r="M56" s="120">
        <f>+SUM(CostosAlt2!O86:O93)*'Evaluación Social Alt2'!$G$24</f>
        <v>0</v>
      </c>
    </row>
    <row r="57" spans="2:15" ht="36" customHeight="1">
      <c r="B57" s="97" t="s">
        <v>4307</v>
      </c>
      <c r="C57" s="97"/>
      <c r="D57" s="120">
        <f>+H48</f>
        <v>0</v>
      </c>
      <c r="E57" s="121">
        <f>+D57</f>
        <v>0</v>
      </c>
      <c r="F57" s="121">
        <f t="shared" ref="F57:M57" si="2">+E57</f>
        <v>0</v>
      </c>
      <c r="G57" s="121">
        <f t="shared" si="2"/>
        <v>0</v>
      </c>
      <c r="H57" s="121">
        <f t="shared" si="2"/>
        <v>0</v>
      </c>
      <c r="I57" s="121">
        <f t="shared" si="2"/>
        <v>0</v>
      </c>
      <c r="J57" s="121">
        <f t="shared" si="2"/>
        <v>0</v>
      </c>
      <c r="K57" s="121">
        <f t="shared" si="2"/>
        <v>0</v>
      </c>
      <c r="L57" s="121">
        <f t="shared" si="2"/>
        <v>0</v>
      </c>
      <c r="M57" s="121">
        <f t="shared" si="2"/>
        <v>0</v>
      </c>
    </row>
    <row r="58" spans="2:15" ht="36" customHeight="1">
      <c r="B58" s="96" t="s">
        <v>181</v>
      </c>
      <c r="C58" s="120">
        <f>SUM(C55:C57)</f>
        <v>0</v>
      </c>
      <c r="D58" s="120">
        <f t="shared" ref="D58:M58" si="3">SUM(D55:D57)</f>
        <v>0</v>
      </c>
      <c r="E58" s="120">
        <f t="shared" si="3"/>
        <v>0</v>
      </c>
      <c r="F58" s="120">
        <f t="shared" si="3"/>
        <v>0</v>
      </c>
      <c r="G58" s="120">
        <f t="shared" si="3"/>
        <v>0</v>
      </c>
      <c r="H58" s="120">
        <f t="shared" si="3"/>
        <v>0</v>
      </c>
      <c r="I58" s="120">
        <f t="shared" si="3"/>
        <v>0</v>
      </c>
      <c r="J58" s="120">
        <f t="shared" si="3"/>
        <v>0</v>
      </c>
      <c r="K58" s="120">
        <f t="shared" si="3"/>
        <v>0</v>
      </c>
      <c r="L58" s="120">
        <f t="shared" si="3"/>
        <v>0</v>
      </c>
      <c r="M58" s="120">
        <f t="shared" si="3"/>
        <v>0</v>
      </c>
    </row>
    <row r="59" spans="2:15" ht="18" customHeight="1">
      <c r="B59" s="85" t="s">
        <v>4461</v>
      </c>
      <c r="C59" s="83"/>
      <c r="D59" s="83"/>
      <c r="E59" s="84"/>
      <c r="F59" s="83"/>
      <c r="G59" s="83"/>
      <c r="H59" s="83"/>
      <c r="I59" s="83"/>
      <c r="J59" s="83"/>
      <c r="K59" s="83"/>
      <c r="L59" s="83"/>
      <c r="M59" s="83"/>
    </row>
    <row r="60" spans="2:15" ht="18" customHeight="1">
      <c r="B60" s="85"/>
      <c r="C60" s="83"/>
      <c r="D60" s="83"/>
      <c r="E60" s="84"/>
      <c r="F60" s="83"/>
      <c r="G60" s="83"/>
      <c r="H60" s="83"/>
      <c r="I60" s="83"/>
      <c r="J60" s="83"/>
      <c r="K60" s="83"/>
      <c r="L60" s="83"/>
      <c r="M60" s="83"/>
    </row>
    <row r="61" spans="2:15" s="13" customFormat="1" ht="18" customHeight="1">
      <c r="B61" s="21" t="s">
        <v>182</v>
      </c>
      <c r="C61" s="22"/>
      <c r="D61" s="23"/>
      <c r="E61" s="23"/>
      <c r="F61" s="23"/>
      <c r="G61" s="79"/>
      <c r="H61" s="23"/>
      <c r="I61" s="23"/>
      <c r="J61" s="23"/>
      <c r="K61" s="23"/>
      <c r="L61" s="24"/>
      <c r="M61" s="24"/>
      <c r="N61" s="4"/>
      <c r="O61" s="4"/>
    </row>
    <row r="62" spans="2:15" ht="18" customHeight="1">
      <c r="B62" s="80"/>
      <c r="C62" s="80"/>
      <c r="D62" s="99"/>
      <c r="E62" s="99"/>
      <c r="F62" s="99"/>
      <c r="G62" s="83"/>
      <c r="H62" s="83"/>
      <c r="I62" s="83"/>
      <c r="J62" s="83"/>
      <c r="K62" s="83"/>
      <c r="L62" s="83"/>
      <c r="M62" s="83"/>
    </row>
    <row r="63" spans="2:15" ht="18" customHeight="1">
      <c r="B63" s="100" t="s">
        <v>183</v>
      </c>
      <c r="C63" s="783" t="s">
        <v>184</v>
      </c>
      <c r="D63" s="784"/>
      <c r="E63" s="785"/>
      <c r="F63" s="101" t="s">
        <v>111</v>
      </c>
      <c r="G63" s="83"/>
      <c r="H63" s="83"/>
      <c r="I63" s="83"/>
      <c r="J63" s="83"/>
      <c r="K63" s="83"/>
      <c r="L63" s="83"/>
      <c r="M63" s="83"/>
    </row>
    <row r="64" spans="2:15" ht="18" customHeight="1">
      <c r="B64" s="786" t="s">
        <v>4377</v>
      </c>
      <c r="C64" s="788" t="s">
        <v>185</v>
      </c>
      <c r="D64" s="789"/>
      <c r="E64" s="790"/>
      <c r="F64" s="122">
        <f>+NPV(0.08,D58:M58)+C58</f>
        <v>0</v>
      </c>
      <c r="G64" s="83"/>
      <c r="H64" s="83"/>
      <c r="I64" s="83"/>
      <c r="J64" s="83"/>
      <c r="K64" s="83"/>
      <c r="L64" s="83"/>
      <c r="M64" s="83"/>
    </row>
    <row r="65" spans="2:15" ht="18" customHeight="1">
      <c r="B65" s="787"/>
      <c r="C65" s="788" t="s">
        <v>186</v>
      </c>
      <c r="D65" s="789"/>
      <c r="E65" s="790"/>
      <c r="F65" s="123" t="str">
        <f>+IF($F$64&gt;0,F64/SUM(Brecha!D19:N19),"")</f>
        <v/>
      </c>
      <c r="G65" s="83"/>
      <c r="H65" s="83"/>
      <c r="I65" s="83"/>
      <c r="J65" s="83"/>
      <c r="K65" s="83"/>
      <c r="L65" s="83"/>
      <c r="M65" s="83"/>
    </row>
    <row r="67" spans="2:15" ht="18" customHeight="1">
      <c r="B67" s="777"/>
      <c r="C67" s="777"/>
      <c r="D67" s="777"/>
      <c r="E67" s="777"/>
      <c r="F67" s="777"/>
      <c r="G67" s="777"/>
      <c r="H67" s="777"/>
      <c r="I67" s="83"/>
      <c r="J67" s="103"/>
      <c r="K67" s="83"/>
      <c r="L67" s="83"/>
      <c r="M67" s="83"/>
    </row>
    <row r="68" spans="2:15" s="13" customFormat="1" ht="18" customHeight="1">
      <c r="B68" s="21" t="s">
        <v>187</v>
      </c>
      <c r="C68" s="22"/>
      <c r="D68" s="23"/>
      <c r="E68" s="23"/>
      <c r="F68" s="23"/>
      <c r="G68" s="79"/>
      <c r="H68" s="23"/>
      <c r="I68" s="23"/>
      <c r="J68" s="23"/>
      <c r="K68" s="23"/>
      <c r="L68" s="24"/>
      <c r="M68" s="24"/>
      <c r="N68" s="4"/>
      <c r="O68" s="4"/>
    </row>
    <row r="69" spans="2:15" ht="18" customHeight="1">
      <c r="B69" s="777"/>
      <c r="C69" s="777"/>
      <c r="D69" s="777"/>
      <c r="E69" s="777"/>
      <c r="F69" s="777"/>
      <c r="G69" s="777"/>
      <c r="H69" s="777"/>
      <c r="I69" s="777"/>
      <c r="J69" s="777"/>
      <c r="K69" s="777"/>
      <c r="L69" s="777"/>
      <c r="M69" s="777"/>
    </row>
    <row r="70" spans="2:15" s="8" customFormat="1" ht="18" customHeight="1">
      <c r="B70" s="778" t="s">
        <v>188</v>
      </c>
      <c r="C70" s="779"/>
      <c r="D70" s="779"/>
      <c r="E70" s="779"/>
      <c r="F70" s="779"/>
      <c r="G70" s="779"/>
      <c r="H70" s="779"/>
      <c r="I70" s="779"/>
      <c r="J70" s="780"/>
      <c r="N70" s="4"/>
      <c r="O70" s="4"/>
    </row>
    <row r="71" spans="2:15" s="8" customFormat="1" ht="18" customHeight="1">
      <c r="B71" s="781" t="s">
        <v>189</v>
      </c>
      <c r="C71" s="781"/>
      <c r="D71" s="782" t="s">
        <v>4308</v>
      </c>
      <c r="E71" s="782"/>
      <c r="F71" s="782"/>
      <c r="G71" s="782"/>
      <c r="H71" s="782"/>
      <c r="I71" s="782"/>
      <c r="J71" s="782"/>
      <c r="N71" s="4"/>
      <c r="O71" s="4"/>
    </row>
    <row r="72" spans="2:15" s="8" customFormat="1" ht="18" customHeight="1">
      <c r="B72" s="776"/>
      <c r="C72" s="776"/>
      <c r="D72" s="104">
        <v>20</v>
      </c>
      <c r="E72" s="104">
        <v>15</v>
      </c>
      <c r="F72" s="104">
        <v>10</v>
      </c>
      <c r="G72" s="104">
        <v>0</v>
      </c>
      <c r="H72" s="104">
        <v>-10</v>
      </c>
      <c r="I72" s="104">
        <v>-15</v>
      </c>
      <c r="J72" s="104">
        <v>-20</v>
      </c>
    </row>
    <row r="73" spans="2:15" s="9" customFormat="1" ht="21.95" customHeight="1">
      <c r="B73" s="776" t="s">
        <v>190</v>
      </c>
      <c r="C73" s="104">
        <v>35</v>
      </c>
      <c r="D73" s="174" t="str">
        <f>+IF($F$64&gt;0,($F$64*(1+(D$72/100)))/(SUM(Brecha!$D$19:$N$19)*(1+($C73/100))),"")</f>
        <v/>
      </c>
      <c r="E73" s="174" t="str">
        <f>+IF($F$64&gt;0,($F$64*(1+(E$72/100)))/(SUM(Brecha!$D$19:$N$19)*(1+($C73/100))),"")</f>
        <v/>
      </c>
      <c r="F73" s="174" t="str">
        <f>+IF($F$64&gt;0,($F$64*(1+(F$72/100)))/(SUM(Brecha!$D$19:$N$19)*(1+($C73/100))),"")</f>
        <v/>
      </c>
      <c r="G73" s="174" t="str">
        <f>+IF($F$64&gt;0,($F$64*(1+(G$72/100)))/(SUM(Brecha!$D$19:$N$19)*(1+($C73/100))),"")</f>
        <v/>
      </c>
      <c r="H73" s="174" t="str">
        <f>+IF($F$64&gt;0,($F$64*(1+(H$72/100)))/(SUM(Brecha!$D$19:$N$19)*(1+($C73/100))),"")</f>
        <v/>
      </c>
      <c r="I73" s="174" t="str">
        <f>+IF($F$64&gt;0,($F$64*(1+(I$72/100)))/(SUM(Brecha!$D$19:$N$19)*(1+($C73/100))),"")</f>
        <v/>
      </c>
      <c r="J73" s="174" t="str">
        <f>+IF($F$64&gt;0,($F$64*(1+(J$72/100)))/(SUM(Brecha!$D$19:$N$19)*(1+($C73/100))),"")</f>
        <v/>
      </c>
    </row>
    <row r="74" spans="2:15" s="9" customFormat="1" ht="21.95" customHeight="1">
      <c r="B74" s="776"/>
      <c r="C74" s="104">
        <v>25</v>
      </c>
      <c r="D74" s="174" t="str">
        <f>+IF($F$64&gt;0,($F$64*(1+(D$72/100)))/(SUM(Brecha!$D$19:$N$19)*(1+($C74/100))),"")</f>
        <v/>
      </c>
      <c r="E74" s="174" t="str">
        <f>+IF($F$64&gt;0,($F$64*(1+(E$72/100)))/(SUM(Brecha!$D$19:$N$19)*(1+($C74/100))),"")</f>
        <v/>
      </c>
      <c r="F74" s="174" t="str">
        <f>+IF($F$64&gt;0,($F$64*(1+(F$72/100)))/(SUM(Brecha!$D$19:$N$19)*(1+($C74/100))),"")</f>
        <v/>
      </c>
      <c r="G74" s="174" t="str">
        <f>+IF($F$64&gt;0,($F$64*(1+(G$72/100)))/(SUM(Brecha!$D$19:$N$19)*(1+($C74/100))),"")</f>
        <v/>
      </c>
      <c r="H74" s="174" t="str">
        <f>+IF($F$64&gt;0,($F$64*(1+(H$72/100)))/(SUM(Brecha!$D$19:$N$19)*(1+($C74/100))),"")</f>
        <v/>
      </c>
      <c r="I74" s="174" t="str">
        <f>+IF($F$64&gt;0,($F$64*(1+(I$72/100)))/(SUM(Brecha!$D$19:$N$19)*(1+($C74/100))),"")</f>
        <v/>
      </c>
      <c r="J74" s="174" t="str">
        <f>+IF($F$64&gt;0,($F$64*(1+(J$72/100)))/(SUM(Brecha!$D$19:$N$19)*(1+($C74/100))),"")</f>
        <v/>
      </c>
    </row>
    <row r="75" spans="2:15" s="9" customFormat="1" ht="21.95" customHeight="1">
      <c r="B75" s="776"/>
      <c r="C75" s="104">
        <v>15</v>
      </c>
      <c r="D75" s="174" t="str">
        <f>+IF($F$64&gt;0,($F$64*(1+(D$72/100)))/(SUM(Brecha!$D$19:$N$19)*(1+($C75/100))),"")</f>
        <v/>
      </c>
      <c r="E75" s="174" t="str">
        <f>+IF($F$64&gt;0,($F$64*(1+(E$72/100)))/(SUM(Brecha!$D$19:$N$19)*(1+($C75/100))),"")</f>
        <v/>
      </c>
      <c r="F75" s="174" t="str">
        <f>+IF($F$64&gt;0,($F$64*(1+(F$72/100)))/(SUM(Brecha!$D$19:$N$19)*(1+($C75/100))),"")</f>
        <v/>
      </c>
      <c r="G75" s="174" t="str">
        <f>+IF($F$64&gt;0,($F$64*(1+(G$72/100)))/(SUM(Brecha!$D$19:$N$19)*(1+($C75/100))),"")</f>
        <v/>
      </c>
      <c r="H75" s="174" t="str">
        <f>+IF($F$64&gt;0,($F$64*(1+(H$72/100)))/(SUM(Brecha!$D$19:$N$19)*(1+($C75/100))),"")</f>
        <v/>
      </c>
      <c r="I75" s="174" t="str">
        <f>+IF($F$64&gt;0,($F$64*(1+(I$72/100)))/(SUM(Brecha!$D$19:$N$19)*(1+($C75/100))),"")</f>
        <v/>
      </c>
      <c r="J75" s="174" t="str">
        <f>+IF($F$64&gt;0,($F$64*(1+(J$72/100)))/(SUM(Brecha!$D$19:$N$19)*(1+($C75/100))),"")</f>
        <v/>
      </c>
    </row>
    <row r="76" spans="2:15" s="9" customFormat="1" ht="21.95" customHeight="1">
      <c r="B76" s="776"/>
      <c r="C76" s="104">
        <v>0</v>
      </c>
      <c r="D76" s="174" t="str">
        <f>+IF($F$64&gt;0,($F$64*(1+(D$72/100)))/(SUM(Brecha!$D$19:$N$19)*(1+($C76/100))),"")</f>
        <v/>
      </c>
      <c r="E76" s="174" t="str">
        <f>+IF($F$64&gt;0,($F$64*(1+(E$72/100)))/(SUM(Brecha!$D$19:$N$19)*(1+($C76/100))),"")</f>
        <v/>
      </c>
      <c r="F76" s="174" t="str">
        <f>+IF($F$64&gt;0,($F$64*(1+(F$72/100)))/(SUM(Brecha!$D$19:$N$19)*(1+($C76/100))),"")</f>
        <v/>
      </c>
      <c r="G76" s="174" t="str">
        <f>+IF($F$64&gt;0,($F$64*(1+(G$72/100)))/(SUM(Brecha!$D$19:$N$19)*(1+($C76/100))),"")</f>
        <v/>
      </c>
      <c r="H76" s="174" t="str">
        <f>+IF($F$64&gt;0,($F$64*(1+(H$72/100)))/(SUM(Brecha!$D$19:$N$19)*(1+($C76/100))),"")</f>
        <v/>
      </c>
      <c r="I76" s="174" t="str">
        <f>+IF($F$64&gt;0,($F$64*(1+(I$72/100)))/(SUM(Brecha!$D$19:$N$19)*(1+($C76/100))),"")</f>
        <v/>
      </c>
      <c r="J76" s="174" t="str">
        <f>+IF($F$64&gt;0,($F$64*(1+(J$72/100)))/(SUM(Brecha!$D$19:$N$19)*(1+($C76/100))),"")</f>
        <v/>
      </c>
    </row>
    <row r="77" spans="2:15" s="9" customFormat="1" ht="21.95" customHeight="1">
      <c r="B77" s="776"/>
      <c r="C77" s="104">
        <v>-15</v>
      </c>
      <c r="D77" s="174" t="str">
        <f>+IF($F$64&gt;0,($F$64*(1+(D$72/100)))/(SUM(Brecha!$D$19:$N$19)*(1+($C77/100))),"")</f>
        <v/>
      </c>
      <c r="E77" s="174" t="str">
        <f>+IF($F$64&gt;0,($F$64*(1+(E$72/100)))/(SUM(Brecha!$D$19:$N$19)*(1+($C77/100))),"")</f>
        <v/>
      </c>
      <c r="F77" s="174" t="str">
        <f>+IF($F$64&gt;0,($F$64*(1+(F$72/100)))/(SUM(Brecha!$D$19:$N$19)*(1+($C77/100))),"")</f>
        <v/>
      </c>
      <c r="G77" s="174" t="str">
        <f>+IF($F$64&gt;0,($F$64*(1+(G$72/100)))/(SUM(Brecha!$D$19:$N$19)*(1+($C77/100))),"")</f>
        <v/>
      </c>
      <c r="H77" s="174" t="str">
        <f>+IF($F$64&gt;0,($F$64*(1+(H$72/100)))/(SUM(Brecha!$D$19:$N$19)*(1+($C77/100))),"")</f>
        <v/>
      </c>
      <c r="I77" s="174" t="str">
        <f>+IF($F$64&gt;0,($F$64*(1+(I$72/100)))/(SUM(Brecha!$D$19:$N$19)*(1+($C77/100))),"")</f>
        <v/>
      </c>
      <c r="J77" s="174" t="str">
        <f>+IF($F$64&gt;0,($F$64*(1+(J$72/100)))/(SUM(Brecha!$D$19:$N$19)*(1+($C77/100))),"")</f>
        <v/>
      </c>
    </row>
    <row r="78" spans="2:15" s="9" customFormat="1" ht="21.95" customHeight="1">
      <c r="B78" s="776"/>
      <c r="C78" s="104">
        <v>-25</v>
      </c>
      <c r="D78" s="174" t="str">
        <f>+IF($F$64&gt;0,($F$64*(1+(D$72/100)))/(SUM(Brecha!$D$19:$N$19)*(1+($C78/100))),"")</f>
        <v/>
      </c>
      <c r="E78" s="174" t="str">
        <f>+IF($F$64&gt;0,($F$64*(1+(E$72/100)))/(SUM(Brecha!$D$19:$N$19)*(1+($C78/100))),"")</f>
        <v/>
      </c>
      <c r="F78" s="174" t="str">
        <f>+IF($F$64&gt;0,($F$64*(1+(F$72/100)))/(SUM(Brecha!$D$19:$N$19)*(1+($C78/100))),"")</f>
        <v/>
      </c>
      <c r="G78" s="174" t="str">
        <f>+IF($F$64&gt;0,($F$64*(1+(G$72/100)))/(SUM(Brecha!$D$19:$N$19)*(1+($C78/100))),"")</f>
        <v/>
      </c>
      <c r="H78" s="174" t="str">
        <f>+IF($F$64&gt;0,($F$64*(1+(H$72/100)))/(SUM(Brecha!$D$19:$N$19)*(1+($C78/100))),"")</f>
        <v/>
      </c>
      <c r="I78" s="174" t="str">
        <f>+IF($F$64&gt;0,($F$64*(1+(I$72/100)))/(SUM(Brecha!$D$19:$N$19)*(1+($C78/100))),"")</f>
        <v/>
      </c>
      <c r="J78" s="174" t="str">
        <f>+IF($F$64&gt;0,($F$64*(1+(J$72/100)))/(SUM(Brecha!$D$19:$N$19)*(1+($C78/100))),"")</f>
        <v/>
      </c>
    </row>
    <row r="79" spans="2:15" s="9" customFormat="1" ht="21.95" customHeight="1">
      <c r="B79" s="776"/>
      <c r="C79" s="104">
        <v>-35</v>
      </c>
      <c r="D79" s="174" t="str">
        <f>+IF($F$64&gt;0,($F$64*(1+(D$72/100)))/(SUM(Brecha!$D$19:$N$19)*(1+($C79/100))),"")</f>
        <v/>
      </c>
      <c r="E79" s="174" t="str">
        <f>+IF($F$64&gt;0,($F$64*(1+(E$72/100)))/(SUM(Brecha!$D$19:$N$19)*(1+($C79/100))),"")</f>
        <v/>
      </c>
      <c r="F79" s="174" t="str">
        <f>+IF($F$64&gt;0,($F$64*(1+(F$72/100)))/(SUM(Brecha!$D$19:$N$19)*(1+($C79/100))),"")</f>
        <v/>
      </c>
      <c r="G79" s="174" t="str">
        <f>+IF($F$64&gt;0,($F$64*(1+(G$72/100)))/(SUM(Brecha!$D$19:$N$19)*(1+($C79/100))),"")</f>
        <v/>
      </c>
      <c r="H79" s="174" t="str">
        <f>+IF($F$64&gt;0,($F$64*(1+(H$72/100)))/(SUM(Brecha!$D$19:$N$19)*(1+($C79/100))),"")</f>
        <v/>
      </c>
      <c r="I79" s="174" t="str">
        <f>+IF($F$64&gt;0,($F$64*(1+(I$72/100)))/(SUM(Brecha!$D$19:$N$19)*(1+($C79/100))),"")</f>
        <v/>
      </c>
      <c r="J79" s="174" t="str">
        <f>+IF($F$64&gt;0,($F$64*(1+(J$72/100)))/(SUM(Brecha!$D$19:$N$19)*(1+($C79/100))),"")</f>
        <v/>
      </c>
    </row>
    <row r="80" spans="2:15" ht="18" customHeight="1">
      <c r="B80" s="102"/>
      <c r="C80" s="102"/>
      <c r="D80" s="102"/>
      <c r="E80" s="94"/>
      <c r="F80" s="102"/>
      <c r="G80" s="102"/>
      <c r="H80" s="102"/>
      <c r="I80" s="102"/>
      <c r="J80" s="102"/>
      <c r="K80" s="102"/>
      <c r="L80" s="102"/>
      <c r="M80" s="102"/>
    </row>
  </sheetData>
  <sheetProtection sheet="1" objects="1" scenarios="1"/>
  <mergeCells count="19">
    <mergeCell ref="B12:G12"/>
    <mergeCell ref="B6:G6"/>
    <mergeCell ref="B8:G8"/>
    <mergeCell ref="B9:G9"/>
    <mergeCell ref="B10:G10"/>
    <mergeCell ref="B11:G11"/>
    <mergeCell ref="B73:B79"/>
    <mergeCell ref="B19:E19"/>
    <mergeCell ref="B41:E41"/>
    <mergeCell ref="B54:M54"/>
    <mergeCell ref="C63:E63"/>
    <mergeCell ref="B64:B65"/>
    <mergeCell ref="C64:E64"/>
    <mergeCell ref="C65:E65"/>
    <mergeCell ref="B67:H67"/>
    <mergeCell ref="B69:M69"/>
    <mergeCell ref="B70:J70"/>
    <mergeCell ref="B71:C72"/>
    <mergeCell ref="D71:J71"/>
  </mergeCells>
  <conditionalFormatting sqref="A2:XFD3 A4:M4 P4:XFD4">
    <cfRule type="cellIs" dxfId="55" priority="13" operator="equal">
      <formula>0</formula>
    </cfRule>
  </conditionalFormatting>
  <conditionalFormatting sqref="A2:XFD3 A4:M4 P4:XFD4">
    <cfRule type="cellIs" dxfId="54" priority="12" operator="equal">
      <formula>0</formula>
    </cfRule>
  </conditionalFormatting>
  <conditionalFormatting sqref="A15:M15 P15:XFD15">
    <cfRule type="cellIs" dxfId="53" priority="11" operator="equal">
      <formula>0</formula>
    </cfRule>
  </conditionalFormatting>
  <conditionalFormatting sqref="A15:M15 P15:XFD15">
    <cfRule type="cellIs" dxfId="52" priority="10" operator="equal">
      <formula>0</formula>
    </cfRule>
  </conditionalFormatting>
  <conditionalFormatting sqref="F22:F35">
    <cfRule type="cellIs" dxfId="51" priority="9" operator="equal">
      <formula>0</formula>
    </cfRule>
  </conditionalFormatting>
  <conditionalFormatting sqref="F44:F47">
    <cfRule type="cellIs" dxfId="50" priority="8" operator="equal">
      <formula>0</formula>
    </cfRule>
  </conditionalFormatting>
  <conditionalFormatting sqref="F43">
    <cfRule type="cellIs" dxfId="49" priority="7" operator="equal">
      <formula>0</formula>
    </cfRule>
  </conditionalFormatting>
  <conditionalFormatting sqref="A51:M51 P51:XFD51">
    <cfRule type="cellIs" dxfId="48" priority="6" operator="equal">
      <formula>0</formula>
    </cfRule>
  </conditionalFormatting>
  <conditionalFormatting sqref="A51:M51 P51:XFD51">
    <cfRule type="cellIs" dxfId="47" priority="5" operator="equal">
      <formula>0</formula>
    </cfRule>
  </conditionalFormatting>
  <conditionalFormatting sqref="A61:M61 P61:XFD61">
    <cfRule type="cellIs" dxfId="46" priority="4" operator="equal">
      <formula>0</formula>
    </cfRule>
  </conditionalFormatting>
  <conditionalFormatting sqref="A61:M61 P61:XFD61">
    <cfRule type="cellIs" dxfId="45" priority="3" operator="equal">
      <formula>0</formula>
    </cfRule>
  </conditionalFormatting>
  <conditionalFormatting sqref="A68:M68 P68:XFD68">
    <cfRule type="cellIs" dxfId="44" priority="2" operator="equal">
      <formula>0</formula>
    </cfRule>
  </conditionalFormatting>
  <conditionalFormatting sqref="A68:M68 P68:XFD68">
    <cfRule type="cellIs" dxfId="43" priority="1" operator="equal">
      <formula>0</formula>
    </cfRule>
  </conditionalFormatting>
  <pageMargins left="0.7" right="0.7" top="0.75" bottom="0.75" header="0.3" footer="0.3"/>
  <pageSetup paperSize="9" scale="38"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24">
    <pageSetUpPr fitToPage="1"/>
  </sheetPr>
  <dimension ref="B2:O80"/>
  <sheetViews>
    <sheetView zoomScale="110" zoomScaleNormal="110" workbookViewId="0">
      <selection activeCell="G82" sqref="G82"/>
    </sheetView>
  </sheetViews>
  <sheetFormatPr baseColWidth="10" defaultColWidth="10.6640625" defaultRowHeight="18" customHeight="1"/>
  <cols>
    <col min="1" max="1" width="10.6640625" style="4"/>
    <col min="2" max="2" width="31.5546875" style="4" customWidth="1"/>
    <col min="3" max="13" width="13.6640625" style="4" customWidth="1"/>
    <col min="14" max="16384" width="10.6640625" style="4"/>
  </cols>
  <sheetData>
    <row r="2" spans="2:15" s="80" customFormat="1" ht="18" customHeight="1">
      <c r="B2" s="80" t="s">
        <v>4456</v>
      </c>
    </row>
    <row r="4" spans="2:15" s="13" customFormat="1" ht="18" customHeight="1">
      <c r="B4" s="21" t="s">
        <v>173</v>
      </c>
      <c r="C4" s="22"/>
      <c r="D4" s="23"/>
      <c r="E4" s="23"/>
      <c r="F4" s="23"/>
      <c r="G4" s="79"/>
      <c r="H4" s="23"/>
      <c r="I4" s="23"/>
      <c r="J4" s="23"/>
      <c r="K4" s="23"/>
      <c r="L4" s="24"/>
      <c r="M4" s="24"/>
      <c r="N4" s="4"/>
      <c r="O4" s="4"/>
    </row>
    <row r="5" spans="2:15" ht="18" customHeight="1">
      <c r="B5" s="83"/>
      <c r="C5" s="83"/>
      <c r="D5" s="83"/>
      <c r="E5" s="84"/>
      <c r="F5" s="83"/>
      <c r="G5" s="83"/>
      <c r="H5" s="83"/>
      <c r="I5" s="83"/>
      <c r="J5" s="83"/>
      <c r="K5" s="83"/>
      <c r="L5" s="83"/>
      <c r="M5" s="83"/>
    </row>
    <row r="6" spans="2:15" ht="18" customHeight="1">
      <c r="B6" s="511" t="s">
        <v>4297</v>
      </c>
      <c r="C6" s="511"/>
      <c r="D6" s="511"/>
      <c r="E6" s="511"/>
      <c r="F6" s="511"/>
      <c r="G6" s="511"/>
    </row>
    <row r="7" spans="2:15" ht="3" customHeight="1"/>
    <row r="8" spans="2:15" ht="33.950000000000003" customHeight="1">
      <c r="B8" s="426" t="s">
        <v>4298</v>
      </c>
      <c r="C8" s="427"/>
      <c r="D8" s="427"/>
      <c r="E8" s="427"/>
      <c r="F8" s="427"/>
      <c r="G8" s="428"/>
    </row>
    <row r="9" spans="2:15" ht="33.950000000000003" customHeight="1">
      <c r="B9" s="426" t="s">
        <v>4374</v>
      </c>
      <c r="C9" s="427"/>
      <c r="D9" s="427"/>
      <c r="E9" s="427"/>
      <c r="F9" s="427"/>
      <c r="G9" s="428"/>
    </row>
    <row r="10" spans="2:15" ht="33.950000000000003" customHeight="1">
      <c r="B10" s="426" t="s">
        <v>4299</v>
      </c>
      <c r="C10" s="427"/>
      <c r="D10" s="427"/>
      <c r="E10" s="427"/>
      <c r="F10" s="427"/>
      <c r="G10" s="428"/>
    </row>
    <row r="11" spans="2:15" ht="33.950000000000003" customHeight="1">
      <c r="B11" s="426" t="s">
        <v>4300</v>
      </c>
      <c r="C11" s="427"/>
      <c r="D11" s="427"/>
      <c r="E11" s="427"/>
      <c r="F11" s="427"/>
      <c r="G11" s="428"/>
    </row>
    <row r="12" spans="2:15" ht="33.950000000000003" customHeight="1">
      <c r="B12" s="426" t="s">
        <v>4301</v>
      </c>
      <c r="C12" s="427"/>
      <c r="D12" s="427"/>
      <c r="E12" s="427"/>
      <c r="F12" s="427"/>
      <c r="G12" s="428"/>
    </row>
    <row r="13" spans="2:15" ht="18" customHeight="1">
      <c r="B13" s="85"/>
      <c r="C13" s="83"/>
      <c r="D13" s="83"/>
      <c r="E13" s="84"/>
      <c r="F13" s="83"/>
      <c r="G13" s="83"/>
      <c r="H13" s="83"/>
      <c r="I13" s="83"/>
      <c r="J13" s="83"/>
      <c r="K13" s="83"/>
      <c r="L13" s="83"/>
      <c r="M13" s="83"/>
    </row>
    <row r="14" spans="2:15" ht="18" customHeight="1">
      <c r="B14" s="85"/>
      <c r="C14" s="83"/>
      <c r="D14" s="83"/>
      <c r="E14" s="84"/>
      <c r="F14" s="83"/>
      <c r="G14" s="83"/>
      <c r="H14" s="83"/>
      <c r="I14" s="83"/>
      <c r="J14" s="83"/>
      <c r="K14" s="83"/>
      <c r="L14" s="83"/>
      <c r="M14" s="83"/>
    </row>
    <row r="15" spans="2:15" s="13" customFormat="1" ht="18" customHeight="1">
      <c r="B15" s="21" t="s">
        <v>175</v>
      </c>
      <c r="C15" s="22"/>
      <c r="D15" s="23"/>
      <c r="E15" s="23"/>
      <c r="F15" s="23"/>
      <c r="G15" s="79"/>
      <c r="H15" s="23"/>
      <c r="I15" s="23"/>
      <c r="J15" s="23"/>
      <c r="K15" s="23"/>
      <c r="L15" s="24"/>
      <c r="M15" s="24"/>
      <c r="N15" s="4"/>
      <c r="O15" s="4"/>
    </row>
    <row r="16" spans="2:15" ht="18" customHeight="1">
      <c r="B16" s="85"/>
      <c r="C16" s="83"/>
      <c r="D16" s="83"/>
      <c r="E16" s="84"/>
      <c r="F16" s="83"/>
      <c r="G16" s="83"/>
      <c r="H16" s="83"/>
      <c r="I16" s="83"/>
      <c r="J16" s="83"/>
      <c r="K16" s="83"/>
      <c r="L16" s="83"/>
      <c r="M16" s="83"/>
    </row>
    <row r="17" spans="2:13" ht="18" customHeight="1">
      <c r="B17" s="86" t="s">
        <v>4304</v>
      </c>
      <c r="C17" s="83"/>
      <c r="D17" s="83"/>
      <c r="E17" s="84"/>
      <c r="F17" s="83"/>
      <c r="G17" s="83"/>
      <c r="H17" s="83"/>
      <c r="I17" s="83"/>
      <c r="J17" s="83"/>
      <c r="K17" s="83"/>
      <c r="L17" s="83"/>
      <c r="M17" s="83"/>
    </row>
    <row r="18" spans="2:13" ht="18" customHeight="1">
      <c r="B18" s="85"/>
      <c r="C18" s="83"/>
      <c r="D18" s="83"/>
      <c r="E18" s="84"/>
      <c r="F18" s="83"/>
      <c r="G18" s="83"/>
    </row>
    <row r="19" spans="2:13" ht="54.95" customHeight="1">
      <c r="B19" s="773" t="s">
        <v>4134</v>
      </c>
      <c r="C19" s="774"/>
      <c r="D19" s="774"/>
      <c r="E19" s="775"/>
      <c r="F19" s="87" t="s">
        <v>4303</v>
      </c>
      <c r="G19" s="87" t="s">
        <v>4302</v>
      </c>
      <c r="H19" s="87" t="s">
        <v>176</v>
      </c>
    </row>
    <row r="20" spans="2:13" ht="3" customHeight="1">
      <c r="G20" s="6"/>
    </row>
    <row r="21" spans="2:13" ht="18" customHeight="1">
      <c r="B21" s="105">
        <f>+CostosAlt3!B133</f>
        <v>0</v>
      </c>
      <c r="C21" s="107"/>
      <c r="D21" s="107"/>
      <c r="E21" s="108"/>
      <c r="F21" s="7"/>
      <c r="G21" s="90"/>
      <c r="H21" s="91"/>
    </row>
    <row r="22" spans="2:13" ht="18" customHeight="1">
      <c r="B22" s="88" t="str">
        <f>+CostosAlt3!B134</f>
        <v>Componente 1:</v>
      </c>
      <c r="C22" s="109"/>
      <c r="D22" s="109"/>
      <c r="E22" s="110"/>
      <c r="F22" s="82">
        <f>+CostosAlt3!Q134</f>
        <v>0</v>
      </c>
      <c r="G22" s="116">
        <f>1/(1.18)</f>
        <v>0.84745762711864414</v>
      </c>
      <c r="H22" s="114">
        <f>+G22*F22</f>
        <v>0</v>
      </c>
    </row>
    <row r="23" spans="2:13" ht="18" customHeight="1">
      <c r="B23" s="105" t="str">
        <f>+CostosAlt3!B135</f>
        <v/>
      </c>
      <c r="C23" s="107"/>
      <c r="D23" s="107"/>
      <c r="E23" s="108"/>
      <c r="F23" s="82"/>
      <c r="G23" s="116"/>
      <c r="H23" s="91"/>
    </row>
    <row r="24" spans="2:13" ht="18" customHeight="1">
      <c r="B24" s="88" t="str">
        <f>+CostosAlt3!B136</f>
        <v>Componente 2</v>
      </c>
      <c r="C24" s="109"/>
      <c r="D24" s="109"/>
      <c r="E24" s="110"/>
      <c r="F24" s="82">
        <f>+CostosAlt3!Q136</f>
        <v>0</v>
      </c>
      <c r="G24" s="116">
        <f>1/(1.18)</f>
        <v>0.84745762711864414</v>
      </c>
      <c r="H24" s="114">
        <f>+G24*F24</f>
        <v>0</v>
      </c>
    </row>
    <row r="25" spans="2:13" ht="18" customHeight="1">
      <c r="B25" s="105" t="str">
        <f>+CostosAlt3!B137</f>
        <v/>
      </c>
      <c r="C25" s="107"/>
      <c r="D25" s="107"/>
      <c r="E25" s="108"/>
      <c r="F25" s="82"/>
      <c r="G25" s="116"/>
      <c r="H25" s="91"/>
    </row>
    <row r="26" spans="2:13" ht="18" customHeight="1">
      <c r="B26" s="88" t="str">
        <f>+CostosAlt3!B138</f>
        <v>Componente 3</v>
      </c>
      <c r="C26" s="109"/>
      <c r="D26" s="109"/>
      <c r="E26" s="110"/>
      <c r="F26" s="82">
        <f>+CostosAlt3!Q138</f>
        <v>0</v>
      </c>
      <c r="G26" s="116">
        <f>1/(1.18)</f>
        <v>0.84745762711864414</v>
      </c>
      <c r="H26" s="114">
        <f>+G26*F26</f>
        <v>0</v>
      </c>
    </row>
    <row r="27" spans="2:13" ht="18" customHeight="1">
      <c r="B27" s="105" t="str">
        <f>+CostosAlt3!B139</f>
        <v/>
      </c>
      <c r="C27" s="107"/>
      <c r="D27" s="107"/>
      <c r="E27" s="108"/>
      <c r="F27" s="82"/>
      <c r="G27" s="116"/>
      <c r="H27" s="91"/>
    </row>
    <row r="28" spans="2:13" ht="18" customHeight="1">
      <c r="B28" s="88" t="str">
        <f>+CostosAlt3!B140</f>
        <v>Componente 4</v>
      </c>
      <c r="C28" s="109"/>
      <c r="D28" s="109"/>
      <c r="E28" s="110"/>
      <c r="F28" s="82">
        <f>+CostosAlt3!Q140</f>
        <v>0</v>
      </c>
      <c r="G28" s="116">
        <f>1/(1.08)</f>
        <v>0.92592592592592582</v>
      </c>
      <c r="H28" s="114">
        <f>+G28*F28</f>
        <v>0</v>
      </c>
    </row>
    <row r="29" spans="2:13" ht="18" customHeight="1">
      <c r="B29" s="105" t="str">
        <f>+CostosAlt3!B141</f>
        <v/>
      </c>
      <c r="C29" s="107"/>
      <c r="D29" s="107"/>
      <c r="E29" s="108"/>
      <c r="F29" s="82"/>
      <c r="G29" s="116"/>
      <c r="H29" s="91"/>
    </row>
    <row r="30" spans="2:13" ht="18" customHeight="1">
      <c r="B30" s="88" t="str">
        <f>+CostosAlt3!B142</f>
        <v>Medidas de reducción del riesgo de desastre y mitigación ambiental</v>
      </c>
      <c r="C30" s="109"/>
      <c r="D30" s="109"/>
      <c r="E30" s="110"/>
      <c r="F30" s="82">
        <f>+CostosAlt3!Q142</f>
        <v>0</v>
      </c>
      <c r="G30" s="116">
        <v>0.79</v>
      </c>
      <c r="H30" s="114">
        <f t="shared" ref="H30:H35" si="0">+G30*F30</f>
        <v>0</v>
      </c>
    </row>
    <row r="31" spans="2:13" ht="18" customHeight="1">
      <c r="B31" s="92">
        <f>+CostosAlt3!B147</f>
        <v>0</v>
      </c>
      <c r="C31" s="111"/>
      <c r="D31" s="111"/>
      <c r="E31" s="89"/>
      <c r="F31" s="82">
        <f>+CostosAlt3!L147</f>
        <v>0</v>
      </c>
      <c r="G31" s="116">
        <f>+G30</f>
        <v>0.79</v>
      </c>
      <c r="H31" s="114">
        <f t="shared" si="0"/>
        <v>0</v>
      </c>
    </row>
    <row r="32" spans="2:13" ht="18" customHeight="1">
      <c r="B32" s="92" t="str">
        <f>+CostosAlt3!B148</f>
        <v>Gestión del proyecto</v>
      </c>
      <c r="C32" s="111"/>
      <c r="D32" s="111"/>
      <c r="E32" s="89"/>
      <c r="F32" s="82">
        <f>+CostosAlt3!L148</f>
        <v>0</v>
      </c>
      <c r="G32" s="116">
        <f>+G31</f>
        <v>0.79</v>
      </c>
      <c r="H32" s="114">
        <f t="shared" si="0"/>
        <v>0</v>
      </c>
    </row>
    <row r="33" spans="2:8" ht="18" customHeight="1">
      <c r="B33" s="92" t="str">
        <f>+CostosAlt3!B149</f>
        <v>Expediente técnico o documento equivalente</v>
      </c>
      <c r="C33" s="111"/>
      <c r="D33" s="111"/>
      <c r="E33" s="89"/>
      <c r="F33" s="82">
        <f>+CostosAlt3!L149</f>
        <v>0</v>
      </c>
      <c r="G33" s="116">
        <f t="shared" ref="G33:G35" si="1">+G32</f>
        <v>0.79</v>
      </c>
      <c r="H33" s="114">
        <f t="shared" si="0"/>
        <v>0</v>
      </c>
    </row>
    <row r="34" spans="2:8" ht="18" customHeight="1">
      <c r="B34" s="92" t="str">
        <f>+CostosAlt3!B150</f>
        <v>Supervisión</v>
      </c>
      <c r="C34" s="111"/>
      <c r="D34" s="111"/>
      <c r="E34" s="89"/>
      <c r="F34" s="82">
        <f>+CostosAlt3!L150</f>
        <v>0</v>
      </c>
      <c r="G34" s="116">
        <f t="shared" si="1"/>
        <v>0.79</v>
      </c>
      <c r="H34" s="114">
        <f t="shared" si="0"/>
        <v>0</v>
      </c>
    </row>
    <row r="35" spans="2:8" ht="18" customHeight="1" thickBot="1">
      <c r="B35" s="92" t="str">
        <f>+CostosAlt3!B151</f>
        <v>Liquidación</v>
      </c>
      <c r="C35" s="111"/>
      <c r="D35" s="111"/>
      <c r="E35" s="89"/>
      <c r="F35" s="82">
        <f>+CostosAlt3!L151</f>
        <v>0</v>
      </c>
      <c r="G35" s="116">
        <f t="shared" si="1"/>
        <v>0.79</v>
      </c>
      <c r="H35" s="114">
        <f t="shared" si="0"/>
        <v>0</v>
      </c>
    </row>
    <row r="36" spans="2:8" ht="18" customHeight="1" thickBot="1">
      <c r="B36" s="106" t="s">
        <v>177</v>
      </c>
      <c r="C36" s="112"/>
      <c r="D36" s="112"/>
      <c r="E36" s="113"/>
      <c r="F36" s="115">
        <f>SUM(F22:F35)</f>
        <v>0</v>
      </c>
      <c r="G36" s="117"/>
      <c r="H36" s="115">
        <f>SUM(H22:H35)</f>
        <v>0</v>
      </c>
    </row>
    <row r="37" spans="2:8" ht="18" customHeight="1">
      <c r="B37" s="83"/>
      <c r="E37" s="6"/>
    </row>
    <row r="38" spans="2:8" ht="18" customHeight="1">
      <c r="B38" s="83"/>
      <c r="E38" s="6"/>
    </row>
    <row r="39" spans="2:8" ht="18" customHeight="1">
      <c r="B39" s="86" t="s">
        <v>4305</v>
      </c>
      <c r="E39" s="6"/>
    </row>
    <row r="40" spans="2:8" ht="18" customHeight="1">
      <c r="E40" s="6"/>
    </row>
    <row r="41" spans="2:8" ht="54.95" customHeight="1">
      <c r="B41" s="773" t="s">
        <v>4134</v>
      </c>
      <c r="C41" s="774"/>
      <c r="D41" s="774"/>
      <c r="E41" s="775"/>
      <c r="F41" s="87" t="s">
        <v>4303</v>
      </c>
      <c r="G41" s="87" t="s">
        <v>4302</v>
      </c>
      <c r="H41" s="87" t="s">
        <v>176</v>
      </c>
    </row>
    <row r="42" spans="2:8" ht="3" customHeight="1">
      <c r="G42" s="6"/>
    </row>
    <row r="43" spans="2:8" ht="18" customHeight="1">
      <c r="B43" s="105" t="s">
        <v>178</v>
      </c>
      <c r="C43" s="109"/>
      <c r="D43" s="109"/>
      <c r="E43" s="110"/>
      <c r="F43" s="82"/>
      <c r="G43" s="116"/>
      <c r="H43" s="114"/>
    </row>
    <row r="44" spans="2:8" ht="18" customHeight="1">
      <c r="B44" s="88">
        <f>+CostosAlt3!B102</f>
        <v>0</v>
      </c>
      <c r="C44" s="109"/>
      <c r="D44" s="109"/>
      <c r="E44" s="110"/>
      <c r="F44" s="82"/>
      <c r="G44" s="116"/>
      <c r="H44" s="114"/>
    </row>
    <row r="45" spans="2:8" ht="18" customHeight="1">
      <c r="B45" s="88" t="str">
        <f>+CostosAlt3!B103</f>
        <v>a. Personal</v>
      </c>
      <c r="C45" s="109"/>
      <c r="D45" s="109"/>
      <c r="E45" s="110"/>
      <c r="F45" s="82">
        <f>SUM(CostosAlt3!P103:P109)-SUM(CostosAlt3!H103:H109)</f>
        <v>0</v>
      </c>
      <c r="G45" s="116">
        <f>+'Evaluación Social Alt2'!G45</f>
        <v>0.79</v>
      </c>
      <c r="H45" s="114">
        <f>+G45*F45</f>
        <v>0</v>
      </c>
    </row>
    <row r="46" spans="2:8" ht="18" customHeight="1">
      <c r="B46" s="88" t="str">
        <f>+CostosAlt3!B110</f>
        <v>o   Apoyo de Limpieza y Vigilancia</v>
      </c>
      <c r="C46" s="109"/>
      <c r="D46" s="109"/>
      <c r="E46" s="110"/>
      <c r="F46" s="82">
        <f>SUM(CostosAlt3!P111:P113)-SUM(CostosAlt3!H111:H113)</f>
        <v>0</v>
      </c>
      <c r="G46" s="116">
        <f>+'Evaluación Social Alt2'!G46</f>
        <v>0.79</v>
      </c>
      <c r="H46" s="114">
        <f>+G46*F46</f>
        <v>0</v>
      </c>
    </row>
    <row r="47" spans="2:8" ht="18" customHeight="1" thickBot="1">
      <c r="B47" s="88" t="str">
        <f>+CostosAlt3!B114</f>
        <v>o   Especialistas en nutrición</v>
      </c>
      <c r="C47" s="109"/>
      <c r="D47" s="109"/>
      <c r="E47" s="110"/>
      <c r="F47" s="82">
        <f>SUM(CostosAlt3!P115:P120)-SUM(CostosAlt3!H115:H120)</f>
        <v>0</v>
      </c>
      <c r="G47" s="116">
        <f>+'Evaluación Social Alt2'!G47</f>
        <v>0.84745762711864414</v>
      </c>
      <c r="H47" s="114">
        <f>+G47*F47</f>
        <v>0</v>
      </c>
    </row>
    <row r="48" spans="2:8" ht="18" customHeight="1" thickBot="1">
      <c r="B48" s="106" t="s">
        <v>177</v>
      </c>
      <c r="C48" s="112"/>
      <c r="D48" s="112"/>
      <c r="E48" s="113"/>
      <c r="F48" s="115">
        <f>SUM(F43:F47)</f>
        <v>0</v>
      </c>
      <c r="G48" s="117"/>
      <c r="H48" s="115">
        <f>SUM(H43:H47)</f>
        <v>0</v>
      </c>
    </row>
    <row r="49" spans="2:15" ht="18" customHeight="1">
      <c r="B49" s="85"/>
      <c r="C49" s="83"/>
      <c r="D49" s="83"/>
      <c r="E49" s="84"/>
      <c r="F49" s="83"/>
      <c r="G49" s="83"/>
      <c r="H49" s="83"/>
      <c r="I49" s="83"/>
      <c r="J49" s="83"/>
      <c r="K49" s="83"/>
      <c r="L49" s="83"/>
      <c r="M49" s="83"/>
    </row>
    <row r="50" spans="2:15" ht="18" customHeight="1">
      <c r="B50" s="85"/>
      <c r="C50" s="83"/>
      <c r="D50" s="83"/>
      <c r="E50" s="84"/>
      <c r="F50" s="83"/>
      <c r="G50" s="83"/>
      <c r="H50" s="83"/>
      <c r="I50" s="83"/>
      <c r="J50" s="83"/>
      <c r="K50" s="83"/>
      <c r="L50" s="83"/>
      <c r="M50" s="83"/>
    </row>
    <row r="51" spans="2:15" s="13" customFormat="1" ht="18" customHeight="1">
      <c r="B51" s="21" t="s">
        <v>4376</v>
      </c>
      <c r="C51" s="22"/>
      <c r="D51" s="23"/>
      <c r="E51" s="23"/>
      <c r="F51" s="23"/>
      <c r="G51" s="79"/>
      <c r="H51" s="23"/>
      <c r="I51" s="23"/>
      <c r="J51" s="23"/>
      <c r="K51" s="23"/>
      <c r="L51" s="24"/>
      <c r="M51" s="24"/>
      <c r="N51" s="4"/>
      <c r="O51" s="4"/>
    </row>
    <row r="52" spans="2:15" ht="18" customHeight="1">
      <c r="B52" s="93"/>
      <c r="C52" s="93"/>
      <c r="D52" s="93"/>
      <c r="E52" s="94"/>
      <c r="F52" s="93"/>
      <c r="G52" s="93"/>
      <c r="H52" s="93"/>
      <c r="I52" s="93"/>
      <c r="J52" s="93"/>
      <c r="K52" s="93"/>
      <c r="L52" s="93"/>
      <c r="M52" s="93"/>
    </row>
    <row r="53" spans="2:15" ht="18" customHeight="1">
      <c r="B53" s="95" t="s">
        <v>174</v>
      </c>
      <c r="C53" s="81" t="str">
        <f>+Brecha!D13</f>
        <v/>
      </c>
      <c r="D53" s="81" t="str">
        <f>+Brecha!E13</f>
        <v/>
      </c>
      <c r="E53" s="81" t="str">
        <f>+Brecha!F13</f>
        <v/>
      </c>
      <c r="F53" s="81" t="str">
        <f>+Brecha!G13</f>
        <v/>
      </c>
      <c r="G53" s="81" t="str">
        <f>+Brecha!H13</f>
        <v/>
      </c>
      <c r="H53" s="81" t="str">
        <f>+Brecha!I13</f>
        <v/>
      </c>
      <c r="I53" s="81" t="str">
        <f>+Brecha!J13</f>
        <v/>
      </c>
      <c r="J53" s="81" t="str">
        <f>+Brecha!K13</f>
        <v/>
      </c>
      <c r="K53" s="81" t="str">
        <f>+Brecha!L13</f>
        <v/>
      </c>
      <c r="L53" s="81" t="str">
        <f>+Brecha!M13</f>
        <v/>
      </c>
      <c r="M53" s="81" t="str">
        <f>+Brecha!N13</f>
        <v/>
      </c>
    </row>
    <row r="54" spans="2:15" ht="18" customHeight="1">
      <c r="B54" s="791" t="s">
        <v>4306</v>
      </c>
      <c r="C54" s="791"/>
      <c r="D54" s="791"/>
      <c r="E54" s="791"/>
      <c r="F54" s="791"/>
      <c r="G54" s="791"/>
      <c r="H54" s="791"/>
      <c r="I54" s="791"/>
      <c r="J54" s="791"/>
      <c r="K54" s="791"/>
      <c r="L54" s="791"/>
      <c r="M54" s="791"/>
    </row>
    <row r="55" spans="2:15" ht="36" customHeight="1">
      <c r="B55" s="97" t="s">
        <v>179</v>
      </c>
      <c r="C55" s="120">
        <f>+H36</f>
        <v>0</v>
      </c>
      <c r="D55" s="97"/>
      <c r="E55" s="98"/>
      <c r="F55" s="97"/>
      <c r="G55" s="97"/>
      <c r="H55" s="97"/>
      <c r="I55" s="97"/>
      <c r="J55" s="97"/>
      <c r="K55" s="97"/>
      <c r="L55" s="97"/>
      <c r="M55" s="120">
        <f>-H22*0.1</f>
        <v>0</v>
      </c>
      <c r="N55" s="2" t="s">
        <v>4460</v>
      </c>
    </row>
    <row r="56" spans="2:15" ht="36" customHeight="1">
      <c r="B56" s="97" t="s">
        <v>180</v>
      </c>
      <c r="C56" s="97"/>
      <c r="D56" s="120">
        <f>+SUM(CostosAlt3!F85:F92)*'Evaluación Social Alt3'!$G$24</f>
        <v>0</v>
      </c>
      <c r="E56" s="120">
        <f>+SUM(CostosAlt3!G85:G92)*'Evaluación Social Alt3'!$G$24</f>
        <v>0</v>
      </c>
      <c r="F56" s="120">
        <f>+SUM(CostosAlt3!H85:H92)*'Evaluación Social Alt3'!$G$24</f>
        <v>0</v>
      </c>
      <c r="G56" s="120">
        <f>+SUM(CostosAlt3!I85:I92)*'Evaluación Social Alt3'!$G$24</f>
        <v>0</v>
      </c>
      <c r="H56" s="120">
        <f>+SUM(CostosAlt3!J85:J92)*'Evaluación Social Alt3'!$G$24</f>
        <v>0</v>
      </c>
      <c r="I56" s="120">
        <f>+SUM(CostosAlt3!K85:K92)*'Evaluación Social Alt3'!$G$24</f>
        <v>0</v>
      </c>
      <c r="J56" s="120">
        <f>+SUM(CostosAlt3!L85:L92)*'Evaluación Social Alt3'!$G$24</f>
        <v>0</v>
      </c>
      <c r="K56" s="120">
        <f>+SUM(CostosAlt3!M85:M92)*'Evaluación Social Alt3'!$G$24</f>
        <v>0</v>
      </c>
      <c r="L56" s="120">
        <f>+SUM(CostosAlt3!N85:N92)*'Evaluación Social Alt3'!$G$24</f>
        <v>0</v>
      </c>
      <c r="M56" s="120">
        <f>+SUM(CostosAlt3!O85:O92)*'Evaluación Social Alt3'!$G$24</f>
        <v>0</v>
      </c>
    </row>
    <row r="57" spans="2:15" ht="36" customHeight="1">
      <c r="B57" s="97" t="s">
        <v>4307</v>
      </c>
      <c r="C57" s="97"/>
      <c r="D57" s="120">
        <f>+H48</f>
        <v>0</v>
      </c>
      <c r="E57" s="121">
        <f>+D57</f>
        <v>0</v>
      </c>
      <c r="F57" s="121">
        <f t="shared" ref="F57:M57" si="2">+E57</f>
        <v>0</v>
      </c>
      <c r="G57" s="121">
        <f t="shared" si="2"/>
        <v>0</v>
      </c>
      <c r="H57" s="121">
        <f t="shared" si="2"/>
        <v>0</v>
      </c>
      <c r="I57" s="121">
        <f t="shared" si="2"/>
        <v>0</v>
      </c>
      <c r="J57" s="121">
        <f t="shared" si="2"/>
        <v>0</v>
      </c>
      <c r="K57" s="121">
        <f t="shared" si="2"/>
        <v>0</v>
      </c>
      <c r="L57" s="121">
        <f t="shared" si="2"/>
        <v>0</v>
      </c>
      <c r="M57" s="121">
        <f t="shared" si="2"/>
        <v>0</v>
      </c>
    </row>
    <row r="58" spans="2:15" ht="36" customHeight="1">
      <c r="B58" s="96" t="s">
        <v>181</v>
      </c>
      <c r="C58" s="120">
        <f>SUM(C55:C57)</f>
        <v>0</v>
      </c>
      <c r="D58" s="120">
        <f t="shared" ref="D58:M58" si="3">SUM(D55:D57)</f>
        <v>0</v>
      </c>
      <c r="E58" s="120">
        <f t="shared" si="3"/>
        <v>0</v>
      </c>
      <c r="F58" s="120">
        <f t="shared" si="3"/>
        <v>0</v>
      </c>
      <c r="G58" s="120">
        <f t="shared" si="3"/>
        <v>0</v>
      </c>
      <c r="H58" s="120">
        <f t="shared" si="3"/>
        <v>0</v>
      </c>
      <c r="I58" s="120">
        <f t="shared" si="3"/>
        <v>0</v>
      </c>
      <c r="J58" s="120">
        <f t="shared" si="3"/>
        <v>0</v>
      </c>
      <c r="K58" s="120">
        <f t="shared" si="3"/>
        <v>0</v>
      </c>
      <c r="L58" s="120">
        <f t="shared" si="3"/>
        <v>0</v>
      </c>
      <c r="M58" s="120">
        <f t="shared" si="3"/>
        <v>0</v>
      </c>
    </row>
    <row r="59" spans="2:15" ht="18" customHeight="1">
      <c r="B59" s="85" t="s">
        <v>4461</v>
      </c>
      <c r="C59" s="83"/>
      <c r="D59" s="83"/>
      <c r="E59" s="84"/>
      <c r="F59" s="83"/>
      <c r="G59" s="83"/>
      <c r="H59" s="83"/>
      <c r="I59" s="83"/>
      <c r="J59" s="83"/>
      <c r="K59" s="83"/>
      <c r="L59" s="83"/>
      <c r="M59" s="83"/>
    </row>
    <row r="60" spans="2:15" ht="18" customHeight="1">
      <c r="B60" s="85"/>
      <c r="C60" s="83"/>
      <c r="D60" s="83"/>
      <c r="E60" s="84"/>
      <c r="F60" s="83"/>
      <c r="G60" s="83"/>
      <c r="H60" s="83"/>
      <c r="I60" s="83"/>
      <c r="J60" s="83"/>
      <c r="K60" s="83"/>
      <c r="L60" s="83"/>
      <c r="M60" s="83"/>
    </row>
    <row r="61" spans="2:15" s="13" customFormat="1" ht="18" customHeight="1">
      <c r="B61" s="21" t="s">
        <v>182</v>
      </c>
      <c r="C61" s="22"/>
      <c r="D61" s="23"/>
      <c r="E61" s="23"/>
      <c r="F61" s="23"/>
      <c r="G61" s="79"/>
      <c r="H61" s="23"/>
      <c r="I61" s="23"/>
      <c r="J61" s="23"/>
      <c r="K61" s="23"/>
      <c r="L61" s="24"/>
      <c r="M61" s="24"/>
      <c r="N61" s="4"/>
      <c r="O61" s="4"/>
    </row>
    <row r="62" spans="2:15" ht="18" customHeight="1">
      <c r="B62" s="80"/>
      <c r="C62" s="80"/>
      <c r="D62" s="99"/>
      <c r="E62" s="99"/>
      <c r="F62" s="99"/>
      <c r="G62" s="83"/>
      <c r="H62" s="83"/>
      <c r="I62" s="83"/>
      <c r="J62" s="83"/>
      <c r="K62" s="83"/>
      <c r="L62" s="83"/>
      <c r="M62" s="83"/>
    </row>
    <row r="63" spans="2:15" ht="18" customHeight="1">
      <c r="B63" s="100" t="s">
        <v>183</v>
      </c>
      <c r="C63" s="783" t="s">
        <v>184</v>
      </c>
      <c r="D63" s="784"/>
      <c r="E63" s="785"/>
      <c r="F63" s="101" t="s">
        <v>111</v>
      </c>
      <c r="G63" s="83"/>
      <c r="H63" s="83"/>
      <c r="I63" s="83"/>
      <c r="J63" s="83"/>
      <c r="K63" s="83"/>
      <c r="L63" s="83"/>
      <c r="M63" s="83"/>
    </row>
    <row r="64" spans="2:15" ht="18" customHeight="1">
      <c r="B64" s="786" t="s">
        <v>4377</v>
      </c>
      <c r="C64" s="788" t="s">
        <v>185</v>
      </c>
      <c r="D64" s="789"/>
      <c r="E64" s="790"/>
      <c r="F64" s="122">
        <f>+NPV(0.08,D58:M58)+C58</f>
        <v>0</v>
      </c>
      <c r="G64" s="83"/>
      <c r="H64" s="83"/>
      <c r="I64" s="83"/>
      <c r="J64" s="83"/>
      <c r="K64" s="83"/>
      <c r="L64" s="83"/>
      <c r="M64" s="83"/>
    </row>
    <row r="65" spans="2:15" ht="18" customHeight="1">
      <c r="B65" s="787"/>
      <c r="C65" s="788" t="s">
        <v>186</v>
      </c>
      <c r="D65" s="789"/>
      <c r="E65" s="790"/>
      <c r="F65" s="123" t="str">
        <f>+IF($F$64&gt;0,F64/SUM(Brecha!D19:N19),"")</f>
        <v/>
      </c>
      <c r="G65" s="83"/>
      <c r="H65" s="83"/>
      <c r="I65" s="83"/>
      <c r="J65" s="83"/>
      <c r="K65" s="83"/>
      <c r="L65" s="83"/>
      <c r="M65" s="83"/>
    </row>
    <row r="67" spans="2:15" ht="18" customHeight="1">
      <c r="B67" s="777"/>
      <c r="C67" s="777"/>
      <c r="D67" s="777"/>
      <c r="E67" s="777"/>
      <c r="F67" s="777"/>
      <c r="G67" s="777"/>
      <c r="H67" s="777"/>
      <c r="I67" s="83"/>
      <c r="J67" s="103"/>
      <c r="K67" s="83"/>
      <c r="L67" s="83"/>
      <c r="M67" s="83"/>
    </row>
    <row r="68" spans="2:15" s="13" customFormat="1" ht="18" customHeight="1">
      <c r="B68" s="21" t="s">
        <v>187</v>
      </c>
      <c r="C68" s="22"/>
      <c r="D68" s="23"/>
      <c r="E68" s="23"/>
      <c r="F68" s="23"/>
      <c r="G68" s="79"/>
      <c r="H68" s="23"/>
      <c r="I68" s="23"/>
      <c r="J68" s="23"/>
      <c r="K68" s="23"/>
      <c r="L68" s="24"/>
      <c r="M68" s="24"/>
      <c r="N68" s="4"/>
      <c r="O68" s="4"/>
    </row>
    <row r="69" spans="2:15" ht="18" customHeight="1">
      <c r="B69" s="777"/>
      <c r="C69" s="777"/>
      <c r="D69" s="777"/>
      <c r="E69" s="777"/>
      <c r="F69" s="777"/>
      <c r="G69" s="777"/>
      <c r="H69" s="777"/>
      <c r="I69" s="777"/>
      <c r="J69" s="777"/>
      <c r="K69" s="777"/>
      <c r="L69" s="777"/>
      <c r="M69" s="777"/>
    </row>
    <row r="70" spans="2:15" s="8" customFormat="1" ht="18" customHeight="1">
      <c r="B70" s="778" t="s">
        <v>188</v>
      </c>
      <c r="C70" s="779"/>
      <c r="D70" s="779"/>
      <c r="E70" s="779"/>
      <c r="F70" s="779"/>
      <c r="G70" s="779"/>
      <c r="H70" s="779"/>
      <c r="I70" s="779"/>
      <c r="J70" s="780"/>
      <c r="N70" s="4"/>
      <c r="O70" s="4"/>
    </row>
    <row r="71" spans="2:15" s="8" customFormat="1" ht="18" customHeight="1">
      <c r="B71" s="781" t="s">
        <v>189</v>
      </c>
      <c r="C71" s="781"/>
      <c r="D71" s="782" t="s">
        <v>4308</v>
      </c>
      <c r="E71" s="782"/>
      <c r="F71" s="782"/>
      <c r="G71" s="782"/>
      <c r="H71" s="782"/>
      <c r="I71" s="782"/>
      <c r="J71" s="782"/>
      <c r="N71" s="4"/>
      <c r="O71" s="4"/>
    </row>
    <row r="72" spans="2:15" s="8" customFormat="1" ht="18" customHeight="1">
      <c r="B72" s="776"/>
      <c r="C72" s="776"/>
      <c r="D72" s="104">
        <v>20</v>
      </c>
      <c r="E72" s="104">
        <v>15</v>
      </c>
      <c r="F72" s="104">
        <v>10</v>
      </c>
      <c r="G72" s="104">
        <v>0</v>
      </c>
      <c r="H72" s="104">
        <v>-10</v>
      </c>
      <c r="I72" s="104">
        <v>-15</v>
      </c>
      <c r="J72" s="104">
        <v>-20</v>
      </c>
    </row>
    <row r="73" spans="2:15" s="9" customFormat="1" ht="21.95" customHeight="1">
      <c r="B73" s="776" t="s">
        <v>190</v>
      </c>
      <c r="C73" s="104">
        <v>35</v>
      </c>
      <c r="D73" s="174" t="str">
        <f>+IF($F$64&gt;0,($F$64*(1+(D$72/100)))/(SUM(Brecha!$D$19:$N$19)*(1+($C73/100))),"")</f>
        <v/>
      </c>
      <c r="E73" s="174" t="str">
        <f>+IF($F$64&gt;0,($F$64*(1+(E$72/100)))/(SUM(Brecha!$D$19:$N$19)*(1+($C73/100))),"")</f>
        <v/>
      </c>
      <c r="F73" s="174" t="str">
        <f>+IF($F$64&gt;0,($F$64*(1+(F$72/100)))/(SUM(Brecha!$D$19:$N$19)*(1+($C73/100))),"")</f>
        <v/>
      </c>
      <c r="G73" s="174" t="str">
        <f>+IF($F$64&gt;0,($F$64*(1+(G$72/100)))/(SUM(Brecha!$D$19:$N$19)*(1+($C73/100))),"")</f>
        <v/>
      </c>
      <c r="H73" s="174" t="str">
        <f>+IF($F$64&gt;0,($F$64*(1+(H$72/100)))/(SUM(Brecha!$D$19:$N$19)*(1+($C73/100))),"")</f>
        <v/>
      </c>
      <c r="I73" s="174" t="str">
        <f>+IF($F$64&gt;0,($F$64*(1+(I$72/100)))/(SUM(Brecha!$D$19:$N$19)*(1+($C73/100))),"")</f>
        <v/>
      </c>
      <c r="J73" s="174" t="str">
        <f>+IF($F$64&gt;0,($F$64*(1+(J$72/100)))/(SUM(Brecha!$D$19:$N$19)*(1+($C73/100))),"")</f>
        <v/>
      </c>
    </row>
    <row r="74" spans="2:15" s="9" customFormat="1" ht="21.95" customHeight="1">
      <c r="B74" s="776"/>
      <c r="C74" s="104">
        <v>25</v>
      </c>
      <c r="D74" s="174" t="str">
        <f>+IF($F$64&gt;0,($F$64*(1+(D$72/100)))/(SUM(Brecha!$D$19:$N$19)*(1+($C74/100))),"")</f>
        <v/>
      </c>
      <c r="E74" s="174" t="str">
        <f>+IF($F$64&gt;0,($F$64*(1+(E$72/100)))/(SUM(Brecha!$D$19:$N$19)*(1+($C74/100))),"")</f>
        <v/>
      </c>
      <c r="F74" s="174" t="str">
        <f>+IF($F$64&gt;0,($F$64*(1+(F$72/100)))/(SUM(Brecha!$D$19:$N$19)*(1+($C74/100))),"")</f>
        <v/>
      </c>
      <c r="G74" s="174" t="str">
        <f>+IF($F$64&gt;0,($F$64*(1+(G$72/100)))/(SUM(Brecha!$D$19:$N$19)*(1+($C74/100))),"")</f>
        <v/>
      </c>
      <c r="H74" s="174" t="str">
        <f>+IF($F$64&gt;0,($F$64*(1+(H$72/100)))/(SUM(Brecha!$D$19:$N$19)*(1+($C74/100))),"")</f>
        <v/>
      </c>
      <c r="I74" s="174" t="str">
        <f>+IF($F$64&gt;0,($F$64*(1+(I$72/100)))/(SUM(Brecha!$D$19:$N$19)*(1+($C74/100))),"")</f>
        <v/>
      </c>
      <c r="J74" s="174" t="str">
        <f>+IF($F$64&gt;0,($F$64*(1+(J$72/100)))/(SUM(Brecha!$D$19:$N$19)*(1+($C74/100))),"")</f>
        <v/>
      </c>
    </row>
    <row r="75" spans="2:15" s="9" customFormat="1" ht="21.95" customHeight="1">
      <c r="B75" s="776"/>
      <c r="C75" s="104">
        <v>15</v>
      </c>
      <c r="D75" s="174" t="str">
        <f>+IF($F$64&gt;0,($F$64*(1+(D$72/100)))/(SUM(Brecha!$D$19:$N$19)*(1+($C75/100))),"")</f>
        <v/>
      </c>
      <c r="E75" s="174" t="str">
        <f>+IF($F$64&gt;0,($F$64*(1+(E$72/100)))/(SUM(Brecha!$D$19:$N$19)*(1+($C75/100))),"")</f>
        <v/>
      </c>
      <c r="F75" s="174" t="str">
        <f>+IF($F$64&gt;0,($F$64*(1+(F$72/100)))/(SUM(Brecha!$D$19:$N$19)*(1+($C75/100))),"")</f>
        <v/>
      </c>
      <c r="G75" s="174" t="str">
        <f>+IF($F$64&gt;0,($F$64*(1+(G$72/100)))/(SUM(Brecha!$D$19:$N$19)*(1+($C75/100))),"")</f>
        <v/>
      </c>
      <c r="H75" s="174" t="str">
        <f>+IF($F$64&gt;0,($F$64*(1+(H$72/100)))/(SUM(Brecha!$D$19:$N$19)*(1+($C75/100))),"")</f>
        <v/>
      </c>
      <c r="I75" s="174" t="str">
        <f>+IF($F$64&gt;0,($F$64*(1+(I$72/100)))/(SUM(Brecha!$D$19:$N$19)*(1+($C75/100))),"")</f>
        <v/>
      </c>
      <c r="J75" s="174" t="str">
        <f>+IF($F$64&gt;0,($F$64*(1+(J$72/100)))/(SUM(Brecha!$D$19:$N$19)*(1+($C75/100))),"")</f>
        <v/>
      </c>
    </row>
    <row r="76" spans="2:15" s="9" customFormat="1" ht="21.95" customHeight="1">
      <c r="B76" s="776"/>
      <c r="C76" s="104">
        <v>0</v>
      </c>
      <c r="D76" s="174" t="str">
        <f>+IF($F$64&gt;0,($F$64*(1+(D$72/100)))/(SUM(Brecha!$D$19:$N$19)*(1+($C76/100))),"")</f>
        <v/>
      </c>
      <c r="E76" s="174" t="str">
        <f>+IF($F$64&gt;0,($F$64*(1+(E$72/100)))/(SUM(Brecha!$D$19:$N$19)*(1+($C76/100))),"")</f>
        <v/>
      </c>
      <c r="F76" s="174" t="str">
        <f>+IF($F$64&gt;0,($F$64*(1+(F$72/100)))/(SUM(Brecha!$D$19:$N$19)*(1+($C76/100))),"")</f>
        <v/>
      </c>
      <c r="G76" s="174" t="str">
        <f>+IF($F$64&gt;0,($F$64*(1+(G$72/100)))/(SUM(Brecha!$D$19:$N$19)*(1+($C76/100))),"")</f>
        <v/>
      </c>
      <c r="H76" s="174" t="str">
        <f>+IF($F$64&gt;0,($F$64*(1+(H$72/100)))/(SUM(Brecha!$D$19:$N$19)*(1+($C76/100))),"")</f>
        <v/>
      </c>
      <c r="I76" s="174" t="str">
        <f>+IF($F$64&gt;0,($F$64*(1+(I$72/100)))/(SUM(Brecha!$D$19:$N$19)*(1+($C76/100))),"")</f>
        <v/>
      </c>
      <c r="J76" s="174" t="str">
        <f>+IF($F$64&gt;0,($F$64*(1+(J$72/100)))/(SUM(Brecha!$D$19:$N$19)*(1+($C76/100))),"")</f>
        <v/>
      </c>
    </row>
    <row r="77" spans="2:15" s="9" customFormat="1" ht="21.95" customHeight="1">
      <c r="B77" s="776"/>
      <c r="C77" s="104">
        <v>-15</v>
      </c>
      <c r="D77" s="174" t="str">
        <f>+IF($F$64&gt;0,($F$64*(1+(D$72/100)))/(SUM(Brecha!$D$19:$N$19)*(1+($C77/100))),"")</f>
        <v/>
      </c>
      <c r="E77" s="174" t="str">
        <f>+IF($F$64&gt;0,($F$64*(1+(E$72/100)))/(SUM(Brecha!$D$19:$N$19)*(1+($C77/100))),"")</f>
        <v/>
      </c>
      <c r="F77" s="174" t="str">
        <f>+IF($F$64&gt;0,($F$64*(1+(F$72/100)))/(SUM(Brecha!$D$19:$N$19)*(1+($C77/100))),"")</f>
        <v/>
      </c>
      <c r="G77" s="174" t="str">
        <f>+IF($F$64&gt;0,($F$64*(1+(G$72/100)))/(SUM(Brecha!$D$19:$N$19)*(1+($C77/100))),"")</f>
        <v/>
      </c>
      <c r="H77" s="174" t="str">
        <f>+IF($F$64&gt;0,($F$64*(1+(H$72/100)))/(SUM(Brecha!$D$19:$N$19)*(1+($C77/100))),"")</f>
        <v/>
      </c>
      <c r="I77" s="174" t="str">
        <f>+IF($F$64&gt;0,($F$64*(1+(I$72/100)))/(SUM(Brecha!$D$19:$N$19)*(1+($C77/100))),"")</f>
        <v/>
      </c>
      <c r="J77" s="174" t="str">
        <f>+IF($F$64&gt;0,($F$64*(1+(J$72/100)))/(SUM(Brecha!$D$19:$N$19)*(1+($C77/100))),"")</f>
        <v/>
      </c>
    </row>
    <row r="78" spans="2:15" s="9" customFormat="1" ht="21.95" customHeight="1">
      <c r="B78" s="776"/>
      <c r="C78" s="104">
        <v>-25</v>
      </c>
      <c r="D78" s="174" t="str">
        <f>+IF($F$64&gt;0,($F$64*(1+(D$72/100)))/(SUM(Brecha!$D$19:$N$19)*(1+($C78/100))),"")</f>
        <v/>
      </c>
      <c r="E78" s="174" t="str">
        <f>+IF($F$64&gt;0,($F$64*(1+(E$72/100)))/(SUM(Brecha!$D$19:$N$19)*(1+($C78/100))),"")</f>
        <v/>
      </c>
      <c r="F78" s="174" t="str">
        <f>+IF($F$64&gt;0,($F$64*(1+(F$72/100)))/(SUM(Brecha!$D$19:$N$19)*(1+($C78/100))),"")</f>
        <v/>
      </c>
      <c r="G78" s="174" t="str">
        <f>+IF($F$64&gt;0,($F$64*(1+(G$72/100)))/(SUM(Brecha!$D$19:$N$19)*(1+($C78/100))),"")</f>
        <v/>
      </c>
      <c r="H78" s="174" t="str">
        <f>+IF($F$64&gt;0,($F$64*(1+(H$72/100)))/(SUM(Brecha!$D$19:$N$19)*(1+($C78/100))),"")</f>
        <v/>
      </c>
      <c r="I78" s="174" t="str">
        <f>+IF($F$64&gt;0,($F$64*(1+(I$72/100)))/(SUM(Brecha!$D$19:$N$19)*(1+($C78/100))),"")</f>
        <v/>
      </c>
      <c r="J78" s="174" t="str">
        <f>+IF($F$64&gt;0,($F$64*(1+(J$72/100)))/(SUM(Brecha!$D$19:$N$19)*(1+($C78/100))),"")</f>
        <v/>
      </c>
    </row>
    <row r="79" spans="2:15" s="9" customFormat="1" ht="21.95" customHeight="1">
      <c r="B79" s="776"/>
      <c r="C79" s="104">
        <v>-35</v>
      </c>
      <c r="D79" s="174" t="str">
        <f>+IF($F$64&gt;0,($F$64*(1+(D$72/100)))/(SUM(Brecha!$D$19:$N$19)*(1+($C79/100))),"")</f>
        <v/>
      </c>
      <c r="E79" s="174" t="str">
        <f>+IF($F$64&gt;0,($F$64*(1+(E$72/100)))/(SUM(Brecha!$D$19:$N$19)*(1+($C79/100))),"")</f>
        <v/>
      </c>
      <c r="F79" s="174" t="str">
        <f>+IF($F$64&gt;0,($F$64*(1+(F$72/100)))/(SUM(Brecha!$D$19:$N$19)*(1+($C79/100))),"")</f>
        <v/>
      </c>
      <c r="G79" s="174" t="str">
        <f>+IF($F$64&gt;0,($F$64*(1+(G$72/100)))/(SUM(Brecha!$D$19:$N$19)*(1+($C79/100))),"")</f>
        <v/>
      </c>
      <c r="H79" s="174" t="str">
        <f>+IF($F$64&gt;0,($F$64*(1+(H$72/100)))/(SUM(Brecha!$D$19:$N$19)*(1+($C79/100))),"")</f>
        <v/>
      </c>
      <c r="I79" s="174" t="str">
        <f>+IF($F$64&gt;0,($F$64*(1+(I$72/100)))/(SUM(Brecha!$D$19:$N$19)*(1+($C79/100))),"")</f>
        <v/>
      </c>
      <c r="J79" s="174" t="str">
        <f>+IF($F$64&gt;0,($F$64*(1+(J$72/100)))/(SUM(Brecha!$D$19:$N$19)*(1+($C79/100))),"")</f>
        <v/>
      </c>
    </row>
    <row r="80" spans="2:15" ht="18" customHeight="1">
      <c r="B80" s="102"/>
      <c r="C80" s="102"/>
      <c r="D80" s="102"/>
      <c r="E80" s="94"/>
      <c r="F80" s="102"/>
      <c r="G80" s="102"/>
      <c r="H80" s="102"/>
      <c r="I80" s="102"/>
      <c r="J80" s="102"/>
      <c r="K80" s="102"/>
      <c r="L80" s="102"/>
      <c r="M80" s="102"/>
    </row>
  </sheetData>
  <sheetProtection sheet="1" objects="1" scenarios="1"/>
  <mergeCells count="19">
    <mergeCell ref="B12:G12"/>
    <mergeCell ref="B6:G6"/>
    <mergeCell ref="B8:G8"/>
    <mergeCell ref="B9:G9"/>
    <mergeCell ref="B10:G10"/>
    <mergeCell ref="B11:G11"/>
    <mergeCell ref="B73:B79"/>
    <mergeCell ref="B19:E19"/>
    <mergeCell ref="B41:E41"/>
    <mergeCell ref="B54:M54"/>
    <mergeCell ref="C63:E63"/>
    <mergeCell ref="B64:B65"/>
    <mergeCell ref="C64:E64"/>
    <mergeCell ref="C65:E65"/>
    <mergeCell ref="B67:H67"/>
    <mergeCell ref="B69:M69"/>
    <mergeCell ref="B70:J70"/>
    <mergeCell ref="B71:C72"/>
    <mergeCell ref="D71:J71"/>
  </mergeCells>
  <conditionalFormatting sqref="A2:XFD3 A4:M4 P4:XFD4">
    <cfRule type="cellIs" dxfId="42" priority="13" operator="equal">
      <formula>0</formula>
    </cfRule>
  </conditionalFormatting>
  <conditionalFormatting sqref="A2:XFD3 A4:M4 P4:XFD4">
    <cfRule type="cellIs" dxfId="41" priority="12" operator="equal">
      <formula>0</formula>
    </cfRule>
  </conditionalFormatting>
  <conditionalFormatting sqref="A15:M15 P15:XFD15">
    <cfRule type="cellIs" dxfId="40" priority="11" operator="equal">
      <formula>0</formula>
    </cfRule>
  </conditionalFormatting>
  <conditionalFormatting sqref="A15:M15 P15:XFD15">
    <cfRule type="cellIs" dxfId="39" priority="10" operator="equal">
      <formula>0</formula>
    </cfRule>
  </conditionalFormatting>
  <conditionalFormatting sqref="F22:F35">
    <cfRule type="cellIs" dxfId="38" priority="9" operator="equal">
      <formula>0</formula>
    </cfRule>
  </conditionalFormatting>
  <conditionalFormatting sqref="F44:F47">
    <cfRule type="cellIs" dxfId="37" priority="8" operator="equal">
      <formula>0</formula>
    </cfRule>
  </conditionalFormatting>
  <conditionalFormatting sqref="F43">
    <cfRule type="cellIs" dxfId="36" priority="7" operator="equal">
      <formula>0</formula>
    </cfRule>
  </conditionalFormatting>
  <conditionalFormatting sqref="A51:M51 P51:XFD51">
    <cfRule type="cellIs" dxfId="35" priority="6" operator="equal">
      <formula>0</formula>
    </cfRule>
  </conditionalFormatting>
  <conditionalFormatting sqref="A51:M51 P51:XFD51">
    <cfRule type="cellIs" dxfId="34" priority="5" operator="equal">
      <formula>0</formula>
    </cfRule>
  </conditionalFormatting>
  <conditionalFormatting sqref="A61:M61 P61:XFD61">
    <cfRule type="cellIs" dxfId="33" priority="4" operator="equal">
      <formula>0</formula>
    </cfRule>
  </conditionalFormatting>
  <conditionalFormatting sqref="A61:M61 P61:XFD61">
    <cfRule type="cellIs" dxfId="32" priority="3" operator="equal">
      <formula>0</formula>
    </cfRule>
  </conditionalFormatting>
  <conditionalFormatting sqref="A68:M68 P68:XFD68">
    <cfRule type="cellIs" dxfId="31" priority="2" operator="equal">
      <formula>0</formula>
    </cfRule>
  </conditionalFormatting>
  <conditionalFormatting sqref="A68:M68 P68:XFD68">
    <cfRule type="cellIs" dxfId="30" priority="1" operator="equal">
      <formula>0</formula>
    </cfRule>
  </conditionalFormatting>
  <pageMargins left="0.7" right="0.7" top="0.75" bottom="0.75" header="0.3" footer="0.3"/>
  <pageSetup paperSize="9" scale="38"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3"/>
  <dimension ref="B2:AD26"/>
  <sheetViews>
    <sheetView zoomScale="120" zoomScaleNormal="120" workbookViewId="0">
      <selection activeCell="G10" sqref="G10:L10"/>
    </sheetView>
  </sheetViews>
  <sheetFormatPr baseColWidth="10" defaultColWidth="9.33203125" defaultRowHeight="18" customHeight="1"/>
  <cols>
    <col min="1" max="1" width="9.33203125" style="4"/>
    <col min="2" max="2" width="4.109375" style="4" customWidth="1"/>
    <col min="3" max="4" width="7.33203125" style="4" customWidth="1"/>
    <col min="5" max="9" width="7.5546875" style="4" customWidth="1"/>
    <col min="10" max="12" width="11.33203125" style="4" customWidth="1"/>
    <col min="13" max="14" width="19.44140625" style="4" customWidth="1"/>
    <col min="15" max="26" width="9.33203125" style="4" hidden="1" customWidth="1"/>
    <col min="27" max="34" width="9.33203125" style="4" customWidth="1"/>
    <col min="35" max="16384" width="9.33203125" style="4"/>
  </cols>
  <sheetData>
    <row r="2" spans="2:30" s="80" customFormat="1" ht="18" customHeight="1">
      <c r="B2" s="80" t="s">
        <v>4447</v>
      </c>
    </row>
    <row r="3" spans="2:30" ht="18" customHeight="1">
      <c r="B3" s="378"/>
      <c r="C3" s="378"/>
      <c r="D3" s="378"/>
      <c r="E3" s="379"/>
      <c r="F3" s="378"/>
      <c r="G3" s="378"/>
      <c r="H3" s="378"/>
      <c r="I3" s="378"/>
      <c r="J3" s="380"/>
      <c r="K3" s="378"/>
      <c r="L3" s="378"/>
      <c r="M3" s="378"/>
    </row>
    <row r="4" spans="2:30" s="13" customFormat="1" ht="18" customHeight="1">
      <c r="B4" s="21" t="s">
        <v>4309</v>
      </c>
      <c r="C4" s="22"/>
      <c r="D4" s="23"/>
      <c r="E4" s="23"/>
      <c r="F4" s="23"/>
      <c r="G4" s="79"/>
      <c r="H4" s="23"/>
      <c r="I4" s="23"/>
      <c r="J4" s="23"/>
      <c r="K4" s="23"/>
      <c r="L4" s="24"/>
      <c r="M4" s="24"/>
      <c r="N4" s="24"/>
      <c r="O4" s="4"/>
    </row>
    <row r="5" spans="2:30" ht="18" customHeight="1">
      <c r="K5" s="378"/>
      <c r="L5" s="378"/>
      <c r="M5" s="378"/>
    </row>
    <row r="6" spans="2:30" s="381" customFormat="1" ht="35.1" customHeight="1">
      <c r="B6" s="800" t="s">
        <v>191</v>
      </c>
      <c r="C6" s="800"/>
      <c r="D6" s="800"/>
      <c r="E6" s="800"/>
      <c r="F6" s="800"/>
      <c r="G6" s="793" t="s">
        <v>29</v>
      </c>
      <c r="H6" s="795"/>
      <c r="I6" s="795"/>
      <c r="J6" s="795"/>
      <c r="K6" s="795"/>
      <c r="L6" s="794"/>
      <c r="M6" s="793" t="s">
        <v>4312</v>
      </c>
      <c r="N6" s="794"/>
    </row>
    <row r="7" spans="2:30" ht="3" customHeight="1"/>
    <row r="8" spans="2:30" ht="54.95" customHeight="1">
      <c r="B8" s="799" t="s">
        <v>4313</v>
      </c>
      <c r="C8" s="799"/>
      <c r="D8" s="799"/>
      <c r="E8" s="799"/>
      <c r="F8" s="799"/>
      <c r="G8" s="792"/>
      <c r="H8" s="792"/>
      <c r="I8" s="792"/>
      <c r="J8" s="792"/>
      <c r="K8" s="792"/>
      <c r="L8" s="792"/>
      <c r="M8" s="792"/>
      <c r="N8" s="792"/>
    </row>
    <row r="9" spans="2:30" ht="54.95" customHeight="1">
      <c r="B9" s="799" t="s">
        <v>4314</v>
      </c>
      <c r="C9" s="799"/>
      <c r="D9" s="799"/>
      <c r="E9" s="799"/>
      <c r="F9" s="799"/>
      <c r="G9" s="792"/>
      <c r="H9" s="792"/>
      <c r="I9" s="792"/>
      <c r="J9" s="792"/>
      <c r="K9" s="792"/>
      <c r="L9" s="792"/>
      <c r="M9" s="792"/>
      <c r="N9" s="792"/>
    </row>
    <row r="10" spans="2:30" ht="54.95" customHeight="1">
      <c r="B10" s="799" t="s">
        <v>192</v>
      </c>
      <c r="C10" s="799"/>
      <c r="D10" s="799"/>
      <c r="E10" s="799"/>
      <c r="F10" s="799"/>
      <c r="G10" s="792"/>
      <c r="H10" s="792"/>
      <c r="I10" s="792"/>
      <c r="J10" s="792"/>
      <c r="K10" s="792"/>
      <c r="L10" s="792"/>
      <c r="M10" s="792"/>
      <c r="N10" s="792"/>
    </row>
    <row r="12" spans="2:30" ht="18" customHeight="1">
      <c r="B12" s="378"/>
      <c r="C12" s="379"/>
      <c r="D12" s="378"/>
      <c r="E12" s="379"/>
      <c r="F12" s="378"/>
      <c r="G12" s="378"/>
      <c r="H12" s="378"/>
      <c r="I12" s="378"/>
      <c r="J12" s="378"/>
      <c r="K12" s="378"/>
      <c r="L12" s="378"/>
      <c r="M12" s="378"/>
    </row>
    <row r="13" spans="2:30" s="13" customFormat="1" ht="18" customHeight="1">
      <c r="B13" s="21" t="s">
        <v>4310</v>
      </c>
      <c r="C13" s="22"/>
      <c r="D13" s="23"/>
      <c r="E13" s="23"/>
      <c r="F13" s="23"/>
      <c r="G13" s="79"/>
      <c r="H13" s="23"/>
      <c r="I13" s="23"/>
      <c r="J13" s="23"/>
      <c r="K13" s="23"/>
      <c r="L13" s="24"/>
      <c r="M13" s="24"/>
      <c r="N13" s="24"/>
      <c r="O13" s="4"/>
    </row>
    <row r="14" spans="2:30" ht="18" customHeight="1">
      <c r="B14" s="378"/>
      <c r="C14" s="378"/>
      <c r="D14" s="378"/>
      <c r="E14" s="379"/>
      <c r="F14" s="378"/>
      <c r="G14" s="378"/>
      <c r="H14" s="378"/>
      <c r="I14" s="378"/>
      <c r="J14" s="380"/>
      <c r="K14" s="378"/>
      <c r="L14" s="378"/>
      <c r="M14" s="378"/>
    </row>
    <row r="15" spans="2:30" s="383" customFormat="1" ht="42" customHeight="1">
      <c r="B15" s="798" t="s">
        <v>4311</v>
      </c>
      <c r="C15" s="798"/>
      <c r="D15" s="798"/>
      <c r="E15" s="798" t="s">
        <v>193</v>
      </c>
      <c r="F15" s="798"/>
      <c r="G15" s="798"/>
      <c r="H15" s="798"/>
      <c r="I15" s="798"/>
      <c r="J15" s="382" t="s">
        <v>4315</v>
      </c>
      <c r="K15" s="382" t="s">
        <v>247</v>
      </c>
      <c r="L15" s="382" t="s">
        <v>248</v>
      </c>
      <c r="M15" s="798" t="s">
        <v>4316</v>
      </c>
      <c r="N15" s="798"/>
      <c r="Y15" s="384"/>
      <c r="Z15" s="384"/>
      <c r="AA15" s="384"/>
      <c r="AC15" s="384"/>
      <c r="AD15" s="384"/>
    </row>
    <row r="16" spans="2:30" s="385" customFormat="1" ht="12.75">
      <c r="N16" s="383"/>
      <c r="O16" s="383"/>
      <c r="P16" s="383"/>
      <c r="Q16" s="383"/>
      <c r="R16" s="383"/>
      <c r="S16" s="383"/>
      <c r="T16" s="383"/>
      <c r="U16" s="383"/>
      <c r="Y16" s="384"/>
      <c r="Z16" s="386"/>
      <c r="AA16" s="386"/>
      <c r="AC16" s="386"/>
      <c r="AD16" s="386"/>
    </row>
    <row r="17" spans="2:29" s="385" customFormat="1" ht="74.099999999999994" customHeight="1">
      <c r="B17" s="387" t="s">
        <v>166</v>
      </c>
      <c r="C17" s="798" t="s">
        <v>249</v>
      </c>
      <c r="D17" s="798"/>
      <c r="E17" s="801" t="s">
        <v>264</v>
      </c>
      <c r="F17" s="801"/>
      <c r="G17" s="801"/>
      <c r="H17" s="801"/>
      <c r="I17" s="801"/>
      <c r="J17" s="157"/>
      <c r="K17" s="157"/>
      <c r="L17" s="387">
        <f t="shared" ref="L17:L24" si="0">+K17*J17</f>
        <v>0</v>
      </c>
      <c r="M17" s="796" t="str">
        <f>+IF(L17=0,"",IF(U17=1,X17,IF(V17=1,Y17,IF(W17=1,Z17,""))))</f>
        <v/>
      </c>
      <c r="N17" s="797"/>
      <c r="O17" s="389"/>
      <c r="P17" s="383"/>
      <c r="Q17" s="383"/>
      <c r="R17" s="383"/>
      <c r="S17" s="383"/>
      <c r="T17" s="383"/>
      <c r="U17" s="385">
        <f t="shared" ref="U17:U24" si="1">+IF(L17&gt;0.179,1,0)</f>
        <v>0</v>
      </c>
      <c r="V17" s="385">
        <f t="shared" ref="V17:V24" si="2">+IF(U17+W17=0,1,0)</f>
        <v>0</v>
      </c>
      <c r="W17" s="385">
        <f t="shared" ref="W17:W24" si="3">+IF(L17&lt;0.051,1,0)</f>
        <v>1</v>
      </c>
      <c r="X17" s="383" t="str">
        <f t="shared" ref="X17:X24" si="4">"Profundizar el nivel de información de "&amp;C17&amp;", antes de elaborar el expediente técnico y proponer medidas de reducción de probabilidad o impacto sobre el costo, alcance o cronograma del proyecto"</f>
        <v>Profundizar el nivel de información de Saneamiento físico legal o arreglo institucional, antes de elaborar el expediente técnico y proponer medidas de reducción de probabilidad o impacto sobre el costo, alcance o cronograma del proyecto</v>
      </c>
      <c r="Y17" s="383" t="str">
        <f t="shared" ref="Y17:Y24" si="5">"Profundizar el nivel de información de "&amp;C17&amp;", en la etapa de ejecución. De corresponder, proponer medidas de reducción de probabilidad o impacto sobre el costo, alcance o cronograma del proyecto"</f>
        <v>Profundizar el nivel de información de Saneamiento físico legal o arreglo institucional, en la etapa de ejecución. De corresponder, proponer medidas de reducción de probabilidad o impacto sobre el costo, alcance o cronograma del proyecto</v>
      </c>
      <c r="Z17" s="383" t="str">
        <f t="shared" ref="Z17:Z24" si="6">"Monitorear la condición de "&amp;C17&amp;", en la etapa de ejecución"</f>
        <v>Monitorear la condición de Saneamiento físico legal o arreglo institucional, en la etapa de ejecución</v>
      </c>
      <c r="AB17" s="386"/>
      <c r="AC17" s="386"/>
    </row>
    <row r="18" spans="2:29" s="385" customFormat="1" ht="74.099999999999994" customHeight="1">
      <c r="B18" s="387" t="s">
        <v>168</v>
      </c>
      <c r="C18" s="798" t="s">
        <v>250</v>
      </c>
      <c r="D18" s="798"/>
      <c r="E18" s="801" t="s">
        <v>4317</v>
      </c>
      <c r="F18" s="801"/>
      <c r="G18" s="801"/>
      <c r="H18" s="801"/>
      <c r="I18" s="801"/>
      <c r="J18" s="157"/>
      <c r="K18" s="157"/>
      <c r="L18" s="387">
        <f t="shared" si="0"/>
        <v>0</v>
      </c>
      <c r="M18" s="796" t="str">
        <f t="shared" ref="M18:M24" si="7">+IF(L18=0,"",IF(U18=1,X18,IF(V18=1,Y18,IF(W18=1,Z18,""))))</f>
        <v/>
      </c>
      <c r="N18" s="797"/>
      <c r="O18" s="388"/>
      <c r="P18" s="383"/>
      <c r="Q18" s="383"/>
      <c r="R18" s="383"/>
      <c r="S18" s="383"/>
      <c r="T18" s="383"/>
      <c r="U18" s="385">
        <f t="shared" si="1"/>
        <v>0</v>
      </c>
      <c r="V18" s="385">
        <f t="shared" si="2"/>
        <v>0</v>
      </c>
      <c r="W18" s="385">
        <f t="shared" si="3"/>
        <v>1</v>
      </c>
      <c r="X18" s="383" t="str">
        <f t="shared" si="4"/>
        <v>Profundizar el nivel de información de Ubicación de activos de la UP, antes de elaborar el expediente técnico y proponer medidas de reducción de probabilidad o impacto sobre el costo, alcance o cronograma del proyecto</v>
      </c>
      <c r="Y18" s="383" t="str">
        <f t="shared" si="5"/>
        <v>Profundizar el nivel de información de Ubicación de activos de la UP, en la etapa de ejecución. De corresponder, proponer medidas de reducción de probabilidad o impacto sobre el costo, alcance o cronograma del proyecto</v>
      </c>
      <c r="Z18" s="383" t="str">
        <f t="shared" si="6"/>
        <v>Monitorear la condición de Ubicación de activos de la UP, en la etapa de ejecución</v>
      </c>
      <c r="AB18" s="386"/>
      <c r="AC18" s="386"/>
    </row>
    <row r="19" spans="2:29" s="385" customFormat="1" ht="74.099999999999994" customHeight="1">
      <c r="B19" s="387" t="s">
        <v>257</v>
      </c>
      <c r="C19" s="798" t="s">
        <v>251</v>
      </c>
      <c r="D19" s="798"/>
      <c r="E19" s="801" t="s">
        <v>265</v>
      </c>
      <c r="F19" s="801"/>
      <c r="G19" s="801"/>
      <c r="H19" s="801"/>
      <c r="I19" s="801"/>
      <c r="J19" s="157"/>
      <c r="K19" s="157"/>
      <c r="L19" s="387">
        <f t="shared" si="0"/>
        <v>0</v>
      </c>
      <c r="M19" s="796" t="str">
        <f t="shared" si="7"/>
        <v/>
      </c>
      <c r="N19" s="797"/>
      <c r="O19" s="388"/>
      <c r="P19" s="383"/>
      <c r="Q19" s="383"/>
      <c r="R19" s="383"/>
      <c r="S19" s="383"/>
      <c r="T19" s="383"/>
      <c r="U19" s="385">
        <f t="shared" si="1"/>
        <v>0</v>
      </c>
      <c r="V19" s="385">
        <f t="shared" si="2"/>
        <v>0</v>
      </c>
      <c r="W19" s="385">
        <f t="shared" si="3"/>
        <v>1</v>
      </c>
      <c r="X19" s="383" t="str">
        <f t="shared" si="4"/>
        <v>Profundizar el nivel de información de Impactos ambientales del PI, antes de elaborar el expediente técnico y proponer medidas de reducción de probabilidad o impacto sobre el costo, alcance o cronograma del proyecto</v>
      </c>
      <c r="Y19" s="383" t="str">
        <f t="shared" si="5"/>
        <v>Profundizar el nivel de información de Impactos ambientales del PI, en la etapa de ejecución. De corresponder, proponer medidas de reducción de probabilidad o impacto sobre el costo, alcance o cronograma del proyecto</v>
      </c>
      <c r="Z19" s="383" t="str">
        <f t="shared" si="6"/>
        <v>Monitorear la condición de Impactos ambientales del PI, en la etapa de ejecución</v>
      </c>
      <c r="AB19" s="386"/>
      <c r="AC19" s="386"/>
    </row>
    <row r="20" spans="2:29" s="385" customFormat="1" ht="74.099999999999994" customHeight="1">
      <c r="B20" s="387" t="s">
        <v>258</v>
      </c>
      <c r="C20" s="798" t="s">
        <v>252</v>
      </c>
      <c r="D20" s="798"/>
      <c r="E20" s="801" t="s">
        <v>266</v>
      </c>
      <c r="F20" s="801"/>
      <c r="G20" s="801"/>
      <c r="H20" s="801"/>
      <c r="I20" s="801"/>
      <c r="J20" s="157"/>
      <c r="K20" s="157"/>
      <c r="L20" s="387">
        <f t="shared" si="0"/>
        <v>0</v>
      </c>
      <c r="M20" s="796" t="str">
        <f t="shared" si="7"/>
        <v/>
      </c>
      <c r="N20" s="797"/>
      <c r="O20" s="388"/>
      <c r="P20" s="383"/>
      <c r="Q20" s="383"/>
      <c r="R20" s="383"/>
      <c r="S20" s="383"/>
      <c r="T20" s="383"/>
      <c r="U20" s="385">
        <f t="shared" si="1"/>
        <v>0</v>
      </c>
      <c r="V20" s="385">
        <f t="shared" si="2"/>
        <v>0</v>
      </c>
      <c r="W20" s="385">
        <f t="shared" si="3"/>
        <v>1</v>
      </c>
      <c r="X20" s="383" t="str">
        <f t="shared" si="4"/>
        <v>Profundizar el nivel de información de Organización y experiencia de la UEI, antes de elaborar el expediente técnico y proponer medidas de reducción de probabilidad o impacto sobre el costo, alcance o cronograma del proyecto</v>
      </c>
      <c r="Y20" s="383" t="str">
        <f t="shared" si="5"/>
        <v>Profundizar el nivel de información de Organización y experiencia de la UEI, en la etapa de ejecución. De corresponder, proponer medidas de reducción de probabilidad o impacto sobre el costo, alcance o cronograma del proyecto</v>
      </c>
      <c r="Z20" s="383" t="str">
        <f t="shared" si="6"/>
        <v>Monitorear la condición de Organización y experiencia de la UEI, en la etapa de ejecución</v>
      </c>
      <c r="AB20" s="386"/>
      <c r="AC20" s="386"/>
    </row>
    <row r="21" spans="2:29" s="385" customFormat="1" ht="74.099999999999994" customHeight="1">
      <c r="B21" s="387" t="s">
        <v>259</v>
      </c>
      <c r="C21" s="798" t="s">
        <v>253</v>
      </c>
      <c r="D21" s="798"/>
      <c r="E21" s="801" t="s">
        <v>267</v>
      </c>
      <c r="F21" s="801"/>
      <c r="G21" s="801"/>
      <c r="H21" s="801"/>
      <c r="I21" s="801"/>
      <c r="J21" s="157"/>
      <c r="K21" s="157"/>
      <c r="L21" s="387">
        <f t="shared" si="0"/>
        <v>0</v>
      </c>
      <c r="M21" s="796" t="str">
        <f t="shared" si="7"/>
        <v/>
      </c>
      <c r="N21" s="797"/>
      <c r="O21" s="388"/>
      <c r="P21" s="383"/>
      <c r="Q21" s="383"/>
      <c r="R21" s="383"/>
      <c r="S21" s="383"/>
      <c r="T21" s="383"/>
      <c r="U21" s="385">
        <f t="shared" si="1"/>
        <v>0</v>
      </c>
      <c r="V21" s="385">
        <f t="shared" si="2"/>
        <v>0</v>
      </c>
      <c r="W21" s="385">
        <f t="shared" si="3"/>
        <v>1</v>
      </c>
      <c r="X21" s="383" t="str">
        <f t="shared" si="4"/>
        <v>Profundizar el nivel de información de Modalidad de ejecución del proyecto de inversión, antes de elaborar el expediente técnico y proponer medidas de reducción de probabilidad o impacto sobre el costo, alcance o cronograma del proyecto</v>
      </c>
      <c r="Y21" s="383" t="str">
        <f t="shared" si="5"/>
        <v>Profundizar el nivel de información de Modalidad de ejecución del proyecto de inversión, en la etapa de ejecución. De corresponder, proponer medidas de reducción de probabilidad o impacto sobre el costo, alcance o cronograma del proyecto</v>
      </c>
      <c r="Z21" s="383" t="str">
        <f t="shared" si="6"/>
        <v>Monitorear la condición de Modalidad de ejecución del proyecto de inversión, en la etapa de ejecución</v>
      </c>
      <c r="AB21" s="386"/>
      <c r="AC21" s="386"/>
    </row>
    <row r="22" spans="2:29" s="385" customFormat="1" ht="74.099999999999994" customHeight="1">
      <c r="B22" s="387" t="s">
        <v>260</v>
      </c>
      <c r="C22" s="798" t="s">
        <v>254</v>
      </c>
      <c r="D22" s="798"/>
      <c r="E22" s="801" t="s">
        <v>268</v>
      </c>
      <c r="F22" s="801"/>
      <c r="G22" s="801"/>
      <c r="H22" s="801"/>
      <c r="I22" s="801"/>
      <c r="J22" s="157"/>
      <c r="K22" s="157"/>
      <c r="L22" s="387">
        <f t="shared" si="0"/>
        <v>0</v>
      </c>
      <c r="M22" s="796" t="str">
        <f t="shared" si="7"/>
        <v/>
      </c>
      <c r="N22" s="797"/>
      <c r="O22" s="388"/>
      <c r="P22" s="383"/>
      <c r="Q22" s="383"/>
      <c r="R22" s="383"/>
      <c r="S22" s="383"/>
      <c r="T22" s="383"/>
      <c r="U22" s="385">
        <f t="shared" si="1"/>
        <v>0</v>
      </c>
      <c r="V22" s="385">
        <f t="shared" si="2"/>
        <v>0</v>
      </c>
      <c r="W22" s="385">
        <f t="shared" si="3"/>
        <v>1</v>
      </c>
      <c r="X22" s="383" t="str">
        <f t="shared" si="4"/>
        <v>Profundizar el nivel de información de Exposición a peligros naturales, socionaturales o antrópicos, antes de elaborar el expediente técnico y proponer medidas de reducción de probabilidad o impacto sobre el costo, alcance o cronograma del proyecto</v>
      </c>
      <c r="Y22" s="383" t="str">
        <f t="shared" si="5"/>
        <v>Profundizar el nivel de información de Exposición a peligros naturales, socionaturales o antrópicos, en la etapa de ejecución. De corresponder, proponer medidas de reducción de probabilidad o impacto sobre el costo, alcance o cronograma del proyecto</v>
      </c>
      <c r="Z22" s="383" t="str">
        <f t="shared" si="6"/>
        <v>Monitorear la condición de Exposición a peligros naturales, socionaturales o antrópicos, en la etapa de ejecución</v>
      </c>
      <c r="AB22" s="386"/>
      <c r="AC22" s="386"/>
    </row>
    <row r="23" spans="2:29" s="385" customFormat="1" ht="74.099999999999994" customHeight="1">
      <c r="B23" s="387" t="s">
        <v>261</v>
      </c>
      <c r="C23" s="798" t="s">
        <v>255</v>
      </c>
      <c r="D23" s="798"/>
      <c r="E23" s="801" t="s">
        <v>269</v>
      </c>
      <c r="F23" s="801"/>
      <c r="G23" s="801"/>
      <c r="H23" s="801"/>
      <c r="I23" s="801"/>
      <c r="J23" s="157"/>
      <c r="K23" s="157"/>
      <c r="L23" s="387">
        <f t="shared" si="0"/>
        <v>0</v>
      </c>
      <c r="M23" s="796" t="str">
        <f t="shared" si="7"/>
        <v/>
      </c>
      <c r="N23" s="797"/>
      <c r="O23" s="388"/>
      <c r="P23" s="383"/>
      <c r="Q23" s="383"/>
      <c r="R23" s="383"/>
      <c r="S23" s="383"/>
      <c r="T23" s="383"/>
      <c r="U23" s="385">
        <f t="shared" si="1"/>
        <v>0</v>
      </c>
      <c r="V23" s="385">
        <f t="shared" si="2"/>
        <v>0</v>
      </c>
      <c r="W23" s="385">
        <f t="shared" si="3"/>
        <v>1</v>
      </c>
      <c r="X23" s="383" t="str">
        <f t="shared" si="4"/>
        <v>Profundizar el nivel de información de Ubicación en zonas arqueológicas o declaradas como patrimonio cultural, antes de elaborar el expediente técnico y proponer medidas de reducción de probabilidad o impacto sobre el costo, alcance o cronograma del proyecto</v>
      </c>
      <c r="Y23" s="383" t="str">
        <f t="shared" si="5"/>
        <v>Profundizar el nivel de información de Ubicación en zonas arqueológicas o declaradas como patrimonio cultural, en la etapa de ejecución. De corresponder, proponer medidas de reducción de probabilidad o impacto sobre el costo, alcance o cronograma del proyecto</v>
      </c>
      <c r="Z23" s="383" t="str">
        <f t="shared" si="6"/>
        <v>Monitorear la condición de Ubicación en zonas arqueológicas o declaradas como patrimonio cultural, en la etapa de ejecución</v>
      </c>
      <c r="AB23" s="386"/>
      <c r="AC23" s="386"/>
    </row>
    <row r="24" spans="2:29" s="385" customFormat="1" ht="74.099999999999994" customHeight="1">
      <c r="B24" s="387" t="s">
        <v>262</v>
      </c>
      <c r="C24" s="798" t="s">
        <v>256</v>
      </c>
      <c r="D24" s="798"/>
      <c r="E24" s="801" t="s">
        <v>270</v>
      </c>
      <c r="F24" s="801"/>
      <c r="G24" s="801"/>
      <c r="H24" s="801"/>
      <c r="I24" s="801"/>
      <c r="J24" s="157"/>
      <c r="K24" s="157"/>
      <c r="L24" s="387">
        <f t="shared" si="0"/>
        <v>0</v>
      </c>
      <c r="M24" s="796" t="str">
        <f t="shared" si="7"/>
        <v/>
      </c>
      <c r="N24" s="797"/>
      <c r="O24" s="388"/>
      <c r="P24" s="383"/>
      <c r="Q24" s="383"/>
      <c r="R24" s="383"/>
      <c r="S24" s="383"/>
      <c r="T24" s="383"/>
      <c r="U24" s="385">
        <f t="shared" si="1"/>
        <v>0</v>
      </c>
      <c r="V24" s="385">
        <f t="shared" si="2"/>
        <v>0</v>
      </c>
      <c r="W24" s="385">
        <f t="shared" si="3"/>
        <v>1</v>
      </c>
      <c r="X24" s="383" t="str">
        <f t="shared" si="4"/>
        <v>Profundizar el nivel de información de Identificación de interferencias, antes de elaborar el expediente técnico y proponer medidas de reducción de probabilidad o impacto sobre el costo, alcance o cronograma del proyecto</v>
      </c>
      <c r="Y24" s="383" t="str">
        <f t="shared" si="5"/>
        <v>Profundizar el nivel de información de Identificación de interferencias, en la etapa de ejecución. De corresponder, proponer medidas de reducción de probabilidad o impacto sobre el costo, alcance o cronograma del proyecto</v>
      </c>
      <c r="Z24" s="383" t="str">
        <f t="shared" si="6"/>
        <v>Monitorear la condición de Identificación de interferencias, en la etapa de ejecución</v>
      </c>
      <c r="AB24" s="386"/>
      <c r="AC24" s="386"/>
    </row>
    <row r="25" spans="2:29" s="385" customFormat="1" ht="12.75">
      <c r="B25" s="390" t="s">
        <v>263</v>
      </c>
      <c r="E25" s="391"/>
      <c r="F25" s="391"/>
      <c r="G25" s="391"/>
      <c r="H25" s="391"/>
      <c r="I25" s="391"/>
      <c r="M25" s="383"/>
      <c r="N25" s="383"/>
      <c r="O25" s="383"/>
      <c r="P25" s="383"/>
      <c r="Q25" s="383"/>
      <c r="R25" s="383"/>
      <c r="S25" s="383"/>
      <c r="T25" s="383"/>
      <c r="U25" s="385">
        <f>SUM(U17:U24)</f>
        <v>0</v>
      </c>
      <c r="V25" s="385">
        <f>SUM(V17:V24)</f>
        <v>0</v>
      </c>
      <c r="W25" s="385">
        <f>SUM(W17:W24)</f>
        <v>8</v>
      </c>
      <c r="X25" s="384"/>
      <c r="Y25" s="386"/>
      <c r="Z25" s="386"/>
      <c r="AB25" s="386"/>
      <c r="AC25" s="386"/>
    </row>
    <row r="26" spans="2:29" s="392" customFormat="1" ht="12.75">
      <c r="E26" s="393"/>
      <c r="F26" s="393"/>
      <c r="G26" s="393"/>
      <c r="H26" s="393"/>
      <c r="I26" s="393"/>
      <c r="M26" s="394"/>
      <c r="N26" s="394"/>
      <c r="O26" s="394"/>
      <c r="P26" s="394"/>
      <c r="Q26" s="394"/>
      <c r="R26" s="394"/>
      <c r="S26" s="394"/>
      <c r="T26" s="394"/>
      <c r="U26" s="385"/>
      <c r="V26" s="385"/>
      <c r="W26" s="385"/>
      <c r="X26" s="384"/>
      <c r="Y26" s="386"/>
      <c r="Z26" s="386"/>
      <c r="AB26" s="386"/>
      <c r="AC26" s="386"/>
    </row>
  </sheetData>
  <sheetProtection sheet="1" objects="1" scenarios="1"/>
  <mergeCells count="39">
    <mergeCell ref="B9:F9"/>
    <mergeCell ref="B6:F6"/>
    <mergeCell ref="B8:F8"/>
    <mergeCell ref="B10:F10"/>
    <mergeCell ref="C24:D24"/>
    <mergeCell ref="E17:I17"/>
    <mergeCell ref="E18:I18"/>
    <mergeCell ref="E19:I19"/>
    <mergeCell ref="E20:I20"/>
    <mergeCell ref="E21:I21"/>
    <mergeCell ref="E22:I22"/>
    <mergeCell ref="E23:I23"/>
    <mergeCell ref="E24:I24"/>
    <mergeCell ref="C17:D17"/>
    <mergeCell ref="C18:D18"/>
    <mergeCell ref="C19:D19"/>
    <mergeCell ref="M24:N24"/>
    <mergeCell ref="M19:N19"/>
    <mergeCell ref="B15:D15"/>
    <mergeCell ref="M15:N15"/>
    <mergeCell ref="M17:N17"/>
    <mergeCell ref="M18:N18"/>
    <mergeCell ref="M20:N20"/>
    <mergeCell ref="E15:I15"/>
    <mergeCell ref="C20:D20"/>
    <mergeCell ref="C21:D21"/>
    <mergeCell ref="C22:D22"/>
    <mergeCell ref="C23:D23"/>
    <mergeCell ref="M21:N21"/>
    <mergeCell ref="M22:N22"/>
    <mergeCell ref="M23:N23"/>
    <mergeCell ref="M8:N8"/>
    <mergeCell ref="M9:N9"/>
    <mergeCell ref="M10:N10"/>
    <mergeCell ref="M6:N6"/>
    <mergeCell ref="G6:L6"/>
    <mergeCell ref="G8:L8"/>
    <mergeCell ref="G9:L9"/>
    <mergeCell ref="G10:L10"/>
  </mergeCells>
  <conditionalFormatting sqref="A2:XFD2">
    <cfRule type="cellIs" dxfId="29" priority="17" operator="equal">
      <formula>0</formula>
    </cfRule>
  </conditionalFormatting>
  <conditionalFormatting sqref="L17:L24 P17:T24">
    <cfRule type="cellIs" dxfId="28" priority="9" operator="between">
      <formula>0.051</formula>
      <formula>0.179</formula>
    </cfRule>
    <cfRule type="cellIs" dxfId="27" priority="10" operator="lessThan">
      <formula>0.051</formula>
    </cfRule>
    <cfRule type="cellIs" dxfId="26" priority="11" operator="greaterThan">
      <formula>0.179</formula>
    </cfRule>
  </conditionalFormatting>
  <conditionalFormatting sqref="P4:XFD4 A4:N4">
    <cfRule type="cellIs" dxfId="25" priority="5" operator="equal">
      <formula>0</formula>
    </cfRule>
  </conditionalFormatting>
  <conditionalFormatting sqref="P4:XFD4 A4:N4">
    <cfRule type="cellIs" dxfId="24" priority="4" operator="equal">
      <formula>0</formula>
    </cfRule>
  </conditionalFormatting>
  <conditionalFormatting sqref="P13:XFD13 A13:N13">
    <cfRule type="cellIs" dxfId="23" priority="3" operator="equal">
      <formula>0</formula>
    </cfRule>
  </conditionalFormatting>
  <conditionalFormatting sqref="P13:XFD13 A13:N13">
    <cfRule type="cellIs" dxfId="22" priority="2" operator="equal">
      <formula>0</formula>
    </cfRule>
  </conditionalFormatting>
  <conditionalFormatting sqref="L17:L24">
    <cfRule type="cellIs" dxfId="21" priority="1" operator="equal">
      <formula>0</formula>
    </cfRule>
  </conditionalFormatting>
  <dataValidations count="2">
    <dataValidation type="list" allowBlank="1" showInputMessage="1" showErrorMessage="1" sqref="J17:J24" xr:uid="{00000000-0002-0000-1000-000000000000}">
      <formula1>Probabilidad</formula1>
    </dataValidation>
    <dataValidation type="list" allowBlank="1" showInputMessage="1" showErrorMessage="1" sqref="K17:K24" xr:uid="{00000000-0002-0000-1000-000001000000}">
      <formula1>Impacto</formula1>
    </dataValidation>
  </dataValidations>
  <pageMargins left="0.7" right="0.7" top="0.75" bottom="0.75" header="0.3" footer="0.3"/>
  <pageSetup paperSize="9" scale="44"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4">
    <pageSetUpPr fitToPage="1"/>
  </sheetPr>
  <dimension ref="B2:Q78"/>
  <sheetViews>
    <sheetView topLeftCell="A11" zoomScaleNormal="100" workbookViewId="0">
      <selection activeCell="H51" sqref="H51:J51"/>
    </sheetView>
  </sheetViews>
  <sheetFormatPr baseColWidth="10" defaultColWidth="9.88671875" defaultRowHeight="18" customHeight="1"/>
  <cols>
    <col min="1" max="1" width="9.88671875" style="2"/>
    <col min="2" max="5" width="11" style="2" customWidth="1"/>
    <col min="6" max="8" width="12.109375" style="2" customWidth="1"/>
    <col min="9" max="9" width="14.88671875" style="2" customWidth="1"/>
    <col min="10" max="17" width="4" style="2" customWidth="1"/>
    <col min="18" max="16384" width="9.88671875" style="2"/>
  </cols>
  <sheetData>
    <row r="2" spans="2:17" s="10" customFormat="1" ht="18" customHeight="1">
      <c r="B2" s="10" t="s">
        <v>4448</v>
      </c>
    </row>
    <row r="3" spans="2:17" ht="18" customHeight="1">
      <c r="B3" s="118"/>
      <c r="C3" s="118"/>
      <c r="D3" s="118"/>
      <c r="E3" s="119"/>
      <c r="F3" s="118"/>
      <c r="G3" s="118"/>
      <c r="J3" s="118"/>
      <c r="K3" s="118"/>
      <c r="L3" s="118"/>
      <c r="M3" s="118"/>
    </row>
    <row r="4" spans="2:17" s="13" customFormat="1" ht="18" customHeight="1">
      <c r="B4" s="21" t="s">
        <v>194</v>
      </c>
      <c r="C4" s="22"/>
      <c r="D4" s="23"/>
      <c r="E4" s="23"/>
      <c r="F4" s="23"/>
      <c r="G4" s="79"/>
      <c r="H4" s="23"/>
      <c r="I4" s="23"/>
      <c r="J4" s="23"/>
      <c r="K4" s="23"/>
      <c r="L4" s="24"/>
      <c r="M4" s="24"/>
      <c r="N4" s="24"/>
      <c r="O4" s="24"/>
      <c r="P4" s="24"/>
      <c r="Q4" s="24"/>
    </row>
    <row r="5" spans="2:17" ht="3.95" customHeight="1">
      <c r="B5" s="118"/>
      <c r="C5" s="118"/>
      <c r="D5" s="118"/>
      <c r="E5" s="119"/>
      <c r="F5" s="118"/>
      <c r="G5" s="118"/>
      <c r="H5" s="118"/>
      <c r="I5" s="118"/>
      <c r="J5" s="118"/>
      <c r="K5" s="118"/>
      <c r="L5" s="118"/>
      <c r="M5" s="118"/>
    </row>
    <row r="6" spans="2:17" ht="18" customHeight="1">
      <c r="B6" s="806" t="s">
        <v>195</v>
      </c>
      <c r="C6" s="806"/>
      <c r="D6" s="806"/>
      <c r="E6" s="806"/>
      <c r="F6" s="806" t="s">
        <v>196</v>
      </c>
      <c r="G6" s="806"/>
      <c r="H6" s="807" t="s">
        <v>197</v>
      </c>
      <c r="I6" s="807"/>
      <c r="J6" s="806" t="s">
        <v>4318</v>
      </c>
      <c r="K6" s="806"/>
      <c r="L6" s="806"/>
      <c r="M6" s="806"/>
      <c r="N6" s="806"/>
      <c r="O6" s="806"/>
      <c r="P6" s="806"/>
      <c r="Q6" s="806"/>
    </row>
    <row r="7" spans="2:17" ht="18" customHeight="1">
      <c r="B7" s="806"/>
      <c r="C7" s="806"/>
      <c r="D7" s="806"/>
      <c r="E7" s="806"/>
      <c r="F7" s="395" t="s">
        <v>198</v>
      </c>
      <c r="G7" s="395" t="s">
        <v>199</v>
      </c>
      <c r="H7" s="807"/>
      <c r="I7" s="807"/>
      <c r="J7" s="395">
        <v>1</v>
      </c>
      <c r="K7" s="395">
        <v>2</v>
      </c>
      <c r="L7" s="395">
        <v>3</v>
      </c>
      <c r="M7" s="395">
        <v>4</v>
      </c>
      <c r="N7" s="395">
        <v>5</v>
      </c>
      <c r="O7" s="395">
        <v>6</v>
      </c>
      <c r="P7" s="395">
        <v>7</v>
      </c>
      <c r="Q7" s="395">
        <v>8</v>
      </c>
    </row>
    <row r="9" spans="2:17" ht="18" customHeight="1">
      <c r="B9" s="804" t="s">
        <v>200</v>
      </c>
      <c r="C9" s="804"/>
      <c r="D9" s="804"/>
      <c r="E9" s="804"/>
      <c r="F9" s="124"/>
      <c r="G9" s="124"/>
      <c r="H9" s="805"/>
      <c r="I9" s="805"/>
      <c r="J9" s="124"/>
      <c r="K9" s="124"/>
      <c r="L9" s="124"/>
      <c r="M9" s="124"/>
      <c r="N9" s="124"/>
      <c r="O9" s="124"/>
      <c r="P9" s="124"/>
      <c r="Q9" s="124"/>
    </row>
    <row r="10" spans="2:17" ht="18" customHeight="1">
      <c r="B10" s="802"/>
      <c r="C10" s="802"/>
      <c r="D10" s="802"/>
      <c r="E10" s="802"/>
      <c r="F10" s="179"/>
      <c r="G10" s="179"/>
      <c r="H10" s="803"/>
      <c r="I10" s="803"/>
      <c r="J10" s="180"/>
      <c r="K10" s="180"/>
      <c r="L10" s="180"/>
      <c r="M10" s="180"/>
      <c r="N10" s="180"/>
      <c r="O10" s="180"/>
      <c r="P10" s="180"/>
      <c r="Q10" s="180"/>
    </row>
    <row r="11" spans="2:17" ht="18" customHeight="1">
      <c r="B11" s="802"/>
      <c r="C11" s="802"/>
      <c r="D11" s="802"/>
      <c r="E11" s="802"/>
      <c r="F11" s="158"/>
      <c r="G11" s="158"/>
      <c r="H11" s="803"/>
      <c r="I11" s="803"/>
      <c r="J11" s="180"/>
      <c r="K11" s="180"/>
      <c r="L11" s="180"/>
      <c r="M11" s="180"/>
      <c r="N11" s="180"/>
      <c r="O11" s="180"/>
      <c r="P11" s="180"/>
      <c r="Q11" s="180"/>
    </row>
    <row r="12" spans="2:17" ht="18" customHeight="1">
      <c r="B12" s="802"/>
      <c r="C12" s="802"/>
      <c r="D12" s="802"/>
      <c r="E12" s="802"/>
      <c r="F12" s="158"/>
      <c r="G12" s="158"/>
      <c r="H12" s="803"/>
      <c r="I12" s="803"/>
      <c r="J12" s="180"/>
      <c r="K12" s="180"/>
      <c r="L12" s="180"/>
      <c r="M12" s="180"/>
      <c r="N12" s="180"/>
      <c r="O12" s="180"/>
      <c r="P12" s="180"/>
      <c r="Q12" s="180"/>
    </row>
    <row r="13" spans="2:17" ht="18" customHeight="1">
      <c r="B13" s="802"/>
      <c r="C13" s="802"/>
      <c r="D13" s="802"/>
      <c r="E13" s="802"/>
      <c r="F13" s="158"/>
      <c r="G13" s="158"/>
      <c r="H13" s="803"/>
      <c r="I13" s="803"/>
      <c r="J13" s="180"/>
      <c r="K13" s="180"/>
      <c r="L13" s="180"/>
      <c r="M13" s="180"/>
      <c r="N13" s="180"/>
      <c r="O13" s="180"/>
      <c r="P13" s="180"/>
      <c r="Q13" s="180"/>
    </row>
    <row r="14" spans="2:17" ht="18" customHeight="1">
      <c r="B14" s="802"/>
      <c r="C14" s="802"/>
      <c r="D14" s="802"/>
      <c r="E14" s="802"/>
      <c r="F14" s="158"/>
      <c r="G14" s="158"/>
      <c r="H14" s="803"/>
      <c r="I14" s="803"/>
      <c r="J14" s="180"/>
      <c r="K14" s="180"/>
      <c r="L14" s="180"/>
      <c r="M14" s="180"/>
      <c r="N14" s="180"/>
      <c r="O14" s="180"/>
      <c r="P14" s="180"/>
      <c r="Q14" s="180"/>
    </row>
    <row r="15" spans="2:17" ht="18" customHeight="1">
      <c r="B15" s="802"/>
      <c r="C15" s="802"/>
      <c r="D15" s="802"/>
      <c r="E15" s="802"/>
      <c r="F15" s="158"/>
      <c r="G15" s="158"/>
      <c r="H15" s="803"/>
      <c r="I15" s="803"/>
      <c r="J15" s="180"/>
      <c r="K15" s="180"/>
      <c r="L15" s="180"/>
      <c r="M15" s="180"/>
      <c r="N15" s="180"/>
      <c r="O15" s="180"/>
      <c r="P15" s="180"/>
      <c r="Q15" s="180"/>
    </row>
    <row r="16" spans="2:17" ht="18" customHeight="1">
      <c r="B16" s="802"/>
      <c r="C16" s="802"/>
      <c r="D16" s="802"/>
      <c r="E16" s="802"/>
      <c r="F16" s="158"/>
      <c r="G16" s="158"/>
      <c r="H16" s="803"/>
      <c r="I16" s="803"/>
      <c r="J16" s="180"/>
      <c r="K16" s="180"/>
      <c r="L16" s="180"/>
      <c r="M16" s="180"/>
      <c r="N16" s="180"/>
      <c r="O16" s="180"/>
      <c r="P16" s="180"/>
      <c r="Q16" s="180"/>
    </row>
    <row r="17" spans="2:17" ht="18" customHeight="1">
      <c r="B17" s="802"/>
      <c r="C17" s="802"/>
      <c r="D17" s="802"/>
      <c r="E17" s="802"/>
      <c r="F17" s="158"/>
      <c r="G17" s="158"/>
      <c r="H17" s="803"/>
      <c r="I17" s="803"/>
      <c r="J17" s="180"/>
      <c r="K17" s="180"/>
      <c r="L17" s="180"/>
      <c r="M17" s="180"/>
      <c r="N17" s="180"/>
      <c r="O17" s="180"/>
      <c r="P17" s="180"/>
      <c r="Q17" s="180"/>
    </row>
    <row r="18" spans="2:17" ht="18" customHeight="1">
      <c r="B18" s="802"/>
      <c r="C18" s="802"/>
      <c r="D18" s="802"/>
      <c r="E18" s="802"/>
      <c r="F18" s="153"/>
      <c r="G18" s="158"/>
      <c r="H18" s="803"/>
      <c r="I18" s="803"/>
      <c r="J18" s="180"/>
      <c r="K18" s="180"/>
      <c r="L18" s="180"/>
      <c r="M18" s="180"/>
      <c r="N18" s="180"/>
      <c r="O18" s="180"/>
      <c r="P18" s="180"/>
      <c r="Q18" s="180"/>
    </row>
    <row r="19" spans="2:17" ht="18" customHeight="1">
      <c r="B19" s="804" t="s">
        <v>148</v>
      </c>
      <c r="C19" s="804"/>
      <c r="D19" s="804"/>
      <c r="E19" s="804"/>
      <c r="F19" s="124"/>
      <c r="G19" s="124"/>
      <c r="H19" s="805"/>
      <c r="I19" s="805"/>
      <c r="J19" s="194"/>
      <c r="K19" s="194"/>
      <c r="L19" s="194"/>
      <c r="M19" s="194"/>
      <c r="N19" s="194"/>
      <c r="O19" s="194"/>
      <c r="P19" s="194"/>
      <c r="Q19" s="194"/>
    </row>
    <row r="20" spans="2:17" ht="18" customHeight="1">
      <c r="B20" s="802"/>
      <c r="C20" s="802"/>
      <c r="D20" s="802"/>
      <c r="E20" s="802"/>
      <c r="F20" s="179"/>
      <c r="G20" s="179"/>
      <c r="H20" s="803"/>
      <c r="I20" s="803"/>
      <c r="J20" s="180"/>
      <c r="K20" s="180"/>
      <c r="L20" s="180"/>
      <c r="M20" s="180"/>
      <c r="N20" s="180"/>
      <c r="O20" s="180"/>
      <c r="P20" s="180"/>
      <c r="Q20" s="180"/>
    </row>
    <row r="21" spans="2:17" ht="18" customHeight="1">
      <c r="B21" s="802"/>
      <c r="C21" s="802"/>
      <c r="D21" s="802"/>
      <c r="E21" s="802"/>
      <c r="F21" s="158"/>
      <c r="G21" s="158"/>
      <c r="H21" s="803"/>
      <c r="I21" s="803"/>
      <c r="J21" s="180"/>
      <c r="K21" s="180"/>
      <c r="L21" s="180"/>
      <c r="M21" s="180"/>
      <c r="N21" s="180"/>
      <c r="O21" s="180"/>
      <c r="P21" s="180"/>
      <c r="Q21" s="180"/>
    </row>
    <row r="22" spans="2:17" ht="18" customHeight="1">
      <c r="B22" s="802"/>
      <c r="C22" s="802"/>
      <c r="D22" s="802"/>
      <c r="E22" s="802"/>
      <c r="F22" s="158"/>
      <c r="G22" s="158"/>
      <c r="H22" s="803"/>
      <c r="I22" s="803"/>
      <c r="J22" s="180"/>
      <c r="K22" s="180"/>
      <c r="L22" s="180"/>
      <c r="M22" s="180"/>
      <c r="N22" s="180"/>
      <c r="O22" s="180"/>
      <c r="P22" s="180"/>
      <c r="Q22" s="180"/>
    </row>
    <row r="23" spans="2:17" ht="18" customHeight="1">
      <c r="B23" s="802"/>
      <c r="C23" s="802"/>
      <c r="D23" s="802"/>
      <c r="E23" s="802"/>
      <c r="F23" s="158"/>
      <c r="G23" s="158"/>
      <c r="H23" s="803"/>
      <c r="I23" s="803"/>
      <c r="J23" s="180"/>
      <c r="K23" s="180"/>
      <c r="L23" s="180"/>
      <c r="M23" s="180"/>
      <c r="N23" s="180"/>
      <c r="O23" s="180"/>
      <c r="P23" s="180"/>
      <c r="Q23" s="180"/>
    </row>
    <row r="24" spans="2:17" ht="18" customHeight="1">
      <c r="B24" s="802"/>
      <c r="C24" s="802"/>
      <c r="D24" s="802"/>
      <c r="E24" s="802"/>
      <c r="F24" s="158"/>
      <c r="G24" s="158"/>
      <c r="H24" s="803"/>
      <c r="I24" s="803"/>
      <c r="J24" s="180"/>
      <c r="K24" s="180"/>
      <c r="L24" s="180"/>
      <c r="M24" s="180"/>
      <c r="N24" s="180"/>
      <c r="O24" s="180"/>
      <c r="P24" s="180"/>
      <c r="Q24" s="180"/>
    </row>
    <row r="25" spans="2:17" ht="18" customHeight="1">
      <c r="B25" s="802"/>
      <c r="C25" s="802"/>
      <c r="D25" s="802"/>
      <c r="E25" s="802"/>
      <c r="F25" s="158"/>
      <c r="G25" s="158"/>
      <c r="H25" s="803"/>
      <c r="I25" s="803"/>
      <c r="J25" s="180"/>
      <c r="K25" s="180"/>
      <c r="L25" s="180"/>
      <c r="M25" s="180"/>
      <c r="N25" s="180"/>
      <c r="O25" s="180"/>
      <c r="P25" s="180"/>
      <c r="Q25" s="180"/>
    </row>
    <row r="26" spans="2:17" ht="18" customHeight="1">
      <c r="B26" s="802"/>
      <c r="C26" s="802"/>
      <c r="D26" s="802"/>
      <c r="E26" s="802"/>
      <c r="F26" s="158"/>
      <c r="G26" s="158"/>
      <c r="H26" s="803"/>
      <c r="I26" s="803"/>
      <c r="J26" s="180"/>
      <c r="K26" s="180"/>
      <c r="L26" s="180"/>
      <c r="M26" s="180"/>
      <c r="N26" s="180"/>
      <c r="O26" s="180"/>
      <c r="P26" s="180"/>
      <c r="Q26" s="180"/>
    </row>
    <row r="27" spans="2:17" ht="18" customHeight="1">
      <c r="B27" s="802"/>
      <c r="C27" s="802"/>
      <c r="D27" s="802"/>
      <c r="E27" s="802"/>
      <c r="F27" s="158"/>
      <c r="G27" s="158"/>
      <c r="H27" s="803"/>
      <c r="I27" s="803"/>
      <c r="J27" s="180"/>
      <c r="K27" s="180"/>
      <c r="L27" s="180"/>
      <c r="M27" s="180"/>
      <c r="N27" s="180"/>
      <c r="O27" s="180"/>
      <c r="P27" s="180"/>
      <c r="Q27" s="180"/>
    </row>
    <row r="28" spans="2:17" ht="18" customHeight="1">
      <c r="B28" s="802"/>
      <c r="C28" s="802"/>
      <c r="D28" s="802"/>
      <c r="E28" s="802"/>
      <c r="F28" s="158"/>
      <c r="G28" s="158"/>
      <c r="H28" s="803"/>
      <c r="I28" s="803"/>
      <c r="J28" s="180"/>
      <c r="K28" s="180"/>
      <c r="L28" s="180"/>
      <c r="M28" s="180"/>
      <c r="N28" s="180"/>
      <c r="O28" s="180"/>
      <c r="P28" s="180"/>
      <c r="Q28" s="180"/>
    </row>
    <row r="29" spans="2:17" ht="18" customHeight="1">
      <c r="B29" s="804" t="s">
        <v>201</v>
      </c>
      <c r="C29" s="804"/>
      <c r="D29" s="804"/>
      <c r="E29" s="804"/>
      <c r="F29" s="124"/>
      <c r="G29" s="124"/>
      <c r="H29" s="805"/>
      <c r="I29" s="805"/>
      <c r="J29" s="194"/>
      <c r="K29" s="194"/>
      <c r="L29" s="194"/>
      <c r="M29" s="194"/>
      <c r="N29" s="194"/>
      <c r="O29" s="194"/>
      <c r="P29" s="194"/>
      <c r="Q29" s="194"/>
    </row>
    <row r="30" spans="2:17" ht="18" customHeight="1">
      <c r="B30" s="802"/>
      <c r="C30" s="802"/>
      <c r="D30" s="802"/>
      <c r="E30" s="802"/>
      <c r="F30" s="158"/>
      <c r="G30" s="158"/>
      <c r="H30" s="803"/>
      <c r="I30" s="803"/>
      <c r="J30" s="180"/>
      <c r="K30" s="180"/>
      <c r="L30" s="180"/>
      <c r="M30" s="180"/>
      <c r="N30" s="180"/>
      <c r="O30" s="180"/>
      <c r="P30" s="180"/>
      <c r="Q30" s="180"/>
    </row>
    <row r="31" spans="2:17" ht="35.1" customHeight="1">
      <c r="B31" s="808"/>
      <c r="C31" s="808"/>
      <c r="D31" s="808"/>
      <c r="E31" s="808"/>
      <c r="F31" s="179"/>
      <c r="G31" s="179"/>
      <c r="H31" s="803"/>
      <c r="I31" s="803"/>
      <c r="J31" s="180"/>
      <c r="K31" s="180"/>
      <c r="L31" s="180"/>
      <c r="M31" s="180"/>
      <c r="N31" s="180"/>
      <c r="O31" s="180"/>
      <c r="P31" s="180"/>
      <c r="Q31" s="180"/>
    </row>
    <row r="32" spans="2:17" ht="18" customHeight="1">
      <c r="B32" s="808"/>
      <c r="C32" s="808"/>
      <c r="D32" s="808"/>
      <c r="E32" s="808"/>
      <c r="F32" s="158"/>
      <c r="G32" s="158"/>
      <c r="H32" s="803"/>
      <c r="I32" s="803"/>
      <c r="J32" s="180"/>
      <c r="K32" s="180"/>
      <c r="L32" s="180"/>
      <c r="M32" s="180"/>
      <c r="N32" s="180"/>
      <c r="O32" s="180"/>
      <c r="P32" s="180"/>
      <c r="Q32" s="180"/>
    </row>
    <row r="33" spans="2:17" ht="35.1" customHeight="1">
      <c r="B33" s="808"/>
      <c r="C33" s="808"/>
      <c r="D33" s="808"/>
      <c r="E33" s="808"/>
      <c r="F33" s="179"/>
      <c r="G33" s="179"/>
      <c r="H33" s="803"/>
      <c r="I33" s="803"/>
      <c r="J33" s="180"/>
      <c r="K33" s="180"/>
      <c r="L33" s="180"/>
      <c r="M33" s="180"/>
      <c r="N33" s="180"/>
      <c r="O33" s="180"/>
      <c r="P33" s="180"/>
      <c r="Q33" s="180"/>
    </row>
    <row r="34" spans="2:17" ht="18" customHeight="1">
      <c r="B34" s="808"/>
      <c r="C34" s="808"/>
      <c r="D34" s="808"/>
      <c r="E34" s="808"/>
      <c r="F34" s="158"/>
      <c r="G34" s="158"/>
      <c r="H34" s="803"/>
      <c r="I34" s="803"/>
      <c r="J34" s="180"/>
      <c r="K34" s="180"/>
      <c r="L34" s="180"/>
      <c r="M34" s="180"/>
      <c r="N34" s="180"/>
      <c r="O34" s="180"/>
      <c r="P34" s="180"/>
      <c r="Q34" s="180"/>
    </row>
    <row r="35" spans="2:17" ht="35.1" customHeight="1">
      <c r="B35" s="808"/>
      <c r="C35" s="808"/>
      <c r="D35" s="808"/>
      <c r="E35" s="808"/>
      <c r="F35" s="179"/>
      <c r="G35" s="179"/>
      <c r="H35" s="803"/>
      <c r="I35" s="803"/>
      <c r="J35" s="180"/>
      <c r="K35" s="180"/>
      <c r="L35" s="180"/>
      <c r="M35" s="180"/>
      <c r="N35" s="180"/>
      <c r="O35" s="180"/>
      <c r="P35" s="180"/>
      <c r="Q35" s="180"/>
    </row>
    <row r="36" spans="2:17" ht="18" customHeight="1">
      <c r="B36" s="808"/>
      <c r="C36" s="808"/>
      <c r="D36" s="808"/>
      <c r="E36" s="808"/>
      <c r="F36" s="158"/>
      <c r="G36" s="158"/>
      <c r="H36" s="803"/>
      <c r="I36" s="803"/>
      <c r="J36" s="180"/>
      <c r="K36" s="180"/>
      <c r="L36" s="180"/>
      <c r="M36" s="180"/>
      <c r="N36" s="180"/>
      <c r="O36" s="180"/>
      <c r="P36" s="180"/>
      <c r="Q36" s="180"/>
    </row>
    <row r="37" spans="2:17" ht="35.1" customHeight="1">
      <c r="B37" s="808"/>
      <c r="C37" s="808"/>
      <c r="D37" s="808"/>
      <c r="E37" s="808"/>
      <c r="F37" s="179"/>
      <c r="G37" s="179"/>
      <c r="H37" s="803"/>
      <c r="I37" s="803"/>
      <c r="J37" s="180"/>
      <c r="K37" s="180"/>
      <c r="L37" s="180"/>
      <c r="M37" s="180"/>
      <c r="N37" s="180"/>
      <c r="O37" s="180"/>
      <c r="P37" s="180"/>
      <c r="Q37" s="180"/>
    </row>
    <row r="38" spans="2:17" ht="18" customHeight="1">
      <c r="B38" s="802"/>
      <c r="C38" s="802"/>
      <c r="D38" s="802"/>
      <c r="E38" s="802"/>
      <c r="F38" s="158"/>
      <c r="G38" s="158"/>
      <c r="H38" s="803"/>
      <c r="I38" s="803"/>
      <c r="J38" s="180"/>
      <c r="K38" s="180"/>
      <c r="L38" s="180"/>
      <c r="M38" s="180"/>
      <c r="N38" s="180"/>
      <c r="O38" s="180"/>
      <c r="P38" s="180"/>
      <c r="Q38" s="180"/>
    </row>
    <row r="39" spans="2:17" ht="18" customHeight="1">
      <c r="B39" s="118"/>
      <c r="C39" s="118"/>
      <c r="D39" s="118"/>
      <c r="E39" s="119"/>
      <c r="F39" s="118"/>
      <c r="G39" s="118"/>
      <c r="H39" s="118"/>
      <c r="I39" s="118"/>
      <c r="J39" s="118"/>
      <c r="K39" s="118"/>
      <c r="L39" s="118"/>
      <c r="M39" s="118"/>
    </row>
    <row r="40" spans="2:17" s="13" customFormat="1" ht="18" customHeight="1">
      <c r="B40" s="21" t="s">
        <v>202</v>
      </c>
      <c r="C40" s="22"/>
      <c r="D40" s="23"/>
      <c r="E40" s="23"/>
      <c r="F40" s="23"/>
      <c r="G40" s="79"/>
      <c r="H40" s="23"/>
      <c r="I40" s="23"/>
      <c r="J40" s="23"/>
      <c r="K40" s="23"/>
      <c r="L40" s="24"/>
      <c r="M40" s="24"/>
      <c r="N40" s="24"/>
      <c r="O40" s="24"/>
      <c r="P40" s="24"/>
      <c r="Q40" s="24"/>
    </row>
    <row r="41" spans="2:17" ht="3.95" customHeight="1">
      <c r="B41" s="118"/>
      <c r="C41" s="118"/>
      <c r="D41" s="118"/>
      <c r="E41" s="119"/>
      <c r="F41" s="118"/>
      <c r="G41" s="118"/>
      <c r="H41" s="118"/>
      <c r="I41" s="118"/>
      <c r="J41" s="118"/>
      <c r="K41" s="118"/>
      <c r="L41" s="118"/>
      <c r="M41" s="118"/>
    </row>
    <row r="42" spans="2:17" ht="24.95" customHeight="1">
      <c r="B42" s="812" t="s">
        <v>203</v>
      </c>
      <c r="C42" s="812"/>
      <c r="D42" s="812"/>
      <c r="E42" s="812"/>
      <c r="F42" s="812"/>
      <c r="G42" s="118"/>
      <c r="I42" s="118"/>
      <c r="J42" s="118"/>
      <c r="K42" s="118"/>
      <c r="L42" s="118"/>
      <c r="M42" s="118"/>
    </row>
    <row r="43" spans="2:17" ht="3.95" customHeight="1">
      <c r="G43" s="118"/>
    </row>
    <row r="44" spans="2:17" ht="24.95" customHeight="1">
      <c r="B44" s="809" t="s">
        <v>205</v>
      </c>
      <c r="C44" s="810"/>
      <c r="D44" s="810"/>
      <c r="E44" s="810"/>
      <c r="F44" s="811"/>
      <c r="G44" s="118"/>
      <c r="I44" s="118"/>
      <c r="J44" s="118"/>
      <c r="K44" s="118"/>
      <c r="L44" s="118"/>
      <c r="M44" s="118"/>
    </row>
    <row r="45" spans="2:17" ht="18" customHeight="1">
      <c r="B45" s="118"/>
      <c r="C45" s="118"/>
      <c r="D45" s="118"/>
      <c r="E45" s="119"/>
      <c r="F45" s="118"/>
      <c r="G45" s="118"/>
      <c r="H45" s="118"/>
      <c r="I45" s="118"/>
      <c r="J45" s="118"/>
      <c r="K45" s="118"/>
      <c r="L45" s="118"/>
      <c r="M45" s="118"/>
    </row>
    <row r="46" spans="2:17" s="13" customFormat="1" ht="18" customHeight="1">
      <c r="B46" s="21" t="s">
        <v>210</v>
      </c>
      <c r="C46" s="22"/>
      <c r="D46" s="23"/>
      <c r="E46" s="23"/>
      <c r="F46" s="23"/>
      <c r="G46" s="79"/>
      <c r="H46" s="23"/>
      <c r="I46" s="23"/>
      <c r="J46" s="23"/>
      <c r="K46" s="23"/>
      <c r="L46" s="24"/>
      <c r="M46" s="24"/>
      <c r="N46" s="24"/>
      <c r="O46" s="24"/>
      <c r="P46" s="24"/>
      <c r="Q46" s="24"/>
    </row>
    <row r="47" spans="2:17" ht="3.95" customHeight="1">
      <c r="B47" s="118"/>
      <c r="C47" s="85"/>
      <c r="D47" s="85"/>
      <c r="E47" s="119"/>
      <c r="F47" s="85"/>
      <c r="G47" s="85"/>
      <c r="H47" s="118"/>
      <c r="I47" s="118"/>
      <c r="J47" s="118"/>
      <c r="K47" s="118"/>
      <c r="L47" s="118"/>
      <c r="M47" s="118"/>
    </row>
    <row r="48" spans="2:17" ht="18" customHeight="1">
      <c r="B48" s="819" t="s">
        <v>4319</v>
      </c>
      <c r="C48" s="819"/>
      <c r="D48" s="819"/>
      <c r="E48" s="819"/>
      <c r="F48" s="819"/>
      <c r="G48" s="819"/>
      <c r="H48" s="819"/>
      <c r="I48" s="819"/>
      <c r="J48" s="819"/>
      <c r="L48" s="118"/>
      <c r="M48" s="118"/>
    </row>
    <row r="49" spans="2:17" ht="18" customHeight="1">
      <c r="L49" s="118"/>
      <c r="M49" s="118"/>
    </row>
    <row r="50" spans="2:17" ht="18" customHeight="1">
      <c r="B50" s="812" t="s">
        <v>4324</v>
      </c>
      <c r="C50" s="812"/>
      <c r="D50" s="812"/>
      <c r="E50" s="812"/>
      <c r="F50" s="812"/>
      <c r="G50" s="87" t="s">
        <v>204</v>
      </c>
      <c r="H50" s="807" t="s">
        <v>211</v>
      </c>
      <c r="I50" s="807"/>
      <c r="J50" s="807"/>
      <c r="K50" s="118"/>
      <c r="L50" s="118"/>
      <c r="M50" s="118"/>
    </row>
    <row r="51" spans="2:17" s="396" customFormat="1" ht="42" customHeight="1">
      <c r="B51" s="813" t="s">
        <v>4320</v>
      </c>
      <c r="C51" s="814"/>
      <c r="D51" s="814"/>
      <c r="E51" s="814"/>
      <c r="F51" s="815"/>
      <c r="G51" s="181"/>
      <c r="H51" s="820"/>
      <c r="I51" s="821"/>
      <c r="J51" s="822"/>
      <c r="L51" s="118"/>
      <c r="M51" s="118"/>
      <c r="N51" s="2"/>
      <c r="O51" s="2"/>
    </row>
    <row r="52" spans="2:17" s="396" customFormat="1" ht="42" customHeight="1">
      <c r="B52" s="813" t="s">
        <v>212</v>
      </c>
      <c r="C52" s="814"/>
      <c r="D52" s="814"/>
      <c r="E52" s="814"/>
      <c r="F52" s="815"/>
      <c r="G52" s="181"/>
      <c r="H52" s="816"/>
      <c r="I52" s="817"/>
      <c r="J52" s="818"/>
      <c r="L52" s="118"/>
      <c r="M52" s="118"/>
      <c r="N52" s="2"/>
      <c r="O52" s="2"/>
    </row>
    <row r="53" spans="2:17" s="396" customFormat="1" ht="42" customHeight="1">
      <c r="B53" s="813" t="s">
        <v>213</v>
      </c>
      <c r="C53" s="814"/>
      <c r="D53" s="814"/>
      <c r="E53" s="814"/>
      <c r="F53" s="815"/>
      <c r="G53" s="181"/>
      <c r="H53" s="816"/>
      <c r="I53" s="817"/>
      <c r="J53" s="818"/>
      <c r="L53" s="118"/>
      <c r="M53" s="118"/>
      <c r="N53" s="2"/>
      <c r="O53" s="2"/>
    </row>
    <row r="54" spans="2:17" s="396" customFormat="1" ht="42" customHeight="1">
      <c r="B54" s="813" t="s">
        <v>4321</v>
      </c>
      <c r="C54" s="814"/>
      <c r="D54" s="814"/>
      <c r="E54" s="814"/>
      <c r="F54" s="815"/>
      <c r="G54" s="181"/>
      <c r="H54" s="816"/>
      <c r="I54" s="817"/>
      <c r="J54" s="818"/>
      <c r="L54" s="118"/>
      <c r="M54" s="118"/>
      <c r="N54" s="2"/>
      <c r="O54" s="2"/>
    </row>
    <row r="55" spans="2:17" ht="18" customHeight="1">
      <c r="B55" s="118"/>
      <c r="C55" s="118"/>
      <c r="D55" s="118"/>
      <c r="E55" s="119"/>
      <c r="F55" s="118"/>
      <c r="G55" s="118"/>
      <c r="H55" s="118"/>
      <c r="I55" s="118"/>
      <c r="J55" s="118"/>
      <c r="K55" s="118"/>
      <c r="L55" s="118"/>
      <c r="M55" s="118"/>
    </row>
    <row r="56" spans="2:17" s="13" customFormat="1" ht="18" customHeight="1">
      <c r="B56" s="21" t="s">
        <v>4323</v>
      </c>
      <c r="C56" s="22"/>
      <c r="D56" s="23"/>
      <c r="E56" s="23"/>
      <c r="F56" s="23"/>
      <c r="G56" s="79"/>
      <c r="H56" s="23"/>
      <c r="I56" s="23"/>
      <c r="J56" s="23"/>
      <c r="K56" s="23"/>
      <c r="L56" s="24"/>
      <c r="M56" s="24"/>
      <c r="N56" s="24"/>
      <c r="O56" s="24"/>
      <c r="P56" s="24"/>
      <c r="Q56" s="24"/>
    </row>
    <row r="57" spans="2:17" ht="3.95" customHeight="1"/>
    <row r="58" spans="2:17" ht="24.95" customHeight="1">
      <c r="B58" s="826" t="s">
        <v>4322</v>
      </c>
      <c r="C58" s="826"/>
      <c r="D58" s="826"/>
      <c r="E58" s="826"/>
      <c r="F58" s="826"/>
    </row>
    <row r="59" spans="2:17" ht="18" customHeight="1">
      <c r="B59" s="118"/>
      <c r="C59" s="118"/>
      <c r="D59" s="118"/>
      <c r="E59" s="119"/>
      <c r="F59" s="118"/>
      <c r="G59" s="118"/>
      <c r="H59" s="118"/>
      <c r="I59" s="118"/>
      <c r="J59" s="118"/>
      <c r="K59" s="118"/>
      <c r="L59" s="118"/>
      <c r="M59" s="118"/>
    </row>
    <row r="60" spans="2:17" s="13" customFormat="1" ht="18" customHeight="1">
      <c r="B60" s="21" t="s">
        <v>214</v>
      </c>
      <c r="C60" s="22"/>
      <c r="D60" s="23"/>
      <c r="E60" s="23"/>
      <c r="F60" s="23"/>
      <c r="G60" s="79"/>
      <c r="H60" s="23"/>
      <c r="I60" s="23"/>
      <c r="J60" s="23"/>
      <c r="K60" s="23"/>
      <c r="L60" s="24"/>
      <c r="M60" s="24"/>
      <c r="N60" s="24"/>
      <c r="O60" s="24"/>
      <c r="P60" s="24"/>
      <c r="Q60" s="24"/>
    </row>
    <row r="61" spans="2:17" ht="3.95" customHeight="1">
      <c r="B61" s="118"/>
      <c r="C61" s="118"/>
      <c r="D61" s="118"/>
      <c r="E61" s="118"/>
      <c r="F61" s="118"/>
      <c r="G61" s="118"/>
      <c r="H61" s="118"/>
      <c r="I61" s="118"/>
      <c r="J61" s="118"/>
      <c r="K61" s="118"/>
      <c r="L61" s="118"/>
      <c r="M61" s="118"/>
    </row>
    <row r="62" spans="2:17" ht="24.95" customHeight="1">
      <c r="B62" s="823" t="s">
        <v>215</v>
      </c>
      <c r="C62" s="824" t="s">
        <v>204</v>
      </c>
      <c r="D62" s="824"/>
      <c r="E62" s="824"/>
      <c r="F62" s="825"/>
      <c r="G62" s="118"/>
      <c r="H62" s="118"/>
      <c r="I62" s="118"/>
      <c r="J62" s="118"/>
      <c r="K62" s="118"/>
      <c r="L62" s="118"/>
      <c r="M62" s="118"/>
    </row>
    <row r="63" spans="2:17" ht="3.95" customHeight="1">
      <c r="G63" s="118"/>
    </row>
    <row r="64" spans="2:17" ht="24.95" customHeight="1">
      <c r="B64" s="809"/>
      <c r="C64" s="810"/>
      <c r="D64" s="810"/>
      <c r="E64" s="810"/>
      <c r="F64" s="811"/>
      <c r="G64" s="118"/>
      <c r="H64" s="118"/>
      <c r="I64" s="118"/>
      <c r="J64" s="118"/>
      <c r="K64" s="118"/>
      <c r="L64" s="118"/>
      <c r="M64" s="118"/>
    </row>
    <row r="65" spans="2:13" ht="18" customHeight="1">
      <c r="B65" s="118"/>
      <c r="C65" s="118"/>
      <c r="D65" s="118"/>
      <c r="E65" s="119"/>
      <c r="F65" s="118"/>
      <c r="G65" s="118"/>
      <c r="H65" s="118"/>
      <c r="I65" s="118"/>
      <c r="J65" s="118"/>
      <c r="K65" s="118"/>
      <c r="L65" s="118"/>
      <c r="M65" s="118"/>
    </row>
    <row r="66" spans="2:13" ht="18" customHeight="1">
      <c r="B66" s="118"/>
      <c r="C66" s="118"/>
      <c r="D66" s="118"/>
      <c r="E66" s="119"/>
      <c r="F66" s="118"/>
      <c r="G66" s="118"/>
      <c r="H66" s="118"/>
      <c r="I66" s="118"/>
      <c r="J66" s="118"/>
      <c r="K66" s="118"/>
      <c r="L66" s="118"/>
      <c r="M66" s="118"/>
    </row>
    <row r="73" spans="2:13" ht="18" customHeight="1">
      <c r="B73" s="118"/>
      <c r="C73" s="118"/>
      <c r="D73" s="118"/>
      <c r="E73" s="119"/>
      <c r="F73" s="118"/>
      <c r="G73" s="118"/>
      <c r="H73" s="118"/>
      <c r="I73" s="118"/>
      <c r="J73" s="118"/>
      <c r="K73" s="118"/>
      <c r="L73" s="118"/>
      <c r="M73" s="118"/>
    </row>
    <row r="74" spans="2:13" ht="18" customHeight="1">
      <c r="B74" s="118"/>
      <c r="C74" s="118"/>
      <c r="D74" s="118"/>
      <c r="E74" s="119"/>
      <c r="F74" s="125"/>
      <c r="G74" s="125"/>
      <c r="H74" s="125"/>
      <c r="I74" s="125"/>
      <c r="J74" s="118"/>
      <c r="K74" s="118"/>
      <c r="L74" s="118"/>
      <c r="M74" s="118"/>
    </row>
    <row r="78" spans="2:13" ht="18" customHeight="1">
      <c r="B78" s="118"/>
      <c r="C78" s="125"/>
      <c r="D78" s="125"/>
      <c r="E78" s="119"/>
      <c r="F78" s="125"/>
      <c r="G78" s="125"/>
      <c r="H78" s="125"/>
      <c r="I78" s="125"/>
      <c r="J78" s="118"/>
      <c r="K78" s="118"/>
      <c r="L78" s="118"/>
      <c r="M78" s="118"/>
    </row>
  </sheetData>
  <sheetProtection sheet="1" objects="1" scenarios="1"/>
  <mergeCells count="80">
    <mergeCell ref="B54:F54"/>
    <mergeCell ref="H54:J54"/>
    <mergeCell ref="B62:F62"/>
    <mergeCell ref="B64:F64"/>
    <mergeCell ref="B58:F58"/>
    <mergeCell ref="B38:E38"/>
    <mergeCell ref="H38:I38"/>
    <mergeCell ref="B44:F44"/>
    <mergeCell ref="B42:F42"/>
    <mergeCell ref="B53:F53"/>
    <mergeCell ref="H53:J53"/>
    <mergeCell ref="B48:J48"/>
    <mergeCell ref="H50:J50"/>
    <mergeCell ref="B51:F51"/>
    <mergeCell ref="H51:J51"/>
    <mergeCell ref="B52:F52"/>
    <mergeCell ref="H52:J52"/>
    <mergeCell ref="B50:F50"/>
    <mergeCell ref="B32:E32"/>
    <mergeCell ref="H32:I32"/>
    <mergeCell ref="B36:E36"/>
    <mergeCell ref="H36:I36"/>
    <mergeCell ref="B37:E37"/>
    <mergeCell ref="H37:I37"/>
    <mergeCell ref="B33:E33"/>
    <mergeCell ref="H33:I33"/>
    <mergeCell ref="B34:E34"/>
    <mergeCell ref="H34:I34"/>
    <mergeCell ref="B35:E35"/>
    <mergeCell ref="H35:I35"/>
    <mergeCell ref="B29:E29"/>
    <mergeCell ref="H29:I29"/>
    <mergeCell ref="B30:E30"/>
    <mergeCell ref="H30:I30"/>
    <mergeCell ref="B31:E31"/>
    <mergeCell ref="H31:I31"/>
    <mergeCell ref="B26:E26"/>
    <mergeCell ref="H26:I26"/>
    <mergeCell ref="B27:E27"/>
    <mergeCell ref="H27:I27"/>
    <mergeCell ref="B28:E28"/>
    <mergeCell ref="H28:I28"/>
    <mergeCell ref="B20:E20"/>
    <mergeCell ref="H20:I20"/>
    <mergeCell ref="B21:E21"/>
    <mergeCell ref="H21:I21"/>
    <mergeCell ref="B22:E22"/>
    <mergeCell ref="H22:I22"/>
    <mergeCell ref="B6:E7"/>
    <mergeCell ref="F6:G6"/>
    <mergeCell ref="H6:I7"/>
    <mergeCell ref="B9:E9"/>
    <mergeCell ref="H9:I9"/>
    <mergeCell ref="H12:I12"/>
    <mergeCell ref="B16:E16"/>
    <mergeCell ref="H16:I16"/>
    <mergeCell ref="B17:E17"/>
    <mergeCell ref="H17:I17"/>
    <mergeCell ref="B18:E18"/>
    <mergeCell ref="H18:I18"/>
    <mergeCell ref="B19:E19"/>
    <mergeCell ref="H19:I19"/>
    <mergeCell ref="J6:Q6"/>
    <mergeCell ref="B10:E10"/>
    <mergeCell ref="H10:I10"/>
    <mergeCell ref="B11:E11"/>
    <mergeCell ref="H11:I11"/>
    <mergeCell ref="B13:E13"/>
    <mergeCell ref="H13:I13"/>
    <mergeCell ref="B14:E14"/>
    <mergeCell ref="H14:I14"/>
    <mergeCell ref="B15:E15"/>
    <mergeCell ref="H15:I15"/>
    <mergeCell ref="B12:E12"/>
    <mergeCell ref="B23:E23"/>
    <mergeCell ref="H23:I23"/>
    <mergeCell ref="B24:E24"/>
    <mergeCell ref="H24:I24"/>
    <mergeCell ref="B25:E25"/>
    <mergeCell ref="H25:I25"/>
  </mergeCells>
  <phoneticPr fontId="17" type="noConversion"/>
  <conditionalFormatting sqref="A2:XFD2">
    <cfRule type="cellIs" dxfId="20" priority="12" operator="equal">
      <formula>0</formula>
    </cfRule>
  </conditionalFormatting>
  <conditionalFormatting sqref="F18">
    <cfRule type="cellIs" dxfId="19" priority="11" operator="equal">
      <formula>0</formula>
    </cfRule>
  </conditionalFormatting>
  <conditionalFormatting sqref="A4:XFD4">
    <cfRule type="cellIs" dxfId="18" priority="10" operator="equal">
      <formula>0</formula>
    </cfRule>
  </conditionalFormatting>
  <conditionalFormatting sqref="A4:XFD4">
    <cfRule type="cellIs" dxfId="17" priority="9" operator="equal">
      <formula>0</formula>
    </cfRule>
  </conditionalFormatting>
  <conditionalFormatting sqref="A40:XFD40">
    <cfRule type="cellIs" dxfId="16" priority="8" operator="equal">
      <formula>0</formula>
    </cfRule>
  </conditionalFormatting>
  <conditionalFormatting sqref="A40:XFD40">
    <cfRule type="cellIs" dxfId="15" priority="7" operator="equal">
      <formula>0</formula>
    </cfRule>
  </conditionalFormatting>
  <conditionalFormatting sqref="A46:XFD46">
    <cfRule type="cellIs" dxfId="14" priority="6" operator="equal">
      <formula>0</formula>
    </cfRule>
  </conditionalFormatting>
  <conditionalFormatting sqref="A46:XFD46">
    <cfRule type="cellIs" dxfId="13" priority="5" operator="equal">
      <formula>0</formula>
    </cfRule>
  </conditionalFormatting>
  <conditionalFormatting sqref="A56:XFD56">
    <cfRule type="cellIs" dxfId="12" priority="4" operator="equal">
      <formula>0</formula>
    </cfRule>
  </conditionalFormatting>
  <conditionalFormatting sqref="A56:XFD56">
    <cfRule type="cellIs" dxfId="11" priority="3" operator="equal">
      <formula>0</formula>
    </cfRule>
  </conditionalFormatting>
  <conditionalFormatting sqref="A60:XFD60">
    <cfRule type="cellIs" dxfId="10" priority="2" operator="equal">
      <formula>0</formula>
    </cfRule>
  </conditionalFormatting>
  <conditionalFormatting sqref="A60:XFD60">
    <cfRule type="cellIs" dxfId="9" priority="1" operator="equal">
      <formula>0</formula>
    </cfRule>
  </conditionalFormatting>
  <dataValidations count="2">
    <dataValidation type="list" allowBlank="1" showInputMessage="1" showErrorMessage="1" sqref="B44:F44" xr:uid="{00000000-0002-0000-1100-000000000000}">
      <formula1>TipoEjecucion</formula1>
    </dataValidation>
    <dataValidation type="list" allowBlank="1" showInputMessage="1" showErrorMessage="1" sqref="B64:F64" xr:uid="{00000000-0002-0000-1100-000001000000}">
      <formula1>FuenteFinanciamiento</formula1>
    </dataValidation>
  </dataValidations>
  <pageMargins left="0.7" right="0.7" top="0.75" bottom="0.75" header="0.3" footer="0.3"/>
  <pageSetup paperSize="9" scale="55"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5"/>
  <dimension ref="B2:Q31"/>
  <sheetViews>
    <sheetView topLeftCell="A6" zoomScale="130" zoomScaleNormal="130" workbookViewId="0">
      <selection activeCell="B13" sqref="B13:I15"/>
    </sheetView>
  </sheetViews>
  <sheetFormatPr baseColWidth="10" defaultColWidth="9.33203125" defaultRowHeight="18" customHeight="1"/>
  <cols>
    <col min="1" max="8" width="9.33203125" style="2"/>
    <col min="9" max="9" width="18.109375" style="2" customWidth="1"/>
    <col min="10" max="16384" width="9.33203125" style="2"/>
  </cols>
  <sheetData>
    <row r="2" spans="2:17" s="10" customFormat="1" ht="18" customHeight="1">
      <c r="B2" s="10" t="s">
        <v>4449</v>
      </c>
    </row>
    <row r="3" spans="2:17" ht="18" customHeight="1">
      <c r="J3" s="10"/>
      <c r="K3" s="10"/>
      <c r="L3" s="10"/>
      <c r="M3" s="10"/>
      <c r="N3" s="10"/>
      <c r="O3" s="10"/>
      <c r="P3" s="10"/>
      <c r="Q3" s="10"/>
    </row>
    <row r="4" spans="2:17" s="13" customFormat="1" ht="18" customHeight="1">
      <c r="B4" s="21" t="s">
        <v>221</v>
      </c>
      <c r="C4" s="22"/>
      <c r="D4" s="23"/>
      <c r="E4" s="23"/>
      <c r="F4" s="23"/>
      <c r="G4" s="79"/>
      <c r="H4" s="23"/>
      <c r="I4" s="23"/>
      <c r="J4" s="10"/>
      <c r="K4" s="10"/>
      <c r="L4" s="10"/>
      <c r="M4" s="10"/>
      <c r="N4" s="10"/>
      <c r="O4" s="10"/>
      <c r="P4" s="10"/>
      <c r="Q4" s="10"/>
    </row>
    <row r="5" spans="2:17" ht="18" customHeight="1">
      <c r="B5" s="118"/>
      <c r="C5" s="118"/>
      <c r="D5" s="118"/>
      <c r="E5" s="119"/>
      <c r="F5" s="118"/>
      <c r="G5" s="118"/>
      <c r="H5" s="118"/>
      <c r="I5" s="118"/>
      <c r="J5" s="10"/>
      <c r="K5" s="10"/>
      <c r="L5" s="10"/>
      <c r="M5" s="10"/>
      <c r="N5" s="10"/>
      <c r="O5" s="10"/>
      <c r="P5" s="10"/>
      <c r="Q5" s="10"/>
    </row>
    <row r="6" spans="2:17" ht="18" customHeight="1">
      <c r="B6" s="807" t="s">
        <v>222</v>
      </c>
      <c r="C6" s="807"/>
      <c r="D6" s="807"/>
      <c r="E6" s="807"/>
      <c r="F6" s="773" t="s">
        <v>223</v>
      </c>
      <c r="G6" s="774"/>
      <c r="H6" s="775"/>
      <c r="I6" s="87" t="s">
        <v>224</v>
      </c>
    </row>
    <row r="7" spans="2:17" ht="18" customHeight="1">
      <c r="B7" s="118"/>
      <c r="C7" s="118"/>
      <c r="D7" s="118"/>
      <c r="E7" s="119"/>
      <c r="F7" s="118"/>
      <c r="H7" s="118"/>
      <c r="I7" s="118"/>
      <c r="J7" s="118"/>
      <c r="K7" s="118"/>
      <c r="L7" s="118"/>
      <c r="M7" s="118"/>
    </row>
    <row r="8" spans="2:17" ht="18" customHeight="1">
      <c r="B8" s="827" t="s">
        <v>225</v>
      </c>
      <c r="C8" s="828"/>
      <c r="D8" s="828"/>
      <c r="E8" s="829"/>
      <c r="F8" s="830"/>
      <c r="G8" s="831"/>
      <c r="H8" s="832"/>
      <c r="I8" s="397"/>
    </row>
    <row r="9" spans="2:17" ht="62.1" customHeight="1">
      <c r="B9" s="833"/>
      <c r="C9" s="834"/>
      <c r="D9" s="834"/>
      <c r="E9" s="835"/>
      <c r="F9" s="836"/>
      <c r="G9" s="837"/>
      <c r="H9" s="838"/>
      <c r="I9" s="188"/>
    </row>
    <row r="10" spans="2:17" ht="62.1" customHeight="1">
      <c r="B10" s="833"/>
      <c r="C10" s="834"/>
      <c r="D10" s="834"/>
      <c r="E10" s="835"/>
      <c r="F10" s="836"/>
      <c r="G10" s="837"/>
      <c r="H10" s="838"/>
      <c r="I10" s="188"/>
    </row>
    <row r="11" spans="2:17" ht="62.1" customHeight="1">
      <c r="B11" s="182"/>
      <c r="C11" s="183"/>
      <c r="D11" s="183"/>
      <c r="E11" s="184"/>
      <c r="F11" s="185"/>
      <c r="G11" s="186"/>
      <c r="H11" s="187"/>
      <c r="I11" s="188"/>
    </row>
    <row r="12" spans="2:17" ht="18" customHeight="1">
      <c r="B12" s="839" t="s">
        <v>226</v>
      </c>
      <c r="C12" s="840"/>
      <c r="D12" s="840"/>
      <c r="E12" s="841"/>
      <c r="F12" s="842"/>
      <c r="G12" s="843"/>
      <c r="H12" s="844"/>
      <c r="I12" s="398"/>
    </row>
    <row r="13" spans="2:17" ht="62.1" customHeight="1">
      <c r="B13" s="833"/>
      <c r="C13" s="834"/>
      <c r="D13" s="834"/>
      <c r="E13" s="835"/>
      <c r="F13" s="836"/>
      <c r="G13" s="837"/>
      <c r="H13" s="838"/>
      <c r="I13" s="188"/>
    </row>
    <row r="14" spans="2:17" ht="62.1" customHeight="1">
      <c r="B14" s="833"/>
      <c r="C14" s="834"/>
      <c r="D14" s="834"/>
      <c r="E14" s="835"/>
      <c r="F14" s="836"/>
      <c r="G14" s="837"/>
      <c r="H14" s="838"/>
      <c r="I14" s="188"/>
    </row>
    <row r="15" spans="2:17" ht="62.1" customHeight="1">
      <c r="B15" s="833"/>
      <c r="C15" s="834"/>
      <c r="D15" s="834"/>
      <c r="E15" s="835"/>
      <c r="F15" s="836"/>
      <c r="G15" s="837"/>
      <c r="H15" s="838"/>
      <c r="I15" s="188"/>
      <c r="J15" s="118"/>
      <c r="K15" s="118"/>
      <c r="L15" s="118"/>
      <c r="M15" s="118"/>
    </row>
    <row r="16" spans="2:17" ht="18" customHeight="1">
      <c r="B16" s="2" t="s">
        <v>4325</v>
      </c>
    </row>
    <row r="26" spans="2:13" ht="18" customHeight="1">
      <c r="B26" s="118"/>
      <c r="C26" s="118"/>
      <c r="D26" s="118"/>
      <c r="E26" s="119"/>
      <c r="F26" s="118"/>
      <c r="G26" s="118"/>
      <c r="H26" s="118"/>
      <c r="I26" s="118"/>
      <c r="J26" s="118"/>
      <c r="K26" s="118"/>
      <c r="L26" s="118"/>
      <c r="M26" s="118"/>
    </row>
    <row r="27" spans="2:13" ht="18" customHeight="1">
      <c r="B27" s="118"/>
      <c r="C27" s="118"/>
      <c r="D27" s="118"/>
      <c r="E27" s="119"/>
      <c r="F27" s="125"/>
      <c r="G27" s="125"/>
      <c r="H27" s="125"/>
      <c r="I27" s="125"/>
      <c r="J27" s="118"/>
      <c r="K27" s="118"/>
      <c r="L27" s="118"/>
      <c r="M27" s="118"/>
    </row>
    <row r="31" spans="2:13" ht="18" customHeight="1">
      <c r="B31" s="118"/>
      <c r="C31" s="125"/>
      <c r="D31" s="125"/>
      <c r="E31" s="119"/>
      <c r="F31" s="125"/>
      <c r="G31" s="125"/>
      <c r="H31" s="125"/>
      <c r="I31" s="125"/>
      <c r="J31" s="118"/>
      <c r="K31" s="118"/>
      <c r="L31" s="118"/>
      <c r="M31" s="118"/>
    </row>
  </sheetData>
  <sheetProtection sheet="1" objects="1" scenarios="1"/>
  <mergeCells count="16">
    <mergeCell ref="B14:E14"/>
    <mergeCell ref="F14:H14"/>
    <mergeCell ref="B15:E15"/>
    <mergeCell ref="F15:H15"/>
    <mergeCell ref="B10:E10"/>
    <mergeCell ref="F10:H10"/>
    <mergeCell ref="B12:E12"/>
    <mergeCell ref="F12:H12"/>
    <mergeCell ref="B13:E13"/>
    <mergeCell ref="F13:H13"/>
    <mergeCell ref="B6:E6"/>
    <mergeCell ref="F6:H6"/>
    <mergeCell ref="B8:E8"/>
    <mergeCell ref="F8:H8"/>
    <mergeCell ref="B9:E9"/>
    <mergeCell ref="F9:H9"/>
  </mergeCells>
  <conditionalFormatting sqref="A4:I4 R4:XFD4">
    <cfRule type="cellIs" dxfId="8" priority="2" operator="equal">
      <formula>0</formula>
    </cfRule>
  </conditionalFormatting>
  <conditionalFormatting sqref="A4:I4 R4:XFD4">
    <cfRule type="cellIs" dxfId="7" priority="1" operator="equal">
      <formula>0</formula>
    </cfRule>
  </conditionalFormatting>
  <pageMargins left="0.7" right="0.7" top="0.75" bottom="0.75" header="0.3" footer="0.3"/>
  <pageSetup paperSize="9" scale="69" orientation="portrait" horizontalDpi="0" verticalDpi="0"/>
  <colBreaks count="1" manualBreakCount="1">
    <brk id="10"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16"/>
  <dimension ref="B2:R26"/>
  <sheetViews>
    <sheetView zoomScale="110" zoomScaleNormal="110" workbookViewId="0">
      <selection activeCell="E11" sqref="E11:G11"/>
    </sheetView>
  </sheetViews>
  <sheetFormatPr baseColWidth="10" defaultColWidth="7.5546875" defaultRowHeight="18" customHeight="1"/>
  <cols>
    <col min="1" max="1" width="7.5546875" style="2"/>
    <col min="2" max="4" width="11.5546875" style="2" customWidth="1"/>
    <col min="5" max="7" width="12.44140625" style="2" customWidth="1"/>
    <col min="8" max="8" width="16.33203125" style="2" customWidth="1"/>
    <col min="9" max="14" width="9.6640625" style="2" customWidth="1"/>
    <col min="15" max="16384" width="7.5546875" style="2"/>
  </cols>
  <sheetData>
    <row r="2" spans="2:18" s="10" customFormat="1" ht="18" customHeight="1">
      <c r="B2" s="10" t="s">
        <v>4450</v>
      </c>
    </row>
    <row r="4" spans="2:18" s="13" customFormat="1" ht="18" customHeight="1">
      <c r="B4" s="21" t="s">
        <v>227</v>
      </c>
      <c r="C4" s="22"/>
      <c r="D4" s="23"/>
      <c r="E4" s="23"/>
      <c r="F4" s="23"/>
      <c r="G4" s="79"/>
      <c r="H4" s="79"/>
      <c r="I4" s="23"/>
      <c r="J4" s="23"/>
      <c r="K4" s="23"/>
      <c r="L4" s="23"/>
      <c r="M4" s="23"/>
      <c r="N4" s="23"/>
      <c r="O4" s="10"/>
      <c r="P4" s="10"/>
      <c r="Q4" s="10"/>
      <c r="R4" s="10"/>
    </row>
    <row r="5" spans="2:18" ht="18" customHeight="1">
      <c r="B5" s="118"/>
      <c r="C5" s="118"/>
      <c r="D5" s="118"/>
      <c r="E5" s="119"/>
      <c r="F5" s="125"/>
      <c r="G5" s="125"/>
      <c r="H5" s="125"/>
      <c r="I5" s="125"/>
      <c r="J5" s="125"/>
      <c r="K5" s="118"/>
      <c r="L5" s="118"/>
      <c r="M5" s="118"/>
      <c r="N5" s="118"/>
    </row>
    <row r="6" spans="2:18" ht="18" customHeight="1">
      <c r="B6" s="807" t="s">
        <v>228</v>
      </c>
      <c r="C6" s="807"/>
      <c r="D6" s="807"/>
      <c r="E6" s="807" t="s">
        <v>3974</v>
      </c>
      <c r="F6" s="807"/>
      <c r="G6" s="807"/>
      <c r="H6" s="87" t="s">
        <v>18</v>
      </c>
      <c r="I6" s="807" t="s">
        <v>229</v>
      </c>
      <c r="J6" s="807"/>
      <c r="K6" s="807"/>
      <c r="L6" s="807" t="s">
        <v>230</v>
      </c>
      <c r="M6" s="807"/>
      <c r="N6" s="807"/>
    </row>
    <row r="8" spans="2:18" ht="18" customHeight="1">
      <c r="B8" s="867" t="s">
        <v>199</v>
      </c>
      <c r="C8" s="867"/>
      <c r="D8" s="867"/>
      <c r="E8" s="864"/>
      <c r="F8" s="864"/>
      <c r="G8" s="864"/>
      <c r="H8" s="127"/>
      <c r="I8" s="864"/>
      <c r="J8" s="864"/>
      <c r="K8" s="864"/>
      <c r="L8" s="864"/>
      <c r="M8" s="864"/>
      <c r="N8" s="864"/>
    </row>
    <row r="9" spans="2:18" ht="140.1" customHeight="1">
      <c r="B9" s="866" t="str">
        <f>+"Mayor nivel de desarrollo infantil temprano de los niños y niñas menores de 36 meses que viven en situación de pobreza y pobreza extrema, en la localidad de "&amp;'Unidad Productora'!L20&amp;", distrito de "&amp;'Unidad Productora'!J20&amp;", provincia de "&amp;'Unidad Productora'!H20&amp;", departamento de "&amp;'Unidad Productora'!E20</f>
        <v xml:space="preserve">Mayor nivel de desarrollo infantil temprano de los niños y niñas menores de 36 meses que viven en situación de pobreza y pobreza extrema, en la localidad de , distrito de , provincia de , departamento de </v>
      </c>
      <c r="C9" s="866"/>
      <c r="D9" s="866"/>
      <c r="E9" s="865" t="s">
        <v>4330</v>
      </c>
      <c r="F9" s="865"/>
      <c r="G9" s="865"/>
      <c r="H9" s="418"/>
      <c r="I9" s="865" t="s">
        <v>4326</v>
      </c>
      <c r="J9" s="865"/>
      <c r="K9" s="865"/>
      <c r="L9" s="865"/>
      <c r="M9" s="868"/>
      <c r="N9" s="868"/>
    </row>
    <row r="10" spans="2:18" ht="18" customHeight="1">
      <c r="B10" s="867" t="s">
        <v>231</v>
      </c>
      <c r="C10" s="867"/>
      <c r="D10" s="867"/>
      <c r="E10" s="864"/>
      <c r="F10" s="864"/>
      <c r="G10" s="864"/>
      <c r="H10" s="127"/>
      <c r="I10" s="864"/>
      <c r="J10" s="864"/>
      <c r="K10" s="864"/>
      <c r="L10" s="864"/>
      <c r="M10" s="864"/>
      <c r="N10" s="864"/>
    </row>
    <row r="11" spans="2:18" ht="179.1" customHeight="1">
      <c r="B11" s="866" t="str">
        <f>+'Problema-Objetivo'!B33:E33</f>
        <v/>
      </c>
      <c r="C11" s="866"/>
      <c r="D11" s="866"/>
      <c r="E11" s="865" t="s">
        <v>4331</v>
      </c>
      <c r="F11" s="865"/>
      <c r="G11" s="865"/>
      <c r="H11" s="418"/>
      <c r="I11" s="865" t="s">
        <v>4327</v>
      </c>
      <c r="J11" s="865"/>
      <c r="K11" s="865"/>
      <c r="L11" s="865" t="s">
        <v>4328</v>
      </c>
      <c r="M11" s="865"/>
      <c r="N11" s="865"/>
    </row>
    <row r="12" spans="2:18" ht="18" customHeight="1">
      <c r="B12" s="867" t="s">
        <v>232</v>
      </c>
      <c r="C12" s="867"/>
      <c r="D12" s="867"/>
      <c r="E12" s="864"/>
      <c r="F12" s="864"/>
      <c r="G12" s="864"/>
      <c r="H12" s="127"/>
      <c r="I12" s="864"/>
      <c r="J12" s="864"/>
      <c r="K12" s="864"/>
      <c r="L12" s="864"/>
      <c r="M12" s="864"/>
      <c r="N12" s="864"/>
    </row>
    <row r="13" spans="2:18" ht="83.1" customHeight="1">
      <c r="B13" s="855" t="str">
        <f>+CostosAlt1!B6&amp;": "&amp;CostosAlt1!D6</f>
        <v xml:space="preserve">Componente 1: </v>
      </c>
      <c r="C13" s="856"/>
      <c r="D13" s="857"/>
      <c r="E13" s="854" t="s">
        <v>4332</v>
      </c>
      <c r="F13" s="854"/>
      <c r="G13" s="854"/>
      <c r="H13" s="126">
        <f>+CostosAlt1!S165</f>
        <v>0</v>
      </c>
      <c r="I13" s="845" t="s">
        <v>4329</v>
      </c>
      <c r="J13" s="846"/>
      <c r="K13" s="847"/>
      <c r="L13" s="845" t="s">
        <v>4346</v>
      </c>
      <c r="M13" s="846"/>
      <c r="N13" s="847"/>
    </row>
    <row r="14" spans="2:18" ht="83.1" customHeight="1">
      <c r="B14" s="855" t="str">
        <f>+CostosAlt1!B21&amp;": "&amp;CostosAlt1!D21</f>
        <v xml:space="preserve">Componente 2: </v>
      </c>
      <c r="C14" s="856"/>
      <c r="D14" s="857"/>
      <c r="E14" s="854" t="s">
        <v>4472</v>
      </c>
      <c r="F14" s="854"/>
      <c r="G14" s="854"/>
      <c r="H14" s="126">
        <f>+CostosAlt1!S167</f>
        <v>0</v>
      </c>
      <c r="I14" s="848"/>
      <c r="J14" s="849"/>
      <c r="K14" s="850"/>
      <c r="L14" s="848"/>
      <c r="M14" s="849"/>
      <c r="N14" s="850"/>
    </row>
    <row r="15" spans="2:18" ht="83.1" customHeight="1">
      <c r="B15" s="855" t="str">
        <f>+CostosAlt1!B28&amp;": "&amp;CostosAlt1!D28</f>
        <v xml:space="preserve">Componente 3: </v>
      </c>
      <c r="C15" s="856"/>
      <c r="D15" s="857"/>
      <c r="E15" s="854" t="s">
        <v>4473</v>
      </c>
      <c r="F15" s="854"/>
      <c r="G15" s="854"/>
      <c r="H15" s="126">
        <f>+CostosAlt1!S169</f>
        <v>0</v>
      </c>
      <c r="I15" s="848"/>
      <c r="J15" s="849"/>
      <c r="K15" s="850"/>
      <c r="L15" s="848"/>
      <c r="M15" s="849"/>
      <c r="N15" s="850"/>
    </row>
    <row r="16" spans="2:18" ht="83.1" customHeight="1">
      <c r="B16" s="855" t="str">
        <f>+CostosAlt1!B36&amp;": "&amp;CostosAlt1!D36</f>
        <v xml:space="preserve">Componente 4: </v>
      </c>
      <c r="C16" s="856"/>
      <c r="D16" s="857"/>
      <c r="E16" s="854" t="s">
        <v>4333</v>
      </c>
      <c r="F16" s="854"/>
      <c r="G16" s="854"/>
      <c r="H16" s="126">
        <f>+CostosAlt1!S171</f>
        <v>0</v>
      </c>
      <c r="I16" s="851"/>
      <c r="J16" s="852"/>
      <c r="K16" s="853"/>
      <c r="L16" s="851"/>
      <c r="M16" s="852"/>
      <c r="N16" s="853"/>
    </row>
    <row r="17" spans="2:14" ht="18" customHeight="1">
      <c r="B17" s="861" t="s">
        <v>108</v>
      </c>
      <c r="C17" s="862"/>
      <c r="D17" s="863"/>
      <c r="E17" s="869"/>
      <c r="F17" s="869"/>
      <c r="G17" s="869"/>
      <c r="H17" s="128"/>
      <c r="I17" s="869"/>
      <c r="J17" s="869"/>
      <c r="K17" s="869"/>
      <c r="L17" s="869"/>
      <c r="M17" s="869"/>
      <c r="N17" s="869"/>
    </row>
    <row r="18" spans="2:14" ht="18" customHeight="1">
      <c r="B18" s="839" t="s">
        <v>141</v>
      </c>
      <c r="C18" s="840"/>
      <c r="D18" s="841"/>
      <c r="E18" s="805" t="s">
        <v>67</v>
      </c>
      <c r="F18" s="805"/>
      <c r="G18" s="805"/>
      <c r="H18" s="124"/>
      <c r="I18" s="805"/>
      <c r="J18" s="805"/>
      <c r="K18" s="805"/>
      <c r="L18" s="805"/>
      <c r="M18" s="805"/>
      <c r="N18" s="805"/>
    </row>
    <row r="19" spans="2:14" ht="57" customHeight="1">
      <c r="B19" s="855" t="s">
        <v>4337</v>
      </c>
      <c r="C19" s="856"/>
      <c r="D19" s="857"/>
      <c r="E19" s="854" t="s">
        <v>4342</v>
      </c>
      <c r="F19" s="854"/>
      <c r="G19" s="854"/>
      <c r="H19" s="129">
        <f>+CostosAlt1!Q135</f>
        <v>0</v>
      </c>
      <c r="I19" s="845" t="s">
        <v>4344</v>
      </c>
      <c r="J19" s="846"/>
      <c r="K19" s="847"/>
      <c r="L19" s="845" t="s">
        <v>4345</v>
      </c>
      <c r="M19" s="846"/>
      <c r="N19" s="847"/>
    </row>
    <row r="20" spans="2:14" ht="18" customHeight="1">
      <c r="B20" s="839" t="s">
        <v>142</v>
      </c>
      <c r="C20" s="840"/>
      <c r="D20" s="841"/>
      <c r="E20" s="854"/>
      <c r="F20" s="854"/>
      <c r="G20" s="854"/>
      <c r="H20" s="129"/>
      <c r="I20" s="848"/>
      <c r="J20" s="849"/>
      <c r="K20" s="850"/>
      <c r="L20" s="848"/>
      <c r="M20" s="849"/>
      <c r="N20" s="850"/>
    </row>
    <row r="21" spans="2:14" ht="57" customHeight="1">
      <c r="B21" s="855" t="s">
        <v>4338</v>
      </c>
      <c r="C21" s="856"/>
      <c r="D21" s="857"/>
      <c r="E21" s="854" t="s">
        <v>4342</v>
      </c>
      <c r="F21" s="854"/>
      <c r="G21" s="854"/>
      <c r="H21" s="129">
        <f>+CostosAlt1!Q137</f>
        <v>0</v>
      </c>
      <c r="I21" s="848"/>
      <c r="J21" s="849"/>
      <c r="K21" s="850"/>
      <c r="L21" s="848"/>
      <c r="M21" s="849"/>
      <c r="N21" s="850"/>
    </row>
    <row r="22" spans="2:14" ht="18" customHeight="1">
      <c r="B22" s="839" t="s">
        <v>4272</v>
      </c>
      <c r="C22" s="840"/>
      <c r="D22" s="841"/>
      <c r="E22" s="854"/>
      <c r="F22" s="854"/>
      <c r="G22" s="854"/>
      <c r="H22" s="129"/>
      <c r="I22" s="848"/>
      <c r="J22" s="849"/>
      <c r="K22" s="850"/>
      <c r="L22" s="848"/>
      <c r="M22" s="849"/>
      <c r="N22" s="850"/>
    </row>
    <row r="23" spans="2:14" ht="57" customHeight="1">
      <c r="B23" s="855" t="s">
        <v>4339</v>
      </c>
      <c r="C23" s="856"/>
      <c r="D23" s="857"/>
      <c r="E23" s="854" t="s">
        <v>4342</v>
      </c>
      <c r="F23" s="854"/>
      <c r="G23" s="854"/>
      <c r="H23" s="129">
        <f>+CostosAlt1!Q139</f>
        <v>0</v>
      </c>
      <c r="I23" s="848"/>
      <c r="J23" s="849"/>
      <c r="K23" s="850"/>
      <c r="L23" s="848"/>
      <c r="M23" s="849"/>
      <c r="N23" s="850"/>
    </row>
    <row r="24" spans="2:14" ht="18" customHeight="1">
      <c r="B24" s="839" t="s">
        <v>4271</v>
      </c>
      <c r="C24" s="840"/>
      <c r="D24" s="841"/>
      <c r="E24" s="854"/>
      <c r="F24" s="854"/>
      <c r="G24" s="854"/>
      <c r="H24" s="129"/>
      <c r="I24" s="848"/>
      <c r="J24" s="849"/>
      <c r="K24" s="850"/>
      <c r="L24" s="848"/>
      <c r="M24" s="849"/>
      <c r="N24" s="850"/>
    </row>
    <row r="25" spans="2:14" ht="57" customHeight="1">
      <c r="B25" s="855" t="s">
        <v>4340</v>
      </c>
      <c r="C25" s="856"/>
      <c r="D25" s="857"/>
      <c r="E25" s="854" t="s">
        <v>4342</v>
      </c>
      <c r="F25" s="854"/>
      <c r="G25" s="854"/>
      <c r="H25" s="129">
        <f>+CostosAlt1!Q141</f>
        <v>0</v>
      </c>
      <c r="I25" s="848"/>
      <c r="J25" s="849"/>
      <c r="K25" s="850"/>
      <c r="L25" s="848"/>
      <c r="M25" s="849"/>
      <c r="N25" s="850"/>
    </row>
    <row r="26" spans="2:14" ht="57" customHeight="1">
      <c r="B26" s="858" t="s">
        <v>4341</v>
      </c>
      <c r="C26" s="859"/>
      <c r="D26" s="860"/>
      <c r="E26" s="854" t="s">
        <v>4343</v>
      </c>
      <c r="F26" s="854"/>
      <c r="G26" s="854"/>
      <c r="H26" s="129">
        <f>+CostosAlt1!Q143</f>
        <v>0</v>
      </c>
      <c r="I26" s="851"/>
      <c r="J26" s="852"/>
      <c r="K26" s="853"/>
      <c r="L26" s="851"/>
      <c r="M26" s="852"/>
      <c r="N26" s="853"/>
    </row>
  </sheetData>
  <sheetProtection sheet="1" objects="1" scenarios="1"/>
  <mergeCells count="60">
    <mergeCell ref="E17:G17"/>
    <mergeCell ref="I17:K17"/>
    <mergeCell ref="L17:N17"/>
    <mergeCell ref="E18:G18"/>
    <mergeCell ref="I18:K18"/>
    <mergeCell ref="L18:N18"/>
    <mergeCell ref="B6:D6"/>
    <mergeCell ref="E6:G6"/>
    <mergeCell ref="I6:K6"/>
    <mergeCell ref="L6:N6"/>
    <mergeCell ref="B10:D10"/>
    <mergeCell ref="E10:G10"/>
    <mergeCell ref="I10:K10"/>
    <mergeCell ref="L10:N10"/>
    <mergeCell ref="B8:D8"/>
    <mergeCell ref="E8:G8"/>
    <mergeCell ref="I8:K8"/>
    <mergeCell ref="L8:N8"/>
    <mergeCell ref="B9:D9"/>
    <mergeCell ref="E9:G9"/>
    <mergeCell ref="I9:K9"/>
    <mergeCell ref="L9:N9"/>
    <mergeCell ref="L12:N12"/>
    <mergeCell ref="B13:D13"/>
    <mergeCell ref="L13:N16"/>
    <mergeCell ref="I11:K11"/>
    <mergeCell ref="L11:N11"/>
    <mergeCell ref="E13:G13"/>
    <mergeCell ref="E16:G16"/>
    <mergeCell ref="E15:G15"/>
    <mergeCell ref="B11:D11"/>
    <mergeCell ref="E11:G11"/>
    <mergeCell ref="E14:G14"/>
    <mergeCell ref="I13:K16"/>
    <mergeCell ref="B12:D12"/>
    <mergeCell ref="E12:G12"/>
    <mergeCell ref="I12:K12"/>
    <mergeCell ref="B25:D25"/>
    <mergeCell ref="B26:D26"/>
    <mergeCell ref="B16:D16"/>
    <mergeCell ref="B14:D14"/>
    <mergeCell ref="B15:D15"/>
    <mergeCell ref="B17:D17"/>
    <mergeCell ref="B18:D18"/>
    <mergeCell ref="B24:D24"/>
    <mergeCell ref="B23:D23"/>
    <mergeCell ref="B22:D22"/>
    <mergeCell ref="B21:D21"/>
    <mergeCell ref="B20:D20"/>
    <mergeCell ref="B19:D19"/>
    <mergeCell ref="L19:N26"/>
    <mergeCell ref="E23:G23"/>
    <mergeCell ref="E24:G24"/>
    <mergeCell ref="E25:G25"/>
    <mergeCell ref="E26:G26"/>
    <mergeCell ref="E19:G19"/>
    <mergeCell ref="E20:G20"/>
    <mergeCell ref="E21:G21"/>
    <mergeCell ref="E22:G22"/>
    <mergeCell ref="I19:K26"/>
  </mergeCells>
  <conditionalFormatting sqref="S4:XFD4 A4:N4">
    <cfRule type="cellIs" dxfId="6" priority="2" operator="equal">
      <formula>0</formula>
    </cfRule>
  </conditionalFormatting>
  <conditionalFormatting sqref="S4:XFD4 A4:N4">
    <cfRule type="cellIs" dxfId="5" priority="1" operator="equal">
      <formula>0</formula>
    </cfRule>
  </conditionalFormatting>
  <dataValidations count="1">
    <dataValidation type="decimal" operator="greaterThan" allowBlank="1" showInputMessage="1" showErrorMessage="1" sqref="H9 H11" xr:uid="{00000000-0002-0000-1300-000000000000}">
      <formula1>0</formula1>
    </dataValidation>
  </dataValidations>
  <pageMargins left="0.7" right="0.7" top="0.75" bottom="0.75" header="0.3" footer="0.3"/>
  <pageSetup paperSize="9" scale="42" orientation="portrait" horizontalDpi="0" verticalDpi="0"/>
  <colBreaks count="1" manualBreakCount="1">
    <brk id="15"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17"/>
  <dimension ref="A2:R9"/>
  <sheetViews>
    <sheetView zoomScale="140" zoomScaleNormal="140" workbookViewId="0">
      <selection activeCell="B6" sqref="B6:M9"/>
    </sheetView>
  </sheetViews>
  <sheetFormatPr baseColWidth="10" defaultColWidth="7.109375" defaultRowHeight="15"/>
  <cols>
    <col min="1" max="16384" width="7.109375" style="4"/>
  </cols>
  <sheetData>
    <row r="2" spans="1:18" s="80" customFormat="1" ht="15.75">
      <c r="A2" s="4"/>
      <c r="B2" s="80" t="s">
        <v>233</v>
      </c>
    </row>
    <row r="3" spans="1:18" ht="15.75">
      <c r="N3" s="80"/>
    </row>
    <row r="4" spans="1:18" s="13" customFormat="1" ht="18" customHeight="1">
      <c r="B4" s="21" t="s">
        <v>234</v>
      </c>
      <c r="C4" s="22"/>
      <c r="D4" s="23"/>
      <c r="E4" s="23"/>
      <c r="F4" s="23"/>
      <c r="G4" s="79"/>
      <c r="H4" s="79"/>
      <c r="I4" s="23"/>
      <c r="J4" s="23"/>
      <c r="K4" s="23"/>
      <c r="L4" s="23"/>
      <c r="M4" s="23"/>
      <c r="N4" s="80"/>
      <c r="O4" s="10"/>
      <c r="P4" s="10"/>
      <c r="Q4" s="10"/>
      <c r="R4" s="10"/>
    </row>
    <row r="5" spans="1:18">
      <c r="B5" s="83"/>
      <c r="C5" s="83"/>
      <c r="D5" s="83"/>
      <c r="E5" s="84"/>
      <c r="F5" s="83"/>
      <c r="G5" s="83"/>
      <c r="H5" s="83"/>
      <c r="I5" s="83"/>
      <c r="J5" s="83"/>
      <c r="K5" s="83"/>
      <c r="L5" s="83"/>
      <c r="M5" s="83"/>
    </row>
    <row r="6" spans="1:18" ht="90.95" customHeight="1">
      <c r="B6" s="870"/>
      <c r="C6" s="871"/>
      <c r="D6" s="871"/>
      <c r="E6" s="871"/>
      <c r="F6" s="871"/>
      <c r="G6" s="871"/>
      <c r="H6" s="871"/>
      <c r="I6" s="871"/>
      <c r="J6" s="871"/>
      <c r="K6" s="871"/>
      <c r="L6" s="871"/>
      <c r="M6" s="872"/>
    </row>
    <row r="7" spans="1:18" ht="90.95" customHeight="1">
      <c r="B7" s="873"/>
      <c r="C7" s="874"/>
      <c r="D7" s="874"/>
      <c r="E7" s="874"/>
      <c r="F7" s="874"/>
      <c r="G7" s="874"/>
      <c r="H7" s="874"/>
      <c r="I7" s="874"/>
      <c r="J7" s="874"/>
      <c r="K7" s="874"/>
      <c r="L7" s="874"/>
      <c r="M7" s="875"/>
    </row>
    <row r="8" spans="1:18" ht="90.95" customHeight="1">
      <c r="B8" s="873"/>
      <c r="C8" s="874"/>
      <c r="D8" s="874"/>
      <c r="E8" s="874"/>
      <c r="F8" s="874"/>
      <c r="G8" s="874"/>
      <c r="H8" s="874"/>
      <c r="I8" s="874"/>
      <c r="J8" s="874"/>
      <c r="K8" s="874"/>
      <c r="L8" s="874"/>
      <c r="M8" s="875"/>
    </row>
    <row r="9" spans="1:18" ht="90.95" customHeight="1">
      <c r="B9" s="876"/>
      <c r="C9" s="877"/>
      <c r="D9" s="877"/>
      <c r="E9" s="877"/>
      <c r="F9" s="877"/>
      <c r="G9" s="877"/>
      <c r="H9" s="877"/>
      <c r="I9" s="877"/>
      <c r="J9" s="877"/>
      <c r="K9" s="877"/>
      <c r="L9" s="877"/>
      <c r="M9" s="878"/>
    </row>
  </sheetData>
  <sheetProtection sheet="1" objects="1" scenarios="1"/>
  <mergeCells count="1">
    <mergeCell ref="B6:M9"/>
  </mergeCells>
  <conditionalFormatting sqref="S4:XFD4 A4:M4">
    <cfRule type="cellIs" dxfId="4" priority="2" operator="equal">
      <formula>0</formula>
    </cfRule>
  </conditionalFormatting>
  <conditionalFormatting sqref="S4:XFD4 A4:M4">
    <cfRule type="cellIs" dxfId="3" priority="1" operator="equal">
      <formula>0</formula>
    </cfRule>
  </conditionalFormatting>
  <pageMargins left="0.7" right="0.7" top="0.75" bottom="0.75" header="0.3" footer="0.3"/>
  <pageSetup paperSize="9" scale="70" orientation="portrait" horizontalDpi="0" verticalDpi="0"/>
  <colBreaks count="1" manualBreakCount="1">
    <brk id="14"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18"/>
  <dimension ref="A2:R21"/>
  <sheetViews>
    <sheetView zoomScaleNormal="100" workbookViewId="0"/>
  </sheetViews>
  <sheetFormatPr baseColWidth="10" defaultColWidth="8.109375" defaultRowHeight="15"/>
  <cols>
    <col min="1" max="4" width="8.109375" style="4"/>
    <col min="5" max="8" width="9.44140625" style="4" customWidth="1"/>
    <col min="9" max="16384" width="8.109375" style="4"/>
  </cols>
  <sheetData>
    <row r="2" spans="1:18" s="80" customFormat="1" ht="15.75">
      <c r="A2" s="4"/>
      <c r="B2" s="80" t="s">
        <v>235</v>
      </c>
    </row>
    <row r="4" spans="1:18" s="13" customFormat="1" ht="18" customHeight="1">
      <c r="B4" s="21" t="s">
        <v>236</v>
      </c>
      <c r="C4" s="22"/>
      <c r="D4" s="23"/>
      <c r="E4" s="23"/>
      <c r="F4" s="23"/>
      <c r="G4" s="79"/>
      <c r="H4" s="79"/>
      <c r="I4" s="23"/>
      <c r="J4" s="23"/>
      <c r="K4" s="23"/>
      <c r="L4" s="23"/>
      <c r="M4" s="23"/>
      <c r="N4" s="80"/>
      <c r="O4" s="10"/>
      <c r="P4" s="10"/>
      <c r="Q4" s="10"/>
      <c r="R4" s="10"/>
    </row>
    <row r="5" spans="1:18" ht="15.75">
      <c r="B5" s="131"/>
      <c r="C5" s="131"/>
      <c r="D5" s="131"/>
      <c r="E5" s="131"/>
      <c r="F5" s="131"/>
      <c r="G5" s="131"/>
      <c r="H5" s="131"/>
      <c r="I5" s="131"/>
      <c r="J5" s="131"/>
      <c r="K5" s="131"/>
      <c r="L5" s="131"/>
      <c r="M5" s="131"/>
    </row>
    <row r="6" spans="1:18" ht="17.45" customHeight="1">
      <c r="B6" s="131"/>
      <c r="C6" s="131"/>
      <c r="D6" s="131"/>
      <c r="E6" s="132"/>
      <c r="F6" s="133"/>
      <c r="G6" s="133"/>
      <c r="H6" s="134"/>
      <c r="I6" s="131"/>
      <c r="J6" s="131"/>
      <c r="K6" s="131"/>
      <c r="L6" s="131"/>
      <c r="M6" s="131"/>
    </row>
    <row r="7" spans="1:18" ht="17.45" customHeight="1">
      <c r="B7" s="131"/>
      <c r="C7" s="131"/>
      <c r="D7" s="131"/>
      <c r="E7" s="135"/>
      <c r="F7" s="131"/>
      <c r="G7" s="131"/>
      <c r="H7" s="136"/>
      <c r="I7" s="131"/>
      <c r="J7" s="131"/>
      <c r="K7" s="131"/>
      <c r="L7" s="131"/>
      <c r="M7" s="131"/>
    </row>
    <row r="8" spans="1:18" ht="17.45" customHeight="1">
      <c r="B8" s="131"/>
      <c r="C8" s="131"/>
      <c r="D8" s="131"/>
      <c r="E8" s="135"/>
      <c r="F8" s="131"/>
      <c r="G8" s="131"/>
      <c r="H8" s="136"/>
      <c r="I8" s="131"/>
      <c r="J8" s="131"/>
      <c r="K8" s="131"/>
      <c r="L8" s="131"/>
      <c r="M8" s="131"/>
    </row>
    <row r="9" spans="1:18" ht="17.45" customHeight="1">
      <c r="B9" s="83"/>
      <c r="C9" s="83"/>
      <c r="D9" s="83"/>
      <c r="E9" s="137"/>
      <c r="F9" s="83"/>
      <c r="G9" s="83"/>
      <c r="H9" s="138"/>
      <c r="I9" s="83"/>
      <c r="J9" s="83"/>
      <c r="K9" s="83"/>
      <c r="L9" s="83"/>
      <c r="M9" s="83"/>
    </row>
    <row r="10" spans="1:18" ht="17.45" customHeight="1">
      <c r="B10" s="882" t="s">
        <v>237</v>
      </c>
      <c r="C10" s="882"/>
      <c r="D10" s="882"/>
      <c r="E10" s="883" t="s">
        <v>238</v>
      </c>
      <c r="F10" s="884"/>
      <c r="G10" s="884"/>
      <c r="H10" s="885"/>
      <c r="I10" s="84" t="s">
        <v>239</v>
      </c>
      <c r="J10" s="886" t="s">
        <v>238</v>
      </c>
      <c r="K10" s="886"/>
      <c r="L10" s="83"/>
      <c r="M10" s="83"/>
    </row>
    <row r="11" spans="1:18" ht="17.45" customHeight="1">
      <c r="B11" s="139"/>
      <c r="C11" s="130"/>
      <c r="D11" s="130"/>
      <c r="E11" s="879" t="s">
        <v>240</v>
      </c>
      <c r="F11" s="880"/>
      <c r="G11" s="880"/>
      <c r="H11" s="881"/>
      <c r="J11" s="83"/>
      <c r="K11" s="84"/>
      <c r="L11" s="83"/>
      <c r="M11" s="83"/>
      <c r="N11" s="83"/>
    </row>
    <row r="12" spans="1:18">
      <c r="B12" s="139"/>
      <c r="C12" s="139"/>
      <c r="D12" s="139"/>
      <c r="E12" s="84"/>
      <c r="F12" s="83"/>
      <c r="G12" s="83"/>
      <c r="H12" s="83"/>
      <c r="I12" s="83"/>
      <c r="J12" s="83"/>
      <c r="K12" s="83"/>
      <c r="L12" s="83"/>
      <c r="M12" s="83"/>
    </row>
    <row r="13" spans="1:18" ht="17.45" customHeight="1">
      <c r="B13" s="139"/>
      <c r="C13" s="139"/>
      <c r="D13" s="139"/>
      <c r="E13" s="140"/>
      <c r="F13" s="141"/>
      <c r="G13" s="141"/>
      <c r="H13" s="142"/>
      <c r="I13" s="83"/>
      <c r="J13" s="83"/>
      <c r="K13" s="83"/>
      <c r="L13" s="83"/>
      <c r="M13" s="83"/>
    </row>
    <row r="14" spans="1:18" ht="17.45" customHeight="1">
      <c r="B14" s="139"/>
      <c r="C14" s="139"/>
      <c r="D14" s="139"/>
      <c r="E14" s="137"/>
      <c r="F14" s="83"/>
      <c r="G14" s="83"/>
      <c r="H14" s="138"/>
      <c r="I14" s="83"/>
      <c r="J14" s="83"/>
      <c r="K14" s="83"/>
      <c r="L14" s="83"/>
      <c r="M14" s="83"/>
    </row>
    <row r="15" spans="1:18" ht="17.45" customHeight="1">
      <c r="B15" s="139"/>
      <c r="C15" s="139"/>
      <c r="D15" s="139"/>
      <c r="E15" s="137"/>
      <c r="F15" s="83"/>
      <c r="G15" s="83"/>
      <c r="H15" s="138"/>
      <c r="I15" s="83"/>
      <c r="J15" s="83"/>
      <c r="K15" s="83"/>
      <c r="L15" s="83"/>
      <c r="M15" s="83"/>
    </row>
    <row r="16" spans="1:18" ht="17.45" customHeight="1">
      <c r="B16" s="139"/>
      <c r="C16" s="139"/>
      <c r="D16" s="139"/>
      <c r="E16" s="137"/>
      <c r="F16" s="83"/>
      <c r="G16" s="83"/>
      <c r="H16" s="138"/>
      <c r="I16" s="83"/>
      <c r="J16" s="83"/>
      <c r="K16" s="83"/>
      <c r="L16" s="83"/>
      <c r="M16" s="83"/>
    </row>
    <row r="17" spans="2:14" ht="17.45" customHeight="1">
      <c r="B17" s="887" t="s">
        <v>241</v>
      </c>
      <c r="C17" s="887"/>
      <c r="D17" s="888"/>
      <c r="E17" s="883" t="s">
        <v>238</v>
      </c>
      <c r="F17" s="884"/>
      <c r="G17" s="884"/>
      <c r="H17" s="885"/>
      <c r="I17" s="84" t="s">
        <v>239</v>
      </c>
      <c r="J17" s="886" t="s">
        <v>238</v>
      </c>
      <c r="K17" s="886"/>
      <c r="L17" s="83"/>
      <c r="M17" s="83"/>
    </row>
    <row r="18" spans="2:14" ht="17.45" customHeight="1">
      <c r="B18" s="139"/>
      <c r="C18" s="130"/>
      <c r="D18" s="130"/>
      <c r="E18" s="879" t="s">
        <v>4</v>
      </c>
      <c r="F18" s="880"/>
      <c r="G18" s="880"/>
      <c r="H18" s="881"/>
      <c r="J18" s="83"/>
      <c r="K18" s="84"/>
      <c r="L18" s="83"/>
      <c r="M18" s="83"/>
      <c r="N18" s="83"/>
    </row>
    <row r="19" spans="2:14">
      <c r="B19" s="83"/>
      <c r="E19" s="83"/>
      <c r="F19" s="83"/>
      <c r="K19" s="84"/>
      <c r="L19" s="83"/>
      <c r="M19" s="83"/>
      <c r="N19" s="83"/>
    </row>
    <row r="20" spans="2:14">
      <c r="B20" s="83"/>
      <c r="C20" s="143"/>
      <c r="D20" s="143"/>
      <c r="E20" s="84"/>
      <c r="F20" s="143"/>
      <c r="G20" s="143"/>
      <c r="H20" s="143"/>
      <c r="I20" s="143"/>
      <c r="J20" s="143"/>
      <c r="K20" s="83"/>
      <c r="L20" s="83"/>
      <c r="M20" s="83"/>
    </row>
    <row r="21" spans="2:14">
      <c r="B21" s="83"/>
      <c r="C21" s="83"/>
      <c r="D21" s="83"/>
      <c r="E21" s="84"/>
      <c r="F21" s="83"/>
      <c r="G21" s="83"/>
      <c r="H21" s="83"/>
      <c r="I21" s="83"/>
      <c r="J21" s="83"/>
      <c r="K21" s="83"/>
      <c r="L21" s="83"/>
      <c r="M21" s="83"/>
    </row>
  </sheetData>
  <mergeCells count="8">
    <mergeCell ref="E18:H18"/>
    <mergeCell ref="B10:D10"/>
    <mergeCell ref="E10:H10"/>
    <mergeCell ref="J10:K10"/>
    <mergeCell ref="E11:H11"/>
    <mergeCell ref="B17:D17"/>
    <mergeCell ref="E17:H17"/>
    <mergeCell ref="J17:K17"/>
  </mergeCells>
  <conditionalFormatting sqref="S4:XFD4 A4:M4">
    <cfRule type="cellIs" dxfId="2" priority="2" operator="equal">
      <formula>0</formula>
    </cfRule>
  </conditionalFormatting>
  <conditionalFormatting sqref="S4:XFD4 A4:M4">
    <cfRule type="cellIs" dxfId="1" priority="1" operator="equal">
      <formula>0</formula>
    </cfRule>
  </conditionalFormatting>
  <pageMargins left="0.7" right="0.7" top="0.75" bottom="0.75" header="0.3" footer="0.3"/>
  <pageSetup paperSize="9" scale="49" orientation="portrait" horizontalDpi="0" verticalDpi="0"/>
  <colBreaks count="1" manualBreakCount="1">
    <brk id="17"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19"/>
  <dimension ref="A1:P16"/>
  <sheetViews>
    <sheetView zoomScale="140" zoomScaleNormal="140" workbookViewId="0">
      <selection activeCell="C10" sqref="C10:O10"/>
    </sheetView>
  </sheetViews>
  <sheetFormatPr baseColWidth="10" defaultColWidth="7.33203125" defaultRowHeight="15"/>
  <cols>
    <col min="1" max="2" width="7.33203125" style="4"/>
    <col min="3" max="15" width="5.6640625" style="4" customWidth="1"/>
    <col min="16" max="16" width="18" style="4" customWidth="1"/>
    <col min="17" max="16384" width="7.33203125" style="4"/>
  </cols>
  <sheetData>
    <row r="1" spans="1:16" s="5" customFormat="1" ht="18">
      <c r="A1" s="4"/>
      <c r="B1" s="5" t="s">
        <v>242</v>
      </c>
    </row>
    <row r="3" spans="1:16" ht="23.45" customHeight="1">
      <c r="B3" s="890" t="s">
        <v>243</v>
      </c>
      <c r="C3" s="890"/>
      <c r="D3" s="890"/>
      <c r="E3" s="890"/>
      <c r="F3" s="890"/>
      <c r="G3" s="890"/>
      <c r="H3" s="890"/>
      <c r="I3" s="890"/>
      <c r="J3" s="890"/>
      <c r="K3" s="890"/>
      <c r="L3" s="890"/>
      <c r="M3" s="890"/>
      <c r="N3" s="890"/>
      <c r="O3" s="890"/>
      <c r="P3" s="164"/>
    </row>
    <row r="4" spans="1:16" s="2" customFormat="1">
      <c r="B4" s="160"/>
      <c r="C4" s="160"/>
      <c r="D4" s="160"/>
      <c r="E4" s="161"/>
      <c r="F4" s="160"/>
      <c r="G4" s="160"/>
      <c r="H4" s="160"/>
      <c r="I4" s="160"/>
      <c r="J4" s="160"/>
      <c r="K4" s="160"/>
      <c r="L4" s="160"/>
      <c r="M4" s="160"/>
    </row>
    <row r="5" spans="1:16" s="2" customFormat="1" ht="42" customHeight="1">
      <c r="B5" s="162" t="s">
        <v>244</v>
      </c>
      <c r="C5" s="891" t="s">
        <v>245</v>
      </c>
      <c r="D5" s="891"/>
      <c r="E5" s="891"/>
      <c r="F5" s="891"/>
      <c r="G5" s="891"/>
      <c r="H5" s="891"/>
      <c r="I5" s="891"/>
      <c r="J5" s="891"/>
      <c r="K5" s="891"/>
      <c r="L5" s="891"/>
      <c r="M5" s="891"/>
      <c r="N5" s="891"/>
      <c r="O5" s="891"/>
      <c r="P5" s="163" t="s">
        <v>4424</v>
      </c>
    </row>
    <row r="6" spans="1:16" s="2" customFormat="1" ht="6.95" customHeight="1"/>
    <row r="7" spans="1:16" s="9" customFormat="1" ht="39.950000000000003" customHeight="1">
      <c r="B7" s="165" t="s">
        <v>166</v>
      </c>
      <c r="C7" s="889" t="s">
        <v>4543</v>
      </c>
      <c r="D7" s="889"/>
      <c r="E7" s="889"/>
      <c r="F7" s="889"/>
      <c r="G7" s="889"/>
      <c r="H7" s="889"/>
      <c r="I7" s="889"/>
      <c r="J7" s="889"/>
      <c r="K7" s="889"/>
      <c r="L7" s="889"/>
      <c r="M7" s="889"/>
      <c r="N7" s="889"/>
      <c r="O7" s="889"/>
      <c r="P7" s="148"/>
    </row>
    <row r="8" spans="1:16" s="9" customFormat="1" ht="39.950000000000003" customHeight="1">
      <c r="B8" s="165" t="s">
        <v>168</v>
      </c>
      <c r="C8" s="889" t="s">
        <v>4548</v>
      </c>
      <c r="D8" s="889"/>
      <c r="E8" s="889"/>
      <c r="F8" s="889"/>
      <c r="G8" s="889"/>
      <c r="H8" s="889"/>
      <c r="I8" s="889"/>
      <c r="J8" s="889"/>
      <c r="K8" s="889"/>
      <c r="L8" s="889"/>
      <c r="M8" s="889"/>
      <c r="N8" s="889"/>
      <c r="O8" s="889"/>
      <c r="P8" s="148"/>
    </row>
    <row r="9" spans="1:16" s="2" customFormat="1" ht="39.950000000000003" customHeight="1">
      <c r="B9" s="165" t="s">
        <v>257</v>
      </c>
      <c r="C9" s="889" t="s">
        <v>4544</v>
      </c>
      <c r="D9" s="889"/>
      <c r="E9" s="889"/>
      <c r="F9" s="889"/>
      <c r="G9" s="889"/>
      <c r="H9" s="889"/>
      <c r="I9" s="889"/>
      <c r="J9" s="889"/>
      <c r="K9" s="889"/>
      <c r="L9" s="889"/>
      <c r="M9" s="889"/>
      <c r="N9" s="889"/>
      <c r="O9" s="889"/>
      <c r="P9" s="148"/>
    </row>
    <row r="10" spans="1:16" s="2" customFormat="1" ht="39.950000000000003" customHeight="1">
      <c r="B10" s="165" t="s">
        <v>258</v>
      </c>
      <c r="C10" s="889" t="s">
        <v>4549</v>
      </c>
      <c r="D10" s="889"/>
      <c r="E10" s="889"/>
      <c r="F10" s="889"/>
      <c r="G10" s="889"/>
      <c r="H10" s="889"/>
      <c r="I10" s="889"/>
      <c r="J10" s="889"/>
      <c r="K10" s="889"/>
      <c r="L10" s="889"/>
      <c r="M10" s="889"/>
      <c r="N10" s="889"/>
      <c r="O10" s="889"/>
      <c r="P10" s="148"/>
    </row>
    <row r="11" spans="1:16" s="2" customFormat="1" ht="39.950000000000003" customHeight="1">
      <c r="B11" s="165" t="s">
        <v>259</v>
      </c>
      <c r="C11" s="889" t="s">
        <v>4545</v>
      </c>
      <c r="D11" s="889"/>
      <c r="E11" s="889"/>
      <c r="F11" s="889"/>
      <c r="G11" s="889"/>
      <c r="H11" s="889"/>
      <c r="I11" s="889"/>
      <c r="J11" s="889"/>
      <c r="K11" s="889"/>
      <c r="L11" s="889"/>
      <c r="M11" s="889"/>
      <c r="N11" s="889"/>
      <c r="O11" s="889"/>
      <c r="P11" s="148"/>
    </row>
    <row r="12" spans="1:16" s="2" customFormat="1" ht="39.950000000000003" customHeight="1">
      <c r="B12" s="165" t="s">
        <v>260</v>
      </c>
      <c r="C12" s="889" t="s">
        <v>4550</v>
      </c>
      <c r="D12" s="889"/>
      <c r="E12" s="889"/>
      <c r="F12" s="889"/>
      <c r="G12" s="889"/>
      <c r="H12" s="889"/>
      <c r="I12" s="889"/>
      <c r="J12" s="889"/>
      <c r="K12" s="889"/>
      <c r="L12" s="889"/>
      <c r="M12" s="889"/>
      <c r="N12" s="889"/>
      <c r="O12" s="889"/>
      <c r="P12" s="148"/>
    </row>
    <row r="13" spans="1:16" s="2" customFormat="1" ht="39.950000000000003" customHeight="1">
      <c r="B13" s="165" t="s">
        <v>261</v>
      </c>
      <c r="C13" s="889" t="s">
        <v>4546</v>
      </c>
      <c r="D13" s="889"/>
      <c r="E13" s="889"/>
      <c r="F13" s="889"/>
      <c r="G13" s="889"/>
      <c r="H13" s="889"/>
      <c r="I13" s="889"/>
      <c r="J13" s="889"/>
      <c r="K13" s="889"/>
      <c r="L13" s="889"/>
      <c r="M13" s="889"/>
      <c r="N13" s="889"/>
      <c r="O13" s="889"/>
      <c r="P13" s="148"/>
    </row>
    <row r="14" spans="1:16" s="2" customFormat="1" ht="39.950000000000003" customHeight="1">
      <c r="B14" s="165" t="s">
        <v>262</v>
      </c>
      <c r="C14" s="889" t="s">
        <v>4547</v>
      </c>
      <c r="D14" s="889"/>
      <c r="E14" s="889"/>
      <c r="F14" s="889"/>
      <c r="G14" s="889"/>
      <c r="H14" s="889"/>
      <c r="I14" s="889"/>
      <c r="J14" s="889"/>
      <c r="K14" s="889"/>
      <c r="L14" s="889"/>
      <c r="M14" s="889"/>
      <c r="N14" s="889"/>
      <c r="O14" s="889"/>
      <c r="P14" s="148"/>
    </row>
    <row r="16" spans="1:16" ht="15.75">
      <c r="B16" s="670" t="s">
        <v>4425</v>
      </c>
      <c r="C16" s="670"/>
      <c r="D16" s="670"/>
      <c r="E16" s="670"/>
      <c r="F16" s="670"/>
      <c r="G16" s="670"/>
      <c r="H16" s="670"/>
      <c r="I16" s="670"/>
      <c r="J16" s="670"/>
      <c r="K16" s="670"/>
      <c r="L16" s="670"/>
      <c r="M16" s="670"/>
      <c r="N16" s="670"/>
    </row>
  </sheetData>
  <mergeCells count="11">
    <mergeCell ref="B3:O3"/>
    <mergeCell ref="C5:O5"/>
    <mergeCell ref="C8:O8"/>
    <mergeCell ref="C9:O9"/>
    <mergeCell ref="C10:O10"/>
    <mergeCell ref="C7:O7"/>
    <mergeCell ref="B16:N16"/>
    <mergeCell ref="C11:O11"/>
    <mergeCell ref="C12:O12"/>
    <mergeCell ref="C13:O13"/>
    <mergeCell ref="C14:O14"/>
  </mergeCells>
  <conditionalFormatting sqref="B16">
    <cfRule type="cellIs" dxfId="0" priority="1" operator="equal">
      <formula>0</formula>
    </cfRule>
  </conditionalFormatting>
  <dataValidations count="1">
    <dataValidation type="list" allowBlank="1" showInputMessage="1" showErrorMessage="1" sqref="P7:P14" xr:uid="{00000000-0002-0000-1600-000000000000}">
      <formula1>Si_No</formula1>
    </dataValidation>
  </dataValidations>
  <pageMargins left="0.7" right="0.7" top="0.75" bottom="0.75" header="0.3" footer="0.3"/>
  <pageSetup paperSize="9" scale="66" orientation="portrait" horizontalDpi="0" verticalDpi="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21"/>
  <dimension ref="A2:D1876"/>
  <sheetViews>
    <sheetView topLeftCell="A1756" workbookViewId="0">
      <selection activeCell="B7" sqref="B7:E7"/>
    </sheetView>
  </sheetViews>
  <sheetFormatPr baseColWidth="10" defaultColWidth="10.6640625" defaultRowHeight="15"/>
  <cols>
    <col min="1" max="16384" width="10.6640625" style="3"/>
  </cols>
  <sheetData>
    <row r="2" spans="1:4">
      <c r="A2" s="3" t="s">
        <v>27</v>
      </c>
      <c r="B2" s="3" t="s">
        <v>25</v>
      </c>
      <c r="C2" s="3" t="s">
        <v>24</v>
      </c>
      <c r="D2" s="3" t="s">
        <v>23</v>
      </c>
    </row>
    <row r="3" spans="1:4">
      <c r="A3" s="3" t="s">
        <v>271</v>
      </c>
      <c r="B3" s="3" t="s">
        <v>272</v>
      </c>
      <c r="C3" s="3" t="s">
        <v>272</v>
      </c>
      <c r="D3" s="3" t="s">
        <v>273</v>
      </c>
    </row>
    <row r="4" spans="1:4">
      <c r="A4" s="3" t="s">
        <v>274</v>
      </c>
      <c r="B4" s="3" t="s">
        <v>275</v>
      </c>
      <c r="C4" s="3" t="s">
        <v>272</v>
      </c>
      <c r="D4" s="3" t="s">
        <v>273</v>
      </c>
    </row>
    <row r="5" spans="1:4">
      <c r="A5" s="3" t="s">
        <v>276</v>
      </c>
      <c r="B5" s="3" t="s">
        <v>277</v>
      </c>
      <c r="C5" s="3" t="s">
        <v>272</v>
      </c>
      <c r="D5" s="3" t="s">
        <v>273</v>
      </c>
    </row>
    <row r="6" spans="1:4">
      <c r="A6" s="3" t="s">
        <v>278</v>
      </c>
      <c r="B6" s="3" t="s">
        <v>279</v>
      </c>
      <c r="C6" s="3" t="s">
        <v>272</v>
      </c>
      <c r="D6" s="3" t="s">
        <v>273</v>
      </c>
    </row>
    <row r="7" spans="1:4">
      <c r="A7" s="3" t="s">
        <v>280</v>
      </c>
      <c r="B7" s="3" t="s">
        <v>281</v>
      </c>
      <c r="C7" s="3" t="s">
        <v>272</v>
      </c>
      <c r="D7" s="3" t="s">
        <v>273</v>
      </c>
    </row>
    <row r="8" spans="1:4">
      <c r="A8" s="3" t="s">
        <v>282</v>
      </c>
      <c r="B8" s="3" t="s">
        <v>283</v>
      </c>
      <c r="C8" s="3" t="s">
        <v>272</v>
      </c>
      <c r="D8" s="3" t="s">
        <v>273</v>
      </c>
    </row>
    <row r="9" spans="1:4">
      <c r="A9" s="3" t="s">
        <v>284</v>
      </c>
      <c r="B9" s="3" t="s">
        <v>285</v>
      </c>
      <c r="C9" s="3" t="s">
        <v>272</v>
      </c>
      <c r="D9" s="3" t="s">
        <v>273</v>
      </c>
    </row>
    <row r="10" spans="1:4">
      <c r="A10" s="3" t="s">
        <v>286</v>
      </c>
      <c r="B10" s="3" t="s">
        <v>287</v>
      </c>
      <c r="C10" s="3" t="s">
        <v>272</v>
      </c>
      <c r="D10" s="3" t="s">
        <v>273</v>
      </c>
    </row>
    <row r="11" spans="1:4">
      <c r="A11" s="3" t="s">
        <v>288</v>
      </c>
      <c r="B11" s="3" t="s">
        <v>289</v>
      </c>
      <c r="C11" s="3" t="s">
        <v>272</v>
      </c>
      <c r="D11" s="3" t="s">
        <v>273</v>
      </c>
    </row>
    <row r="12" spans="1:4">
      <c r="A12" s="3" t="s">
        <v>290</v>
      </c>
      <c r="B12" s="3" t="s">
        <v>291</v>
      </c>
      <c r="C12" s="3" t="s">
        <v>272</v>
      </c>
      <c r="D12" s="3" t="s">
        <v>273</v>
      </c>
    </row>
    <row r="13" spans="1:4">
      <c r="A13" s="3" t="s">
        <v>292</v>
      </c>
      <c r="B13" s="3" t="s">
        <v>293</v>
      </c>
      <c r="C13" s="3" t="s">
        <v>272</v>
      </c>
      <c r="D13" s="3" t="s">
        <v>273</v>
      </c>
    </row>
    <row r="14" spans="1:4">
      <c r="A14" s="3" t="s">
        <v>294</v>
      </c>
      <c r="B14" s="3" t="s">
        <v>295</v>
      </c>
      <c r="C14" s="3" t="s">
        <v>272</v>
      </c>
      <c r="D14" s="3" t="s">
        <v>273</v>
      </c>
    </row>
    <row r="15" spans="1:4">
      <c r="A15" s="3" t="s">
        <v>296</v>
      </c>
      <c r="B15" s="3" t="s">
        <v>297</v>
      </c>
      <c r="C15" s="3" t="s">
        <v>272</v>
      </c>
      <c r="D15" s="3" t="s">
        <v>273</v>
      </c>
    </row>
    <row r="16" spans="1:4">
      <c r="A16" s="3" t="s">
        <v>298</v>
      </c>
      <c r="B16" s="3" t="s">
        <v>299</v>
      </c>
      <c r="C16" s="3" t="s">
        <v>272</v>
      </c>
      <c r="D16" s="3" t="s">
        <v>273</v>
      </c>
    </row>
    <row r="17" spans="1:4">
      <c r="A17" s="3" t="s">
        <v>300</v>
      </c>
      <c r="B17" s="3" t="s">
        <v>301</v>
      </c>
      <c r="C17" s="3" t="s">
        <v>272</v>
      </c>
      <c r="D17" s="3" t="s">
        <v>273</v>
      </c>
    </row>
    <row r="18" spans="1:4">
      <c r="A18" s="3" t="s">
        <v>302</v>
      </c>
      <c r="B18" s="3" t="s">
        <v>303</v>
      </c>
      <c r="C18" s="3" t="s">
        <v>272</v>
      </c>
      <c r="D18" s="3" t="s">
        <v>273</v>
      </c>
    </row>
    <row r="19" spans="1:4">
      <c r="A19" s="3" t="s">
        <v>304</v>
      </c>
      <c r="B19" s="3" t="s">
        <v>305</v>
      </c>
      <c r="C19" s="3" t="s">
        <v>272</v>
      </c>
      <c r="D19" s="3" t="s">
        <v>273</v>
      </c>
    </row>
    <row r="20" spans="1:4">
      <c r="A20" s="3" t="s">
        <v>306</v>
      </c>
      <c r="B20" s="3" t="s">
        <v>307</v>
      </c>
      <c r="C20" s="3" t="s">
        <v>272</v>
      </c>
      <c r="D20" s="3" t="s">
        <v>273</v>
      </c>
    </row>
    <row r="21" spans="1:4">
      <c r="A21" s="3" t="s">
        <v>308</v>
      </c>
      <c r="B21" s="3" t="s">
        <v>309</v>
      </c>
      <c r="C21" s="3" t="s">
        <v>272</v>
      </c>
      <c r="D21" s="3" t="s">
        <v>273</v>
      </c>
    </row>
    <row r="22" spans="1:4">
      <c r="A22" s="3" t="s">
        <v>310</v>
      </c>
      <c r="B22" s="3" t="s">
        <v>311</v>
      </c>
      <c r="C22" s="3" t="s">
        <v>272</v>
      </c>
      <c r="D22" s="3" t="s">
        <v>273</v>
      </c>
    </row>
    <row r="23" spans="1:4">
      <c r="A23" s="3" t="s">
        <v>312</v>
      </c>
      <c r="B23" s="3" t="s">
        <v>313</v>
      </c>
      <c r="C23" s="3" t="s">
        <v>272</v>
      </c>
      <c r="D23" s="3" t="s">
        <v>273</v>
      </c>
    </row>
    <row r="24" spans="1:4">
      <c r="A24" s="3" t="s">
        <v>314</v>
      </c>
      <c r="B24" s="3" t="s">
        <v>315</v>
      </c>
      <c r="C24" s="3" t="s">
        <v>315</v>
      </c>
      <c r="D24" s="3" t="s">
        <v>273</v>
      </c>
    </row>
    <row r="25" spans="1:4">
      <c r="A25" s="3" t="s">
        <v>316</v>
      </c>
      <c r="B25" s="3" t="s">
        <v>317</v>
      </c>
      <c r="C25" s="3" t="s">
        <v>315</v>
      </c>
      <c r="D25" s="3" t="s">
        <v>273</v>
      </c>
    </row>
    <row r="26" spans="1:4">
      <c r="A26" s="3" t="s">
        <v>318</v>
      </c>
      <c r="B26" s="3" t="s">
        <v>319</v>
      </c>
      <c r="C26" s="3" t="s">
        <v>315</v>
      </c>
      <c r="D26" s="3" t="s">
        <v>273</v>
      </c>
    </row>
    <row r="27" spans="1:4">
      <c r="A27" s="3" t="s">
        <v>320</v>
      </c>
      <c r="B27" s="3" t="s">
        <v>321</v>
      </c>
      <c r="C27" s="3" t="s">
        <v>315</v>
      </c>
      <c r="D27" s="3" t="s">
        <v>273</v>
      </c>
    </row>
    <row r="28" spans="1:4">
      <c r="A28" s="3" t="s">
        <v>322</v>
      </c>
      <c r="B28" s="3" t="s">
        <v>323</v>
      </c>
      <c r="C28" s="3" t="s">
        <v>315</v>
      </c>
      <c r="D28" s="3" t="s">
        <v>273</v>
      </c>
    </row>
    <row r="29" spans="1:4">
      <c r="A29" s="3" t="s">
        <v>324</v>
      </c>
      <c r="B29" s="3" t="s">
        <v>325</v>
      </c>
      <c r="C29" s="3" t="s">
        <v>315</v>
      </c>
      <c r="D29" s="3" t="s">
        <v>273</v>
      </c>
    </row>
    <row r="30" spans="1:4">
      <c r="A30" s="3" t="s">
        <v>326</v>
      </c>
      <c r="B30" s="3" t="s">
        <v>327</v>
      </c>
      <c r="C30" s="3" t="s">
        <v>328</v>
      </c>
      <c r="D30" s="3" t="s">
        <v>273</v>
      </c>
    </row>
    <row r="31" spans="1:4">
      <c r="A31" s="3" t="s">
        <v>329</v>
      </c>
      <c r="B31" s="3" t="s">
        <v>330</v>
      </c>
      <c r="C31" s="3" t="s">
        <v>328</v>
      </c>
      <c r="D31" s="3" t="s">
        <v>273</v>
      </c>
    </row>
    <row r="32" spans="1:4">
      <c r="A32" s="3" t="s">
        <v>331</v>
      </c>
      <c r="B32" s="3" t="s">
        <v>332</v>
      </c>
      <c r="C32" s="3" t="s">
        <v>328</v>
      </c>
      <c r="D32" s="3" t="s">
        <v>273</v>
      </c>
    </row>
    <row r="33" spans="1:4">
      <c r="A33" s="3" t="s">
        <v>333</v>
      </c>
      <c r="B33" s="3" t="s">
        <v>334</v>
      </c>
      <c r="C33" s="3" t="s">
        <v>328</v>
      </c>
      <c r="D33" s="3" t="s">
        <v>273</v>
      </c>
    </row>
    <row r="34" spans="1:4">
      <c r="A34" s="3" t="s">
        <v>335</v>
      </c>
      <c r="B34" s="3" t="s">
        <v>336</v>
      </c>
      <c r="C34" s="3" t="s">
        <v>328</v>
      </c>
      <c r="D34" s="3" t="s">
        <v>273</v>
      </c>
    </row>
    <row r="35" spans="1:4">
      <c r="A35" s="3" t="s">
        <v>337</v>
      </c>
      <c r="B35" s="3" t="s">
        <v>338</v>
      </c>
      <c r="C35" s="3" t="s">
        <v>328</v>
      </c>
      <c r="D35" s="3" t="s">
        <v>273</v>
      </c>
    </row>
    <row r="36" spans="1:4">
      <c r="A36" s="3" t="s">
        <v>339</v>
      </c>
      <c r="B36" s="3" t="s">
        <v>340</v>
      </c>
      <c r="C36" s="3" t="s">
        <v>328</v>
      </c>
      <c r="D36" s="3" t="s">
        <v>273</v>
      </c>
    </row>
    <row r="37" spans="1:4">
      <c r="A37" s="3" t="s">
        <v>341</v>
      </c>
      <c r="B37" s="3" t="s">
        <v>342</v>
      </c>
      <c r="C37" s="3" t="s">
        <v>328</v>
      </c>
      <c r="D37" s="3" t="s">
        <v>273</v>
      </c>
    </row>
    <row r="38" spans="1:4">
      <c r="A38" s="3" t="s">
        <v>343</v>
      </c>
      <c r="B38" s="3" t="s">
        <v>344</v>
      </c>
      <c r="C38" s="3" t="s">
        <v>328</v>
      </c>
      <c r="D38" s="3" t="s">
        <v>273</v>
      </c>
    </row>
    <row r="39" spans="1:4">
      <c r="A39" s="3" t="s">
        <v>345</v>
      </c>
      <c r="B39" s="3" t="s">
        <v>346</v>
      </c>
      <c r="C39" s="3" t="s">
        <v>328</v>
      </c>
      <c r="D39" s="3" t="s">
        <v>273</v>
      </c>
    </row>
    <row r="40" spans="1:4">
      <c r="A40" s="3" t="s">
        <v>347</v>
      </c>
      <c r="B40" s="3" t="s">
        <v>348</v>
      </c>
      <c r="C40" s="3" t="s">
        <v>328</v>
      </c>
      <c r="D40" s="3" t="s">
        <v>273</v>
      </c>
    </row>
    <row r="41" spans="1:4">
      <c r="A41" s="3" t="s">
        <v>349</v>
      </c>
      <c r="B41" s="3" t="s">
        <v>350</v>
      </c>
      <c r="C41" s="3" t="s">
        <v>328</v>
      </c>
      <c r="D41" s="3" t="s">
        <v>273</v>
      </c>
    </row>
    <row r="42" spans="1:4">
      <c r="A42" s="3" t="s">
        <v>351</v>
      </c>
      <c r="B42" s="3" t="s">
        <v>352</v>
      </c>
      <c r="C42" s="3" t="s">
        <v>353</v>
      </c>
      <c r="D42" s="3" t="s">
        <v>273</v>
      </c>
    </row>
    <row r="43" spans="1:4">
      <c r="A43" s="3" t="s">
        <v>354</v>
      </c>
      <c r="B43" s="3" t="s">
        <v>355</v>
      </c>
      <c r="C43" s="3" t="s">
        <v>353</v>
      </c>
      <c r="D43" s="3" t="s">
        <v>273</v>
      </c>
    </row>
    <row r="44" spans="1:4">
      <c r="A44" s="3" t="s">
        <v>356</v>
      </c>
      <c r="B44" s="3" t="s">
        <v>357</v>
      </c>
      <c r="C44" s="3" t="s">
        <v>353</v>
      </c>
      <c r="D44" s="3" t="s">
        <v>273</v>
      </c>
    </row>
    <row r="45" spans="1:4">
      <c r="A45" s="3" t="s">
        <v>358</v>
      </c>
      <c r="B45" s="3" t="s">
        <v>359</v>
      </c>
      <c r="C45" s="3" t="s">
        <v>360</v>
      </c>
      <c r="D45" s="3" t="s">
        <v>273</v>
      </c>
    </row>
    <row r="46" spans="1:4">
      <c r="A46" s="3" t="s">
        <v>361</v>
      </c>
      <c r="B46" s="3" t="s">
        <v>362</v>
      </c>
      <c r="C46" s="3" t="s">
        <v>360</v>
      </c>
      <c r="D46" s="3" t="s">
        <v>273</v>
      </c>
    </row>
    <row r="47" spans="1:4">
      <c r="A47" s="3" t="s">
        <v>363</v>
      </c>
      <c r="B47" s="3" t="s">
        <v>364</v>
      </c>
      <c r="C47" s="3" t="s">
        <v>360</v>
      </c>
      <c r="D47" s="3" t="s">
        <v>273</v>
      </c>
    </row>
    <row r="48" spans="1:4">
      <c r="A48" s="3" t="s">
        <v>365</v>
      </c>
      <c r="B48" s="3" t="s">
        <v>366</v>
      </c>
      <c r="C48" s="3" t="s">
        <v>360</v>
      </c>
      <c r="D48" s="3" t="s">
        <v>273</v>
      </c>
    </row>
    <row r="49" spans="1:4">
      <c r="A49" s="3" t="s">
        <v>367</v>
      </c>
      <c r="B49" s="3" t="s">
        <v>368</v>
      </c>
      <c r="C49" s="3" t="s">
        <v>360</v>
      </c>
      <c r="D49" s="3" t="s">
        <v>273</v>
      </c>
    </row>
    <row r="50" spans="1:4">
      <c r="A50" s="3" t="s">
        <v>369</v>
      </c>
      <c r="B50" s="3" t="s">
        <v>370</v>
      </c>
      <c r="C50" s="3" t="s">
        <v>360</v>
      </c>
      <c r="D50" s="3" t="s">
        <v>273</v>
      </c>
    </row>
    <row r="51" spans="1:4">
      <c r="A51" s="3" t="s">
        <v>371</v>
      </c>
      <c r="B51" s="3" t="s">
        <v>372</v>
      </c>
      <c r="C51" s="3" t="s">
        <v>360</v>
      </c>
      <c r="D51" s="3" t="s">
        <v>273</v>
      </c>
    </row>
    <row r="52" spans="1:4">
      <c r="A52" s="3" t="s">
        <v>373</v>
      </c>
      <c r="B52" s="3" t="s">
        <v>374</v>
      </c>
      <c r="C52" s="3" t="s">
        <v>360</v>
      </c>
      <c r="D52" s="3" t="s">
        <v>273</v>
      </c>
    </row>
    <row r="53" spans="1:4">
      <c r="A53" s="3" t="s">
        <v>375</v>
      </c>
      <c r="B53" s="3" t="s">
        <v>360</v>
      </c>
      <c r="C53" s="3" t="s">
        <v>360</v>
      </c>
      <c r="D53" s="3" t="s">
        <v>273</v>
      </c>
    </row>
    <row r="54" spans="1:4">
      <c r="A54" s="3" t="s">
        <v>376</v>
      </c>
      <c r="B54" s="3" t="s">
        <v>377</v>
      </c>
      <c r="C54" s="3" t="s">
        <v>360</v>
      </c>
      <c r="D54" s="3" t="s">
        <v>273</v>
      </c>
    </row>
    <row r="55" spans="1:4">
      <c r="A55" s="3" t="s">
        <v>378</v>
      </c>
      <c r="B55" s="3" t="s">
        <v>379</v>
      </c>
      <c r="C55" s="3" t="s">
        <v>360</v>
      </c>
      <c r="D55" s="3" t="s">
        <v>273</v>
      </c>
    </row>
    <row r="56" spans="1:4">
      <c r="A56" s="3" t="s">
        <v>380</v>
      </c>
      <c r="B56" s="3" t="s">
        <v>381</v>
      </c>
      <c r="C56" s="3" t="s">
        <v>360</v>
      </c>
      <c r="D56" s="3" t="s">
        <v>273</v>
      </c>
    </row>
    <row r="57" spans="1:4">
      <c r="A57" s="3" t="s">
        <v>382</v>
      </c>
      <c r="B57" s="3" t="s">
        <v>383</v>
      </c>
      <c r="C57" s="3" t="s">
        <v>360</v>
      </c>
      <c r="D57" s="3" t="s">
        <v>273</v>
      </c>
    </row>
    <row r="58" spans="1:4">
      <c r="A58" s="3" t="s">
        <v>384</v>
      </c>
      <c r="B58" s="3" t="s">
        <v>385</v>
      </c>
      <c r="C58" s="3" t="s">
        <v>360</v>
      </c>
      <c r="D58" s="3" t="s">
        <v>273</v>
      </c>
    </row>
    <row r="59" spans="1:4">
      <c r="A59" s="3" t="s">
        <v>386</v>
      </c>
      <c r="B59" s="3" t="s">
        <v>387</v>
      </c>
      <c r="C59" s="3" t="s">
        <v>360</v>
      </c>
      <c r="D59" s="3" t="s">
        <v>273</v>
      </c>
    </row>
    <row r="60" spans="1:4">
      <c r="A60" s="3" t="s">
        <v>388</v>
      </c>
      <c r="B60" s="3" t="s">
        <v>389</v>
      </c>
      <c r="C60" s="3" t="s">
        <v>360</v>
      </c>
      <c r="D60" s="3" t="s">
        <v>273</v>
      </c>
    </row>
    <row r="61" spans="1:4">
      <c r="A61" s="3" t="s">
        <v>390</v>
      </c>
      <c r="B61" s="3" t="s">
        <v>391</v>
      </c>
      <c r="C61" s="3" t="s">
        <v>360</v>
      </c>
      <c r="D61" s="3" t="s">
        <v>273</v>
      </c>
    </row>
    <row r="62" spans="1:4">
      <c r="A62" s="3" t="s">
        <v>392</v>
      </c>
      <c r="B62" s="3" t="s">
        <v>393</v>
      </c>
      <c r="C62" s="3" t="s">
        <v>360</v>
      </c>
      <c r="D62" s="3" t="s">
        <v>273</v>
      </c>
    </row>
    <row r="63" spans="1:4">
      <c r="A63" s="3" t="s">
        <v>394</v>
      </c>
      <c r="B63" s="3" t="s">
        <v>395</v>
      </c>
      <c r="C63" s="3" t="s">
        <v>360</v>
      </c>
      <c r="D63" s="3" t="s">
        <v>273</v>
      </c>
    </row>
    <row r="64" spans="1:4">
      <c r="A64" s="3" t="s">
        <v>396</v>
      </c>
      <c r="B64" s="3" t="s">
        <v>397</v>
      </c>
      <c r="C64" s="3" t="s">
        <v>360</v>
      </c>
      <c r="D64" s="3" t="s">
        <v>273</v>
      </c>
    </row>
    <row r="65" spans="1:4">
      <c r="A65" s="3" t="s">
        <v>398</v>
      </c>
      <c r="B65" s="3" t="s">
        <v>399</v>
      </c>
      <c r="C65" s="3" t="s">
        <v>360</v>
      </c>
      <c r="D65" s="3" t="s">
        <v>273</v>
      </c>
    </row>
    <row r="66" spans="1:4">
      <c r="A66" s="3" t="s">
        <v>400</v>
      </c>
      <c r="B66" s="3" t="s">
        <v>401</v>
      </c>
      <c r="C66" s="3" t="s">
        <v>360</v>
      </c>
      <c r="D66" s="3" t="s">
        <v>273</v>
      </c>
    </row>
    <row r="67" spans="1:4">
      <c r="A67" s="3" t="s">
        <v>402</v>
      </c>
      <c r="B67" s="3" t="s">
        <v>403</v>
      </c>
      <c r="C67" s="3" t="s">
        <v>360</v>
      </c>
      <c r="D67" s="3" t="s">
        <v>273</v>
      </c>
    </row>
    <row r="68" spans="1:4">
      <c r="A68" s="3" t="s">
        <v>404</v>
      </c>
      <c r="B68" s="3" t="s">
        <v>405</v>
      </c>
      <c r="C68" s="3" t="s">
        <v>406</v>
      </c>
      <c r="D68" s="3" t="s">
        <v>273</v>
      </c>
    </row>
    <row r="69" spans="1:4">
      <c r="A69" s="3" t="s">
        <v>407</v>
      </c>
      <c r="B69" s="3" t="s">
        <v>408</v>
      </c>
      <c r="C69" s="3" t="s">
        <v>406</v>
      </c>
      <c r="D69" s="3" t="s">
        <v>273</v>
      </c>
    </row>
    <row r="70" spans="1:4">
      <c r="A70" s="3" t="s">
        <v>409</v>
      </c>
      <c r="B70" s="3" t="s">
        <v>410</v>
      </c>
      <c r="C70" s="3" t="s">
        <v>406</v>
      </c>
      <c r="D70" s="3" t="s">
        <v>273</v>
      </c>
    </row>
    <row r="71" spans="1:4">
      <c r="A71" s="3" t="s">
        <v>411</v>
      </c>
      <c r="B71" s="3" t="s">
        <v>412</v>
      </c>
      <c r="C71" s="3" t="s">
        <v>406</v>
      </c>
      <c r="D71" s="3" t="s">
        <v>273</v>
      </c>
    </row>
    <row r="72" spans="1:4">
      <c r="A72" s="3" t="s">
        <v>413</v>
      </c>
      <c r="B72" s="3" t="s">
        <v>414</v>
      </c>
      <c r="C72" s="3" t="s">
        <v>406</v>
      </c>
      <c r="D72" s="3" t="s">
        <v>273</v>
      </c>
    </row>
    <row r="73" spans="1:4">
      <c r="A73" s="3" t="s">
        <v>415</v>
      </c>
      <c r="B73" s="3" t="s">
        <v>416</v>
      </c>
      <c r="C73" s="3" t="s">
        <v>406</v>
      </c>
      <c r="D73" s="3" t="s">
        <v>273</v>
      </c>
    </row>
    <row r="74" spans="1:4">
      <c r="A74" s="3" t="s">
        <v>417</v>
      </c>
      <c r="B74" s="3" t="s">
        <v>418</v>
      </c>
      <c r="C74" s="3" t="s">
        <v>406</v>
      </c>
      <c r="D74" s="3" t="s">
        <v>273</v>
      </c>
    </row>
    <row r="75" spans="1:4">
      <c r="A75" s="3" t="s">
        <v>419</v>
      </c>
      <c r="B75" s="3" t="s">
        <v>420</v>
      </c>
      <c r="C75" s="3" t="s">
        <v>406</v>
      </c>
      <c r="D75" s="3" t="s">
        <v>273</v>
      </c>
    </row>
    <row r="76" spans="1:4">
      <c r="A76" s="3" t="s">
        <v>421</v>
      </c>
      <c r="B76" s="3" t="s">
        <v>422</v>
      </c>
      <c r="C76" s="3" t="s">
        <v>406</v>
      </c>
      <c r="D76" s="3" t="s">
        <v>273</v>
      </c>
    </row>
    <row r="77" spans="1:4">
      <c r="A77" s="3" t="s">
        <v>423</v>
      </c>
      <c r="B77" s="3" t="s">
        <v>424</v>
      </c>
      <c r="C77" s="3" t="s">
        <v>406</v>
      </c>
      <c r="D77" s="3" t="s">
        <v>273</v>
      </c>
    </row>
    <row r="78" spans="1:4">
      <c r="A78" s="3" t="s">
        <v>425</v>
      </c>
      <c r="B78" s="3" t="s">
        <v>426</v>
      </c>
      <c r="C78" s="3" t="s">
        <v>406</v>
      </c>
      <c r="D78" s="3" t="s">
        <v>273</v>
      </c>
    </row>
    <row r="79" spans="1:4">
      <c r="A79" s="3" t="s">
        <v>427</v>
      </c>
      <c r="B79" s="3" t="s">
        <v>428</v>
      </c>
      <c r="C79" s="3" t="s">
        <v>406</v>
      </c>
      <c r="D79" s="3" t="s">
        <v>273</v>
      </c>
    </row>
    <row r="80" spans="1:4">
      <c r="A80" s="3" t="s">
        <v>429</v>
      </c>
      <c r="B80" s="3" t="s">
        <v>430</v>
      </c>
      <c r="C80" s="3" t="s">
        <v>431</v>
      </c>
      <c r="D80" s="3" t="s">
        <v>273</v>
      </c>
    </row>
    <row r="81" spans="1:4">
      <c r="A81" s="3" t="s">
        <v>432</v>
      </c>
      <c r="B81" s="3" t="s">
        <v>433</v>
      </c>
      <c r="C81" s="3" t="s">
        <v>431</v>
      </c>
      <c r="D81" s="3" t="s">
        <v>273</v>
      </c>
    </row>
    <row r="82" spans="1:4">
      <c r="A82" s="3" t="s">
        <v>434</v>
      </c>
      <c r="B82" s="3" t="s">
        <v>435</v>
      </c>
      <c r="C82" s="3" t="s">
        <v>431</v>
      </c>
      <c r="D82" s="3" t="s">
        <v>273</v>
      </c>
    </row>
    <row r="83" spans="1:4">
      <c r="A83" s="3" t="s">
        <v>436</v>
      </c>
      <c r="B83" s="3" t="s">
        <v>437</v>
      </c>
      <c r="C83" s="3" t="s">
        <v>431</v>
      </c>
      <c r="D83" s="3" t="s">
        <v>273</v>
      </c>
    </row>
    <row r="84" spans="1:4">
      <c r="A84" s="3" t="s">
        <v>438</v>
      </c>
      <c r="B84" s="3" t="s">
        <v>439</v>
      </c>
      <c r="C84" s="3" t="s">
        <v>431</v>
      </c>
      <c r="D84" s="3" t="s">
        <v>273</v>
      </c>
    </row>
    <row r="85" spans="1:4">
      <c r="A85" s="3" t="s">
        <v>440</v>
      </c>
      <c r="B85" s="3" t="s">
        <v>441</v>
      </c>
      <c r="C85" s="3" t="s">
        <v>431</v>
      </c>
      <c r="D85" s="3" t="s">
        <v>273</v>
      </c>
    </row>
    <row r="86" spans="1:4">
      <c r="A86" s="3" t="s">
        <v>442</v>
      </c>
      <c r="B86" s="3" t="s">
        <v>443</v>
      </c>
      <c r="C86" s="3" t="s">
        <v>431</v>
      </c>
      <c r="D86" s="3" t="s">
        <v>273</v>
      </c>
    </row>
    <row r="87" spans="1:4">
      <c r="A87" s="3" t="s">
        <v>444</v>
      </c>
      <c r="B87" s="3" t="s">
        <v>445</v>
      </c>
      <c r="C87" s="3" t="s">
        <v>445</v>
      </c>
      <c r="D87" s="3" t="s">
        <v>446</v>
      </c>
    </row>
    <row r="88" spans="1:4">
      <c r="A88" s="3" t="s">
        <v>447</v>
      </c>
      <c r="B88" s="3" t="s">
        <v>448</v>
      </c>
      <c r="C88" s="3" t="s">
        <v>445</v>
      </c>
      <c r="D88" s="3" t="s">
        <v>446</v>
      </c>
    </row>
    <row r="89" spans="1:4">
      <c r="A89" s="3" t="s">
        <v>449</v>
      </c>
      <c r="B89" s="3" t="s">
        <v>450</v>
      </c>
      <c r="C89" s="3" t="s">
        <v>445</v>
      </c>
      <c r="D89" s="3" t="s">
        <v>446</v>
      </c>
    </row>
    <row r="90" spans="1:4">
      <c r="A90" s="3" t="s">
        <v>451</v>
      </c>
      <c r="B90" s="3" t="s">
        <v>452</v>
      </c>
      <c r="C90" s="3" t="s">
        <v>445</v>
      </c>
      <c r="D90" s="3" t="s">
        <v>446</v>
      </c>
    </row>
    <row r="91" spans="1:4">
      <c r="A91" s="3" t="s">
        <v>453</v>
      </c>
      <c r="B91" s="3" t="s">
        <v>454</v>
      </c>
      <c r="C91" s="3" t="s">
        <v>445</v>
      </c>
      <c r="D91" s="3" t="s">
        <v>446</v>
      </c>
    </row>
    <row r="92" spans="1:4">
      <c r="A92" s="3" t="s">
        <v>455</v>
      </c>
      <c r="B92" s="3" t="s">
        <v>456</v>
      </c>
      <c r="C92" s="3" t="s">
        <v>445</v>
      </c>
      <c r="D92" s="3" t="s">
        <v>446</v>
      </c>
    </row>
    <row r="93" spans="1:4">
      <c r="A93" s="3" t="s">
        <v>457</v>
      </c>
      <c r="B93" s="3" t="s">
        <v>458</v>
      </c>
      <c r="C93" s="3" t="s">
        <v>445</v>
      </c>
      <c r="D93" s="3" t="s">
        <v>446</v>
      </c>
    </row>
    <row r="94" spans="1:4">
      <c r="A94" s="3" t="s">
        <v>459</v>
      </c>
      <c r="B94" s="3" t="s">
        <v>303</v>
      </c>
      <c r="C94" s="3" t="s">
        <v>445</v>
      </c>
      <c r="D94" s="3" t="s">
        <v>446</v>
      </c>
    </row>
    <row r="95" spans="1:4">
      <c r="A95" s="3" t="s">
        <v>460</v>
      </c>
      <c r="B95" s="3" t="s">
        <v>461</v>
      </c>
      <c r="C95" s="3" t="s">
        <v>445</v>
      </c>
      <c r="D95" s="3" t="s">
        <v>446</v>
      </c>
    </row>
    <row r="96" spans="1:4">
      <c r="A96" s="3" t="s">
        <v>462</v>
      </c>
      <c r="B96" s="3" t="s">
        <v>463</v>
      </c>
      <c r="C96" s="3" t="s">
        <v>445</v>
      </c>
      <c r="D96" s="3" t="s">
        <v>446</v>
      </c>
    </row>
    <row r="97" spans="1:4">
      <c r="A97" s="3" t="s">
        <v>464</v>
      </c>
      <c r="B97" s="3" t="s">
        <v>465</v>
      </c>
      <c r="C97" s="3" t="s">
        <v>445</v>
      </c>
      <c r="D97" s="3" t="s">
        <v>446</v>
      </c>
    </row>
    <row r="98" spans="1:4">
      <c r="A98" s="3" t="s">
        <v>466</v>
      </c>
      <c r="B98" s="3" t="s">
        <v>467</v>
      </c>
      <c r="C98" s="3" t="s">
        <v>445</v>
      </c>
      <c r="D98" s="3" t="s">
        <v>446</v>
      </c>
    </row>
    <row r="99" spans="1:4">
      <c r="A99" s="3" t="s">
        <v>468</v>
      </c>
      <c r="B99" s="3" t="s">
        <v>469</v>
      </c>
      <c r="C99" s="3" t="s">
        <v>469</v>
      </c>
      <c r="D99" s="3" t="s">
        <v>446</v>
      </c>
    </row>
    <row r="100" spans="1:4">
      <c r="A100" s="3" t="s">
        <v>470</v>
      </c>
      <c r="B100" s="3" t="s">
        <v>471</v>
      </c>
      <c r="C100" s="3" t="s">
        <v>469</v>
      </c>
      <c r="D100" s="3" t="s">
        <v>446</v>
      </c>
    </row>
    <row r="101" spans="1:4">
      <c r="A101" s="3" t="s">
        <v>472</v>
      </c>
      <c r="B101" s="3" t="s">
        <v>473</v>
      </c>
      <c r="C101" s="3" t="s">
        <v>469</v>
      </c>
      <c r="D101" s="3" t="s">
        <v>446</v>
      </c>
    </row>
    <row r="102" spans="1:4">
      <c r="A102" s="3" t="s">
        <v>474</v>
      </c>
      <c r="B102" s="3" t="s">
        <v>475</v>
      </c>
      <c r="C102" s="3" t="s">
        <v>469</v>
      </c>
      <c r="D102" s="3" t="s">
        <v>446</v>
      </c>
    </row>
    <row r="103" spans="1:4">
      <c r="A103" s="3" t="s">
        <v>476</v>
      </c>
      <c r="B103" s="3" t="s">
        <v>477</v>
      </c>
      <c r="C103" s="3" t="s">
        <v>469</v>
      </c>
      <c r="D103" s="3" t="s">
        <v>446</v>
      </c>
    </row>
    <row r="104" spans="1:4">
      <c r="A104" s="3" t="s">
        <v>478</v>
      </c>
      <c r="B104" s="3" t="s">
        <v>479</v>
      </c>
      <c r="C104" s="3" t="s">
        <v>480</v>
      </c>
      <c r="D104" s="3" t="s">
        <v>446</v>
      </c>
    </row>
    <row r="105" spans="1:4">
      <c r="A105" s="3" t="s">
        <v>481</v>
      </c>
      <c r="B105" s="3" t="s">
        <v>482</v>
      </c>
      <c r="C105" s="3" t="s">
        <v>480</v>
      </c>
      <c r="D105" s="3" t="s">
        <v>446</v>
      </c>
    </row>
    <row r="106" spans="1:4">
      <c r="A106" s="3" t="s">
        <v>483</v>
      </c>
      <c r="B106" s="3" t="s">
        <v>484</v>
      </c>
      <c r="C106" s="3" t="s">
        <v>480</v>
      </c>
      <c r="D106" s="3" t="s">
        <v>446</v>
      </c>
    </row>
    <row r="107" spans="1:4">
      <c r="A107" s="3" t="s">
        <v>485</v>
      </c>
      <c r="B107" s="3" t="s">
        <v>486</v>
      </c>
      <c r="C107" s="3" t="s">
        <v>480</v>
      </c>
      <c r="D107" s="3" t="s">
        <v>446</v>
      </c>
    </row>
    <row r="108" spans="1:4">
      <c r="A108" s="3" t="s">
        <v>487</v>
      </c>
      <c r="B108" s="3" t="s">
        <v>488</v>
      </c>
      <c r="C108" s="3" t="s">
        <v>480</v>
      </c>
      <c r="D108" s="3" t="s">
        <v>446</v>
      </c>
    </row>
    <row r="109" spans="1:4">
      <c r="A109" s="3" t="s">
        <v>489</v>
      </c>
      <c r="B109" s="3" t="s">
        <v>490</v>
      </c>
      <c r="C109" s="3" t="s">
        <v>480</v>
      </c>
      <c r="D109" s="3" t="s">
        <v>446</v>
      </c>
    </row>
    <row r="110" spans="1:4">
      <c r="A110" s="3" t="s">
        <v>491</v>
      </c>
      <c r="B110" s="3" t="s">
        <v>492</v>
      </c>
      <c r="C110" s="3" t="s">
        <v>275</v>
      </c>
      <c r="D110" s="3" t="s">
        <v>446</v>
      </c>
    </row>
    <row r="111" spans="1:4">
      <c r="A111" s="3" t="s">
        <v>493</v>
      </c>
      <c r="B111" s="3" t="s">
        <v>494</v>
      </c>
      <c r="C111" s="3" t="s">
        <v>275</v>
      </c>
      <c r="D111" s="3" t="s">
        <v>446</v>
      </c>
    </row>
    <row r="112" spans="1:4">
      <c r="A112" s="3" t="s">
        <v>495</v>
      </c>
      <c r="B112" s="3" t="s">
        <v>496</v>
      </c>
      <c r="C112" s="3" t="s">
        <v>497</v>
      </c>
      <c r="D112" s="3" t="s">
        <v>446</v>
      </c>
    </row>
    <row r="113" spans="1:4">
      <c r="A113" s="3" t="s">
        <v>498</v>
      </c>
      <c r="B113" s="3" t="s">
        <v>499</v>
      </c>
      <c r="C113" s="3" t="s">
        <v>497</v>
      </c>
      <c r="D113" s="3" t="s">
        <v>446</v>
      </c>
    </row>
    <row r="114" spans="1:4">
      <c r="A114" s="3" t="s">
        <v>500</v>
      </c>
      <c r="B114" s="3" t="s">
        <v>480</v>
      </c>
      <c r="C114" s="3" t="s">
        <v>497</v>
      </c>
      <c r="D114" s="3" t="s">
        <v>446</v>
      </c>
    </row>
    <row r="115" spans="1:4">
      <c r="A115" s="3" t="s">
        <v>501</v>
      </c>
      <c r="B115" s="3" t="s">
        <v>502</v>
      </c>
      <c r="C115" s="3" t="s">
        <v>497</v>
      </c>
      <c r="D115" s="3" t="s">
        <v>446</v>
      </c>
    </row>
    <row r="116" spans="1:4">
      <c r="A116" s="3" t="s">
        <v>503</v>
      </c>
      <c r="B116" s="3" t="s">
        <v>504</v>
      </c>
      <c r="C116" s="3" t="s">
        <v>497</v>
      </c>
      <c r="D116" s="3" t="s">
        <v>446</v>
      </c>
    </row>
    <row r="117" spans="1:4">
      <c r="A117" s="3" t="s">
        <v>505</v>
      </c>
      <c r="B117" s="3" t="s">
        <v>506</v>
      </c>
      <c r="C117" s="3" t="s">
        <v>497</v>
      </c>
      <c r="D117" s="3" t="s">
        <v>446</v>
      </c>
    </row>
    <row r="118" spans="1:4">
      <c r="A118" s="3" t="s">
        <v>507</v>
      </c>
      <c r="B118" s="3" t="s">
        <v>508</v>
      </c>
      <c r="C118" s="3" t="s">
        <v>497</v>
      </c>
      <c r="D118" s="3" t="s">
        <v>446</v>
      </c>
    </row>
    <row r="119" spans="1:4">
      <c r="A119" s="3" t="s">
        <v>509</v>
      </c>
      <c r="B119" s="3" t="s">
        <v>510</v>
      </c>
      <c r="C119" s="3" t="s">
        <v>497</v>
      </c>
      <c r="D119" s="3" t="s">
        <v>446</v>
      </c>
    </row>
    <row r="120" spans="1:4">
      <c r="A120" s="3" t="s">
        <v>511</v>
      </c>
      <c r="B120" s="3" t="s">
        <v>512</v>
      </c>
      <c r="C120" s="3" t="s">
        <v>497</v>
      </c>
      <c r="D120" s="3" t="s">
        <v>446</v>
      </c>
    </row>
    <row r="121" spans="1:4">
      <c r="A121" s="3" t="s">
        <v>513</v>
      </c>
      <c r="B121" s="3" t="s">
        <v>514</v>
      </c>
      <c r="C121" s="3" t="s">
        <v>497</v>
      </c>
      <c r="D121" s="3" t="s">
        <v>446</v>
      </c>
    </row>
    <row r="122" spans="1:4">
      <c r="A122" s="3" t="s">
        <v>515</v>
      </c>
      <c r="B122" s="3" t="s">
        <v>516</v>
      </c>
      <c r="C122" s="3" t="s">
        <v>497</v>
      </c>
      <c r="D122" s="3" t="s">
        <v>446</v>
      </c>
    </row>
    <row r="123" spans="1:4">
      <c r="A123" s="3" t="s">
        <v>517</v>
      </c>
      <c r="B123" s="3" t="s">
        <v>518</v>
      </c>
      <c r="C123" s="3" t="s">
        <v>497</v>
      </c>
      <c r="D123" s="3" t="s">
        <v>446</v>
      </c>
    </row>
    <row r="124" spans="1:4">
      <c r="A124" s="3" t="s">
        <v>519</v>
      </c>
      <c r="B124" s="3" t="s">
        <v>520</v>
      </c>
      <c r="C124" s="3" t="s">
        <v>497</v>
      </c>
      <c r="D124" s="3" t="s">
        <v>446</v>
      </c>
    </row>
    <row r="125" spans="1:4">
      <c r="A125" s="3" t="s">
        <v>521</v>
      </c>
      <c r="B125" s="3" t="s">
        <v>522</v>
      </c>
      <c r="C125" s="3" t="s">
        <v>497</v>
      </c>
      <c r="D125" s="3" t="s">
        <v>446</v>
      </c>
    </row>
    <row r="126" spans="1:4">
      <c r="A126" s="3" t="s">
        <v>523</v>
      </c>
      <c r="B126" s="3" t="s">
        <v>524</v>
      </c>
      <c r="C126" s="3" t="s">
        <v>497</v>
      </c>
      <c r="D126" s="3" t="s">
        <v>446</v>
      </c>
    </row>
    <row r="127" spans="1:4">
      <c r="A127" s="3" t="s">
        <v>525</v>
      </c>
      <c r="B127" s="3" t="s">
        <v>526</v>
      </c>
      <c r="C127" s="3" t="s">
        <v>526</v>
      </c>
      <c r="D127" s="3" t="s">
        <v>446</v>
      </c>
    </row>
    <row r="128" spans="1:4">
      <c r="A128" s="3" t="s">
        <v>527</v>
      </c>
      <c r="B128" s="3" t="s">
        <v>528</v>
      </c>
      <c r="C128" s="3" t="s">
        <v>526</v>
      </c>
      <c r="D128" s="3" t="s">
        <v>446</v>
      </c>
    </row>
    <row r="129" spans="1:4">
      <c r="A129" s="3" t="s">
        <v>529</v>
      </c>
      <c r="B129" s="3" t="s">
        <v>530</v>
      </c>
      <c r="C129" s="3" t="s">
        <v>526</v>
      </c>
      <c r="D129" s="3" t="s">
        <v>446</v>
      </c>
    </row>
    <row r="130" spans="1:4">
      <c r="A130" s="3" t="s">
        <v>531</v>
      </c>
      <c r="B130" s="3" t="s">
        <v>532</v>
      </c>
      <c r="C130" s="3" t="s">
        <v>526</v>
      </c>
      <c r="D130" s="3" t="s">
        <v>446</v>
      </c>
    </row>
    <row r="131" spans="1:4">
      <c r="A131" s="3" t="s">
        <v>533</v>
      </c>
      <c r="B131" s="3" t="s">
        <v>534</v>
      </c>
      <c r="C131" s="3" t="s">
        <v>526</v>
      </c>
      <c r="D131" s="3" t="s">
        <v>446</v>
      </c>
    </row>
    <row r="132" spans="1:4">
      <c r="A132" s="3" t="s">
        <v>535</v>
      </c>
      <c r="B132" s="3" t="s">
        <v>536</v>
      </c>
      <c r="C132" s="3" t="s">
        <v>526</v>
      </c>
      <c r="D132" s="3" t="s">
        <v>446</v>
      </c>
    </row>
    <row r="133" spans="1:4">
      <c r="A133" s="3" t="s">
        <v>537</v>
      </c>
      <c r="B133" s="3" t="s">
        <v>538</v>
      </c>
      <c r="C133" s="3" t="s">
        <v>526</v>
      </c>
      <c r="D133" s="3" t="s">
        <v>446</v>
      </c>
    </row>
    <row r="134" spans="1:4">
      <c r="A134" s="3" t="s">
        <v>539</v>
      </c>
      <c r="B134" s="3" t="s">
        <v>540</v>
      </c>
      <c r="C134" s="3" t="s">
        <v>526</v>
      </c>
      <c r="D134" s="3" t="s">
        <v>446</v>
      </c>
    </row>
    <row r="135" spans="1:4">
      <c r="A135" s="3" t="s">
        <v>541</v>
      </c>
      <c r="B135" s="3" t="s">
        <v>542</v>
      </c>
      <c r="C135" s="3" t="s">
        <v>526</v>
      </c>
      <c r="D135" s="3" t="s">
        <v>446</v>
      </c>
    </row>
    <row r="136" spans="1:4">
      <c r="A136" s="3" t="s">
        <v>543</v>
      </c>
      <c r="B136" s="3" t="s">
        <v>544</v>
      </c>
      <c r="C136" s="3" t="s">
        <v>526</v>
      </c>
      <c r="D136" s="3" t="s">
        <v>446</v>
      </c>
    </row>
    <row r="137" spans="1:4">
      <c r="A137" s="3" t="s">
        <v>545</v>
      </c>
      <c r="B137" s="3" t="s">
        <v>546</v>
      </c>
      <c r="C137" s="3" t="s">
        <v>526</v>
      </c>
      <c r="D137" s="3" t="s">
        <v>446</v>
      </c>
    </row>
    <row r="138" spans="1:4">
      <c r="A138" s="3" t="s">
        <v>547</v>
      </c>
      <c r="B138" s="3" t="s">
        <v>548</v>
      </c>
      <c r="C138" s="3" t="s">
        <v>549</v>
      </c>
      <c r="D138" s="3" t="s">
        <v>446</v>
      </c>
    </row>
    <row r="139" spans="1:4">
      <c r="A139" s="3" t="s">
        <v>550</v>
      </c>
      <c r="B139" s="3" t="s">
        <v>405</v>
      </c>
      <c r="C139" s="3" t="s">
        <v>549</v>
      </c>
      <c r="D139" s="3" t="s">
        <v>446</v>
      </c>
    </row>
    <row r="140" spans="1:4">
      <c r="A140" s="3" t="s">
        <v>551</v>
      </c>
      <c r="B140" s="3" t="s">
        <v>552</v>
      </c>
      <c r="C140" s="3" t="s">
        <v>549</v>
      </c>
      <c r="D140" s="3" t="s">
        <v>446</v>
      </c>
    </row>
    <row r="141" spans="1:4">
      <c r="A141" s="3" t="s">
        <v>553</v>
      </c>
      <c r="B141" s="3" t="s">
        <v>554</v>
      </c>
      <c r="C141" s="3" t="s">
        <v>554</v>
      </c>
      <c r="D141" s="3" t="s">
        <v>446</v>
      </c>
    </row>
    <row r="142" spans="1:4">
      <c r="A142" s="3" t="s">
        <v>555</v>
      </c>
      <c r="B142" s="3" t="s">
        <v>556</v>
      </c>
      <c r="C142" s="3" t="s">
        <v>554</v>
      </c>
      <c r="D142" s="3" t="s">
        <v>446</v>
      </c>
    </row>
    <row r="143" spans="1:4">
      <c r="A143" s="3" t="s">
        <v>557</v>
      </c>
      <c r="B143" s="3" t="s">
        <v>558</v>
      </c>
      <c r="C143" s="3" t="s">
        <v>554</v>
      </c>
      <c r="D143" s="3" t="s">
        <v>446</v>
      </c>
    </row>
    <row r="144" spans="1:4">
      <c r="A144" s="3" t="s">
        <v>559</v>
      </c>
      <c r="B144" s="3" t="s">
        <v>560</v>
      </c>
      <c r="C144" s="3" t="s">
        <v>554</v>
      </c>
      <c r="D144" s="3" t="s">
        <v>446</v>
      </c>
    </row>
    <row r="145" spans="1:4">
      <c r="A145" s="3" t="s">
        <v>561</v>
      </c>
      <c r="B145" s="3" t="s">
        <v>562</v>
      </c>
      <c r="C145" s="3" t="s">
        <v>562</v>
      </c>
      <c r="D145" s="3" t="s">
        <v>446</v>
      </c>
    </row>
    <row r="146" spans="1:4">
      <c r="A146" s="3" t="s">
        <v>563</v>
      </c>
      <c r="B146" s="3" t="s">
        <v>564</v>
      </c>
      <c r="C146" s="3" t="s">
        <v>562</v>
      </c>
      <c r="D146" s="3" t="s">
        <v>446</v>
      </c>
    </row>
    <row r="147" spans="1:4">
      <c r="A147" s="3" t="s">
        <v>565</v>
      </c>
      <c r="B147" s="3" t="s">
        <v>566</v>
      </c>
      <c r="C147" s="3" t="s">
        <v>562</v>
      </c>
      <c r="D147" s="3" t="s">
        <v>446</v>
      </c>
    </row>
    <row r="148" spans="1:4">
      <c r="A148" s="3" t="s">
        <v>567</v>
      </c>
      <c r="B148" s="3" t="s">
        <v>568</v>
      </c>
      <c r="C148" s="3" t="s">
        <v>562</v>
      </c>
      <c r="D148" s="3" t="s">
        <v>446</v>
      </c>
    </row>
    <row r="149" spans="1:4">
      <c r="A149" s="3" t="s">
        <v>569</v>
      </c>
      <c r="B149" s="3" t="s">
        <v>570</v>
      </c>
      <c r="C149" s="3" t="s">
        <v>562</v>
      </c>
      <c r="D149" s="3" t="s">
        <v>446</v>
      </c>
    </row>
    <row r="150" spans="1:4">
      <c r="A150" s="3" t="s">
        <v>571</v>
      </c>
      <c r="B150" s="3" t="s">
        <v>572</v>
      </c>
      <c r="C150" s="3" t="s">
        <v>562</v>
      </c>
      <c r="D150" s="3" t="s">
        <v>446</v>
      </c>
    </row>
    <row r="151" spans="1:4">
      <c r="A151" s="3" t="s">
        <v>573</v>
      </c>
      <c r="B151" s="3" t="s">
        <v>574</v>
      </c>
      <c r="C151" s="3" t="s">
        <v>562</v>
      </c>
      <c r="D151" s="3" t="s">
        <v>446</v>
      </c>
    </row>
    <row r="152" spans="1:4">
      <c r="A152" s="3" t="s">
        <v>575</v>
      </c>
      <c r="B152" s="3" t="s">
        <v>576</v>
      </c>
      <c r="C152" s="3" t="s">
        <v>576</v>
      </c>
      <c r="D152" s="3" t="s">
        <v>446</v>
      </c>
    </row>
    <row r="153" spans="1:4">
      <c r="A153" s="3" t="s">
        <v>577</v>
      </c>
      <c r="B153" s="3" t="s">
        <v>578</v>
      </c>
      <c r="C153" s="3" t="s">
        <v>576</v>
      </c>
      <c r="D153" s="3" t="s">
        <v>446</v>
      </c>
    </row>
    <row r="154" spans="1:4">
      <c r="A154" s="3" t="s">
        <v>579</v>
      </c>
      <c r="B154" s="3" t="s">
        <v>580</v>
      </c>
      <c r="C154" s="3" t="s">
        <v>576</v>
      </c>
      <c r="D154" s="3" t="s">
        <v>446</v>
      </c>
    </row>
    <row r="155" spans="1:4">
      <c r="A155" s="3" t="s">
        <v>581</v>
      </c>
      <c r="B155" s="3" t="s">
        <v>582</v>
      </c>
      <c r="C155" s="3" t="s">
        <v>576</v>
      </c>
      <c r="D155" s="3" t="s">
        <v>446</v>
      </c>
    </row>
    <row r="156" spans="1:4">
      <c r="A156" s="3" t="s">
        <v>583</v>
      </c>
      <c r="B156" s="3" t="s">
        <v>584</v>
      </c>
      <c r="C156" s="3" t="s">
        <v>576</v>
      </c>
      <c r="D156" s="3" t="s">
        <v>446</v>
      </c>
    </row>
    <row r="157" spans="1:4">
      <c r="A157" s="3" t="s">
        <v>585</v>
      </c>
      <c r="B157" s="3" t="s">
        <v>586</v>
      </c>
      <c r="C157" s="3" t="s">
        <v>576</v>
      </c>
      <c r="D157" s="3" t="s">
        <v>446</v>
      </c>
    </row>
    <row r="158" spans="1:4">
      <c r="A158" s="3" t="s">
        <v>587</v>
      </c>
      <c r="B158" s="3" t="s">
        <v>588</v>
      </c>
      <c r="C158" s="3" t="s">
        <v>576</v>
      </c>
      <c r="D158" s="3" t="s">
        <v>446</v>
      </c>
    </row>
    <row r="159" spans="1:4">
      <c r="A159" s="3" t="s">
        <v>589</v>
      </c>
      <c r="B159" s="3" t="s">
        <v>590</v>
      </c>
      <c r="C159" s="3" t="s">
        <v>576</v>
      </c>
      <c r="D159" s="3" t="s">
        <v>446</v>
      </c>
    </row>
    <row r="160" spans="1:4">
      <c r="A160" s="3" t="s">
        <v>591</v>
      </c>
      <c r="B160" s="3" t="s">
        <v>592</v>
      </c>
      <c r="C160" s="3" t="s">
        <v>576</v>
      </c>
      <c r="D160" s="3" t="s">
        <v>446</v>
      </c>
    </row>
    <row r="161" spans="1:4">
      <c r="A161" s="3" t="s">
        <v>593</v>
      </c>
      <c r="B161" s="3" t="s">
        <v>594</v>
      </c>
      <c r="C161" s="3" t="s">
        <v>576</v>
      </c>
      <c r="D161" s="3" t="s">
        <v>446</v>
      </c>
    </row>
    <row r="162" spans="1:4">
      <c r="A162" s="3" t="s">
        <v>595</v>
      </c>
      <c r="B162" s="3" t="s">
        <v>596</v>
      </c>
      <c r="C162" s="3" t="s">
        <v>576</v>
      </c>
      <c r="D162" s="3" t="s">
        <v>446</v>
      </c>
    </row>
    <row r="163" spans="1:4">
      <c r="A163" s="3" t="s">
        <v>597</v>
      </c>
      <c r="B163" s="3" t="s">
        <v>598</v>
      </c>
      <c r="C163" s="3" t="s">
        <v>576</v>
      </c>
      <c r="D163" s="3" t="s">
        <v>446</v>
      </c>
    </row>
    <row r="164" spans="1:4">
      <c r="A164" s="3" t="s">
        <v>599</v>
      </c>
      <c r="B164" s="3" t="s">
        <v>600</v>
      </c>
      <c r="C164" s="3" t="s">
        <v>576</v>
      </c>
      <c r="D164" s="3" t="s">
        <v>446</v>
      </c>
    </row>
    <row r="165" spans="1:4">
      <c r="A165" s="3" t="s">
        <v>601</v>
      </c>
      <c r="B165" s="3" t="s">
        <v>602</v>
      </c>
      <c r="C165" s="3" t="s">
        <v>576</v>
      </c>
      <c r="D165" s="3" t="s">
        <v>446</v>
      </c>
    </row>
    <row r="166" spans="1:4">
      <c r="A166" s="3" t="s">
        <v>603</v>
      </c>
      <c r="B166" s="3" t="s">
        <v>604</v>
      </c>
      <c r="C166" s="3" t="s">
        <v>576</v>
      </c>
      <c r="D166" s="3" t="s">
        <v>446</v>
      </c>
    </row>
    <row r="167" spans="1:4">
      <c r="A167" s="3" t="s">
        <v>605</v>
      </c>
      <c r="B167" s="3" t="s">
        <v>606</v>
      </c>
      <c r="C167" s="3" t="s">
        <v>576</v>
      </c>
      <c r="D167" s="3" t="s">
        <v>446</v>
      </c>
    </row>
    <row r="168" spans="1:4">
      <c r="A168" s="3" t="s">
        <v>607</v>
      </c>
      <c r="B168" s="3" t="s">
        <v>608</v>
      </c>
      <c r="C168" s="3" t="s">
        <v>608</v>
      </c>
      <c r="D168" s="3" t="s">
        <v>446</v>
      </c>
    </row>
    <row r="169" spans="1:4">
      <c r="A169" s="3" t="s">
        <v>609</v>
      </c>
      <c r="B169" s="3" t="s">
        <v>610</v>
      </c>
      <c r="C169" s="3" t="s">
        <v>608</v>
      </c>
      <c r="D169" s="3" t="s">
        <v>446</v>
      </c>
    </row>
    <row r="170" spans="1:4">
      <c r="A170" s="3" t="s">
        <v>611</v>
      </c>
      <c r="B170" s="3" t="s">
        <v>612</v>
      </c>
      <c r="C170" s="3" t="s">
        <v>608</v>
      </c>
      <c r="D170" s="3" t="s">
        <v>446</v>
      </c>
    </row>
    <row r="171" spans="1:4">
      <c r="A171" s="3" t="s">
        <v>613</v>
      </c>
      <c r="B171" s="3" t="s">
        <v>614</v>
      </c>
      <c r="C171" s="3" t="s">
        <v>608</v>
      </c>
      <c r="D171" s="3" t="s">
        <v>446</v>
      </c>
    </row>
    <row r="172" spans="1:4">
      <c r="A172" s="3" t="s">
        <v>615</v>
      </c>
      <c r="B172" s="3" t="s">
        <v>616</v>
      </c>
      <c r="C172" s="3" t="s">
        <v>608</v>
      </c>
      <c r="D172" s="3" t="s">
        <v>446</v>
      </c>
    </row>
    <row r="173" spans="1:4">
      <c r="A173" s="3" t="s">
        <v>617</v>
      </c>
      <c r="B173" s="3" t="s">
        <v>618</v>
      </c>
      <c r="C173" s="3" t="s">
        <v>619</v>
      </c>
      <c r="D173" s="3" t="s">
        <v>446</v>
      </c>
    </row>
    <row r="174" spans="1:4">
      <c r="A174" s="3" t="s">
        <v>620</v>
      </c>
      <c r="B174" s="3" t="s">
        <v>510</v>
      </c>
      <c r="C174" s="3" t="s">
        <v>619</v>
      </c>
      <c r="D174" s="3" t="s">
        <v>446</v>
      </c>
    </row>
    <row r="175" spans="1:4">
      <c r="A175" s="3" t="s">
        <v>621</v>
      </c>
      <c r="B175" s="3" t="s">
        <v>622</v>
      </c>
      <c r="C175" s="3" t="s">
        <v>619</v>
      </c>
      <c r="D175" s="3" t="s">
        <v>446</v>
      </c>
    </row>
    <row r="176" spans="1:4">
      <c r="A176" s="3" t="s">
        <v>623</v>
      </c>
      <c r="B176" s="3" t="s">
        <v>619</v>
      </c>
      <c r="C176" s="3" t="s">
        <v>619</v>
      </c>
      <c r="D176" s="3" t="s">
        <v>446</v>
      </c>
    </row>
    <row r="177" spans="1:4">
      <c r="A177" s="3" t="s">
        <v>624</v>
      </c>
      <c r="B177" s="3" t="s">
        <v>625</v>
      </c>
      <c r="C177" s="3" t="s">
        <v>619</v>
      </c>
      <c r="D177" s="3" t="s">
        <v>446</v>
      </c>
    </row>
    <row r="178" spans="1:4">
      <c r="A178" s="3" t="s">
        <v>626</v>
      </c>
      <c r="B178" s="3" t="s">
        <v>627</v>
      </c>
      <c r="C178" s="3" t="s">
        <v>619</v>
      </c>
      <c r="D178" s="3" t="s">
        <v>446</v>
      </c>
    </row>
    <row r="179" spans="1:4">
      <c r="A179" s="3" t="s">
        <v>628</v>
      </c>
      <c r="B179" s="3" t="s">
        <v>629</v>
      </c>
      <c r="C179" s="3" t="s">
        <v>619</v>
      </c>
      <c r="D179" s="3" t="s">
        <v>446</v>
      </c>
    </row>
    <row r="180" spans="1:4">
      <c r="A180" s="3" t="s">
        <v>630</v>
      </c>
      <c r="B180" s="3" t="s">
        <v>631</v>
      </c>
      <c r="C180" s="3" t="s">
        <v>619</v>
      </c>
      <c r="D180" s="3" t="s">
        <v>446</v>
      </c>
    </row>
    <row r="181" spans="1:4">
      <c r="A181" s="3" t="s">
        <v>632</v>
      </c>
      <c r="B181" s="3" t="s">
        <v>633</v>
      </c>
      <c r="C181" s="3" t="s">
        <v>619</v>
      </c>
      <c r="D181" s="3" t="s">
        <v>446</v>
      </c>
    </row>
    <row r="182" spans="1:4">
      <c r="A182" s="3" t="s">
        <v>634</v>
      </c>
      <c r="B182" s="3" t="s">
        <v>635</v>
      </c>
      <c r="C182" s="3" t="s">
        <v>619</v>
      </c>
      <c r="D182" s="3" t="s">
        <v>446</v>
      </c>
    </row>
    <row r="183" spans="1:4">
      <c r="A183" s="3" t="s">
        <v>636</v>
      </c>
      <c r="B183" s="3" t="s">
        <v>637</v>
      </c>
      <c r="C183" s="3" t="s">
        <v>638</v>
      </c>
      <c r="D183" s="3" t="s">
        <v>446</v>
      </c>
    </row>
    <row r="184" spans="1:4">
      <c r="A184" s="3" t="s">
        <v>639</v>
      </c>
      <c r="B184" s="3" t="s">
        <v>640</v>
      </c>
      <c r="C184" s="3" t="s">
        <v>638</v>
      </c>
      <c r="D184" s="3" t="s">
        <v>446</v>
      </c>
    </row>
    <row r="185" spans="1:4">
      <c r="A185" s="3" t="s">
        <v>641</v>
      </c>
      <c r="B185" s="3" t="s">
        <v>642</v>
      </c>
      <c r="C185" s="3" t="s">
        <v>638</v>
      </c>
      <c r="D185" s="3" t="s">
        <v>446</v>
      </c>
    </row>
    <row r="186" spans="1:4">
      <c r="A186" s="3" t="s">
        <v>643</v>
      </c>
      <c r="B186" s="3" t="s">
        <v>644</v>
      </c>
      <c r="C186" s="3" t="s">
        <v>638</v>
      </c>
      <c r="D186" s="3" t="s">
        <v>446</v>
      </c>
    </row>
    <row r="187" spans="1:4">
      <c r="A187" s="3" t="s">
        <v>645</v>
      </c>
      <c r="B187" s="3" t="s">
        <v>646</v>
      </c>
      <c r="C187" s="3" t="s">
        <v>638</v>
      </c>
      <c r="D187" s="3" t="s">
        <v>446</v>
      </c>
    </row>
    <row r="188" spans="1:4">
      <c r="A188" s="3" t="s">
        <v>647</v>
      </c>
      <c r="B188" s="3" t="s">
        <v>648</v>
      </c>
      <c r="C188" s="3" t="s">
        <v>638</v>
      </c>
      <c r="D188" s="3" t="s">
        <v>446</v>
      </c>
    </row>
    <row r="189" spans="1:4">
      <c r="A189" s="3" t="s">
        <v>649</v>
      </c>
      <c r="B189" s="3" t="s">
        <v>650</v>
      </c>
      <c r="C189" s="3" t="s">
        <v>638</v>
      </c>
      <c r="D189" s="3" t="s">
        <v>446</v>
      </c>
    </row>
    <row r="190" spans="1:4">
      <c r="A190" s="3" t="s">
        <v>651</v>
      </c>
      <c r="B190" s="3" t="s">
        <v>652</v>
      </c>
      <c r="C190" s="3" t="s">
        <v>638</v>
      </c>
      <c r="D190" s="3" t="s">
        <v>446</v>
      </c>
    </row>
    <row r="191" spans="1:4">
      <c r="A191" s="3" t="s">
        <v>653</v>
      </c>
      <c r="B191" s="3" t="s">
        <v>654</v>
      </c>
      <c r="C191" s="3" t="s">
        <v>654</v>
      </c>
      <c r="D191" s="3" t="s">
        <v>446</v>
      </c>
    </row>
    <row r="192" spans="1:4">
      <c r="A192" s="3" t="s">
        <v>655</v>
      </c>
      <c r="B192" s="3" t="s">
        <v>656</v>
      </c>
      <c r="C192" s="3" t="s">
        <v>654</v>
      </c>
      <c r="D192" s="3" t="s">
        <v>446</v>
      </c>
    </row>
    <row r="193" spans="1:4">
      <c r="A193" s="3" t="s">
        <v>657</v>
      </c>
      <c r="B193" s="3" t="s">
        <v>658</v>
      </c>
      <c r="C193" s="3" t="s">
        <v>654</v>
      </c>
      <c r="D193" s="3" t="s">
        <v>446</v>
      </c>
    </row>
    <row r="194" spans="1:4">
      <c r="A194" s="3" t="s">
        <v>659</v>
      </c>
      <c r="B194" s="3" t="s">
        <v>660</v>
      </c>
      <c r="C194" s="3" t="s">
        <v>654</v>
      </c>
      <c r="D194" s="3" t="s">
        <v>446</v>
      </c>
    </row>
    <row r="195" spans="1:4">
      <c r="A195" s="3" t="s">
        <v>661</v>
      </c>
      <c r="B195" s="3" t="s">
        <v>662</v>
      </c>
      <c r="C195" s="3" t="s">
        <v>654</v>
      </c>
      <c r="D195" s="3" t="s">
        <v>446</v>
      </c>
    </row>
    <row r="196" spans="1:4">
      <c r="A196" s="3" t="s">
        <v>663</v>
      </c>
      <c r="B196" s="3" t="s">
        <v>664</v>
      </c>
      <c r="C196" s="3" t="s">
        <v>654</v>
      </c>
      <c r="D196" s="3" t="s">
        <v>446</v>
      </c>
    </row>
    <row r="197" spans="1:4">
      <c r="A197" s="3" t="s">
        <v>665</v>
      </c>
      <c r="B197" s="3" t="s">
        <v>666</v>
      </c>
      <c r="C197" s="3" t="s">
        <v>654</v>
      </c>
      <c r="D197" s="3" t="s">
        <v>446</v>
      </c>
    </row>
    <row r="198" spans="1:4">
      <c r="A198" s="3" t="s">
        <v>667</v>
      </c>
      <c r="B198" s="3" t="s">
        <v>668</v>
      </c>
      <c r="C198" s="3" t="s">
        <v>654</v>
      </c>
      <c r="D198" s="3" t="s">
        <v>446</v>
      </c>
    </row>
    <row r="199" spans="1:4">
      <c r="A199" s="3" t="s">
        <v>669</v>
      </c>
      <c r="B199" s="3" t="s">
        <v>670</v>
      </c>
      <c r="C199" s="3" t="s">
        <v>654</v>
      </c>
      <c r="D199" s="3" t="s">
        <v>446</v>
      </c>
    </row>
    <row r="200" spans="1:4">
      <c r="A200" s="3" t="s">
        <v>671</v>
      </c>
      <c r="B200" s="3" t="s">
        <v>672</v>
      </c>
      <c r="C200" s="3" t="s">
        <v>654</v>
      </c>
      <c r="D200" s="3" t="s">
        <v>446</v>
      </c>
    </row>
    <row r="201" spans="1:4">
      <c r="A201" s="3" t="s">
        <v>673</v>
      </c>
      <c r="B201" s="3" t="s">
        <v>674</v>
      </c>
      <c r="C201" s="3" t="s">
        <v>675</v>
      </c>
      <c r="D201" s="3" t="s">
        <v>446</v>
      </c>
    </row>
    <row r="202" spans="1:4">
      <c r="A202" s="3" t="s">
        <v>676</v>
      </c>
      <c r="B202" s="3" t="s">
        <v>497</v>
      </c>
      <c r="C202" s="3" t="s">
        <v>675</v>
      </c>
      <c r="D202" s="3" t="s">
        <v>446</v>
      </c>
    </row>
    <row r="203" spans="1:4">
      <c r="A203" s="3" t="s">
        <v>677</v>
      </c>
      <c r="B203" s="3" t="s">
        <v>678</v>
      </c>
      <c r="C203" s="3" t="s">
        <v>675</v>
      </c>
      <c r="D203" s="3" t="s">
        <v>446</v>
      </c>
    </row>
    <row r="204" spans="1:4">
      <c r="A204" s="3" t="s">
        <v>679</v>
      </c>
      <c r="B204" s="3" t="s">
        <v>680</v>
      </c>
      <c r="C204" s="3" t="s">
        <v>675</v>
      </c>
      <c r="D204" s="3" t="s">
        <v>446</v>
      </c>
    </row>
    <row r="205" spans="1:4">
      <c r="A205" s="3" t="s">
        <v>681</v>
      </c>
      <c r="B205" s="3" t="s">
        <v>682</v>
      </c>
      <c r="C205" s="3" t="s">
        <v>675</v>
      </c>
      <c r="D205" s="3" t="s">
        <v>446</v>
      </c>
    </row>
    <row r="206" spans="1:4">
      <c r="A206" s="3" t="s">
        <v>683</v>
      </c>
      <c r="B206" s="3" t="s">
        <v>684</v>
      </c>
      <c r="C206" s="3" t="s">
        <v>675</v>
      </c>
      <c r="D206" s="3" t="s">
        <v>446</v>
      </c>
    </row>
    <row r="207" spans="1:4">
      <c r="A207" s="3" t="s">
        <v>685</v>
      </c>
      <c r="B207" s="3" t="s">
        <v>686</v>
      </c>
      <c r="C207" s="3" t="s">
        <v>675</v>
      </c>
      <c r="D207" s="3" t="s">
        <v>446</v>
      </c>
    </row>
    <row r="208" spans="1:4">
      <c r="A208" s="3" t="s">
        <v>687</v>
      </c>
      <c r="B208" s="3" t="s">
        <v>675</v>
      </c>
      <c r="C208" s="3" t="s">
        <v>675</v>
      </c>
      <c r="D208" s="3" t="s">
        <v>446</v>
      </c>
    </row>
    <row r="209" spans="1:4">
      <c r="A209" s="3" t="s">
        <v>688</v>
      </c>
      <c r="B209" s="3" t="s">
        <v>461</v>
      </c>
      <c r="C209" s="3" t="s">
        <v>675</v>
      </c>
      <c r="D209" s="3" t="s">
        <v>446</v>
      </c>
    </row>
    <row r="210" spans="1:4">
      <c r="A210" s="3" t="s">
        <v>689</v>
      </c>
      <c r="B210" s="3" t="s">
        <v>424</v>
      </c>
      <c r="C210" s="3" t="s">
        <v>675</v>
      </c>
      <c r="D210" s="3" t="s">
        <v>446</v>
      </c>
    </row>
    <row r="211" spans="1:4">
      <c r="A211" s="3" t="s">
        <v>690</v>
      </c>
      <c r="B211" s="3" t="s">
        <v>691</v>
      </c>
      <c r="C211" s="3" t="s">
        <v>675</v>
      </c>
      <c r="D211" s="3" t="s">
        <v>446</v>
      </c>
    </row>
    <row r="212" spans="1:4">
      <c r="A212" s="3" t="s">
        <v>692</v>
      </c>
      <c r="B212" s="3" t="s">
        <v>693</v>
      </c>
      <c r="C212" s="3" t="s">
        <v>693</v>
      </c>
      <c r="D212" s="3" t="s">
        <v>446</v>
      </c>
    </row>
    <row r="213" spans="1:4">
      <c r="A213" s="3" t="s">
        <v>694</v>
      </c>
      <c r="B213" s="3" t="s">
        <v>695</v>
      </c>
      <c r="C213" s="3" t="s">
        <v>693</v>
      </c>
      <c r="D213" s="3" t="s">
        <v>446</v>
      </c>
    </row>
    <row r="214" spans="1:4">
      <c r="A214" s="3" t="s">
        <v>696</v>
      </c>
      <c r="B214" s="3" t="s">
        <v>697</v>
      </c>
      <c r="C214" s="3" t="s">
        <v>693</v>
      </c>
      <c r="D214" s="3" t="s">
        <v>446</v>
      </c>
    </row>
    <row r="215" spans="1:4">
      <c r="A215" s="3" t="s">
        <v>698</v>
      </c>
      <c r="B215" s="3" t="s">
        <v>699</v>
      </c>
      <c r="C215" s="3" t="s">
        <v>693</v>
      </c>
      <c r="D215" s="3" t="s">
        <v>446</v>
      </c>
    </row>
    <row r="216" spans="1:4">
      <c r="A216" s="3" t="s">
        <v>700</v>
      </c>
      <c r="B216" s="3" t="s">
        <v>701</v>
      </c>
      <c r="C216" s="3" t="s">
        <v>701</v>
      </c>
      <c r="D216" s="3" t="s">
        <v>446</v>
      </c>
    </row>
    <row r="217" spans="1:4">
      <c r="A217" s="3" t="s">
        <v>702</v>
      </c>
      <c r="B217" s="3" t="s">
        <v>703</v>
      </c>
      <c r="C217" s="3" t="s">
        <v>701</v>
      </c>
      <c r="D217" s="3" t="s">
        <v>446</v>
      </c>
    </row>
    <row r="218" spans="1:4">
      <c r="A218" s="3" t="s">
        <v>704</v>
      </c>
      <c r="B218" s="3" t="s">
        <v>705</v>
      </c>
      <c r="C218" s="3" t="s">
        <v>701</v>
      </c>
      <c r="D218" s="3" t="s">
        <v>446</v>
      </c>
    </row>
    <row r="219" spans="1:4">
      <c r="A219" s="3" t="s">
        <v>706</v>
      </c>
      <c r="B219" s="3" t="s">
        <v>707</v>
      </c>
      <c r="C219" s="3" t="s">
        <v>701</v>
      </c>
      <c r="D219" s="3" t="s">
        <v>446</v>
      </c>
    </row>
    <row r="220" spans="1:4">
      <c r="A220" s="3" t="s">
        <v>708</v>
      </c>
      <c r="B220" s="3" t="s">
        <v>709</v>
      </c>
      <c r="C220" s="3" t="s">
        <v>701</v>
      </c>
      <c r="D220" s="3" t="s">
        <v>446</v>
      </c>
    </row>
    <row r="221" spans="1:4">
      <c r="A221" s="3" t="s">
        <v>710</v>
      </c>
      <c r="B221" s="3" t="s">
        <v>711</v>
      </c>
      <c r="C221" s="3" t="s">
        <v>701</v>
      </c>
      <c r="D221" s="3" t="s">
        <v>446</v>
      </c>
    </row>
    <row r="222" spans="1:4">
      <c r="A222" s="3" t="s">
        <v>712</v>
      </c>
      <c r="B222" s="3" t="s">
        <v>713</v>
      </c>
      <c r="C222" s="3" t="s">
        <v>701</v>
      </c>
      <c r="D222" s="3" t="s">
        <v>446</v>
      </c>
    </row>
    <row r="223" spans="1:4">
      <c r="A223" s="3" t="s">
        <v>714</v>
      </c>
      <c r="B223" s="3" t="s">
        <v>715</v>
      </c>
      <c r="C223" s="3" t="s">
        <v>701</v>
      </c>
      <c r="D223" s="3" t="s">
        <v>446</v>
      </c>
    </row>
    <row r="224" spans="1:4">
      <c r="A224" s="3" t="s">
        <v>716</v>
      </c>
      <c r="B224" s="3" t="s">
        <v>717</v>
      </c>
      <c r="C224" s="3" t="s">
        <v>701</v>
      </c>
      <c r="D224" s="3" t="s">
        <v>446</v>
      </c>
    </row>
    <row r="225" spans="1:4">
      <c r="A225" s="3" t="s">
        <v>718</v>
      </c>
      <c r="B225" s="3" t="s">
        <v>719</v>
      </c>
      <c r="C225" s="3" t="s">
        <v>701</v>
      </c>
      <c r="D225" s="3" t="s">
        <v>446</v>
      </c>
    </row>
    <row r="226" spans="1:4">
      <c r="A226" s="3" t="s">
        <v>720</v>
      </c>
      <c r="B226" s="3" t="s">
        <v>721</v>
      </c>
      <c r="C226" s="3" t="s">
        <v>722</v>
      </c>
      <c r="D226" s="3" t="s">
        <v>446</v>
      </c>
    </row>
    <row r="227" spans="1:4">
      <c r="A227" s="3" t="s">
        <v>723</v>
      </c>
      <c r="B227" s="3" t="s">
        <v>724</v>
      </c>
      <c r="C227" s="3" t="s">
        <v>722</v>
      </c>
      <c r="D227" s="3" t="s">
        <v>446</v>
      </c>
    </row>
    <row r="228" spans="1:4">
      <c r="A228" s="3" t="s">
        <v>725</v>
      </c>
      <c r="B228" s="3" t="s">
        <v>726</v>
      </c>
      <c r="C228" s="3" t="s">
        <v>722</v>
      </c>
      <c r="D228" s="3" t="s">
        <v>446</v>
      </c>
    </row>
    <row r="229" spans="1:4">
      <c r="A229" s="3" t="s">
        <v>727</v>
      </c>
      <c r="B229" s="3" t="s">
        <v>728</v>
      </c>
      <c r="C229" s="3" t="s">
        <v>722</v>
      </c>
      <c r="D229" s="3" t="s">
        <v>446</v>
      </c>
    </row>
    <row r="230" spans="1:4">
      <c r="A230" s="3" t="s">
        <v>729</v>
      </c>
      <c r="B230" s="3" t="s">
        <v>730</v>
      </c>
      <c r="C230" s="3" t="s">
        <v>722</v>
      </c>
      <c r="D230" s="3" t="s">
        <v>446</v>
      </c>
    </row>
    <row r="231" spans="1:4">
      <c r="A231" s="3" t="s">
        <v>731</v>
      </c>
      <c r="B231" s="3" t="s">
        <v>732</v>
      </c>
      <c r="C231" s="3" t="s">
        <v>722</v>
      </c>
      <c r="D231" s="3" t="s">
        <v>446</v>
      </c>
    </row>
    <row r="232" spans="1:4">
      <c r="A232" s="3" t="s">
        <v>733</v>
      </c>
      <c r="B232" s="3" t="s">
        <v>734</v>
      </c>
      <c r="C232" s="3" t="s">
        <v>722</v>
      </c>
      <c r="D232" s="3" t="s">
        <v>446</v>
      </c>
    </row>
    <row r="233" spans="1:4">
      <c r="A233" s="3" t="s">
        <v>735</v>
      </c>
      <c r="B233" s="3" t="s">
        <v>722</v>
      </c>
      <c r="C233" s="3" t="s">
        <v>722</v>
      </c>
      <c r="D233" s="3" t="s">
        <v>446</v>
      </c>
    </row>
    <row r="234" spans="1:4">
      <c r="A234" s="3" t="s">
        <v>736</v>
      </c>
      <c r="B234" s="3" t="s">
        <v>737</v>
      </c>
      <c r="C234" s="3" t="s">
        <v>722</v>
      </c>
      <c r="D234" s="3" t="s">
        <v>446</v>
      </c>
    </row>
    <row r="235" spans="1:4">
      <c r="A235" s="3" t="s">
        <v>738</v>
      </c>
      <c r="B235" s="3" t="s">
        <v>739</v>
      </c>
      <c r="C235" s="3" t="s">
        <v>739</v>
      </c>
      <c r="D235" s="3" t="s">
        <v>446</v>
      </c>
    </row>
    <row r="236" spans="1:4">
      <c r="A236" s="3" t="s">
        <v>740</v>
      </c>
      <c r="B236" s="3" t="s">
        <v>741</v>
      </c>
      <c r="C236" s="3" t="s">
        <v>739</v>
      </c>
      <c r="D236" s="3" t="s">
        <v>446</v>
      </c>
    </row>
    <row r="237" spans="1:4">
      <c r="A237" s="3" t="s">
        <v>742</v>
      </c>
      <c r="B237" s="3" t="s">
        <v>743</v>
      </c>
      <c r="C237" s="3" t="s">
        <v>739</v>
      </c>
      <c r="D237" s="3" t="s">
        <v>446</v>
      </c>
    </row>
    <row r="238" spans="1:4">
      <c r="A238" s="3" t="s">
        <v>744</v>
      </c>
      <c r="B238" s="3" t="s">
        <v>745</v>
      </c>
      <c r="C238" s="3" t="s">
        <v>739</v>
      </c>
      <c r="D238" s="3" t="s">
        <v>446</v>
      </c>
    </row>
    <row r="239" spans="1:4">
      <c r="A239" s="3" t="s">
        <v>746</v>
      </c>
      <c r="B239" s="3" t="s">
        <v>747</v>
      </c>
      <c r="C239" s="3" t="s">
        <v>739</v>
      </c>
      <c r="D239" s="3" t="s">
        <v>446</v>
      </c>
    </row>
    <row r="240" spans="1:4">
      <c r="A240" s="3" t="s">
        <v>748</v>
      </c>
      <c r="B240" s="3" t="s">
        <v>749</v>
      </c>
      <c r="C240" s="3" t="s">
        <v>739</v>
      </c>
      <c r="D240" s="3" t="s">
        <v>446</v>
      </c>
    </row>
    <row r="241" spans="1:4">
      <c r="A241" s="3" t="s">
        <v>750</v>
      </c>
      <c r="B241" s="3" t="s">
        <v>751</v>
      </c>
      <c r="C241" s="3" t="s">
        <v>739</v>
      </c>
      <c r="D241" s="3" t="s">
        <v>446</v>
      </c>
    </row>
    <row r="242" spans="1:4">
      <c r="A242" s="3" t="s">
        <v>752</v>
      </c>
      <c r="B242" s="3" t="s">
        <v>753</v>
      </c>
      <c r="C242" s="3" t="s">
        <v>739</v>
      </c>
      <c r="D242" s="3" t="s">
        <v>446</v>
      </c>
    </row>
    <row r="243" spans="1:4">
      <c r="A243" s="3" t="s">
        <v>754</v>
      </c>
      <c r="B243" s="3" t="s">
        <v>755</v>
      </c>
      <c r="C243" s="3" t="s">
        <v>739</v>
      </c>
      <c r="D243" s="3" t="s">
        <v>446</v>
      </c>
    </row>
    <row r="244" spans="1:4">
      <c r="A244" s="3" t="s">
        <v>756</v>
      </c>
      <c r="B244" s="3" t="s">
        <v>757</v>
      </c>
      <c r="C244" s="3" t="s">
        <v>739</v>
      </c>
      <c r="D244" s="3" t="s">
        <v>446</v>
      </c>
    </row>
    <row r="245" spans="1:4">
      <c r="A245" s="3" t="s">
        <v>758</v>
      </c>
      <c r="B245" s="3" t="s">
        <v>759</v>
      </c>
      <c r="C245" s="3" t="s">
        <v>759</v>
      </c>
      <c r="D245" s="3" t="s">
        <v>446</v>
      </c>
    </row>
    <row r="246" spans="1:4">
      <c r="A246" s="3" t="s">
        <v>760</v>
      </c>
      <c r="B246" s="3" t="s">
        <v>761</v>
      </c>
      <c r="C246" s="3" t="s">
        <v>759</v>
      </c>
      <c r="D246" s="3" t="s">
        <v>446</v>
      </c>
    </row>
    <row r="247" spans="1:4">
      <c r="A247" s="3" t="s">
        <v>762</v>
      </c>
      <c r="B247" s="3" t="s">
        <v>763</v>
      </c>
      <c r="C247" s="3" t="s">
        <v>759</v>
      </c>
      <c r="D247" s="3" t="s">
        <v>446</v>
      </c>
    </row>
    <row r="248" spans="1:4">
      <c r="A248" s="3" t="s">
        <v>764</v>
      </c>
      <c r="B248" s="3" t="s">
        <v>765</v>
      </c>
      <c r="C248" s="3" t="s">
        <v>759</v>
      </c>
      <c r="D248" s="3" t="s">
        <v>446</v>
      </c>
    </row>
    <row r="249" spans="1:4">
      <c r="A249" s="3" t="s">
        <v>766</v>
      </c>
      <c r="B249" s="3" t="s">
        <v>767</v>
      </c>
      <c r="C249" s="3" t="s">
        <v>759</v>
      </c>
      <c r="D249" s="3" t="s">
        <v>446</v>
      </c>
    </row>
    <row r="250" spans="1:4">
      <c r="A250" s="3" t="s">
        <v>768</v>
      </c>
      <c r="B250" s="3" t="s">
        <v>769</v>
      </c>
      <c r="C250" s="3" t="s">
        <v>759</v>
      </c>
      <c r="D250" s="3" t="s">
        <v>446</v>
      </c>
    </row>
    <row r="251" spans="1:4">
      <c r="A251" s="3" t="s">
        <v>770</v>
      </c>
      <c r="B251" s="3" t="s">
        <v>771</v>
      </c>
      <c r="C251" s="3" t="s">
        <v>759</v>
      </c>
      <c r="D251" s="3" t="s">
        <v>446</v>
      </c>
    </row>
    <row r="252" spans="1:4">
      <c r="A252" s="3" t="s">
        <v>772</v>
      </c>
      <c r="B252" s="3" t="s">
        <v>773</v>
      </c>
      <c r="C252" s="3" t="s">
        <v>759</v>
      </c>
      <c r="D252" s="3" t="s">
        <v>446</v>
      </c>
    </row>
    <row r="253" spans="1:4">
      <c r="A253" s="3" t="s">
        <v>774</v>
      </c>
      <c r="B253" s="3" t="s">
        <v>775</v>
      </c>
      <c r="C253" s="3" t="s">
        <v>775</v>
      </c>
      <c r="D253" s="3" t="s">
        <v>776</v>
      </c>
    </row>
    <row r="254" spans="1:4">
      <c r="A254" s="3" t="s">
        <v>777</v>
      </c>
      <c r="B254" s="3" t="s">
        <v>778</v>
      </c>
      <c r="C254" s="3" t="s">
        <v>775</v>
      </c>
      <c r="D254" s="3" t="s">
        <v>776</v>
      </c>
    </row>
    <row r="255" spans="1:4">
      <c r="A255" s="3" t="s">
        <v>779</v>
      </c>
      <c r="B255" s="3" t="s">
        <v>780</v>
      </c>
      <c r="C255" s="3" t="s">
        <v>775</v>
      </c>
      <c r="D255" s="3" t="s">
        <v>776</v>
      </c>
    </row>
    <row r="256" spans="1:4">
      <c r="A256" s="3" t="s">
        <v>781</v>
      </c>
      <c r="B256" s="3" t="s">
        <v>782</v>
      </c>
      <c r="C256" s="3" t="s">
        <v>775</v>
      </c>
      <c r="D256" s="3" t="s">
        <v>776</v>
      </c>
    </row>
    <row r="257" spans="1:4">
      <c r="A257" s="3" t="s">
        <v>783</v>
      </c>
      <c r="B257" s="3" t="s">
        <v>784</v>
      </c>
      <c r="C257" s="3" t="s">
        <v>775</v>
      </c>
      <c r="D257" s="3" t="s">
        <v>776</v>
      </c>
    </row>
    <row r="258" spans="1:4">
      <c r="A258" s="3" t="s">
        <v>785</v>
      </c>
      <c r="B258" s="3" t="s">
        <v>786</v>
      </c>
      <c r="C258" s="3" t="s">
        <v>775</v>
      </c>
      <c r="D258" s="3" t="s">
        <v>776</v>
      </c>
    </row>
    <row r="259" spans="1:4">
      <c r="A259" s="3" t="s">
        <v>787</v>
      </c>
      <c r="B259" s="3" t="s">
        <v>788</v>
      </c>
      <c r="C259" s="3" t="s">
        <v>775</v>
      </c>
      <c r="D259" s="3" t="s">
        <v>776</v>
      </c>
    </row>
    <row r="260" spans="1:4">
      <c r="A260" s="3" t="s">
        <v>789</v>
      </c>
      <c r="B260" s="3" t="s">
        <v>790</v>
      </c>
      <c r="C260" s="3" t="s">
        <v>775</v>
      </c>
      <c r="D260" s="3" t="s">
        <v>776</v>
      </c>
    </row>
    <row r="261" spans="1:4">
      <c r="A261" s="3" t="s">
        <v>791</v>
      </c>
      <c r="B261" s="3" t="s">
        <v>792</v>
      </c>
      <c r="C261" s="3" t="s">
        <v>775</v>
      </c>
      <c r="D261" s="3" t="s">
        <v>776</v>
      </c>
    </row>
    <row r="262" spans="1:4">
      <c r="A262" s="3" t="s">
        <v>793</v>
      </c>
      <c r="B262" s="3" t="s">
        <v>794</v>
      </c>
      <c r="C262" s="3" t="s">
        <v>794</v>
      </c>
      <c r="D262" s="3" t="s">
        <v>776</v>
      </c>
    </row>
    <row r="263" spans="1:4">
      <c r="A263" s="3" t="s">
        <v>795</v>
      </c>
      <c r="B263" s="3" t="s">
        <v>796</v>
      </c>
      <c r="C263" s="3" t="s">
        <v>794</v>
      </c>
      <c r="D263" s="3" t="s">
        <v>776</v>
      </c>
    </row>
    <row r="264" spans="1:4">
      <c r="A264" s="3" t="s">
        <v>797</v>
      </c>
      <c r="B264" s="3" t="s">
        <v>798</v>
      </c>
      <c r="C264" s="3" t="s">
        <v>794</v>
      </c>
      <c r="D264" s="3" t="s">
        <v>776</v>
      </c>
    </row>
    <row r="265" spans="1:4">
      <c r="A265" s="3" t="s">
        <v>799</v>
      </c>
      <c r="B265" s="3" t="s">
        <v>800</v>
      </c>
      <c r="C265" s="3" t="s">
        <v>794</v>
      </c>
      <c r="D265" s="3" t="s">
        <v>776</v>
      </c>
    </row>
    <row r="266" spans="1:4">
      <c r="A266" s="3" t="s">
        <v>801</v>
      </c>
      <c r="B266" s="3" t="s">
        <v>802</v>
      </c>
      <c r="C266" s="3" t="s">
        <v>794</v>
      </c>
      <c r="D266" s="3" t="s">
        <v>776</v>
      </c>
    </row>
    <row r="267" spans="1:4">
      <c r="A267" s="3" t="s">
        <v>803</v>
      </c>
      <c r="B267" s="3" t="s">
        <v>804</v>
      </c>
      <c r="C267" s="3" t="s">
        <v>794</v>
      </c>
      <c r="D267" s="3" t="s">
        <v>776</v>
      </c>
    </row>
    <row r="268" spans="1:4">
      <c r="A268" s="3" t="s">
        <v>805</v>
      </c>
      <c r="B268" s="3" t="s">
        <v>806</v>
      </c>
      <c r="C268" s="3" t="s">
        <v>794</v>
      </c>
      <c r="D268" s="3" t="s">
        <v>776</v>
      </c>
    </row>
    <row r="269" spans="1:4">
      <c r="A269" s="3" t="s">
        <v>807</v>
      </c>
      <c r="B269" s="3" t="s">
        <v>808</v>
      </c>
      <c r="C269" s="3" t="s">
        <v>794</v>
      </c>
      <c r="D269" s="3" t="s">
        <v>776</v>
      </c>
    </row>
    <row r="270" spans="1:4">
      <c r="A270" s="3" t="s">
        <v>809</v>
      </c>
      <c r="B270" s="3" t="s">
        <v>810</v>
      </c>
      <c r="C270" s="3" t="s">
        <v>794</v>
      </c>
      <c r="D270" s="3" t="s">
        <v>776</v>
      </c>
    </row>
    <row r="271" spans="1:4">
      <c r="A271" s="3" t="s">
        <v>811</v>
      </c>
      <c r="B271" s="3" t="s">
        <v>812</v>
      </c>
      <c r="C271" s="3" t="s">
        <v>794</v>
      </c>
      <c r="D271" s="3" t="s">
        <v>776</v>
      </c>
    </row>
    <row r="272" spans="1:4">
      <c r="A272" s="3" t="s">
        <v>813</v>
      </c>
      <c r="B272" s="3" t="s">
        <v>814</v>
      </c>
      <c r="C272" s="3" t="s">
        <v>794</v>
      </c>
      <c r="D272" s="3" t="s">
        <v>776</v>
      </c>
    </row>
    <row r="273" spans="1:4">
      <c r="A273" s="3" t="s">
        <v>815</v>
      </c>
      <c r="B273" s="3" t="s">
        <v>816</v>
      </c>
      <c r="C273" s="3" t="s">
        <v>794</v>
      </c>
      <c r="D273" s="3" t="s">
        <v>776</v>
      </c>
    </row>
    <row r="274" spans="1:4">
      <c r="A274" s="3" t="s">
        <v>817</v>
      </c>
      <c r="B274" s="3" t="s">
        <v>393</v>
      </c>
      <c r="C274" s="3" t="s">
        <v>794</v>
      </c>
      <c r="D274" s="3" t="s">
        <v>776</v>
      </c>
    </row>
    <row r="275" spans="1:4">
      <c r="A275" s="3" t="s">
        <v>818</v>
      </c>
      <c r="B275" s="3" t="s">
        <v>819</v>
      </c>
      <c r="C275" s="3" t="s">
        <v>794</v>
      </c>
      <c r="D275" s="3" t="s">
        <v>776</v>
      </c>
    </row>
    <row r="276" spans="1:4">
      <c r="A276" s="3" t="s">
        <v>820</v>
      </c>
      <c r="B276" s="3" t="s">
        <v>821</v>
      </c>
      <c r="C276" s="3" t="s">
        <v>794</v>
      </c>
      <c r="D276" s="3" t="s">
        <v>776</v>
      </c>
    </row>
    <row r="277" spans="1:4">
      <c r="A277" s="3" t="s">
        <v>822</v>
      </c>
      <c r="B277" s="3" t="s">
        <v>823</v>
      </c>
      <c r="C277" s="3" t="s">
        <v>794</v>
      </c>
      <c r="D277" s="3" t="s">
        <v>776</v>
      </c>
    </row>
    <row r="278" spans="1:4">
      <c r="A278" s="3" t="s">
        <v>824</v>
      </c>
      <c r="B278" s="3" t="s">
        <v>825</v>
      </c>
      <c r="C278" s="3" t="s">
        <v>794</v>
      </c>
      <c r="D278" s="3" t="s">
        <v>776</v>
      </c>
    </row>
    <row r="279" spans="1:4">
      <c r="A279" s="3" t="s">
        <v>826</v>
      </c>
      <c r="B279" s="3" t="s">
        <v>827</v>
      </c>
      <c r="C279" s="3" t="s">
        <v>794</v>
      </c>
      <c r="D279" s="3" t="s">
        <v>776</v>
      </c>
    </row>
    <row r="280" spans="1:4">
      <c r="A280" s="3" t="s">
        <v>828</v>
      </c>
      <c r="B280" s="3" t="s">
        <v>829</v>
      </c>
      <c r="C280" s="3" t="s">
        <v>794</v>
      </c>
      <c r="D280" s="3" t="s">
        <v>776</v>
      </c>
    </row>
    <row r="281" spans="1:4">
      <c r="A281" s="3" t="s">
        <v>830</v>
      </c>
      <c r="B281" s="3" t="s">
        <v>831</v>
      </c>
      <c r="C281" s="3" t="s">
        <v>794</v>
      </c>
      <c r="D281" s="3" t="s">
        <v>776</v>
      </c>
    </row>
    <row r="282" spans="1:4">
      <c r="A282" s="3" t="s">
        <v>832</v>
      </c>
      <c r="B282" s="3" t="s">
        <v>833</v>
      </c>
      <c r="C282" s="3" t="s">
        <v>833</v>
      </c>
      <c r="D282" s="3" t="s">
        <v>776</v>
      </c>
    </row>
    <row r="283" spans="1:4">
      <c r="A283" s="3" t="s">
        <v>834</v>
      </c>
      <c r="B283" s="3" t="s">
        <v>835</v>
      </c>
      <c r="C283" s="3" t="s">
        <v>833</v>
      </c>
      <c r="D283" s="3" t="s">
        <v>776</v>
      </c>
    </row>
    <row r="284" spans="1:4">
      <c r="A284" s="3" t="s">
        <v>836</v>
      </c>
      <c r="B284" s="3" t="s">
        <v>837</v>
      </c>
      <c r="C284" s="3" t="s">
        <v>833</v>
      </c>
      <c r="D284" s="3" t="s">
        <v>776</v>
      </c>
    </row>
    <row r="285" spans="1:4">
      <c r="A285" s="3" t="s">
        <v>838</v>
      </c>
      <c r="B285" s="3" t="s">
        <v>839</v>
      </c>
      <c r="C285" s="3" t="s">
        <v>833</v>
      </c>
      <c r="D285" s="3" t="s">
        <v>776</v>
      </c>
    </row>
    <row r="286" spans="1:4">
      <c r="A286" s="3" t="s">
        <v>840</v>
      </c>
      <c r="B286" s="3" t="s">
        <v>841</v>
      </c>
      <c r="C286" s="3" t="s">
        <v>833</v>
      </c>
      <c r="D286" s="3" t="s">
        <v>776</v>
      </c>
    </row>
    <row r="287" spans="1:4">
      <c r="A287" s="3" t="s">
        <v>842</v>
      </c>
      <c r="B287" s="3" t="s">
        <v>843</v>
      </c>
      <c r="C287" s="3" t="s">
        <v>833</v>
      </c>
      <c r="D287" s="3" t="s">
        <v>776</v>
      </c>
    </row>
    <row r="288" spans="1:4">
      <c r="A288" s="3" t="s">
        <v>844</v>
      </c>
      <c r="B288" s="3" t="s">
        <v>845</v>
      </c>
      <c r="C288" s="3" t="s">
        <v>833</v>
      </c>
      <c r="D288" s="3" t="s">
        <v>776</v>
      </c>
    </row>
    <row r="289" spans="1:4">
      <c r="A289" s="3" t="s">
        <v>846</v>
      </c>
      <c r="B289" s="3" t="s">
        <v>847</v>
      </c>
      <c r="C289" s="3" t="s">
        <v>848</v>
      </c>
      <c r="D289" s="3" t="s">
        <v>776</v>
      </c>
    </row>
    <row r="290" spans="1:4">
      <c r="A290" s="3" t="s">
        <v>849</v>
      </c>
      <c r="B290" s="3" t="s">
        <v>850</v>
      </c>
      <c r="C290" s="3" t="s">
        <v>848</v>
      </c>
      <c r="D290" s="3" t="s">
        <v>776</v>
      </c>
    </row>
    <row r="291" spans="1:4">
      <c r="A291" s="3" t="s">
        <v>851</v>
      </c>
      <c r="B291" s="3" t="s">
        <v>852</v>
      </c>
      <c r="C291" s="3" t="s">
        <v>848</v>
      </c>
      <c r="D291" s="3" t="s">
        <v>776</v>
      </c>
    </row>
    <row r="292" spans="1:4">
      <c r="A292" s="3" t="s">
        <v>853</v>
      </c>
      <c r="B292" s="3" t="s">
        <v>854</v>
      </c>
      <c r="C292" s="3" t="s">
        <v>848</v>
      </c>
      <c r="D292" s="3" t="s">
        <v>776</v>
      </c>
    </row>
    <row r="293" spans="1:4">
      <c r="A293" s="3" t="s">
        <v>855</v>
      </c>
      <c r="B293" s="3" t="s">
        <v>450</v>
      </c>
      <c r="C293" s="3" t="s">
        <v>848</v>
      </c>
      <c r="D293" s="3" t="s">
        <v>776</v>
      </c>
    </row>
    <row r="294" spans="1:4">
      <c r="A294" s="3" t="s">
        <v>856</v>
      </c>
      <c r="B294" s="3" t="s">
        <v>857</v>
      </c>
      <c r="C294" s="3" t="s">
        <v>848</v>
      </c>
      <c r="D294" s="3" t="s">
        <v>776</v>
      </c>
    </row>
    <row r="295" spans="1:4">
      <c r="A295" s="3" t="s">
        <v>858</v>
      </c>
      <c r="B295" s="3" t="s">
        <v>859</v>
      </c>
      <c r="C295" s="3" t="s">
        <v>848</v>
      </c>
      <c r="D295" s="3" t="s">
        <v>776</v>
      </c>
    </row>
    <row r="296" spans="1:4">
      <c r="A296" s="3" t="s">
        <v>860</v>
      </c>
      <c r="B296" s="3" t="s">
        <v>861</v>
      </c>
      <c r="C296" s="3" t="s">
        <v>848</v>
      </c>
      <c r="D296" s="3" t="s">
        <v>776</v>
      </c>
    </row>
    <row r="297" spans="1:4">
      <c r="A297" s="3" t="s">
        <v>862</v>
      </c>
      <c r="B297" s="3" t="s">
        <v>863</v>
      </c>
      <c r="C297" s="3" t="s">
        <v>848</v>
      </c>
      <c r="D297" s="3" t="s">
        <v>776</v>
      </c>
    </row>
    <row r="298" spans="1:4">
      <c r="A298" s="3" t="s">
        <v>864</v>
      </c>
      <c r="B298" s="3" t="s">
        <v>865</v>
      </c>
      <c r="C298" s="3" t="s">
        <v>848</v>
      </c>
      <c r="D298" s="3" t="s">
        <v>776</v>
      </c>
    </row>
    <row r="299" spans="1:4">
      <c r="A299" s="3" t="s">
        <v>866</v>
      </c>
      <c r="B299" s="3" t="s">
        <v>867</v>
      </c>
      <c r="C299" s="3" t="s">
        <v>848</v>
      </c>
      <c r="D299" s="3" t="s">
        <v>776</v>
      </c>
    </row>
    <row r="300" spans="1:4">
      <c r="A300" s="3" t="s">
        <v>868</v>
      </c>
      <c r="B300" s="3" t="s">
        <v>869</v>
      </c>
      <c r="C300" s="3" t="s">
        <v>848</v>
      </c>
      <c r="D300" s="3" t="s">
        <v>776</v>
      </c>
    </row>
    <row r="301" spans="1:4">
      <c r="A301" s="3" t="s">
        <v>870</v>
      </c>
      <c r="B301" s="3" t="s">
        <v>871</v>
      </c>
      <c r="C301" s="3" t="s">
        <v>848</v>
      </c>
      <c r="D301" s="3" t="s">
        <v>776</v>
      </c>
    </row>
    <row r="302" spans="1:4">
      <c r="A302" s="3" t="s">
        <v>872</v>
      </c>
      <c r="B302" s="3" t="s">
        <v>873</v>
      </c>
      <c r="C302" s="3" t="s">
        <v>848</v>
      </c>
      <c r="D302" s="3" t="s">
        <v>776</v>
      </c>
    </row>
    <row r="303" spans="1:4">
      <c r="A303" s="3" t="s">
        <v>874</v>
      </c>
      <c r="B303" s="3" t="s">
        <v>875</v>
      </c>
      <c r="C303" s="3" t="s">
        <v>848</v>
      </c>
      <c r="D303" s="3" t="s">
        <v>776</v>
      </c>
    </row>
    <row r="304" spans="1:4">
      <c r="A304" s="3" t="s">
        <v>876</v>
      </c>
      <c r="B304" s="3" t="s">
        <v>877</v>
      </c>
      <c r="C304" s="3" t="s">
        <v>848</v>
      </c>
      <c r="D304" s="3" t="s">
        <v>776</v>
      </c>
    </row>
    <row r="305" spans="1:4">
      <c r="A305" s="3" t="s">
        <v>878</v>
      </c>
      <c r="B305" s="3" t="s">
        <v>879</v>
      </c>
      <c r="C305" s="3" t="s">
        <v>848</v>
      </c>
      <c r="D305" s="3" t="s">
        <v>776</v>
      </c>
    </row>
    <row r="306" spans="1:4">
      <c r="A306" s="3" t="s">
        <v>880</v>
      </c>
      <c r="B306" s="3" t="s">
        <v>881</v>
      </c>
      <c r="C306" s="3" t="s">
        <v>882</v>
      </c>
      <c r="D306" s="3" t="s">
        <v>776</v>
      </c>
    </row>
    <row r="307" spans="1:4">
      <c r="A307" s="3" t="s">
        <v>883</v>
      </c>
      <c r="B307" s="3" t="s">
        <v>882</v>
      </c>
      <c r="C307" s="3" t="s">
        <v>882</v>
      </c>
      <c r="D307" s="3" t="s">
        <v>776</v>
      </c>
    </row>
    <row r="308" spans="1:4">
      <c r="A308" s="3" t="s">
        <v>884</v>
      </c>
      <c r="B308" s="3" t="s">
        <v>885</v>
      </c>
      <c r="C308" s="3" t="s">
        <v>882</v>
      </c>
      <c r="D308" s="3" t="s">
        <v>776</v>
      </c>
    </row>
    <row r="309" spans="1:4">
      <c r="A309" s="3" t="s">
        <v>886</v>
      </c>
      <c r="B309" s="3" t="s">
        <v>887</v>
      </c>
      <c r="C309" s="3" t="s">
        <v>882</v>
      </c>
      <c r="D309" s="3" t="s">
        <v>776</v>
      </c>
    </row>
    <row r="310" spans="1:4">
      <c r="A310" s="3" t="s">
        <v>888</v>
      </c>
      <c r="B310" s="3" t="s">
        <v>889</v>
      </c>
      <c r="C310" s="3" t="s">
        <v>882</v>
      </c>
      <c r="D310" s="3" t="s">
        <v>776</v>
      </c>
    </row>
    <row r="311" spans="1:4">
      <c r="A311" s="3" t="s">
        <v>890</v>
      </c>
      <c r="B311" s="3" t="s">
        <v>891</v>
      </c>
      <c r="C311" s="3" t="s">
        <v>882</v>
      </c>
      <c r="D311" s="3" t="s">
        <v>776</v>
      </c>
    </row>
    <row r="312" spans="1:4">
      <c r="A312" s="3" t="s">
        <v>892</v>
      </c>
      <c r="B312" s="3" t="s">
        <v>893</v>
      </c>
      <c r="C312" s="3" t="s">
        <v>893</v>
      </c>
      <c r="D312" s="3" t="s">
        <v>776</v>
      </c>
    </row>
    <row r="313" spans="1:4">
      <c r="A313" s="3" t="s">
        <v>894</v>
      </c>
      <c r="B313" s="3" t="s">
        <v>895</v>
      </c>
      <c r="C313" s="3" t="s">
        <v>893</v>
      </c>
      <c r="D313" s="3" t="s">
        <v>776</v>
      </c>
    </row>
    <row r="314" spans="1:4">
      <c r="A314" s="3" t="s">
        <v>896</v>
      </c>
      <c r="B314" s="3" t="s">
        <v>897</v>
      </c>
      <c r="C314" s="3" t="s">
        <v>893</v>
      </c>
      <c r="D314" s="3" t="s">
        <v>776</v>
      </c>
    </row>
    <row r="315" spans="1:4">
      <c r="A315" s="3" t="s">
        <v>898</v>
      </c>
      <c r="B315" s="3" t="s">
        <v>899</v>
      </c>
      <c r="C315" s="3" t="s">
        <v>893</v>
      </c>
      <c r="D315" s="3" t="s">
        <v>776</v>
      </c>
    </row>
    <row r="316" spans="1:4">
      <c r="A316" s="3" t="s">
        <v>900</v>
      </c>
      <c r="B316" s="3" t="s">
        <v>901</v>
      </c>
      <c r="C316" s="3" t="s">
        <v>893</v>
      </c>
      <c r="D316" s="3" t="s">
        <v>776</v>
      </c>
    </row>
    <row r="317" spans="1:4">
      <c r="A317" s="3" t="s">
        <v>902</v>
      </c>
      <c r="B317" s="3" t="s">
        <v>903</v>
      </c>
      <c r="C317" s="3" t="s">
        <v>893</v>
      </c>
      <c r="D317" s="3" t="s">
        <v>776</v>
      </c>
    </row>
    <row r="318" spans="1:4">
      <c r="A318" s="3" t="s">
        <v>904</v>
      </c>
      <c r="B318" s="3" t="s">
        <v>905</v>
      </c>
      <c r="C318" s="3" t="s">
        <v>893</v>
      </c>
      <c r="D318" s="3" t="s">
        <v>776</v>
      </c>
    </row>
    <row r="319" spans="1:4">
      <c r="A319" s="3" t="s">
        <v>906</v>
      </c>
      <c r="B319" s="3" t="s">
        <v>907</v>
      </c>
      <c r="C319" s="3" t="s">
        <v>893</v>
      </c>
      <c r="D319" s="3" t="s">
        <v>776</v>
      </c>
    </row>
    <row r="320" spans="1:4">
      <c r="A320" s="3" t="s">
        <v>908</v>
      </c>
      <c r="B320" s="3" t="s">
        <v>909</v>
      </c>
      <c r="C320" s="3" t="s">
        <v>893</v>
      </c>
      <c r="D320" s="3" t="s">
        <v>776</v>
      </c>
    </row>
    <row r="321" spans="1:4">
      <c r="A321" s="3" t="s">
        <v>910</v>
      </c>
      <c r="B321" s="3" t="s">
        <v>911</v>
      </c>
      <c r="C321" s="3" t="s">
        <v>893</v>
      </c>
      <c r="D321" s="3" t="s">
        <v>776</v>
      </c>
    </row>
    <row r="322" spans="1:4">
      <c r="A322" s="3" t="s">
        <v>912</v>
      </c>
      <c r="B322" s="3" t="s">
        <v>913</v>
      </c>
      <c r="C322" s="3" t="s">
        <v>893</v>
      </c>
      <c r="D322" s="3" t="s">
        <v>776</v>
      </c>
    </row>
    <row r="323" spans="1:4">
      <c r="A323" s="3" t="s">
        <v>914</v>
      </c>
      <c r="B323" s="3" t="s">
        <v>915</v>
      </c>
      <c r="C323" s="3" t="s">
        <v>916</v>
      </c>
      <c r="D323" s="3" t="s">
        <v>776</v>
      </c>
    </row>
    <row r="324" spans="1:4">
      <c r="A324" s="3" t="s">
        <v>917</v>
      </c>
      <c r="B324" s="3" t="s">
        <v>918</v>
      </c>
      <c r="C324" s="3" t="s">
        <v>916</v>
      </c>
      <c r="D324" s="3" t="s">
        <v>776</v>
      </c>
    </row>
    <row r="325" spans="1:4">
      <c r="A325" s="3" t="s">
        <v>919</v>
      </c>
      <c r="B325" s="3" t="s">
        <v>920</v>
      </c>
      <c r="C325" s="3" t="s">
        <v>916</v>
      </c>
      <c r="D325" s="3" t="s">
        <v>776</v>
      </c>
    </row>
    <row r="326" spans="1:4">
      <c r="A326" s="3" t="s">
        <v>921</v>
      </c>
      <c r="B326" s="3" t="s">
        <v>922</v>
      </c>
      <c r="C326" s="3" t="s">
        <v>916</v>
      </c>
      <c r="D326" s="3" t="s">
        <v>776</v>
      </c>
    </row>
    <row r="327" spans="1:4">
      <c r="A327" s="3" t="s">
        <v>923</v>
      </c>
      <c r="B327" s="3" t="s">
        <v>924</v>
      </c>
      <c r="C327" s="3" t="s">
        <v>916</v>
      </c>
      <c r="D327" s="3" t="s">
        <v>776</v>
      </c>
    </row>
    <row r="328" spans="1:4">
      <c r="A328" s="3" t="s">
        <v>925</v>
      </c>
      <c r="B328" s="3" t="s">
        <v>926</v>
      </c>
      <c r="C328" s="3" t="s">
        <v>916</v>
      </c>
      <c r="D328" s="3" t="s">
        <v>776</v>
      </c>
    </row>
    <row r="329" spans="1:4">
      <c r="A329" s="3" t="s">
        <v>927</v>
      </c>
      <c r="B329" s="3" t="s">
        <v>928</v>
      </c>
      <c r="C329" s="3" t="s">
        <v>916</v>
      </c>
      <c r="D329" s="3" t="s">
        <v>776</v>
      </c>
    </row>
    <row r="330" spans="1:4">
      <c r="A330" s="3" t="s">
        <v>929</v>
      </c>
      <c r="B330" s="3" t="s">
        <v>930</v>
      </c>
      <c r="C330" s="3" t="s">
        <v>916</v>
      </c>
      <c r="D330" s="3" t="s">
        <v>776</v>
      </c>
    </row>
    <row r="331" spans="1:4">
      <c r="A331" s="3" t="s">
        <v>931</v>
      </c>
      <c r="B331" s="3" t="s">
        <v>932</v>
      </c>
      <c r="C331" s="3" t="s">
        <v>916</v>
      </c>
      <c r="D331" s="3" t="s">
        <v>776</v>
      </c>
    </row>
    <row r="332" spans="1:4">
      <c r="A332" s="3" t="s">
        <v>933</v>
      </c>
      <c r="B332" s="3" t="s">
        <v>424</v>
      </c>
      <c r="C332" s="3" t="s">
        <v>916</v>
      </c>
      <c r="D332" s="3" t="s">
        <v>776</v>
      </c>
    </row>
    <row r="333" spans="1:4">
      <c r="A333" s="3" t="s">
        <v>934</v>
      </c>
      <c r="B333" s="3" t="s">
        <v>935</v>
      </c>
      <c r="C333" s="3" t="s">
        <v>916</v>
      </c>
      <c r="D333" s="3" t="s">
        <v>776</v>
      </c>
    </row>
    <row r="334" spans="1:4">
      <c r="A334" s="3" t="s">
        <v>936</v>
      </c>
      <c r="B334" s="3" t="s">
        <v>937</v>
      </c>
      <c r="C334" s="3" t="s">
        <v>916</v>
      </c>
      <c r="D334" s="3" t="s">
        <v>776</v>
      </c>
    </row>
    <row r="335" spans="1:4">
      <c r="A335" s="3" t="s">
        <v>938</v>
      </c>
      <c r="B335" s="3" t="s">
        <v>939</v>
      </c>
      <c r="C335" s="3" t="s">
        <v>916</v>
      </c>
      <c r="D335" s="3" t="s">
        <v>776</v>
      </c>
    </row>
    <row r="336" spans="1:4">
      <c r="A336" s="3" t="s">
        <v>940</v>
      </c>
      <c r="B336" s="3" t="s">
        <v>941</v>
      </c>
      <c r="C336" s="3" t="s">
        <v>916</v>
      </c>
      <c r="D336" s="3" t="s">
        <v>776</v>
      </c>
    </row>
    <row r="337" spans="1:4">
      <c r="A337" s="3" t="s">
        <v>942</v>
      </c>
      <c r="B337" s="3" t="s">
        <v>943</v>
      </c>
      <c r="C337" s="3" t="s">
        <v>943</v>
      </c>
      <c r="D337" s="3" t="s">
        <v>943</v>
      </c>
    </row>
    <row r="338" spans="1:4">
      <c r="A338" s="3" t="s">
        <v>944</v>
      </c>
      <c r="B338" s="3" t="s">
        <v>945</v>
      </c>
      <c r="C338" s="3" t="s">
        <v>943</v>
      </c>
      <c r="D338" s="3" t="s">
        <v>943</v>
      </c>
    </row>
    <row r="339" spans="1:4">
      <c r="A339" s="3" t="s">
        <v>946</v>
      </c>
      <c r="B339" s="3" t="s">
        <v>947</v>
      </c>
      <c r="C339" s="3" t="s">
        <v>943</v>
      </c>
      <c r="D339" s="3" t="s">
        <v>943</v>
      </c>
    </row>
    <row r="340" spans="1:4">
      <c r="A340" s="3" t="s">
        <v>948</v>
      </c>
      <c r="B340" s="3" t="s">
        <v>949</v>
      </c>
      <c r="C340" s="3" t="s">
        <v>943</v>
      </c>
      <c r="D340" s="3" t="s">
        <v>943</v>
      </c>
    </row>
    <row r="341" spans="1:4">
      <c r="A341" s="3" t="s">
        <v>950</v>
      </c>
      <c r="B341" s="3" t="s">
        <v>951</v>
      </c>
      <c r="C341" s="3" t="s">
        <v>943</v>
      </c>
      <c r="D341" s="3" t="s">
        <v>943</v>
      </c>
    </row>
    <row r="342" spans="1:4">
      <c r="A342" s="3" t="s">
        <v>952</v>
      </c>
      <c r="B342" s="3" t="s">
        <v>953</v>
      </c>
      <c r="C342" s="3" t="s">
        <v>943</v>
      </c>
      <c r="D342" s="3" t="s">
        <v>943</v>
      </c>
    </row>
    <row r="343" spans="1:4">
      <c r="A343" s="3" t="s">
        <v>954</v>
      </c>
      <c r="B343" s="3" t="s">
        <v>955</v>
      </c>
      <c r="C343" s="3" t="s">
        <v>943</v>
      </c>
      <c r="D343" s="3" t="s">
        <v>943</v>
      </c>
    </row>
    <row r="344" spans="1:4">
      <c r="A344" s="3" t="s">
        <v>956</v>
      </c>
      <c r="B344" s="3" t="s">
        <v>957</v>
      </c>
      <c r="C344" s="3" t="s">
        <v>943</v>
      </c>
      <c r="D344" s="3" t="s">
        <v>943</v>
      </c>
    </row>
    <row r="345" spans="1:4">
      <c r="A345" s="3" t="s">
        <v>958</v>
      </c>
      <c r="B345" s="3" t="s">
        <v>959</v>
      </c>
      <c r="C345" s="3" t="s">
        <v>943</v>
      </c>
      <c r="D345" s="3" t="s">
        <v>943</v>
      </c>
    </row>
    <row r="346" spans="1:4">
      <c r="A346" s="3" t="s">
        <v>960</v>
      </c>
      <c r="B346" s="3" t="s">
        <v>961</v>
      </c>
      <c r="C346" s="3" t="s">
        <v>943</v>
      </c>
      <c r="D346" s="3" t="s">
        <v>943</v>
      </c>
    </row>
    <row r="347" spans="1:4">
      <c r="A347" s="3" t="s">
        <v>962</v>
      </c>
      <c r="B347" s="3" t="s">
        <v>963</v>
      </c>
      <c r="C347" s="3" t="s">
        <v>943</v>
      </c>
      <c r="D347" s="3" t="s">
        <v>943</v>
      </c>
    </row>
    <row r="348" spans="1:4">
      <c r="A348" s="3" t="s">
        <v>964</v>
      </c>
      <c r="B348" s="3" t="s">
        <v>965</v>
      </c>
      <c r="C348" s="3" t="s">
        <v>943</v>
      </c>
      <c r="D348" s="3" t="s">
        <v>943</v>
      </c>
    </row>
    <row r="349" spans="1:4">
      <c r="A349" s="3" t="s">
        <v>966</v>
      </c>
      <c r="B349" s="3" t="s">
        <v>967</v>
      </c>
      <c r="C349" s="3" t="s">
        <v>943</v>
      </c>
      <c r="D349" s="3" t="s">
        <v>943</v>
      </c>
    </row>
    <row r="350" spans="1:4">
      <c r="A350" s="3" t="s">
        <v>968</v>
      </c>
      <c r="B350" s="3" t="s">
        <v>969</v>
      </c>
      <c r="C350" s="3" t="s">
        <v>943</v>
      </c>
      <c r="D350" s="3" t="s">
        <v>943</v>
      </c>
    </row>
    <row r="351" spans="1:4">
      <c r="A351" s="3" t="s">
        <v>970</v>
      </c>
      <c r="B351" s="3" t="s">
        <v>971</v>
      </c>
      <c r="C351" s="3" t="s">
        <v>943</v>
      </c>
      <c r="D351" s="3" t="s">
        <v>943</v>
      </c>
    </row>
    <row r="352" spans="1:4">
      <c r="A352" s="3" t="s">
        <v>972</v>
      </c>
      <c r="B352" s="3" t="s">
        <v>973</v>
      </c>
      <c r="C352" s="3" t="s">
        <v>943</v>
      </c>
      <c r="D352" s="3" t="s">
        <v>943</v>
      </c>
    </row>
    <row r="353" spans="1:4">
      <c r="A353" s="3" t="s">
        <v>974</v>
      </c>
      <c r="B353" s="3" t="s">
        <v>975</v>
      </c>
      <c r="C353" s="3" t="s">
        <v>943</v>
      </c>
      <c r="D353" s="3" t="s">
        <v>943</v>
      </c>
    </row>
    <row r="354" spans="1:4">
      <c r="A354" s="3" t="s">
        <v>976</v>
      </c>
      <c r="B354" s="3" t="s">
        <v>977</v>
      </c>
      <c r="C354" s="3" t="s">
        <v>943</v>
      </c>
      <c r="D354" s="3" t="s">
        <v>943</v>
      </c>
    </row>
    <row r="355" spans="1:4">
      <c r="A355" s="3" t="s">
        <v>978</v>
      </c>
      <c r="B355" s="3" t="s">
        <v>979</v>
      </c>
      <c r="C355" s="3" t="s">
        <v>943</v>
      </c>
      <c r="D355" s="3" t="s">
        <v>943</v>
      </c>
    </row>
    <row r="356" spans="1:4">
      <c r="A356" s="3" t="s">
        <v>980</v>
      </c>
      <c r="B356" s="3" t="s">
        <v>981</v>
      </c>
      <c r="C356" s="3" t="s">
        <v>943</v>
      </c>
      <c r="D356" s="3" t="s">
        <v>943</v>
      </c>
    </row>
    <row r="357" spans="1:4">
      <c r="A357" s="3" t="s">
        <v>982</v>
      </c>
      <c r="B357" s="3" t="s">
        <v>983</v>
      </c>
      <c r="C357" s="3" t="s">
        <v>943</v>
      </c>
      <c r="D357" s="3" t="s">
        <v>943</v>
      </c>
    </row>
    <row r="358" spans="1:4">
      <c r="A358" s="3" t="s">
        <v>984</v>
      </c>
      <c r="B358" s="3" t="s">
        <v>985</v>
      </c>
      <c r="C358" s="3" t="s">
        <v>943</v>
      </c>
      <c r="D358" s="3" t="s">
        <v>943</v>
      </c>
    </row>
    <row r="359" spans="1:4">
      <c r="A359" s="3" t="s">
        <v>986</v>
      </c>
      <c r="B359" s="3" t="s">
        <v>987</v>
      </c>
      <c r="C359" s="3" t="s">
        <v>943</v>
      </c>
      <c r="D359" s="3" t="s">
        <v>943</v>
      </c>
    </row>
    <row r="360" spans="1:4">
      <c r="A360" s="3" t="s">
        <v>988</v>
      </c>
      <c r="B360" s="3" t="s">
        <v>989</v>
      </c>
      <c r="C360" s="3" t="s">
        <v>943</v>
      </c>
      <c r="D360" s="3" t="s">
        <v>943</v>
      </c>
    </row>
    <row r="361" spans="1:4">
      <c r="A361" s="3" t="s">
        <v>990</v>
      </c>
      <c r="B361" s="3" t="s">
        <v>991</v>
      </c>
      <c r="C361" s="3" t="s">
        <v>943</v>
      </c>
      <c r="D361" s="3" t="s">
        <v>943</v>
      </c>
    </row>
    <row r="362" spans="1:4">
      <c r="A362" s="3" t="s">
        <v>992</v>
      </c>
      <c r="B362" s="3" t="s">
        <v>993</v>
      </c>
      <c r="C362" s="3" t="s">
        <v>943</v>
      </c>
      <c r="D362" s="3" t="s">
        <v>943</v>
      </c>
    </row>
    <row r="363" spans="1:4">
      <c r="A363" s="3" t="s">
        <v>994</v>
      </c>
      <c r="B363" s="3" t="s">
        <v>995</v>
      </c>
      <c r="C363" s="3" t="s">
        <v>943</v>
      </c>
      <c r="D363" s="3" t="s">
        <v>943</v>
      </c>
    </row>
    <row r="364" spans="1:4">
      <c r="A364" s="3" t="s">
        <v>996</v>
      </c>
      <c r="B364" s="3" t="s">
        <v>997</v>
      </c>
      <c r="C364" s="3" t="s">
        <v>943</v>
      </c>
      <c r="D364" s="3" t="s">
        <v>943</v>
      </c>
    </row>
    <row r="365" spans="1:4">
      <c r="A365" s="3" t="s">
        <v>998</v>
      </c>
      <c r="B365" s="3" t="s">
        <v>999</v>
      </c>
      <c r="C365" s="3" t="s">
        <v>943</v>
      </c>
      <c r="D365" s="3" t="s">
        <v>943</v>
      </c>
    </row>
    <row r="366" spans="1:4">
      <c r="A366" s="3" t="s">
        <v>1000</v>
      </c>
      <c r="B366" s="3" t="s">
        <v>1001</v>
      </c>
      <c r="C366" s="3" t="s">
        <v>1001</v>
      </c>
      <c r="D366" s="3" t="s">
        <v>943</v>
      </c>
    </row>
    <row r="367" spans="1:4">
      <c r="A367" s="3" t="s">
        <v>1002</v>
      </c>
      <c r="B367" s="3" t="s">
        <v>1003</v>
      </c>
      <c r="C367" s="3" t="s">
        <v>1001</v>
      </c>
      <c r="D367" s="3" t="s">
        <v>943</v>
      </c>
    </row>
    <row r="368" spans="1:4">
      <c r="A368" s="3" t="s">
        <v>1004</v>
      </c>
      <c r="B368" s="3" t="s">
        <v>1005</v>
      </c>
      <c r="C368" s="3" t="s">
        <v>1001</v>
      </c>
      <c r="D368" s="3" t="s">
        <v>943</v>
      </c>
    </row>
    <row r="369" spans="1:4">
      <c r="A369" s="3" t="s">
        <v>1006</v>
      </c>
      <c r="B369" s="3" t="s">
        <v>1007</v>
      </c>
      <c r="C369" s="3" t="s">
        <v>1001</v>
      </c>
      <c r="D369" s="3" t="s">
        <v>943</v>
      </c>
    </row>
    <row r="370" spans="1:4">
      <c r="A370" s="3" t="s">
        <v>1008</v>
      </c>
      <c r="B370" s="3" t="s">
        <v>1009</v>
      </c>
      <c r="C370" s="3" t="s">
        <v>1001</v>
      </c>
      <c r="D370" s="3" t="s">
        <v>943</v>
      </c>
    </row>
    <row r="371" spans="1:4">
      <c r="A371" s="3" t="s">
        <v>1010</v>
      </c>
      <c r="B371" s="3" t="s">
        <v>1011</v>
      </c>
      <c r="C371" s="3" t="s">
        <v>1001</v>
      </c>
      <c r="D371" s="3" t="s">
        <v>943</v>
      </c>
    </row>
    <row r="372" spans="1:4">
      <c r="A372" s="3" t="s">
        <v>1012</v>
      </c>
      <c r="B372" s="3" t="s">
        <v>1013</v>
      </c>
      <c r="C372" s="3" t="s">
        <v>1001</v>
      </c>
      <c r="D372" s="3" t="s">
        <v>943</v>
      </c>
    </row>
    <row r="373" spans="1:4">
      <c r="A373" s="3" t="s">
        <v>1014</v>
      </c>
      <c r="B373" s="3" t="s">
        <v>1015</v>
      </c>
      <c r="C373" s="3" t="s">
        <v>1001</v>
      </c>
      <c r="D373" s="3" t="s">
        <v>943</v>
      </c>
    </row>
    <row r="374" spans="1:4">
      <c r="A374" s="3" t="s">
        <v>1016</v>
      </c>
      <c r="B374" s="3" t="s">
        <v>1017</v>
      </c>
      <c r="C374" s="3" t="s">
        <v>1017</v>
      </c>
      <c r="D374" s="3" t="s">
        <v>943</v>
      </c>
    </row>
    <row r="375" spans="1:4">
      <c r="A375" s="3" t="s">
        <v>1018</v>
      </c>
      <c r="B375" s="3" t="s">
        <v>1019</v>
      </c>
      <c r="C375" s="3" t="s">
        <v>1017</v>
      </c>
      <c r="D375" s="3" t="s">
        <v>943</v>
      </c>
    </row>
    <row r="376" spans="1:4">
      <c r="A376" s="3" t="s">
        <v>1020</v>
      </c>
      <c r="B376" s="3" t="s">
        <v>1021</v>
      </c>
      <c r="C376" s="3" t="s">
        <v>1017</v>
      </c>
      <c r="D376" s="3" t="s">
        <v>943</v>
      </c>
    </row>
    <row r="377" spans="1:4">
      <c r="A377" s="3" t="s">
        <v>1022</v>
      </c>
      <c r="B377" s="3" t="s">
        <v>1023</v>
      </c>
      <c r="C377" s="3" t="s">
        <v>1017</v>
      </c>
      <c r="D377" s="3" t="s">
        <v>943</v>
      </c>
    </row>
    <row r="378" spans="1:4">
      <c r="A378" s="3" t="s">
        <v>1024</v>
      </c>
      <c r="B378" s="3" t="s">
        <v>1025</v>
      </c>
      <c r="C378" s="3" t="s">
        <v>1017</v>
      </c>
      <c r="D378" s="3" t="s">
        <v>943</v>
      </c>
    </row>
    <row r="379" spans="1:4">
      <c r="A379" s="3" t="s">
        <v>1026</v>
      </c>
      <c r="B379" s="3" t="s">
        <v>1027</v>
      </c>
      <c r="C379" s="3" t="s">
        <v>1017</v>
      </c>
      <c r="D379" s="3" t="s">
        <v>943</v>
      </c>
    </row>
    <row r="380" spans="1:4">
      <c r="A380" s="3" t="s">
        <v>1028</v>
      </c>
      <c r="B380" s="3" t="s">
        <v>1029</v>
      </c>
      <c r="C380" s="3" t="s">
        <v>1017</v>
      </c>
      <c r="D380" s="3" t="s">
        <v>943</v>
      </c>
    </row>
    <row r="381" spans="1:4">
      <c r="A381" s="3" t="s">
        <v>1030</v>
      </c>
      <c r="B381" s="3" t="s">
        <v>1031</v>
      </c>
      <c r="C381" s="3" t="s">
        <v>1017</v>
      </c>
      <c r="D381" s="3" t="s">
        <v>943</v>
      </c>
    </row>
    <row r="382" spans="1:4">
      <c r="A382" s="3" t="s">
        <v>1032</v>
      </c>
      <c r="B382" s="3" t="s">
        <v>1033</v>
      </c>
      <c r="C382" s="3" t="s">
        <v>1017</v>
      </c>
      <c r="D382" s="3" t="s">
        <v>943</v>
      </c>
    </row>
    <row r="383" spans="1:4">
      <c r="A383" s="3" t="s">
        <v>1034</v>
      </c>
      <c r="B383" s="3" t="s">
        <v>1035</v>
      </c>
      <c r="C383" s="3" t="s">
        <v>1017</v>
      </c>
      <c r="D383" s="3" t="s">
        <v>943</v>
      </c>
    </row>
    <row r="384" spans="1:4">
      <c r="A384" s="3" t="s">
        <v>1036</v>
      </c>
      <c r="B384" s="3" t="s">
        <v>1037</v>
      </c>
      <c r="C384" s="3" t="s">
        <v>1017</v>
      </c>
      <c r="D384" s="3" t="s">
        <v>943</v>
      </c>
    </row>
    <row r="385" spans="1:4">
      <c r="A385" s="3" t="s">
        <v>1038</v>
      </c>
      <c r="B385" s="3" t="s">
        <v>1039</v>
      </c>
      <c r="C385" s="3" t="s">
        <v>1017</v>
      </c>
      <c r="D385" s="3" t="s">
        <v>943</v>
      </c>
    </row>
    <row r="386" spans="1:4">
      <c r="A386" s="3" t="s">
        <v>1040</v>
      </c>
      <c r="B386" s="3" t="s">
        <v>1041</v>
      </c>
      <c r="C386" s="3" t="s">
        <v>1017</v>
      </c>
      <c r="D386" s="3" t="s">
        <v>943</v>
      </c>
    </row>
    <row r="387" spans="1:4">
      <c r="A387" s="3" t="s">
        <v>1042</v>
      </c>
      <c r="B387" s="3" t="s">
        <v>1043</v>
      </c>
      <c r="C387" s="3" t="s">
        <v>1044</v>
      </c>
      <c r="D387" s="3" t="s">
        <v>943</v>
      </c>
    </row>
    <row r="388" spans="1:4">
      <c r="A388" s="3" t="s">
        <v>1045</v>
      </c>
      <c r="B388" s="3" t="s">
        <v>1046</v>
      </c>
      <c r="C388" s="3" t="s">
        <v>1044</v>
      </c>
      <c r="D388" s="3" t="s">
        <v>943</v>
      </c>
    </row>
    <row r="389" spans="1:4">
      <c r="A389" s="3" t="s">
        <v>1047</v>
      </c>
      <c r="B389" s="3" t="s">
        <v>1048</v>
      </c>
      <c r="C389" s="3" t="s">
        <v>1044</v>
      </c>
      <c r="D389" s="3" t="s">
        <v>943</v>
      </c>
    </row>
    <row r="390" spans="1:4">
      <c r="A390" s="3" t="s">
        <v>1049</v>
      </c>
      <c r="B390" s="3" t="s">
        <v>1050</v>
      </c>
      <c r="C390" s="3" t="s">
        <v>1044</v>
      </c>
      <c r="D390" s="3" t="s">
        <v>943</v>
      </c>
    </row>
    <row r="391" spans="1:4">
      <c r="A391" s="3" t="s">
        <v>1051</v>
      </c>
      <c r="B391" s="3" t="s">
        <v>1052</v>
      </c>
      <c r="C391" s="3" t="s">
        <v>1044</v>
      </c>
      <c r="D391" s="3" t="s">
        <v>943</v>
      </c>
    </row>
    <row r="392" spans="1:4">
      <c r="A392" s="3" t="s">
        <v>1053</v>
      </c>
      <c r="B392" s="3" t="s">
        <v>1054</v>
      </c>
      <c r="C392" s="3" t="s">
        <v>1044</v>
      </c>
      <c r="D392" s="3" t="s">
        <v>943</v>
      </c>
    </row>
    <row r="393" spans="1:4">
      <c r="A393" s="3" t="s">
        <v>1055</v>
      </c>
      <c r="B393" s="3" t="s">
        <v>1056</v>
      </c>
      <c r="C393" s="3" t="s">
        <v>1044</v>
      </c>
      <c r="D393" s="3" t="s">
        <v>943</v>
      </c>
    </row>
    <row r="394" spans="1:4">
      <c r="A394" s="3" t="s">
        <v>1057</v>
      </c>
      <c r="B394" s="3" t="s">
        <v>1058</v>
      </c>
      <c r="C394" s="3" t="s">
        <v>1044</v>
      </c>
      <c r="D394" s="3" t="s">
        <v>943</v>
      </c>
    </row>
    <row r="395" spans="1:4">
      <c r="A395" s="3" t="s">
        <v>1059</v>
      </c>
      <c r="B395" s="3" t="s">
        <v>1060</v>
      </c>
      <c r="C395" s="3" t="s">
        <v>1044</v>
      </c>
      <c r="D395" s="3" t="s">
        <v>943</v>
      </c>
    </row>
    <row r="396" spans="1:4">
      <c r="A396" s="3" t="s">
        <v>1061</v>
      </c>
      <c r="B396" s="3" t="s">
        <v>1062</v>
      </c>
      <c r="C396" s="3" t="s">
        <v>1044</v>
      </c>
      <c r="D396" s="3" t="s">
        <v>943</v>
      </c>
    </row>
    <row r="397" spans="1:4">
      <c r="A397" s="3" t="s">
        <v>1063</v>
      </c>
      <c r="B397" s="3" t="s">
        <v>1064</v>
      </c>
      <c r="C397" s="3" t="s">
        <v>1044</v>
      </c>
      <c r="D397" s="3" t="s">
        <v>943</v>
      </c>
    </row>
    <row r="398" spans="1:4">
      <c r="A398" s="3" t="s">
        <v>1065</v>
      </c>
      <c r="B398" s="3" t="s">
        <v>1066</v>
      </c>
      <c r="C398" s="3" t="s">
        <v>1044</v>
      </c>
      <c r="D398" s="3" t="s">
        <v>943</v>
      </c>
    </row>
    <row r="399" spans="1:4">
      <c r="A399" s="3" t="s">
        <v>1067</v>
      </c>
      <c r="B399" s="3" t="s">
        <v>1068</v>
      </c>
      <c r="C399" s="3" t="s">
        <v>1044</v>
      </c>
      <c r="D399" s="3" t="s">
        <v>943</v>
      </c>
    </row>
    <row r="400" spans="1:4">
      <c r="A400" s="3" t="s">
        <v>1069</v>
      </c>
      <c r="B400" s="3" t="s">
        <v>1070</v>
      </c>
      <c r="C400" s="3" t="s">
        <v>1044</v>
      </c>
      <c r="D400" s="3" t="s">
        <v>943</v>
      </c>
    </row>
    <row r="401" spans="1:4">
      <c r="A401" s="3" t="s">
        <v>1071</v>
      </c>
      <c r="B401" s="3" t="s">
        <v>1072</v>
      </c>
      <c r="C401" s="3" t="s">
        <v>1073</v>
      </c>
      <c r="D401" s="3" t="s">
        <v>943</v>
      </c>
    </row>
    <row r="402" spans="1:4">
      <c r="A402" s="3" t="s">
        <v>1074</v>
      </c>
      <c r="B402" s="3" t="s">
        <v>1075</v>
      </c>
      <c r="C402" s="3" t="s">
        <v>1073</v>
      </c>
      <c r="D402" s="3" t="s">
        <v>943</v>
      </c>
    </row>
    <row r="403" spans="1:4">
      <c r="A403" s="3" t="s">
        <v>1076</v>
      </c>
      <c r="B403" s="3" t="s">
        <v>1077</v>
      </c>
      <c r="C403" s="3" t="s">
        <v>1073</v>
      </c>
      <c r="D403" s="3" t="s">
        <v>943</v>
      </c>
    </row>
    <row r="404" spans="1:4">
      <c r="A404" s="3" t="s">
        <v>1078</v>
      </c>
      <c r="B404" s="3" t="s">
        <v>1079</v>
      </c>
      <c r="C404" s="3" t="s">
        <v>1073</v>
      </c>
      <c r="D404" s="3" t="s">
        <v>943</v>
      </c>
    </row>
    <row r="405" spans="1:4">
      <c r="A405" s="3" t="s">
        <v>1080</v>
      </c>
      <c r="B405" s="3" t="s">
        <v>1073</v>
      </c>
      <c r="C405" s="3" t="s">
        <v>1073</v>
      </c>
      <c r="D405" s="3" t="s">
        <v>943</v>
      </c>
    </row>
    <row r="406" spans="1:4">
      <c r="A406" s="3" t="s">
        <v>1081</v>
      </c>
      <c r="B406" s="3" t="s">
        <v>1082</v>
      </c>
      <c r="C406" s="3" t="s">
        <v>1073</v>
      </c>
      <c r="D406" s="3" t="s">
        <v>943</v>
      </c>
    </row>
    <row r="407" spans="1:4">
      <c r="A407" s="3" t="s">
        <v>1083</v>
      </c>
      <c r="B407" s="3" t="s">
        <v>412</v>
      </c>
      <c r="C407" s="3" t="s">
        <v>1073</v>
      </c>
      <c r="D407" s="3" t="s">
        <v>943</v>
      </c>
    </row>
    <row r="408" spans="1:4">
      <c r="A408" s="3" t="s">
        <v>1084</v>
      </c>
      <c r="B408" s="3" t="s">
        <v>1085</v>
      </c>
      <c r="C408" s="3" t="s">
        <v>1073</v>
      </c>
      <c r="D408" s="3" t="s">
        <v>943</v>
      </c>
    </row>
    <row r="409" spans="1:4">
      <c r="A409" s="3" t="s">
        <v>1086</v>
      </c>
      <c r="B409" s="3" t="s">
        <v>1087</v>
      </c>
      <c r="C409" s="3" t="s">
        <v>1073</v>
      </c>
      <c r="D409" s="3" t="s">
        <v>943</v>
      </c>
    </row>
    <row r="410" spans="1:4">
      <c r="A410" s="3" t="s">
        <v>1088</v>
      </c>
      <c r="B410" s="3" t="s">
        <v>1089</v>
      </c>
      <c r="C410" s="3" t="s">
        <v>1073</v>
      </c>
      <c r="D410" s="3" t="s">
        <v>943</v>
      </c>
    </row>
    <row r="411" spans="1:4">
      <c r="A411" s="3" t="s">
        <v>1090</v>
      </c>
      <c r="B411" s="3" t="s">
        <v>1091</v>
      </c>
      <c r="C411" s="3" t="s">
        <v>1073</v>
      </c>
      <c r="D411" s="3" t="s">
        <v>943</v>
      </c>
    </row>
    <row r="412" spans="1:4">
      <c r="A412" s="3" t="s">
        <v>1092</v>
      </c>
      <c r="B412" s="3" t="s">
        <v>1093</v>
      </c>
      <c r="C412" s="3" t="s">
        <v>1073</v>
      </c>
      <c r="D412" s="3" t="s">
        <v>943</v>
      </c>
    </row>
    <row r="413" spans="1:4">
      <c r="A413" s="3" t="s">
        <v>1094</v>
      </c>
      <c r="B413" s="3" t="s">
        <v>1095</v>
      </c>
      <c r="C413" s="3" t="s">
        <v>1073</v>
      </c>
      <c r="D413" s="3" t="s">
        <v>943</v>
      </c>
    </row>
    <row r="414" spans="1:4">
      <c r="A414" s="3" t="s">
        <v>1096</v>
      </c>
      <c r="B414" s="3" t="s">
        <v>1097</v>
      </c>
      <c r="C414" s="3" t="s">
        <v>1073</v>
      </c>
      <c r="D414" s="3" t="s">
        <v>943</v>
      </c>
    </row>
    <row r="415" spans="1:4">
      <c r="A415" s="3" t="s">
        <v>1098</v>
      </c>
      <c r="B415" s="3" t="s">
        <v>1099</v>
      </c>
      <c r="C415" s="3" t="s">
        <v>1073</v>
      </c>
      <c r="D415" s="3" t="s">
        <v>943</v>
      </c>
    </row>
    <row r="416" spans="1:4">
      <c r="A416" s="3" t="s">
        <v>1100</v>
      </c>
      <c r="B416" s="3" t="s">
        <v>1101</v>
      </c>
      <c r="C416" s="3" t="s">
        <v>1073</v>
      </c>
      <c r="D416" s="3" t="s">
        <v>943</v>
      </c>
    </row>
    <row r="417" spans="1:4">
      <c r="A417" s="3" t="s">
        <v>1102</v>
      </c>
      <c r="B417" s="3" t="s">
        <v>1103</v>
      </c>
      <c r="C417" s="3" t="s">
        <v>1073</v>
      </c>
      <c r="D417" s="3" t="s">
        <v>943</v>
      </c>
    </row>
    <row r="418" spans="1:4">
      <c r="A418" s="3" t="s">
        <v>1104</v>
      </c>
      <c r="B418" s="3" t="s">
        <v>1105</v>
      </c>
      <c r="C418" s="3" t="s">
        <v>1073</v>
      </c>
      <c r="D418" s="3" t="s">
        <v>943</v>
      </c>
    </row>
    <row r="419" spans="1:4">
      <c r="A419" s="3" t="s">
        <v>1106</v>
      </c>
      <c r="B419" s="3" t="s">
        <v>1107</v>
      </c>
      <c r="C419" s="3" t="s">
        <v>1073</v>
      </c>
      <c r="D419" s="3" t="s">
        <v>943</v>
      </c>
    </row>
    <row r="420" spans="1:4">
      <c r="A420" s="3" t="s">
        <v>1108</v>
      </c>
      <c r="B420" s="3" t="s">
        <v>1109</v>
      </c>
      <c r="C420" s="3" t="s">
        <v>1073</v>
      </c>
      <c r="D420" s="3" t="s">
        <v>943</v>
      </c>
    </row>
    <row r="421" spans="1:4">
      <c r="A421" s="3" t="s">
        <v>1110</v>
      </c>
      <c r="B421" s="3" t="s">
        <v>283</v>
      </c>
      <c r="C421" s="3" t="s">
        <v>1111</v>
      </c>
      <c r="D421" s="3" t="s">
        <v>943</v>
      </c>
    </row>
    <row r="422" spans="1:4">
      <c r="A422" s="3" t="s">
        <v>1112</v>
      </c>
      <c r="B422" s="3" t="s">
        <v>1113</v>
      </c>
      <c r="C422" s="3" t="s">
        <v>1111</v>
      </c>
      <c r="D422" s="3" t="s">
        <v>943</v>
      </c>
    </row>
    <row r="423" spans="1:4">
      <c r="A423" s="3" t="s">
        <v>1114</v>
      </c>
      <c r="B423" s="3" t="s">
        <v>1115</v>
      </c>
      <c r="C423" s="3" t="s">
        <v>1111</v>
      </c>
      <c r="D423" s="3" t="s">
        <v>943</v>
      </c>
    </row>
    <row r="424" spans="1:4">
      <c r="A424" s="3" t="s">
        <v>1116</v>
      </c>
      <c r="B424" s="3" t="s">
        <v>1117</v>
      </c>
      <c r="C424" s="3" t="s">
        <v>1111</v>
      </c>
      <c r="D424" s="3" t="s">
        <v>943</v>
      </c>
    </row>
    <row r="425" spans="1:4">
      <c r="A425" s="3" t="s">
        <v>1118</v>
      </c>
      <c r="B425" s="3" t="s">
        <v>1119</v>
      </c>
      <c r="C425" s="3" t="s">
        <v>1111</v>
      </c>
      <c r="D425" s="3" t="s">
        <v>943</v>
      </c>
    </row>
    <row r="426" spans="1:4">
      <c r="A426" s="3" t="s">
        <v>1120</v>
      </c>
      <c r="B426" s="3" t="s">
        <v>1121</v>
      </c>
      <c r="C426" s="3" t="s">
        <v>1111</v>
      </c>
      <c r="D426" s="3" t="s">
        <v>943</v>
      </c>
    </row>
    <row r="427" spans="1:4">
      <c r="A427" s="3" t="s">
        <v>1122</v>
      </c>
      <c r="B427" s="3" t="s">
        <v>1123</v>
      </c>
      <c r="C427" s="3" t="s">
        <v>1111</v>
      </c>
      <c r="D427" s="3" t="s">
        <v>943</v>
      </c>
    </row>
    <row r="428" spans="1:4">
      <c r="A428" s="3" t="s">
        <v>1124</v>
      </c>
      <c r="B428" s="3" t="s">
        <v>1125</v>
      </c>
      <c r="C428" s="3" t="s">
        <v>1111</v>
      </c>
      <c r="D428" s="3" t="s">
        <v>943</v>
      </c>
    </row>
    <row r="429" spans="1:4">
      <c r="A429" s="3" t="s">
        <v>1126</v>
      </c>
      <c r="B429" s="3" t="s">
        <v>1127</v>
      </c>
      <c r="C429" s="3" t="s">
        <v>1128</v>
      </c>
      <c r="D429" s="3" t="s">
        <v>943</v>
      </c>
    </row>
    <row r="430" spans="1:4">
      <c r="A430" s="3" t="s">
        <v>1129</v>
      </c>
      <c r="B430" s="3" t="s">
        <v>1130</v>
      </c>
      <c r="C430" s="3" t="s">
        <v>1128</v>
      </c>
      <c r="D430" s="3" t="s">
        <v>943</v>
      </c>
    </row>
    <row r="431" spans="1:4">
      <c r="A431" s="3" t="s">
        <v>1131</v>
      </c>
      <c r="B431" s="3" t="s">
        <v>1132</v>
      </c>
      <c r="C431" s="3" t="s">
        <v>1128</v>
      </c>
      <c r="D431" s="3" t="s">
        <v>943</v>
      </c>
    </row>
    <row r="432" spans="1:4">
      <c r="A432" s="3" t="s">
        <v>1133</v>
      </c>
      <c r="B432" s="3" t="s">
        <v>1128</v>
      </c>
      <c r="C432" s="3" t="s">
        <v>1128</v>
      </c>
      <c r="D432" s="3" t="s">
        <v>943</v>
      </c>
    </row>
    <row r="433" spans="1:4">
      <c r="A433" s="3" t="s">
        <v>1134</v>
      </c>
      <c r="B433" s="3" t="s">
        <v>1135</v>
      </c>
      <c r="C433" s="3" t="s">
        <v>1128</v>
      </c>
      <c r="D433" s="3" t="s">
        <v>943</v>
      </c>
    </row>
    <row r="434" spans="1:4">
      <c r="A434" s="3" t="s">
        <v>1136</v>
      </c>
      <c r="B434" s="3" t="s">
        <v>1137</v>
      </c>
      <c r="C434" s="3" t="s">
        <v>1128</v>
      </c>
      <c r="D434" s="3" t="s">
        <v>943</v>
      </c>
    </row>
    <row r="435" spans="1:4">
      <c r="A435" s="3" t="s">
        <v>1138</v>
      </c>
      <c r="B435" s="3" t="s">
        <v>1139</v>
      </c>
      <c r="C435" s="3" t="s">
        <v>1140</v>
      </c>
      <c r="D435" s="3" t="s">
        <v>943</v>
      </c>
    </row>
    <row r="436" spans="1:4">
      <c r="A436" s="3" t="s">
        <v>1141</v>
      </c>
      <c r="B436" s="3" t="s">
        <v>1142</v>
      </c>
      <c r="C436" s="3" t="s">
        <v>1140</v>
      </c>
      <c r="D436" s="3" t="s">
        <v>943</v>
      </c>
    </row>
    <row r="437" spans="1:4">
      <c r="A437" s="3" t="s">
        <v>1143</v>
      </c>
      <c r="B437" s="3" t="s">
        <v>1144</v>
      </c>
      <c r="C437" s="3" t="s">
        <v>1140</v>
      </c>
      <c r="D437" s="3" t="s">
        <v>943</v>
      </c>
    </row>
    <row r="438" spans="1:4">
      <c r="A438" s="3" t="s">
        <v>1145</v>
      </c>
      <c r="B438" s="3" t="s">
        <v>1146</v>
      </c>
      <c r="C438" s="3" t="s">
        <v>1140</v>
      </c>
      <c r="D438" s="3" t="s">
        <v>943</v>
      </c>
    </row>
    <row r="439" spans="1:4">
      <c r="A439" s="3" t="s">
        <v>1147</v>
      </c>
      <c r="B439" s="3" t="s">
        <v>1148</v>
      </c>
      <c r="C439" s="3" t="s">
        <v>1140</v>
      </c>
      <c r="D439" s="3" t="s">
        <v>943</v>
      </c>
    </row>
    <row r="440" spans="1:4">
      <c r="A440" s="3" t="s">
        <v>1149</v>
      </c>
      <c r="B440" s="3" t="s">
        <v>1150</v>
      </c>
      <c r="C440" s="3" t="s">
        <v>1140</v>
      </c>
      <c r="D440" s="3" t="s">
        <v>943</v>
      </c>
    </row>
    <row r="441" spans="1:4">
      <c r="A441" s="3" t="s">
        <v>1151</v>
      </c>
      <c r="B441" s="3" t="s">
        <v>1152</v>
      </c>
      <c r="C441" s="3" t="s">
        <v>1140</v>
      </c>
      <c r="D441" s="3" t="s">
        <v>943</v>
      </c>
    </row>
    <row r="442" spans="1:4">
      <c r="A442" s="3" t="s">
        <v>1153</v>
      </c>
      <c r="B442" s="3" t="s">
        <v>1154</v>
      </c>
      <c r="C442" s="3" t="s">
        <v>1140</v>
      </c>
      <c r="D442" s="3" t="s">
        <v>943</v>
      </c>
    </row>
    <row r="443" spans="1:4">
      <c r="A443" s="3" t="s">
        <v>1155</v>
      </c>
      <c r="B443" s="3" t="s">
        <v>1156</v>
      </c>
      <c r="C443" s="3" t="s">
        <v>1140</v>
      </c>
      <c r="D443" s="3" t="s">
        <v>943</v>
      </c>
    </row>
    <row r="444" spans="1:4">
      <c r="A444" s="3" t="s">
        <v>1157</v>
      </c>
      <c r="B444" s="3" t="s">
        <v>1158</v>
      </c>
      <c r="C444" s="3" t="s">
        <v>1140</v>
      </c>
      <c r="D444" s="3" t="s">
        <v>943</v>
      </c>
    </row>
    <row r="445" spans="1:4">
      <c r="A445" s="3" t="s">
        <v>1159</v>
      </c>
      <c r="B445" s="3" t="s">
        <v>1160</v>
      </c>
      <c r="C445" s="3" t="s">
        <v>1140</v>
      </c>
      <c r="D445" s="3" t="s">
        <v>943</v>
      </c>
    </row>
    <row r="446" spans="1:4">
      <c r="A446" s="3" t="s">
        <v>1161</v>
      </c>
      <c r="B446" s="3" t="s">
        <v>1162</v>
      </c>
      <c r="C446" s="3" t="s">
        <v>1163</v>
      </c>
      <c r="D446" s="3" t="s">
        <v>1162</v>
      </c>
    </row>
    <row r="447" spans="1:4">
      <c r="A447" s="3" t="s">
        <v>1164</v>
      </c>
      <c r="B447" s="3" t="s">
        <v>1165</v>
      </c>
      <c r="C447" s="3" t="s">
        <v>1163</v>
      </c>
      <c r="D447" s="3" t="s">
        <v>1162</v>
      </c>
    </row>
    <row r="448" spans="1:4">
      <c r="A448" s="3" t="s">
        <v>1166</v>
      </c>
      <c r="B448" s="3" t="s">
        <v>1167</v>
      </c>
      <c r="C448" s="3" t="s">
        <v>1163</v>
      </c>
      <c r="D448" s="3" t="s">
        <v>1162</v>
      </c>
    </row>
    <row r="449" spans="1:4">
      <c r="A449" s="3" t="s">
        <v>1168</v>
      </c>
      <c r="B449" s="3" t="s">
        <v>1169</v>
      </c>
      <c r="C449" s="3" t="s">
        <v>1163</v>
      </c>
      <c r="D449" s="3" t="s">
        <v>1162</v>
      </c>
    </row>
    <row r="450" spans="1:4">
      <c r="A450" s="3" t="s">
        <v>1170</v>
      </c>
      <c r="B450" s="3" t="s">
        <v>798</v>
      </c>
      <c r="C450" s="3" t="s">
        <v>1163</v>
      </c>
      <c r="D450" s="3" t="s">
        <v>1162</v>
      </c>
    </row>
    <row r="451" spans="1:4">
      <c r="A451" s="3" t="s">
        <v>1171</v>
      </c>
      <c r="B451" s="3" t="s">
        <v>654</v>
      </c>
      <c r="C451" s="3" t="s">
        <v>1163</v>
      </c>
      <c r="D451" s="3" t="s">
        <v>1162</v>
      </c>
    </row>
    <row r="452" spans="1:4">
      <c r="A452" s="3" t="s">
        <v>1172</v>
      </c>
      <c r="B452" s="3" t="s">
        <v>1173</v>
      </c>
      <c r="C452" s="3" t="s">
        <v>1163</v>
      </c>
      <c r="D452" s="3" t="s">
        <v>1162</v>
      </c>
    </row>
    <row r="453" spans="1:4">
      <c r="A453" s="3" t="s">
        <v>1174</v>
      </c>
      <c r="B453" s="3" t="s">
        <v>1175</v>
      </c>
      <c r="C453" s="3" t="s">
        <v>1163</v>
      </c>
      <c r="D453" s="3" t="s">
        <v>1162</v>
      </c>
    </row>
    <row r="454" spans="1:4">
      <c r="A454" s="3" t="s">
        <v>1176</v>
      </c>
      <c r="B454" s="3" t="s">
        <v>1177</v>
      </c>
      <c r="C454" s="3" t="s">
        <v>1163</v>
      </c>
      <c r="D454" s="3" t="s">
        <v>1162</v>
      </c>
    </row>
    <row r="455" spans="1:4">
      <c r="A455" s="3" t="s">
        <v>1178</v>
      </c>
      <c r="B455" s="3" t="s">
        <v>1179</v>
      </c>
      <c r="C455" s="3" t="s">
        <v>1163</v>
      </c>
      <c r="D455" s="3" t="s">
        <v>1162</v>
      </c>
    </row>
    <row r="456" spans="1:4">
      <c r="A456" s="3" t="s">
        <v>1180</v>
      </c>
      <c r="B456" s="3" t="s">
        <v>1181</v>
      </c>
      <c r="C456" s="3" t="s">
        <v>1163</v>
      </c>
      <c r="D456" s="3" t="s">
        <v>1162</v>
      </c>
    </row>
    <row r="457" spans="1:4">
      <c r="A457" s="3" t="s">
        <v>1182</v>
      </c>
      <c r="B457" s="3" t="s">
        <v>1183</v>
      </c>
      <c r="C457" s="3" t="s">
        <v>1163</v>
      </c>
      <c r="D457" s="3" t="s">
        <v>1162</v>
      </c>
    </row>
    <row r="458" spans="1:4">
      <c r="A458" s="3" t="s">
        <v>1184</v>
      </c>
      <c r="B458" s="3" t="s">
        <v>1185</v>
      </c>
      <c r="C458" s="3" t="s">
        <v>1163</v>
      </c>
      <c r="D458" s="3" t="s">
        <v>1162</v>
      </c>
    </row>
    <row r="459" spans="1:4">
      <c r="A459" s="3" t="s">
        <v>1186</v>
      </c>
      <c r="B459" s="3" t="s">
        <v>1187</v>
      </c>
      <c r="C459" s="3" t="s">
        <v>1163</v>
      </c>
      <c r="D459" s="3" t="s">
        <v>1162</v>
      </c>
    </row>
    <row r="460" spans="1:4">
      <c r="A460" s="3" t="s">
        <v>1188</v>
      </c>
      <c r="B460" s="3" t="s">
        <v>1189</v>
      </c>
      <c r="C460" s="3" t="s">
        <v>1163</v>
      </c>
      <c r="D460" s="3" t="s">
        <v>1162</v>
      </c>
    </row>
    <row r="461" spans="1:4">
      <c r="A461" s="3" t="s">
        <v>1190</v>
      </c>
      <c r="B461" s="3" t="s">
        <v>1191</v>
      </c>
      <c r="C461" s="3" t="s">
        <v>1163</v>
      </c>
      <c r="D461" s="3" t="s">
        <v>1162</v>
      </c>
    </row>
    <row r="462" spans="1:4">
      <c r="A462" s="3" t="s">
        <v>1192</v>
      </c>
      <c r="B462" s="3" t="s">
        <v>1193</v>
      </c>
      <c r="C462" s="3" t="s">
        <v>1193</v>
      </c>
      <c r="D462" s="3" t="s">
        <v>1162</v>
      </c>
    </row>
    <row r="463" spans="1:4">
      <c r="A463" s="3" t="s">
        <v>1194</v>
      </c>
      <c r="B463" s="3" t="s">
        <v>1195</v>
      </c>
      <c r="C463" s="3" t="s">
        <v>1193</v>
      </c>
      <c r="D463" s="3" t="s">
        <v>1162</v>
      </c>
    </row>
    <row r="464" spans="1:4">
      <c r="A464" s="3" t="s">
        <v>1196</v>
      </c>
      <c r="B464" s="3" t="s">
        <v>1197</v>
      </c>
      <c r="C464" s="3" t="s">
        <v>1193</v>
      </c>
      <c r="D464" s="3" t="s">
        <v>1162</v>
      </c>
    </row>
    <row r="465" spans="1:4">
      <c r="A465" s="3" t="s">
        <v>1198</v>
      </c>
      <c r="B465" s="3" t="s">
        <v>1199</v>
      </c>
      <c r="C465" s="3" t="s">
        <v>1193</v>
      </c>
      <c r="D465" s="3" t="s">
        <v>1162</v>
      </c>
    </row>
    <row r="466" spans="1:4">
      <c r="A466" s="3" t="s">
        <v>1200</v>
      </c>
      <c r="B466" s="3" t="s">
        <v>1201</v>
      </c>
      <c r="C466" s="3" t="s">
        <v>1193</v>
      </c>
      <c r="D466" s="3" t="s">
        <v>1162</v>
      </c>
    </row>
    <row r="467" spans="1:4">
      <c r="A467" s="3" t="s">
        <v>1202</v>
      </c>
      <c r="B467" s="3" t="s">
        <v>1203</v>
      </c>
      <c r="C467" s="3" t="s">
        <v>1193</v>
      </c>
      <c r="D467" s="3" t="s">
        <v>1162</v>
      </c>
    </row>
    <row r="468" spans="1:4">
      <c r="A468" s="3" t="s">
        <v>1204</v>
      </c>
      <c r="B468" s="3" t="s">
        <v>1205</v>
      </c>
      <c r="C468" s="3" t="s">
        <v>1206</v>
      </c>
      <c r="D468" s="3" t="s">
        <v>1162</v>
      </c>
    </row>
    <row r="469" spans="1:4">
      <c r="A469" s="3" t="s">
        <v>1207</v>
      </c>
      <c r="B469" s="3" t="s">
        <v>1208</v>
      </c>
      <c r="C469" s="3" t="s">
        <v>1206</v>
      </c>
      <c r="D469" s="3" t="s">
        <v>1162</v>
      </c>
    </row>
    <row r="470" spans="1:4">
      <c r="A470" s="3" t="s">
        <v>1209</v>
      </c>
      <c r="B470" s="3" t="s">
        <v>1210</v>
      </c>
      <c r="C470" s="3" t="s">
        <v>1206</v>
      </c>
      <c r="D470" s="3" t="s">
        <v>1162</v>
      </c>
    </row>
    <row r="471" spans="1:4">
      <c r="A471" s="3" t="s">
        <v>1211</v>
      </c>
      <c r="B471" s="3" t="s">
        <v>1212</v>
      </c>
      <c r="C471" s="3" t="s">
        <v>1206</v>
      </c>
      <c r="D471" s="3" t="s">
        <v>1162</v>
      </c>
    </row>
    <row r="472" spans="1:4">
      <c r="A472" s="3" t="s">
        <v>1213</v>
      </c>
      <c r="B472" s="3" t="s">
        <v>1214</v>
      </c>
      <c r="C472" s="3" t="s">
        <v>1214</v>
      </c>
      <c r="D472" s="3" t="s">
        <v>1162</v>
      </c>
    </row>
    <row r="473" spans="1:4">
      <c r="A473" s="3" t="s">
        <v>1215</v>
      </c>
      <c r="B473" s="3" t="s">
        <v>1216</v>
      </c>
      <c r="C473" s="3" t="s">
        <v>1214</v>
      </c>
      <c r="D473" s="3" t="s">
        <v>1162</v>
      </c>
    </row>
    <row r="474" spans="1:4">
      <c r="A474" s="3" t="s">
        <v>1217</v>
      </c>
      <c r="B474" s="3" t="s">
        <v>1218</v>
      </c>
      <c r="C474" s="3" t="s">
        <v>1214</v>
      </c>
      <c r="D474" s="3" t="s">
        <v>1162</v>
      </c>
    </row>
    <row r="475" spans="1:4">
      <c r="A475" s="3" t="s">
        <v>1219</v>
      </c>
      <c r="B475" s="3" t="s">
        <v>1220</v>
      </c>
      <c r="C475" s="3" t="s">
        <v>1214</v>
      </c>
      <c r="D475" s="3" t="s">
        <v>1162</v>
      </c>
    </row>
    <row r="476" spans="1:4">
      <c r="A476" s="3" t="s">
        <v>1221</v>
      </c>
      <c r="B476" s="3" t="s">
        <v>1222</v>
      </c>
      <c r="C476" s="3" t="s">
        <v>1214</v>
      </c>
      <c r="D476" s="3" t="s">
        <v>1162</v>
      </c>
    </row>
    <row r="477" spans="1:4">
      <c r="A477" s="3" t="s">
        <v>1223</v>
      </c>
      <c r="B477" s="3" t="s">
        <v>1224</v>
      </c>
      <c r="C477" s="3" t="s">
        <v>1214</v>
      </c>
      <c r="D477" s="3" t="s">
        <v>1162</v>
      </c>
    </row>
    <row r="478" spans="1:4">
      <c r="A478" s="3" t="s">
        <v>1225</v>
      </c>
      <c r="B478" s="3" t="s">
        <v>1226</v>
      </c>
      <c r="C478" s="3" t="s">
        <v>1214</v>
      </c>
      <c r="D478" s="3" t="s">
        <v>1162</v>
      </c>
    </row>
    <row r="479" spans="1:4">
      <c r="A479" s="3" t="s">
        <v>1227</v>
      </c>
      <c r="B479" s="3" t="s">
        <v>1228</v>
      </c>
      <c r="C479" s="3" t="s">
        <v>1214</v>
      </c>
      <c r="D479" s="3" t="s">
        <v>1162</v>
      </c>
    </row>
    <row r="480" spans="1:4">
      <c r="A480" s="3" t="s">
        <v>1229</v>
      </c>
      <c r="B480" s="3" t="s">
        <v>1230</v>
      </c>
      <c r="C480" s="3" t="s">
        <v>1214</v>
      </c>
      <c r="D480" s="3" t="s">
        <v>1162</v>
      </c>
    </row>
    <row r="481" spans="1:4">
      <c r="A481" s="3" t="s">
        <v>1231</v>
      </c>
      <c r="B481" s="3" t="s">
        <v>1232</v>
      </c>
      <c r="C481" s="3" t="s">
        <v>1214</v>
      </c>
      <c r="D481" s="3" t="s">
        <v>1162</v>
      </c>
    </row>
    <row r="482" spans="1:4">
      <c r="A482" s="3" t="s">
        <v>1233</v>
      </c>
      <c r="B482" s="3" t="s">
        <v>1234</v>
      </c>
      <c r="C482" s="3" t="s">
        <v>1214</v>
      </c>
      <c r="D482" s="3" t="s">
        <v>1162</v>
      </c>
    </row>
    <row r="483" spans="1:4">
      <c r="A483" s="3" t="s">
        <v>1235</v>
      </c>
      <c r="B483" s="3" t="s">
        <v>1236</v>
      </c>
      <c r="C483" s="3" t="s">
        <v>1214</v>
      </c>
      <c r="D483" s="3" t="s">
        <v>1162</v>
      </c>
    </row>
    <row r="484" spans="1:4">
      <c r="A484" s="3" t="s">
        <v>1237</v>
      </c>
      <c r="B484" s="3" t="s">
        <v>1238</v>
      </c>
      <c r="C484" s="3" t="s">
        <v>1239</v>
      </c>
      <c r="D484" s="3" t="s">
        <v>1162</v>
      </c>
    </row>
    <row r="485" spans="1:4">
      <c r="A485" s="3" t="s">
        <v>1240</v>
      </c>
      <c r="B485" s="3" t="s">
        <v>1241</v>
      </c>
      <c r="C485" s="3" t="s">
        <v>1239</v>
      </c>
      <c r="D485" s="3" t="s">
        <v>1162</v>
      </c>
    </row>
    <row r="486" spans="1:4">
      <c r="A486" s="3" t="s">
        <v>1242</v>
      </c>
      <c r="B486" s="3" t="s">
        <v>1243</v>
      </c>
      <c r="C486" s="3" t="s">
        <v>1239</v>
      </c>
      <c r="D486" s="3" t="s">
        <v>1162</v>
      </c>
    </row>
    <row r="487" spans="1:4">
      <c r="A487" s="3" t="s">
        <v>1244</v>
      </c>
      <c r="B487" s="3" t="s">
        <v>1245</v>
      </c>
      <c r="C487" s="3" t="s">
        <v>1239</v>
      </c>
      <c r="D487" s="3" t="s">
        <v>1162</v>
      </c>
    </row>
    <row r="488" spans="1:4">
      <c r="A488" s="3" t="s">
        <v>1246</v>
      </c>
      <c r="B488" s="3" t="s">
        <v>1247</v>
      </c>
      <c r="C488" s="3" t="s">
        <v>1239</v>
      </c>
      <c r="D488" s="3" t="s">
        <v>1162</v>
      </c>
    </row>
    <row r="489" spans="1:4">
      <c r="A489" s="3" t="s">
        <v>1248</v>
      </c>
      <c r="B489" s="3" t="s">
        <v>1249</v>
      </c>
      <c r="C489" s="3" t="s">
        <v>1239</v>
      </c>
      <c r="D489" s="3" t="s">
        <v>1162</v>
      </c>
    </row>
    <row r="490" spans="1:4">
      <c r="A490" s="3" t="s">
        <v>1250</v>
      </c>
      <c r="B490" s="3" t="s">
        <v>424</v>
      </c>
      <c r="C490" s="3" t="s">
        <v>1239</v>
      </c>
      <c r="D490" s="3" t="s">
        <v>1162</v>
      </c>
    </row>
    <row r="491" spans="1:4">
      <c r="A491" s="3" t="s">
        <v>1251</v>
      </c>
      <c r="B491" s="3" t="s">
        <v>1252</v>
      </c>
      <c r="C491" s="3" t="s">
        <v>1239</v>
      </c>
      <c r="D491" s="3" t="s">
        <v>1162</v>
      </c>
    </row>
    <row r="492" spans="1:4">
      <c r="A492" s="3" t="s">
        <v>1253</v>
      </c>
      <c r="B492" s="3" t="s">
        <v>1254</v>
      </c>
      <c r="C492" s="3" t="s">
        <v>1239</v>
      </c>
      <c r="D492" s="3" t="s">
        <v>1162</v>
      </c>
    </row>
    <row r="493" spans="1:4">
      <c r="A493" s="3" t="s">
        <v>1255</v>
      </c>
      <c r="B493" s="3" t="s">
        <v>1256</v>
      </c>
      <c r="C493" s="3" t="s">
        <v>1239</v>
      </c>
      <c r="D493" s="3" t="s">
        <v>1162</v>
      </c>
    </row>
    <row r="494" spans="1:4">
      <c r="A494" s="3" t="s">
        <v>1257</v>
      </c>
      <c r="B494" s="3" t="s">
        <v>1258</v>
      </c>
      <c r="C494" s="3" t="s">
        <v>1239</v>
      </c>
      <c r="D494" s="3" t="s">
        <v>1162</v>
      </c>
    </row>
    <row r="495" spans="1:4">
      <c r="A495" s="3" t="s">
        <v>1259</v>
      </c>
      <c r="B495" s="3" t="s">
        <v>1260</v>
      </c>
      <c r="C495" s="3" t="s">
        <v>1261</v>
      </c>
      <c r="D495" s="3" t="s">
        <v>1162</v>
      </c>
    </row>
    <row r="496" spans="1:4">
      <c r="A496" s="3" t="s">
        <v>1262</v>
      </c>
      <c r="B496" s="3" t="s">
        <v>1263</v>
      </c>
      <c r="C496" s="3" t="s">
        <v>1261</v>
      </c>
      <c r="D496" s="3" t="s">
        <v>1162</v>
      </c>
    </row>
    <row r="497" spans="1:4">
      <c r="A497" s="3" t="s">
        <v>1264</v>
      </c>
      <c r="B497" s="3" t="s">
        <v>674</v>
      </c>
      <c r="C497" s="3" t="s">
        <v>1261</v>
      </c>
      <c r="D497" s="3" t="s">
        <v>1162</v>
      </c>
    </row>
    <row r="498" spans="1:4">
      <c r="A498" s="3" t="s">
        <v>1265</v>
      </c>
      <c r="B498" s="3" t="s">
        <v>1266</v>
      </c>
      <c r="C498" s="3" t="s">
        <v>1261</v>
      </c>
      <c r="D498" s="3" t="s">
        <v>1162</v>
      </c>
    </row>
    <row r="499" spans="1:4">
      <c r="A499" s="3" t="s">
        <v>1267</v>
      </c>
      <c r="B499" s="3" t="s">
        <v>1268</v>
      </c>
      <c r="C499" s="3" t="s">
        <v>1261</v>
      </c>
      <c r="D499" s="3" t="s">
        <v>1162</v>
      </c>
    </row>
    <row r="500" spans="1:4">
      <c r="A500" s="3" t="s">
        <v>1269</v>
      </c>
      <c r="B500" s="3" t="s">
        <v>1270</v>
      </c>
      <c r="C500" s="3" t="s">
        <v>1261</v>
      </c>
      <c r="D500" s="3" t="s">
        <v>1162</v>
      </c>
    </row>
    <row r="501" spans="1:4">
      <c r="A501" s="3" t="s">
        <v>1271</v>
      </c>
      <c r="B501" s="3" t="s">
        <v>1272</v>
      </c>
      <c r="C501" s="3" t="s">
        <v>1261</v>
      </c>
      <c r="D501" s="3" t="s">
        <v>1162</v>
      </c>
    </row>
    <row r="502" spans="1:4">
      <c r="A502" s="3" t="s">
        <v>1273</v>
      </c>
      <c r="B502" s="3" t="s">
        <v>1274</v>
      </c>
      <c r="C502" s="3" t="s">
        <v>1261</v>
      </c>
      <c r="D502" s="3" t="s">
        <v>1162</v>
      </c>
    </row>
    <row r="503" spans="1:4">
      <c r="A503" s="3" t="s">
        <v>1275</v>
      </c>
      <c r="B503" s="3" t="s">
        <v>1276</v>
      </c>
      <c r="C503" s="3" t="s">
        <v>1261</v>
      </c>
      <c r="D503" s="3" t="s">
        <v>1162</v>
      </c>
    </row>
    <row r="504" spans="1:4">
      <c r="A504" s="3" t="s">
        <v>1277</v>
      </c>
      <c r="B504" s="3" t="s">
        <v>1278</v>
      </c>
      <c r="C504" s="3" t="s">
        <v>1261</v>
      </c>
      <c r="D504" s="3" t="s">
        <v>1162</v>
      </c>
    </row>
    <row r="505" spans="1:4">
      <c r="A505" s="3" t="s">
        <v>1279</v>
      </c>
      <c r="B505" s="3" t="s">
        <v>1261</v>
      </c>
      <c r="C505" s="3" t="s">
        <v>1261</v>
      </c>
      <c r="D505" s="3" t="s">
        <v>1162</v>
      </c>
    </row>
    <row r="506" spans="1:4">
      <c r="A506" s="3" t="s">
        <v>1280</v>
      </c>
      <c r="B506" s="3" t="s">
        <v>1281</v>
      </c>
      <c r="C506" s="3" t="s">
        <v>1261</v>
      </c>
      <c r="D506" s="3" t="s">
        <v>1162</v>
      </c>
    </row>
    <row r="507" spans="1:4">
      <c r="A507" s="3" t="s">
        <v>1282</v>
      </c>
      <c r="B507" s="3" t="s">
        <v>1283</v>
      </c>
      <c r="C507" s="3" t="s">
        <v>1261</v>
      </c>
      <c r="D507" s="3" t="s">
        <v>1162</v>
      </c>
    </row>
    <row r="508" spans="1:4">
      <c r="A508" s="3" t="s">
        <v>1284</v>
      </c>
      <c r="B508" s="3" t="s">
        <v>1285</v>
      </c>
      <c r="C508" s="3" t="s">
        <v>1261</v>
      </c>
      <c r="D508" s="3" t="s">
        <v>1162</v>
      </c>
    </row>
    <row r="509" spans="1:4">
      <c r="A509" s="3" t="s">
        <v>1286</v>
      </c>
      <c r="B509" s="3" t="s">
        <v>389</v>
      </c>
      <c r="C509" s="3" t="s">
        <v>1261</v>
      </c>
      <c r="D509" s="3" t="s">
        <v>1162</v>
      </c>
    </row>
    <row r="510" spans="1:4">
      <c r="A510" s="3" t="s">
        <v>1287</v>
      </c>
      <c r="B510" s="3" t="s">
        <v>755</v>
      </c>
      <c r="C510" s="3" t="s">
        <v>1261</v>
      </c>
      <c r="D510" s="3" t="s">
        <v>1162</v>
      </c>
    </row>
    <row r="511" spans="1:4">
      <c r="A511" s="3" t="s">
        <v>1288</v>
      </c>
      <c r="B511" s="3" t="s">
        <v>670</v>
      </c>
      <c r="C511" s="3" t="s">
        <v>1261</v>
      </c>
      <c r="D511" s="3" t="s">
        <v>1162</v>
      </c>
    </row>
    <row r="512" spans="1:4">
      <c r="A512" s="3" t="s">
        <v>1289</v>
      </c>
      <c r="B512" s="3" t="s">
        <v>1290</v>
      </c>
      <c r="C512" s="3" t="s">
        <v>1261</v>
      </c>
      <c r="D512" s="3" t="s">
        <v>1162</v>
      </c>
    </row>
    <row r="513" spans="1:4">
      <c r="A513" s="3" t="s">
        <v>1291</v>
      </c>
      <c r="B513" s="3" t="s">
        <v>1205</v>
      </c>
      <c r="C513" s="3" t="s">
        <v>1261</v>
      </c>
      <c r="D513" s="3" t="s">
        <v>1162</v>
      </c>
    </row>
    <row r="514" spans="1:4">
      <c r="A514" s="3" t="s">
        <v>1292</v>
      </c>
      <c r="B514" s="3" t="s">
        <v>1293</v>
      </c>
      <c r="C514" s="3" t="s">
        <v>1261</v>
      </c>
      <c r="D514" s="3" t="s">
        <v>1162</v>
      </c>
    </row>
    <row r="515" spans="1:4">
      <c r="A515" s="3" t="s">
        <v>1294</v>
      </c>
      <c r="B515" s="3" t="s">
        <v>1295</v>
      </c>
      <c r="C515" s="3" t="s">
        <v>1261</v>
      </c>
      <c r="D515" s="3" t="s">
        <v>1162</v>
      </c>
    </row>
    <row r="516" spans="1:4">
      <c r="A516" s="3" t="s">
        <v>1296</v>
      </c>
      <c r="B516" s="3" t="s">
        <v>1297</v>
      </c>
      <c r="C516" s="3" t="s">
        <v>1298</v>
      </c>
      <c r="D516" s="3" t="s">
        <v>1162</v>
      </c>
    </row>
    <row r="517" spans="1:4">
      <c r="A517" s="3" t="s">
        <v>1299</v>
      </c>
      <c r="B517" s="3" t="s">
        <v>1300</v>
      </c>
      <c r="C517" s="3" t="s">
        <v>1298</v>
      </c>
      <c r="D517" s="3" t="s">
        <v>1162</v>
      </c>
    </row>
    <row r="518" spans="1:4">
      <c r="A518" s="3" t="s">
        <v>1301</v>
      </c>
      <c r="B518" s="3" t="s">
        <v>1302</v>
      </c>
      <c r="C518" s="3" t="s">
        <v>1298</v>
      </c>
      <c r="D518" s="3" t="s">
        <v>1162</v>
      </c>
    </row>
    <row r="519" spans="1:4">
      <c r="A519" s="3" t="s">
        <v>1303</v>
      </c>
      <c r="B519" s="3" t="s">
        <v>1304</v>
      </c>
      <c r="C519" s="3" t="s">
        <v>1298</v>
      </c>
      <c r="D519" s="3" t="s">
        <v>1162</v>
      </c>
    </row>
    <row r="520" spans="1:4">
      <c r="A520" s="3" t="s">
        <v>1305</v>
      </c>
      <c r="B520" s="3" t="s">
        <v>1306</v>
      </c>
      <c r="C520" s="3" t="s">
        <v>1298</v>
      </c>
      <c r="D520" s="3" t="s">
        <v>1162</v>
      </c>
    </row>
    <row r="521" spans="1:4">
      <c r="A521" s="3" t="s">
        <v>1307</v>
      </c>
      <c r="B521" s="3" t="s">
        <v>1308</v>
      </c>
      <c r="C521" s="3" t="s">
        <v>1298</v>
      </c>
      <c r="D521" s="3" t="s">
        <v>1162</v>
      </c>
    </row>
    <row r="522" spans="1:4">
      <c r="A522" s="3" t="s">
        <v>1309</v>
      </c>
      <c r="B522" s="3" t="s">
        <v>1310</v>
      </c>
      <c r="C522" s="3" t="s">
        <v>1298</v>
      </c>
      <c r="D522" s="3" t="s">
        <v>1162</v>
      </c>
    </row>
    <row r="523" spans="1:4">
      <c r="A523" s="3" t="s">
        <v>1311</v>
      </c>
      <c r="B523" s="3" t="s">
        <v>1312</v>
      </c>
      <c r="C523" s="3" t="s">
        <v>1298</v>
      </c>
      <c r="D523" s="3" t="s">
        <v>1162</v>
      </c>
    </row>
    <row r="524" spans="1:4">
      <c r="A524" s="3" t="s">
        <v>1313</v>
      </c>
      <c r="B524" s="3" t="s">
        <v>1314</v>
      </c>
      <c r="C524" s="3" t="s">
        <v>1315</v>
      </c>
      <c r="D524" s="3" t="s">
        <v>1162</v>
      </c>
    </row>
    <row r="525" spans="1:4">
      <c r="A525" s="3" t="s">
        <v>1316</v>
      </c>
      <c r="B525" s="3" t="s">
        <v>1317</v>
      </c>
      <c r="C525" s="3" t="s">
        <v>1315</v>
      </c>
      <c r="D525" s="3" t="s">
        <v>1162</v>
      </c>
    </row>
    <row r="526" spans="1:4">
      <c r="A526" s="3" t="s">
        <v>1318</v>
      </c>
      <c r="B526" s="3" t="s">
        <v>1319</v>
      </c>
      <c r="C526" s="3" t="s">
        <v>1315</v>
      </c>
      <c r="D526" s="3" t="s">
        <v>1162</v>
      </c>
    </row>
    <row r="527" spans="1:4">
      <c r="A527" s="3" t="s">
        <v>1320</v>
      </c>
      <c r="B527" s="3" t="s">
        <v>1321</v>
      </c>
      <c r="C527" s="3" t="s">
        <v>1315</v>
      </c>
      <c r="D527" s="3" t="s">
        <v>1162</v>
      </c>
    </row>
    <row r="528" spans="1:4">
      <c r="A528" s="3" t="s">
        <v>1322</v>
      </c>
      <c r="B528" s="3" t="s">
        <v>1323</v>
      </c>
      <c r="C528" s="3" t="s">
        <v>1315</v>
      </c>
      <c r="D528" s="3" t="s">
        <v>1162</v>
      </c>
    </row>
    <row r="529" spans="1:4">
      <c r="A529" s="3" t="s">
        <v>1324</v>
      </c>
      <c r="B529" s="3" t="s">
        <v>1325</v>
      </c>
      <c r="C529" s="3" t="s">
        <v>1315</v>
      </c>
      <c r="D529" s="3" t="s">
        <v>1162</v>
      </c>
    </row>
    <row r="530" spans="1:4">
      <c r="A530" s="3" t="s">
        <v>1326</v>
      </c>
      <c r="B530" s="3" t="s">
        <v>1327</v>
      </c>
      <c r="C530" s="3" t="s">
        <v>1315</v>
      </c>
      <c r="D530" s="3" t="s">
        <v>1162</v>
      </c>
    </row>
    <row r="531" spans="1:4">
      <c r="A531" s="3" t="s">
        <v>1328</v>
      </c>
      <c r="B531" s="3" t="s">
        <v>1329</v>
      </c>
      <c r="C531" s="3" t="s">
        <v>1315</v>
      </c>
      <c r="D531" s="3" t="s">
        <v>1162</v>
      </c>
    </row>
    <row r="532" spans="1:4">
      <c r="A532" s="3" t="s">
        <v>1330</v>
      </c>
      <c r="B532" s="3" t="s">
        <v>1331</v>
      </c>
      <c r="C532" s="3" t="s">
        <v>1315</v>
      </c>
      <c r="D532" s="3" t="s">
        <v>1162</v>
      </c>
    </row>
    <row r="533" spans="1:4">
      <c r="A533" s="3" t="s">
        <v>1332</v>
      </c>
      <c r="B533" s="3" t="s">
        <v>1333</v>
      </c>
      <c r="C533" s="3" t="s">
        <v>1315</v>
      </c>
      <c r="D533" s="3" t="s">
        <v>1162</v>
      </c>
    </row>
    <row r="534" spans="1:4">
      <c r="A534" s="3" t="s">
        <v>1334</v>
      </c>
      <c r="B534" s="3" t="s">
        <v>1335</v>
      </c>
      <c r="C534" s="3" t="s">
        <v>1336</v>
      </c>
      <c r="D534" s="3" t="s">
        <v>1162</v>
      </c>
    </row>
    <row r="535" spans="1:4">
      <c r="A535" s="3" t="s">
        <v>1337</v>
      </c>
      <c r="B535" s="3" t="s">
        <v>1338</v>
      </c>
      <c r="C535" s="3" t="s">
        <v>1336</v>
      </c>
      <c r="D535" s="3" t="s">
        <v>1162</v>
      </c>
    </row>
    <row r="536" spans="1:4">
      <c r="A536" s="3" t="s">
        <v>1339</v>
      </c>
      <c r="B536" s="3" t="s">
        <v>1340</v>
      </c>
      <c r="C536" s="3" t="s">
        <v>1336</v>
      </c>
      <c r="D536" s="3" t="s">
        <v>1162</v>
      </c>
    </row>
    <row r="537" spans="1:4">
      <c r="A537" s="3" t="s">
        <v>1341</v>
      </c>
      <c r="B537" s="3" t="s">
        <v>1342</v>
      </c>
      <c r="C537" s="3" t="s">
        <v>1336</v>
      </c>
      <c r="D537" s="3" t="s">
        <v>1162</v>
      </c>
    </row>
    <row r="538" spans="1:4">
      <c r="A538" s="3" t="s">
        <v>1343</v>
      </c>
      <c r="B538" s="3" t="s">
        <v>1344</v>
      </c>
      <c r="C538" s="3" t="s">
        <v>1336</v>
      </c>
      <c r="D538" s="3" t="s">
        <v>1162</v>
      </c>
    </row>
    <row r="539" spans="1:4">
      <c r="A539" s="3" t="s">
        <v>1345</v>
      </c>
      <c r="B539" s="3" t="s">
        <v>1346</v>
      </c>
      <c r="C539" s="3" t="s">
        <v>1336</v>
      </c>
      <c r="D539" s="3" t="s">
        <v>1162</v>
      </c>
    </row>
    <row r="540" spans="1:4">
      <c r="A540" s="3" t="s">
        <v>1347</v>
      </c>
      <c r="B540" s="3" t="s">
        <v>1348</v>
      </c>
      <c r="C540" s="3" t="s">
        <v>1336</v>
      </c>
      <c r="D540" s="3" t="s">
        <v>1162</v>
      </c>
    </row>
    <row r="541" spans="1:4">
      <c r="A541" s="3" t="s">
        <v>1349</v>
      </c>
      <c r="B541" s="3" t="s">
        <v>1350</v>
      </c>
      <c r="C541" s="3" t="s">
        <v>1336</v>
      </c>
      <c r="D541" s="3" t="s">
        <v>1162</v>
      </c>
    </row>
    <row r="542" spans="1:4">
      <c r="A542" s="3" t="s">
        <v>1351</v>
      </c>
      <c r="B542" s="3" t="s">
        <v>1352</v>
      </c>
      <c r="C542" s="3" t="s">
        <v>1336</v>
      </c>
      <c r="D542" s="3" t="s">
        <v>1162</v>
      </c>
    </row>
    <row r="543" spans="1:4">
      <c r="A543" s="3" t="s">
        <v>1353</v>
      </c>
      <c r="B543" s="3" t="s">
        <v>1354</v>
      </c>
      <c r="C543" s="3" t="s">
        <v>1336</v>
      </c>
      <c r="D543" s="3" t="s">
        <v>1162</v>
      </c>
    </row>
    <row r="544" spans="1:4">
      <c r="A544" s="3" t="s">
        <v>1355</v>
      </c>
      <c r="B544" s="3" t="s">
        <v>1356</v>
      </c>
      <c r="C544" s="3" t="s">
        <v>1336</v>
      </c>
      <c r="D544" s="3" t="s">
        <v>1162</v>
      </c>
    </row>
    <row r="545" spans="1:4">
      <c r="A545" s="3" t="s">
        <v>1357</v>
      </c>
      <c r="B545" s="3" t="s">
        <v>1358</v>
      </c>
      <c r="C545" s="3" t="s">
        <v>1359</v>
      </c>
      <c r="D545" s="3" t="s">
        <v>1162</v>
      </c>
    </row>
    <row r="546" spans="1:4">
      <c r="A546" s="3" t="s">
        <v>1360</v>
      </c>
      <c r="B546" s="3" t="s">
        <v>1361</v>
      </c>
      <c r="C546" s="3" t="s">
        <v>1359</v>
      </c>
      <c r="D546" s="3" t="s">
        <v>1162</v>
      </c>
    </row>
    <row r="547" spans="1:4">
      <c r="A547" s="3" t="s">
        <v>1362</v>
      </c>
      <c r="B547" s="3" t="s">
        <v>1363</v>
      </c>
      <c r="C547" s="3" t="s">
        <v>1359</v>
      </c>
      <c r="D547" s="3" t="s">
        <v>1162</v>
      </c>
    </row>
    <row r="548" spans="1:4">
      <c r="A548" s="3" t="s">
        <v>1364</v>
      </c>
      <c r="B548" s="3" t="s">
        <v>1365</v>
      </c>
      <c r="C548" s="3" t="s">
        <v>1359</v>
      </c>
      <c r="D548" s="3" t="s">
        <v>1162</v>
      </c>
    </row>
    <row r="549" spans="1:4">
      <c r="A549" s="3" t="s">
        <v>1366</v>
      </c>
      <c r="B549" s="3" t="s">
        <v>1367</v>
      </c>
      <c r="C549" s="3" t="s">
        <v>1359</v>
      </c>
      <c r="D549" s="3" t="s">
        <v>1162</v>
      </c>
    </row>
    <row r="550" spans="1:4">
      <c r="A550" s="3" t="s">
        <v>1368</v>
      </c>
      <c r="B550" s="3" t="s">
        <v>1369</v>
      </c>
      <c r="C550" s="3" t="s">
        <v>1359</v>
      </c>
      <c r="D550" s="3" t="s">
        <v>1162</v>
      </c>
    </row>
    <row r="551" spans="1:4">
      <c r="A551" s="3" t="s">
        <v>1370</v>
      </c>
      <c r="B551" s="3" t="s">
        <v>1371</v>
      </c>
      <c r="C551" s="3" t="s">
        <v>1359</v>
      </c>
      <c r="D551" s="3" t="s">
        <v>1162</v>
      </c>
    </row>
    <row r="552" spans="1:4">
      <c r="A552" s="3" t="s">
        <v>1372</v>
      </c>
      <c r="B552" s="3" t="s">
        <v>1373</v>
      </c>
      <c r="C552" s="3" t="s">
        <v>1359</v>
      </c>
      <c r="D552" s="3" t="s">
        <v>1162</v>
      </c>
    </row>
    <row r="553" spans="1:4">
      <c r="A553" s="3" t="s">
        <v>1374</v>
      </c>
      <c r="B553" s="3" t="s">
        <v>1375</v>
      </c>
      <c r="C553" s="3" t="s">
        <v>1359</v>
      </c>
      <c r="D553" s="3" t="s">
        <v>1162</v>
      </c>
    </row>
    <row r="554" spans="1:4">
      <c r="A554" s="3" t="s">
        <v>1376</v>
      </c>
      <c r="B554" s="3" t="s">
        <v>1377</v>
      </c>
      <c r="C554" s="3" t="s">
        <v>1359</v>
      </c>
      <c r="D554" s="3" t="s">
        <v>1162</v>
      </c>
    </row>
    <row r="555" spans="1:4">
      <c r="A555" s="3" t="s">
        <v>1378</v>
      </c>
      <c r="B555" s="3" t="s">
        <v>1379</v>
      </c>
      <c r="C555" s="3" t="s">
        <v>1359</v>
      </c>
      <c r="D555" s="3" t="s">
        <v>1162</v>
      </c>
    </row>
    <row r="556" spans="1:4">
      <c r="A556" s="3" t="s">
        <v>1380</v>
      </c>
      <c r="B556" s="3" t="s">
        <v>1381</v>
      </c>
      <c r="C556" s="3" t="s">
        <v>1359</v>
      </c>
      <c r="D556" s="3" t="s">
        <v>1162</v>
      </c>
    </row>
    <row r="557" spans="1:4">
      <c r="A557" s="3" t="s">
        <v>1382</v>
      </c>
      <c r="B557" s="3" t="s">
        <v>1383</v>
      </c>
      <c r="C557" s="3" t="s">
        <v>1383</v>
      </c>
      <c r="D557" s="3" t="s">
        <v>1162</v>
      </c>
    </row>
    <row r="558" spans="1:4">
      <c r="A558" s="3" t="s">
        <v>1384</v>
      </c>
      <c r="B558" s="3" t="s">
        <v>1385</v>
      </c>
      <c r="C558" s="3" t="s">
        <v>1383</v>
      </c>
      <c r="D558" s="3" t="s">
        <v>1162</v>
      </c>
    </row>
    <row r="559" spans="1:4">
      <c r="A559" s="3" t="s">
        <v>1386</v>
      </c>
      <c r="B559" s="3" t="s">
        <v>1387</v>
      </c>
      <c r="C559" s="3" t="s">
        <v>1383</v>
      </c>
      <c r="D559" s="3" t="s">
        <v>1162</v>
      </c>
    </row>
    <row r="560" spans="1:4">
      <c r="A560" s="3" t="s">
        <v>1388</v>
      </c>
      <c r="B560" s="3" t="s">
        <v>1389</v>
      </c>
      <c r="C560" s="3" t="s">
        <v>1383</v>
      </c>
      <c r="D560" s="3" t="s">
        <v>1162</v>
      </c>
    </row>
    <row r="561" spans="1:4">
      <c r="A561" s="3" t="s">
        <v>1390</v>
      </c>
      <c r="B561" s="3" t="s">
        <v>1391</v>
      </c>
      <c r="C561" s="3" t="s">
        <v>1383</v>
      </c>
      <c r="D561" s="3" t="s">
        <v>1162</v>
      </c>
    </row>
    <row r="562" spans="1:4">
      <c r="A562" s="3" t="s">
        <v>1392</v>
      </c>
      <c r="B562" s="3" t="s">
        <v>454</v>
      </c>
      <c r="C562" s="3" t="s">
        <v>1383</v>
      </c>
      <c r="D562" s="3" t="s">
        <v>1162</v>
      </c>
    </row>
    <row r="563" spans="1:4">
      <c r="A563" s="3" t="s">
        <v>1393</v>
      </c>
      <c r="B563" s="3" t="s">
        <v>1394</v>
      </c>
      <c r="C563" s="3" t="s">
        <v>1383</v>
      </c>
      <c r="D563" s="3" t="s">
        <v>1162</v>
      </c>
    </row>
    <row r="564" spans="1:4">
      <c r="A564" s="3" t="s">
        <v>1395</v>
      </c>
      <c r="B564" s="3" t="s">
        <v>1396</v>
      </c>
      <c r="C564" s="3" t="s">
        <v>1383</v>
      </c>
      <c r="D564" s="3" t="s">
        <v>1162</v>
      </c>
    </row>
    <row r="565" spans="1:4">
      <c r="A565" s="3" t="s">
        <v>1397</v>
      </c>
      <c r="B565" s="3" t="s">
        <v>1398</v>
      </c>
      <c r="C565" s="3" t="s">
        <v>1398</v>
      </c>
      <c r="D565" s="3" t="s">
        <v>1398</v>
      </c>
    </row>
    <row r="566" spans="1:4">
      <c r="A566" s="3" t="s">
        <v>1399</v>
      </c>
      <c r="B566" s="3" t="s">
        <v>275</v>
      </c>
      <c r="C566" s="3" t="s">
        <v>1398</v>
      </c>
      <c r="D566" s="3" t="s">
        <v>1398</v>
      </c>
    </row>
    <row r="567" spans="1:4">
      <c r="A567" s="3" t="s">
        <v>1400</v>
      </c>
      <c r="B567" s="3" t="s">
        <v>1401</v>
      </c>
      <c r="C567" s="3" t="s">
        <v>1398</v>
      </c>
      <c r="D567" s="3" t="s">
        <v>1398</v>
      </c>
    </row>
    <row r="568" spans="1:4">
      <c r="A568" s="3" t="s">
        <v>1402</v>
      </c>
      <c r="B568" s="3" t="s">
        <v>1403</v>
      </c>
      <c r="C568" s="3" t="s">
        <v>1398</v>
      </c>
      <c r="D568" s="3" t="s">
        <v>1398</v>
      </c>
    </row>
    <row r="569" spans="1:4">
      <c r="A569" s="3" t="s">
        <v>1404</v>
      </c>
      <c r="B569" s="3" t="s">
        <v>1405</v>
      </c>
      <c r="C569" s="3" t="s">
        <v>1398</v>
      </c>
      <c r="D569" s="3" t="s">
        <v>1398</v>
      </c>
    </row>
    <row r="570" spans="1:4">
      <c r="A570" s="3" t="s">
        <v>1406</v>
      </c>
      <c r="B570" s="3" t="s">
        <v>1407</v>
      </c>
      <c r="C570" s="3" t="s">
        <v>1398</v>
      </c>
      <c r="D570" s="3" t="s">
        <v>1398</v>
      </c>
    </row>
    <row r="571" spans="1:4">
      <c r="A571" s="3" t="s">
        <v>1408</v>
      </c>
      <c r="B571" s="3" t="s">
        <v>1409</v>
      </c>
      <c r="C571" s="3" t="s">
        <v>1398</v>
      </c>
      <c r="D571" s="3" t="s">
        <v>1398</v>
      </c>
    </row>
    <row r="572" spans="1:4">
      <c r="A572" s="3" t="s">
        <v>1410</v>
      </c>
      <c r="B572" s="3" t="s">
        <v>1411</v>
      </c>
      <c r="C572" s="3" t="s">
        <v>1398</v>
      </c>
      <c r="D572" s="3" t="s">
        <v>1398</v>
      </c>
    </row>
    <row r="573" spans="1:4">
      <c r="A573" s="3" t="s">
        <v>1412</v>
      </c>
      <c r="B573" s="3" t="s">
        <v>295</v>
      </c>
      <c r="C573" s="3" t="s">
        <v>1398</v>
      </c>
      <c r="D573" s="3" t="s">
        <v>1398</v>
      </c>
    </row>
    <row r="574" spans="1:4">
      <c r="A574" s="3" t="s">
        <v>1413</v>
      </c>
      <c r="B574" s="3" t="s">
        <v>1414</v>
      </c>
      <c r="C574" s="3" t="s">
        <v>1398</v>
      </c>
      <c r="D574" s="3" t="s">
        <v>1398</v>
      </c>
    </row>
    <row r="575" spans="1:4">
      <c r="A575" s="3" t="s">
        <v>1415</v>
      </c>
      <c r="B575" s="3" t="s">
        <v>1416</v>
      </c>
      <c r="C575" s="3" t="s">
        <v>1398</v>
      </c>
      <c r="D575" s="3" t="s">
        <v>1398</v>
      </c>
    </row>
    <row r="576" spans="1:4">
      <c r="A576" s="3" t="s">
        <v>1417</v>
      </c>
      <c r="B576" s="3" t="s">
        <v>755</v>
      </c>
      <c r="C576" s="3" t="s">
        <v>1398</v>
      </c>
      <c r="D576" s="3" t="s">
        <v>1398</v>
      </c>
    </row>
    <row r="577" spans="1:4">
      <c r="A577" s="3" t="s">
        <v>1418</v>
      </c>
      <c r="B577" s="3" t="s">
        <v>1419</v>
      </c>
      <c r="C577" s="3" t="s">
        <v>1419</v>
      </c>
      <c r="D577" s="3" t="s">
        <v>1398</v>
      </c>
    </row>
    <row r="578" spans="1:4">
      <c r="A578" s="3" t="s">
        <v>1420</v>
      </c>
      <c r="B578" s="3" t="s">
        <v>1421</v>
      </c>
      <c r="C578" s="3" t="s">
        <v>1419</v>
      </c>
      <c r="D578" s="3" t="s">
        <v>1398</v>
      </c>
    </row>
    <row r="579" spans="1:4">
      <c r="A579" s="3" t="s">
        <v>1422</v>
      </c>
      <c r="B579" s="3" t="s">
        <v>1423</v>
      </c>
      <c r="C579" s="3" t="s">
        <v>1419</v>
      </c>
      <c r="D579" s="3" t="s">
        <v>1398</v>
      </c>
    </row>
    <row r="580" spans="1:4">
      <c r="A580" s="3" t="s">
        <v>1424</v>
      </c>
      <c r="B580" s="3" t="s">
        <v>1425</v>
      </c>
      <c r="C580" s="3" t="s">
        <v>1419</v>
      </c>
      <c r="D580" s="3" t="s">
        <v>1398</v>
      </c>
    </row>
    <row r="581" spans="1:4">
      <c r="A581" s="3" t="s">
        <v>1426</v>
      </c>
      <c r="B581" s="3" t="s">
        <v>1427</v>
      </c>
      <c r="C581" s="3" t="s">
        <v>1427</v>
      </c>
      <c r="D581" s="3" t="s">
        <v>1398</v>
      </c>
    </row>
    <row r="582" spans="1:4">
      <c r="A582" s="3" t="s">
        <v>1428</v>
      </c>
      <c r="B582" s="3" t="s">
        <v>1429</v>
      </c>
      <c r="C582" s="3" t="s">
        <v>1427</v>
      </c>
      <c r="D582" s="3" t="s">
        <v>1398</v>
      </c>
    </row>
    <row r="583" spans="1:4">
      <c r="A583" s="3" t="s">
        <v>1430</v>
      </c>
      <c r="B583" s="3" t="s">
        <v>1431</v>
      </c>
      <c r="C583" s="3" t="s">
        <v>1427</v>
      </c>
      <c r="D583" s="3" t="s">
        <v>1398</v>
      </c>
    </row>
    <row r="584" spans="1:4">
      <c r="A584" s="3" t="s">
        <v>1432</v>
      </c>
      <c r="B584" s="3" t="s">
        <v>1433</v>
      </c>
      <c r="C584" s="3" t="s">
        <v>1427</v>
      </c>
      <c r="D584" s="3" t="s">
        <v>1398</v>
      </c>
    </row>
    <row r="585" spans="1:4">
      <c r="A585" s="3" t="s">
        <v>1434</v>
      </c>
      <c r="B585" s="3" t="s">
        <v>1435</v>
      </c>
      <c r="C585" s="3" t="s">
        <v>1427</v>
      </c>
      <c r="D585" s="3" t="s">
        <v>1398</v>
      </c>
    </row>
    <row r="586" spans="1:4">
      <c r="A586" s="3" t="s">
        <v>1436</v>
      </c>
      <c r="B586" s="3" t="s">
        <v>1437</v>
      </c>
      <c r="C586" s="3" t="s">
        <v>1427</v>
      </c>
      <c r="D586" s="3" t="s">
        <v>1398</v>
      </c>
    </row>
    <row r="587" spans="1:4">
      <c r="A587" s="3" t="s">
        <v>1438</v>
      </c>
      <c r="B587" s="3" t="s">
        <v>1439</v>
      </c>
      <c r="C587" s="3" t="s">
        <v>1427</v>
      </c>
      <c r="D587" s="3" t="s">
        <v>1398</v>
      </c>
    </row>
    <row r="588" spans="1:4">
      <c r="A588" s="3" t="s">
        <v>1440</v>
      </c>
      <c r="B588" s="3" t="s">
        <v>1441</v>
      </c>
      <c r="C588" s="3" t="s">
        <v>1427</v>
      </c>
      <c r="D588" s="3" t="s">
        <v>1398</v>
      </c>
    </row>
    <row r="589" spans="1:4">
      <c r="A589" s="3" t="s">
        <v>1442</v>
      </c>
      <c r="B589" s="3" t="s">
        <v>1443</v>
      </c>
      <c r="C589" s="3" t="s">
        <v>1427</v>
      </c>
      <c r="D589" s="3" t="s">
        <v>1398</v>
      </c>
    </row>
    <row r="590" spans="1:4">
      <c r="A590" s="3" t="s">
        <v>1444</v>
      </c>
      <c r="B590" s="3" t="s">
        <v>1336</v>
      </c>
      <c r="C590" s="3" t="s">
        <v>1427</v>
      </c>
      <c r="D590" s="3" t="s">
        <v>1398</v>
      </c>
    </row>
    <row r="591" spans="1:4">
      <c r="A591" s="3" t="s">
        <v>1445</v>
      </c>
      <c r="B591" s="3" t="s">
        <v>1446</v>
      </c>
      <c r="C591" s="3" t="s">
        <v>1427</v>
      </c>
      <c r="D591" s="3" t="s">
        <v>1398</v>
      </c>
    </row>
    <row r="592" spans="1:4">
      <c r="A592" s="3" t="s">
        <v>1447</v>
      </c>
      <c r="B592" s="3" t="s">
        <v>1448</v>
      </c>
      <c r="C592" s="3" t="s">
        <v>1427</v>
      </c>
      <c r="D592" s="3" t="s">
        <v>1398</v>
      </c>
    </row>
    <row r="593" spans="1:4">
      <c r="A593" s="3" t="s">
        <v>1449</v>
      </c>
      <c r="B593" s="3" t="s">
        <v>1450</v>
      </c>
      <c r="C593" s="3" t="s">
        <v>1450</v>
      </c>
      <c r="D593" s="3" t="s">
        <v>1398</v>
      </c>
    </row>
    <row r="594" spans="1:4">
      <c r="A594" s="3" t="s">
        <v>1451</v>
      </c>
      <c r="B594" s="3" t="s">
        <v>1452</v>
      </c>
      <c r="C594" s="3" t="s">
        <v>1450</v>
      </c>
      <c r="D594" s="3" t="s">
        <v>1398</v>
      </c>
    </row>
    <row r="595" spans="1:4">
      <c r="A595" s="3" t="s">
        <v>1453</v>
      </c>
      <c r="B595" s="3" t="s">
        <v>1454</v>
      </c>
      <c r="C595" s="3" t="s">
        <v>1450</v>
      </c>
      <c r="D595" s="3" t="s">
        <v>1398</v>
      </c>
    </row>
    <row r="596" spans="1:4">
      <c r="A596" s="3" t="s">
        <v>1455</v>
      </c>
      <c r="B596" s="3" t="s">
        <v>1456</v>
      </c>
      <c r="C596" s="3" t="s">
        <v>1450</v>
      </c>
      <c r="D596" s="3" t="s">
        <v>1398</v>
      </c>
    </row>
    <row r="597" spans="1:4">
      <c r="A597" s="3" t="s">
        <v>1457</v>
      </c>
      <c r="B597" s="3" t="s">
        <v>1458</v>
      </c>
      <c r="C597" s="3" t="s">
        <v>1450</v>
      </c>
      <c r="D597" s="3" t="s">
        <v>1398</v>
      </c>
    </row>
    <row r="598" spans="1:4">
      <c r="A598" s="3" t="s">
        <v>1459</v>
      </c>
      <c r="B598" s="3" t="s">
        <v>1460</v>
      </c>
      <c r="C598" s="3" t="s">
        <v>1450</v>
      </c>
      <c r="D598" s="3" t="s">
        <v>1398</v>
      </c>
    </row>
    <row r="599" spans="1:4">
      <c r="A599" s="3" t="s">
        <v>1461</v>
      </c>
      <c r="B599" s="3" t="s">
        <v>448</v>
      </c>
      <c r="C599" s="3" t="s">
        <v>1450</v>
      </c>
      <c r="D599" s="3" t="s">
        <v>1398</v>
      </c>
    </row>
    <row r="600" spans="1:4">
      <c r="A600" s="3" t="s">
        <v>1462</v>
      </c>
      <c r="B600" s="3" t="s">
        <v>1463</v>
      </c>
      <c r="C600" s="3" t="s">
        <v>1450</v>
      </c>
      <c r="D600" s="3" t="s">
        <v>1398</v>
      </c>
    </row>
    <row r="601" spans="1:4">
      <c r="A601" s="3" t="s">
        <v>1464</v>
      </c>
      <c r="B601" s="3" t="s">
        <v>1465</v>
      </c>
      <c r="C601" s="3" t="s">
        <v>1450</v>
      </c>
      <c r="D601" s="3" t="s">
        <v>1398</v>
      </c>
    </row>
    <row r="602" spans="1:4">
      <c r="A602" s="3" t="s">
        <v>1466</v>
      </c>
      <c r="B602" s="3" t="s">
        <v>1467</v>
      </c>
      <c r="C602" s="3" t="s">
        <v>1450</v>
      </c>
      <c r="D602" s="3" t="s">
        <v>1398</v>
      </c>
    </row>
    <row r="603" spans="1:4">
      <c r="A603" s="3" t="s">
        <v>1468</v>
      </c>
      <c r="B603" s="3" t="s">
        <v>646</v>
      </c>
      <c r="C603" s="3" t="s">
        <v>1450</v>
      </c>
      <c r="D603" s="3" t="s">
        <v>1398</v>
      </c>
    </row>
    <row r="604" spans="1:4">
      <c r="A604" s="3" t="s">
        <v>1469</v>
      </c>
      <c r="B604" s="3" t="s">
        <v>1470</v>
      </c>
      <c r="C604" s="3" t="s">
        <v>1450</v>
      </c>
      <c r="D604" s="3" t="s">
        <v>1398</v>
      </c>
    </row>
    <row r="605" spans="1:4">
      <c r="A605" s="3" t="s">
        <v>1471</v>
      </c>
      <c r="B605" s="3" t="s">
        <v>1472</v>
      </c>
      <c r="C605" s="3" t="s">
        <v>1450</v>
      </c>
      <c r="D605" s="3" t="s">
        <v>1398</v>
      </c>
    </row>
    <row r="606" spans="1:4">
      <c r="A606" s="3" t="s">
        <v>1473</v>
      </c>
      <c r="B606" s="3" t="s">
        <v>1474</v>
      </c>
      <c r="C606" s="3" t="s">
        <v>1450</v>
      </c>
      <c r="D606" s="3" t="s">
        <v>1398</v>
      </c>
    </row>
    <row r="607" spans="1:4">
      <c r="A607" s="3" t="s">
        <v>1475</v>
      </c>
      <c r="B607" s="3" t="s">
        <v>1476</v>
      </c>
      <c r="C607" s="3" t="s">
        <v>1450</v>
      </c>
      <c r="D607" s="3" t="s">
        <v>1398</v>
      </c>
    </row>
    <row r="608" spans="1:4">
      <c r="A608" s="3" t="s">
        <v>1477</v>
      </c>
      <c r="B608" s="3" t="s">
        <v>1478</v>
      </c>
      <c r="C608" s="3" t="s">
        <v>1450</v>
      </c>
      <c r="D608" s="3" t="s">
        <v>1398</v>
      </c>
    </row>
    <row r="609" spans="1:4">
      <c r="A609" s="3" t="s">
        <v>1479</v>
      </c>
      <c r="B609" s="3" t="s">
        <v>1480</v>
      </c>
      <c r="C609" s="3" t="s">
        <v>1450</v>
      </c>
      <c r="D609" s="3" t="s">
        <v>1398</v>
      </c>
    </row>
    <row r="610" spans="1:4">
      <c r="A610" s="3" t="s">
        <v>1481</v>
      </c>
      <c r="B610" s="3" t="s">
        <v>1482</v>
      </c>
      <c r="C610" s="3" t="s">
        <v>1450</v>
      </c>
      <c r="D610" s="3" t="s">
        <v>1398</v>
      </c>
    </row>
    <row r="611" spans="1:4">
      <c r="A611" s="3" t="s">
        <v>1483</v>
      </c>
      <c r="B611" s="3" t="s">
        <v>1484</v>
      </c>
      <c r="C611" s="3" t="s">
        <v>1450</v>
      </c>
      <c r="D611" s="3" t="s">
        <v>1398</v>
      </c>
    </row>
    <row r="612" spans="1:4">
      <c r="A612" s="3" t="s">
        <v>1485</v>
      </c>
      <c r="B612" s="3" t="s">
        <v>1486</v>
      </c>
      <c r="C612" s="3" t="s">
        <v>1486</v>
      </c>
      <c r="D612" s="3" t="s">
        <v>1398</v>
      </c>
    </row>
    <row r="613" spans="1:4">
      <c r="A613" s="3" t="s">
        <v>1487</v>
      </c>
      <c r="B613" s="3" t="s">
        <v>1488</v>
      </c>
      <c r="C613" s="3" t="s">
        <v>1486</v>
      </c>
      <c r="D613" s="3" t="s">
        <v>1398</v>
      </c>
    </row>
    <row r="614" spans="1:4">
      <c r="A614" s="3" t="s">
        <v>1489</v>
      </c>
      <c r="B614" s="3" t="s">
        <v>1490</v>
      </c>
      <c r="C614" s="3" t="s">
        <v>1486</v>
      </c>
      <c r="D614" s="3" t="s">
        <v>1398</v>
      </c>
    </row>
    <row r="615" spans="1:4">
      <c r="A615" s="3" t="s">
        <v>1491</v>
      </c>
      <c r="B615" s="3" t="s">
        <v>1492</v>
      </c>
      <c r="C615" s="3" t="s">
        <v>1486</v>
      </c>
      <c r="D615" s="3" t="s">
        <v>1398</v>
      </c>
    </row>
    <row r="616" spans="1:4">
      <c r="A616" s="3" t="s">
        <v>1493</v>
      </c>
      <c r="B616" s="3" t="s">
        <v>1494</v>
      </c>
      <c r="C616" s="3" t="s">
        <v>1486</v>
      </c>
      <c r="D616" s="3" t="s">
        <v>1398</v>
      </c>
    </row>
    <row r="617" spans="1:4">
      <c r="A617" s="3" t="s">
        <v>1495</v>
      </c>
      <c r="B617" s="3" t="s">
        <v>1496</v>
      </c>
      <c r="C617" s="3" t="s">
        <v>1486</v>
      </c>
      <c r="D617" s="3" t="s">
        <v>1398</v>
      </c>
    </row>
    <row r="618" spans="1:4">
      <c r="A618" s="3" t="s">
        <v>1497</v>
      </c>
      <c r="B618" s="3" t="s">
        <v>1498</v>
      </c>
      <c r="C618" s="3" t="s">
        <v>1486</v>
      </c>
      <c r="D618" s="3" t="s">
        <v>1398</v>
      </c>
    </row>
    <row r="619" spans="1:4">
      <c r="A619" s="3" t="s">
        <v>1499</v>
      </c>
      <c r="B619" s="3" t="s">
        <v>1500</v>
      </c>
      <c r="C619" s="3" t="s">
        <v>1486</v>
      </c>
      <c r="D619" s="3" t="s">
        <v>1398</v>
      </c>
    </row>
    <row r="620" spans="1:4">
      <c r="A620" s="3" t="s">
        <v>1501</v>
      </c>
      <c r="B620" s="3" t="s">
        <v>1502</v>
      </c>
      <c r="C620" s="3" t="s">
        <v>1502</v>
      </c>
      <c r="D620" s="3" t="s">
        <v>1398</v>
      </c>
    </row>
    <row r="621" spans="1:4">
      <c r="A621" s="3" t="s">
        <v>1503</v>
      </c>
      <c r="B621" s="3" t="s">
        <v>1504</v>
      </c>
      <c r="C621" s="3" t="s">
        <v>1502</v>
      </c>
      <c r="D621" s="3" t="s">
        <v>1398</v>
      </c>
    </row>
    <row r="622" spans="1:4">
      <c r="A622" s="3" t="s">
        <v>1505</v>
      </c>
      <c r="B622" s="3" t="s">
        <v>1506</v>
      </c>
      <c r="C622" s="3" t="s">
        <v>1502</v>
      </c>
      <c r="D622" s="3" t="s">
        <v>1398</v>
      </c>
    </row>
    <row r="623" spans="1:4">
      <c r="A623" s="3" t="s">
        <v>1507</v>
      </c>
      <c r="B623" s="3" t="s">
        <v>1508</v>
      </c>
      <c r="C623" s="3" t="s">
        <v>1502</v>
      </c>
      <c r="D623" s="3" t="s">
        <v>1398</v>
      </c>
    </row>
    <row r="624" spans="1:4">
      <c r="A624" s="3" t="s">
        <v>1509</v>
      </c>
      <c r="B624" s="3" t="s">
        <v>1510</v>
      </c>
      <c r="C624" s="3" t="s">
        <v>1502</v>
      </c>
      <c r="D624" s="3" t="s">
        <v>1398</v>
      </c>
    </row>
    <row r="625" spans="1:4">
      <c r="A625" s="3" t="s">
        <v>1511</v>
      </c>
      <c r="B625" s="3" t="s">
        <v>1512</v>
      </c>
      <c r="C625" s="3" t="s">
        <v>1502</v>
      </c>
      <c r="D625" s="3" t="s">
        <v>1398</v>
      </c>
    </row>
    <row r="626" spans="1:4">
      <c r="A626" s="3" t="s">
        <v>1513</v>
      </c>
      <c r="B626" s="3" t="s">
        <v>1514</v>
      </c>
      <c r="C626" s="3" t="s">
        <v>1502</v>
      </c>
      <c r="D626" s="3" t="s">
        <v>1398</v>
      </c>
    </row>
    <row r="627" spans="1:4">
      <c r="A627" s="3" t="s">
        <v>1515</v>
      </c>
      <c r="B627" s="3" t="s">
        <v>1516</v>
      </c>
      <c r="C627" s="3" t="s">
        <v>1502</v>
      </c>
      <c r="D627" s="3" t="s">
        <v>1398</v>
      </c>
    </row>
    <row r="628" spans="1:4">
      <c r="A628" s="3" t="s">
        <v>1517</v>
      </c>
      <c r="B628" s="3" t="s">
        <v>1518</v>
      </c>
      <c r="C628" s="3" t="s">
        <v>1502</v>
      </c>
      <c r="D628" s="3" t="s">
        <v>1398</v>
      </c>
    </row>
    <row r="629" spans="1:4">
      <c r="A629" s="3" t="s">
        <v>1519</v>
      </c>
      <c r="B629" s="3" t="s">
        <v>1520</v>
      </c>
      <c r="C629" s="3" t="s">
        <v>1502</v>
      </c>
      <c r="D629" s="3" t="s">
        <v>1398</v>
      </c>
    </row>
    <row r="630" spans="1:4">
      <c r="A630" s="3" t="s">
        <v>1521</v>
      </c>
      <c r="B630" s="3" t="s">
        <v>631</v>
      </c>
      <c r="C630" s="3" t="s">
        <v>1502</v>
      </c>
      <c r="D630" s="3" t="s">
        <v>1398</v>
      </c>
    </row>
    <row r="631" spans="1:4">
      <c r="A631" s="3" t="s">
        <v>1522</v>
      </c>
      <c r="B631" s="3" t="s">
        <v>1523</v>
      </c>
      <c r="C631" s="3" t="s">
        <v>1502</v>
      </c>
      <c r="D631" s="3" t="s">
        <v>1398</v>
      </c>
    </row>
    <row r="632" spans="1:4">
      <c r="A632" s="3" t="s">
        <v>1524</v>
      </c>
      <c r="B632" s="3" t="s">
        <v>399</v>
      </c>
      <c r="C632" s="3" t="s">
        <v>1502</v>
      </c>
      <c r="D632" s="3" t="s">
        <v>1398</v>
      </c>
    </row>
    <row r="633" spans="1:4">
      <c r="A633" s="3" t="s">
        <v>1525</v>
      </c>
      <c r="B633" s="3" t="s">
        <v>1526</v>
      </c>
      <c r="C633" s="3" t="s">
        <v>1502</v>
      </c>
      <c r="D633" s="3" t="s">
        <v>1398</v>
      </c>
    </row>
    <row r="634" spans="1:4">
      <c r="A634" s="3" t="s">
        <v>1527</v>
      </c>
      <c r="B634" s="3" t="s">
        <v>1528</v>
      </c>
      <c r="C634" s="3" t="s">
        <v>1502</v>
      </c>
      <c r="D634" s="3" t="s">
        <v>1398</v>
      </c>
    </row>
    <row r="635" spans="1:4">
      <c r="A635" s="3" t="s">
        <v>1529</v>
      </c>
      <c r="B635" s="3" t="s">
        <v>1530</v>
      </c>
      <c r="C635" s="3" t="s">
        <v>1531</v>
      </c>
      <c r="D635" s="3" t="s">
        <v>1398</v>
      </c>
    </row>
    <row r="636" spans="1:4">
      <c r="A636" s="3" t="s">
        <v>1532</v>
      </c>
      <c r="B636" s="3" t="s">
        <v>1533</v>
      </c>
      <c r="C636" s="3" t="s">
        <v>1531</v>
      </c>
      <c r="D636" s="3" t="s">
        <v>1398</v>
      </c>
    </row>
    <row r="637" spans="1:4">
      <c r="A637" s="3" t="s">
        <v>1534</v>
      </c>
      <c r="B637" s="3" t="s">
        <v>1531</v>
      </c>
      <c r="C637" s="3" t="s">
        <v>1531</v>
      </c>
      <c r="D637" s="3" t="s">
        <v>1398</v>
      </c>
    </row>
    <row r="638" spans="1:4">
      <c r="A638" s="3" t="s">
        <v>1535</v>
      </c>
      <c r="B638" s="3" t="s">
        <v>1536</v>
      </c>
      <c r="C638" s="3" t="s">
        <v>1536</v>
      </c>
      <c r="D638" s="3" t="s">
        <v>1398</v>
      </c>
    </row>
    <row r="639" spans="1:4">
      <c r="A639" s="3" t="s">
        <v>1537</v>
      </c>
      <c r="B639" s="3" t="s">
        <v>1538</v>
      </c>
      <c r="C639" s="3" t="s">
        <v>1536</v>
      </c>
      <c r="D639" s="3" t="s">
        <v>1398</v>
      </c>
    </row>
    <row r="640" spans="1:4">
      <c r="A640" s="3" t="s">
        <v>1539</v>
      </c>
      <c r="B640" s="3" t="s">
        <v>1540</v>
      </c>
      <c r="C640" s="3" t="s">
        <v>1536</v>
      </c>
      <c r="D640" s="3" t="s">
        <v>1398</v>
      </c>
    </row>
    <row r="641" spans="1:4">
      <c r="A641" s="3" t="s">
        <v>1541</v>
      </c>
      <c r="B641" s="3" t="s">
        <v>1542</v>
      </c>
      <c r="C641" s="3" t="s">
        <v>1536</v>
      </c>
      <c r="D641" s="3" t="s">
        <v>1398</v>
      </c>
    </row>
    <row r="642" spans="1:4">
      <c r="A642" s="3" t="s">
        <v>1543</v>
      </c>
      <c r="B642" s="3" t="s">
        <v>1544</v>
      </c>
      <c r="C642" s="3" t="s">
        <v>1536</v>
      </c>
      <c r="D642" s="3" t="s">
        <v>1398</v>
      </c>
    </row>
    <row r="643" spans="1:4">
      <c r="A643" s="3" t="s">
        <v>1545</v>
      </c>
      <c r="B643" s="3" t="s">
        <v>1546</v>
      </c>
      <c r="C643" s="3" t="s">
        <v>1536</v>
      </c>
      <c r="D643" s="3" t="s">
        <v>1398</v>
      </c>
    </row>
    <row r="644" spans="1:4">
      <c r="A644" s="3" t="s">
        <v>1547</v>
      </c>
      <c r="B644" s="3" t="s">
        <v>1548</v>
      </c>
      <c r="C644" s="3" t="s">
        <v>1536</v>
      </c>
      <c r="D644" s="3" t="s">
        <v>1398</v>
      </c>
    </row>
    <row r="645" spans="1:4">
      <c r="A645" s="3" t="s">
        <v>1549</v>
      </c>
      <c r="B645" s="3" t="s">
        <v>1550</v>
      </c>
      <c r="C645" s="3" t="s">
        <v>1536</v>
      </c>
      <c r="D645" s="3" t="s">
        <v>1398</v>
      </c>
    </row>
    <row r="646" spans="1:4">
      <c r="A646" s="3" t="s">
        <v>1551</v>
      </c>
      <c r="B646" s="3" t="s">
        <v>1552</v>
      </c>
      <c r="C646" s="3" t="s">
        <v>1536</v>
      </c>
      <c r="D646" s="3" t="s">
        <v>1398</v>
      </c>
    </row>
    <row r="647" spans="1:4">
      <c r="A647" s="3" t="s">
        <v>1553</v>
      </c>
      <c r="B647" s="3" t="s">
        <v>1554</v>
      </c>
      <c r="C647" s="3" t="s">
        <v>1536</v>
      </c>
      <c r="D647" s="3" t="s">
        <v>1398</v>
      </c>
    </row>
    <row r="648" spans="1:4">
      <c r="A648" s="3" t="s">
        <v>1555</v>
      </c>
      <c r="B648" s="3" t="s">
        <v>1556</v>
      </c>
      <c r="C648" s="3" t="s">
        <v>1536</v>
      </c>
      <c r="D648" s="3" t="s">
        <v>1398</v>
      </c>
    </row>
    <row r="649" spans="1:4">
      <c r="A649" s="3" t="s">
        <v>1557</v>
      </c>
      <c r="B649" s="3" t="s">
        <v>424</v>
      </c>
      <c r="C649" s="3" t="s">
        <v>1536</v>
      </c>
      <c r="D649" s="3" t="s">
        <v>1398</v>
      </c>
    </row>
    <row r="650" spans="1:4">
      <c r="A650" s="3" t="s">
        <v>1558</v>
      </c>
      <c r="B650" s="3" t="s">
        <v>1559</v>
      </c>
      <c r="C650" s="3" t="s">
        <v>1559</v>
      </c>
      <c r="D650" s="3" t="s">
        <v>1398</v>
      </c>
    </row>
    <row r="651" spans="1:4">
      <c r="A651" s="3" t="s">
        <v>1560</v>
      </c>
      <c r="B651" s="3" t="s">
        <v>1561</v>
      </c>
      <c r="C651" s="3" t="s">
        <v>1559</v>
      </c>
      <c r="D651" s="3" t="s">
        <v>1398</v>
      </c>
    </row>
    <row r="652" spans="1:4">
      <c r="A652" s="3" t="s">
        <v>1562</v>
      </c>
      <c r="B652" s="3" t="s">
        <v>1563</v>
      </c>
      <c r="C652" s="3" t="s">
        <v>1559</v>
      </c>
      <c r="D652" s="3" t="s">
        <v>1398</v>
      </c>
    </row>
    <row r="653" spans="1:4">
      <c r="A653" s="3" t="s">
        <v>1564</v>
      </c>
      <c r="B653" s="3" t="s">
        <v>1565</v>
      </c>
      <c r="C653" s="3" t="s">
        <v>1559</v>
      </c>
      <c r="D653" s="3" t="s">
        <v>1398</v>
      </c>
    </row>
    <row r="654" spans="1:4">
      <c r="A654" s="3" t="s">
        <v>1566</v>
      </c>
      <c r="B654" s="3" t="s">
        <v>1567</v>
      </c>
      <c r="C654" s="3" t="s">
        <v>1559</v>
      </c>
      <c r="D654" s="3" t="s">
        <v>1398</v>
      </c>
    </row>
    <row r="655" spans="1:4">
      <c r="A655" s="3" t="s">
        <v>1568</v>
      </c>
      <c r="B655" s="3" t="s">
        <v>1569</v>
      </c>
      <c r="C655" s="3" t="s">
        <v>1559</v>
      </c>
      <c r="D655" s="3" t="s">
        <v>1398</v>
      </c>
    </row>
    <row r="656" spans="1:4">
      <c r="A656" s="3" t="s">
        <v>1570</v>
      </c>
      <c r="B656" s="3" t="s">
        <v>1571</v>
      </c>
      <c r="C656" s="3" t="s">
        <v>1559</v>
      </c>
      <c r="D656" s="3" t="s">
        <v>1398</v>
      </c>
    </row>
    <row r="657" spans="1:4">
      <c r="A657" s="3" t="s">
        <v>1572</v>
      </c>
      <c r="B657" s="3" t="s">
        <v>1573</v>
      </c>
      <c r="C657" s="3" t="s">
        <v>602</v>
      </c>
      <c r="D657" s="3" t="s">
        <v>1398</v>
      </c>
    </row>
    <row r="658" spans="1:4">
      <c r="A658" s="3" t="s">
        <v>1574</v>
      </c>
      <c r="B658" s="3" t="s">
        <v>1575</v>
      </c>
      <c r="C658" s="3" t="s">
        <v>602</v>
      </c>
      <c r="D658" s="3" t="s">
        <v>1398</v>
      </c>
    </row>
    <row r="659" spans="1:4">
      <c r="A659" s="3" t="s">
        <v>1576</v>
      </c>
      <c r="B659" s="3" t="s">
        <v>1577</v>
      </c>
      <c r="C659" s="3" t="s">
        <v>602</v>
      </c>
      <c r="D659" s="3" t="s">
        <v>1398</v>
      </c>
    </row>
    <row r="660" spans="1:4">
      <c r="A660" s="3" t="s">
        <v>1578</v>
      </c>
      <c r="B660" s="3" t="s">
        <v>1579</v>
      </c>
      <c r="C660" s="3" t="s">
        <v>602</v>
      </c>
      <c r="D660" s="3" t="s">
        <v>1398</v>
      </c>
    </row>
    <row r="661" spans="1:4">
      <c r="A661" s="3" t="s">
        <v>1580</v>
      </c>
      <c r="B661" s="3" t="s">
        <v>1581</v>
      </c>
      <c r="C661" s="3" t="s">
        <v>602</v>
      </c>
      <c r="D661" s="3" t="s">
        <v>1398</v>
      </c>
    </row>
    <row r="662" spans="1:4">
      <c r="A662" s="3" t="s">
        <v>1582</v>
      </c>
      <c r="B662" s="3" t="s">
        <v>1583</v>
      </c>
      <c r="C662" s="3" t="s">
        <v>602</v>
      </c>
      <c r="D662" s="3" t="s">
        <v>1398</v>
      </c>
    </row>
    <row r="663" spans="1:4">
      <c r="A663" s="3" t="s">
        <v>1584</v>
      </c>
      <c r="B663" s="3" t="s">
        <v>1585</v>
      </c>
      <c r="C663" s="3" t="s">
        <v>602</v>
      </c>
      <c r="D663" s="3" t="s">
        <v>1398</v>
      </c>
    </row>
    <row r="664" spans="1:4">
      <c r="A664" s="3" t="s">
        <v>1586</v>
      </c>
      <c r="B664" s="3" t="s">
        <v>1238</v>
      </c>
      <c r="C664" s="3" t="s">
        <v>1238</v>
      </c>
      <c r="D664" s="3" t="s">
        <v>1398</v>
      </c>
    </row>
    <row r="665" spans="1:4">
      <c r="A665" s="3" t="s">
        <v>1587</v>
      </c>
      <c r="B665" s="3" t="s">
        <v>1588</v>
      </c>
      <c r="C665" s="3" t="s">
        <v>1238</v>
      </c>
      <c r="D665" s="3" t="s">
        <v>1398</v>
      </c>
    </row>
    <row r="666" spans="1:4">
      <c r="A666" s="3" t="s">
        <v>1589</v>
      </c>
      <c r="B666" s="3" t="s">
        <v>1590</v>
      </c>
      <c r="C666" s="3" t="s">
        <v>1238</v>
      </c>
      <c r="D666" s="3" t="s">
        <v>1398</v>
      </c>
    </row>
    <row r="667" spans="1:4">
      <c r="A667" s="3" t="s">
        <v>1591</v>
      </c>
      <c r="B667" s="3" t="s">
        <v>1592</v>
      </c>
      <c r="C667" s="3" t="s">
        <v>1238</v>
      </c>
      <c r="D667" s="3" t="s">
        <v>1398</v>
      </c>
    </row>
    <row r="668" spans="1:4">
      <c r="A668" s="3" t="s">
        <v>1593</v>
      </c>
      <c r="B668" s="3" t="s">
        <v>1594</v>
      </c>
      <c r="C668" s="3" t="s">
        <v>1238</v>
      </c>
      <c r="D668" s="3" t="s">
        <v>1398</v>
      </c>
    </row>
    <row r="669" spans="1:4">
      <c r="A669" s="3" t="s">
        <v>1595</v>
      </c>
      <c r="B669" s="3" t="s">
        <v>1596</v>
      </c>
      <c r="C669" s="3" t="s">
        <v>1238</v>
      </c>
      <c r="D669" s="3" t="s">
        <v>1398</v>
      </c>
    </row>
    <row r="670" spans="1:4">
      <c r="A670" s="3" t="s">
        <v>1597</v>
      </c>
      <c r="B670" s="3" t="s">
        <v>1598</v>
      </c>
      <c r="C670" s="3" t="s">
        <v>1238</v>
      </c>
      <c r="D670" s="3" t="s">
        <v>1398</v>
      </c>
    </row>
    <row r="671" spans="1:4">
      <c r="A671" s="3" t="s">
        <v>1599</v>
      </c>
      <c r="B671" s="3" t="s">
        <v>1600</v>
      </c>
      <c r="C671" s="3" t="s">
        <v>1238</v>
      </c>
      <c r="D671" s="3" t="s">
        <v>1398</v>
      </c>
    </row>
    <row r="672" spans="1:4">
      <c r="A672" s="3" t="s">
        <v>1601</v>
      </c>
      <c r="B672" s="3" t="s">
        <v>1602</v>
      </c>
      <c r="C672" s="3" t="s">
        <v>1238</v>
      </c>
      <c r="D672" s="3" t="s">
        <v>1398</v>
      </c>
    </row>
    <row r="673" spans="1:4">
      <c r="A673" s="3" t="s">
        <v>1603</v>
      </c>
      <c r="B673" s="3" t="s">
        <v>1604</v>
      </c>
      <c r="C673" s="3" t="s">
        <v>1238</v>
      </c>
      <c r="D673" s="3" t="s">
        <v>1398</v>
      </c>
    </row>
    <row r="674" spans="1:4">
      <c r="A674" s="3" t="s">
        <v>1605</v>
      </c>
      <c r="B674" s="3" t="s">
        <v>1606</v>
      </c>
      <c r="C674" s="3" t="s">
        <v>1238</v>
      </c>
      <c r="D674" s="3" t="s">
        <v>1398</v>
      </c>
    </row>
    <row r="675" spans="1:4">
      <c r="A675" s="3" t="s">
        <v>1607</v>
      </c>
      <c r="B675" s="3" t="s">
        <v>1608</v>
      </c>
      <c r="C675" s="3" t="s">
        <v>1238</v>
      </c>
      <c r="D675" s="3" t="s">
        <v>1398</v>
      </c>
    </row>
    <row r="676" spans="1:4">
      <c r="A676" s="3" t="s">
        <v>1609</v>
      </c>
      <c r="B676" s="3" t="s">
        <v>1610</v>
      </c>
      <c r="C676" s="3" t="s">
        <v>1238</v>
      </c>
      <c r="D676" s="3" t="s">
        <v>1398</v>
      </c>
    </row>
    <row r="677" spans="1:4">
      <c r="A677" s="3" t="s">
        <v>1611</v>
      </c>
      <c r="B677" s="3" t="s">
        <v>1612</v>
      </c>
      <c r="C677" s="3" t="s">
        <v>1612</v>
      </c>
      <c r="D677" s="3" t="s">
        <v>1398</v>
      </c>
    </row>
    <row r="678" spans="1:4">
      <c r="A678" s="3" t="s">
        <v>1613</v>
      </c>
      <c r="B678" s="3" t="s">
        <v>1614</v>
      </c>
      <c r="C678" s="3" t="s">
        <v>1612</v>
      </c>
      <c r="D678" s="3" t="s">
        <v>1398</v>
      </c>
    </row>
    <row r="679" spans="1:4">
      <c r="A679" s="3" t="s">
        <v>1615</v>
      </c>
      <c r="B679" s="3" t="s">
        <v>548</v>
      </c>
      <c r="C679" s="3" t="s">
        <v>1612</v>
      </c>
      <c r="D679" s="3" t="s">
        <v>1398</v>
      </c>
    </row>
    <row r="680" spans="1:4">
      <c r="A680" s="3" t="s">
        <v>1616</v>
      </c>
      <c r="B680" s="3" t="s">
        <v>1617</v>
      </c>
      <c r="C680" s="3" t="s">
        <v>1612</v>
      </c>
      <c r="D680" s="3" t="s">
        <v>1398</v>
      </c>
    </row>
    <row r="681" spans="1:4">
      <c r="A681" s="3" t="s">
        <v>1618</v>
      </c>
      <c r="B681" s="3" t="s">
        <v>631</v>
      </c>
      <c r="C681" s="3" t="s">
        <v>631</v>
      </c>
      <c r="D681" s="3" t="s">
        <v>1398</v>
      </c>
    </row>
    <row r="682" spans="1:4">
      <c r="A682" s="3" t="s">
        <v>1619</v>
      </c>
      <c r="B682" s="3" t="s">
        <v>1620</v>
      </c>
      <c r="C682" s="3" t="s">
        <v>631</v>
      </c>
      <c r="D682" s="3" t="s">
        <v>1398</v>
      </c>
    </row>
    <row r="683" spans="1:4">
      <c r="A683" s="3" t="s">
        <v>1621</v>
      </c>
      <c r="B683" s="3" t="s">
        <v>1622</v>
      </c>
      <c r="C683" s="3" t="s">
        <v>631</v>
      </c>
      <c r="D683" s="3" t="s">
        <v>1398</v>
      </c>
    </row>
    <row r="684" spans="1:4">
      <c r="A684" s="3" t="s">
        <v>1623</v>
      </c>
      <c r="B684" s="3" t="s">
        <v>1624</v>
      </c>
      <c r="C684" s="3" t="s">
        <v>631</v>
      </c>
      <c r="D684" s="3" t="s">
        <v>1398</v>
      </c>
    </row>
    <row r="685" spans="1:4">
      <c r="A685" s="3" t="s">
        <v>1625</v>
      </c>
      <c r="B685" s="3" t="s">
        <v>1626</v>
      </c>
      <c r="C685" s="3" t="s">
        <v>631</v>
      </c>
      <c r="D685" s="3" t="s">
        <v>1398</v>
      </c>
    </row>
    <row r="686" spans="1:4">
      <c r="A686" s="3" t="s">
        <v>1627</v>
      </c>
      <c r="B686" s="3" t="s">
        <v>1628</v>
      </c>
      <c r="C686" s="3" t="s">
        <v>631</v>
      </c>
      <c r="D686" s="3" t="s">
        <v>1398</v>
      </c>
    </row>
    <row r="687" spans="1:4">
      <c r="A687" s="3" t="s">
        <v>1629</v>
      </c>
      <c r="B687" s="3" t="s">
        <v>1630</v>
      </c>
      <c r="C687" s="3" t="s">
        <v>631</v>
      </c>
      <c r="D687" s="3" t="s">
        <v>1398</v>
      </c>
    </row>
    <row r="688" spans="1:4">
      <c r="A688" s="3" t="s">
        <v>1631</v>
      </c>
      <c r="B688" s="3" t="s">
        <v>1632</v>
      </c>
      <c r="C688" s="3" t="s">
        <v>631</v>
      </c>
      <c r="D688" s="3" t="s">
        <v>1398</v>
      </c>
    </row>
    <row r="689" spans="1:4">
      <c r="A689" s="3" t="s">
        <v>1633</v>
      </c>
      <c r="B689" s="3" t="s">
        <v>1634</v>
      </c>
      <c r="C689" s="3" t="s">
        <v>631</v>
      </c>
      <c r="D689" s="3" t="s">
        <v>1398</v>
      </c>
    </row>
    <row r="690" spans="1:4">
      <c r="A690" s="3" t="s">
        <v>1635</v>
      </c>
      <c r="B690" s="3" t="s">
        <v>1636</v>
      </c>
      <c r="C690" s="3" t="s">
        <v>631</v>
      </c>
      <c r="D690" s="3" t="s">
        <v>1398</v>
      </c>
    </row>
    <row r="691" spans="1:4">
      <c r="A691" s="3" t="s">
        <v>1637</v>
      </c>
      <c r="B691" s="3" t="s">
        <v>1638</v>
      </c>
      <c r="C691" s="3" t="s">
        <v>631</v>
      </c>
      <c r="D691" s="3" t="s">
        <v>1398</v>
      </c>
    </row>
    <row r="692" spans="1:4">
      <c r="A692" s="3" t="s">
        <v>1639</v>
      </c>
      <c r="B692" s="3" t="s">
        <v>1640</v>
      </c>
      <c r="C692" s="3" t="s">
        <v>1640</v>
      </c>
      <c r="D692" s="3" t="s">
        <v>1640</v>
      </c>
    </row>
    <row r="693" spans="1:4">
      <c r="A693" s="3" t="s">
        <v>1641</v>
      </c>
      <c r="B693" s="3" t="s">
        <v>1538</v>
      </c>
      <c r="C693" s="3" t="s">
        <v>1640</v>
      </c>
      <c r="D693" s="3" t="s">
        <v>1640</v>
      </c>
    </row>
    <row r="694" spans="1:4">
      <c r="A694" s="3" t="s">
        <v>1642</v>
      </c>
      <c r="B694" s="3" t="s">
        <v>1643</v>
      </c>
      <c r="C694" s="3" t="s">
        <v>1640</v>
      </c>
      <c r="D694" s="3" t="s">
        <v>1640</v>
      </c>
    </row>
    <row r="695" spans="1:4">
      <c r="A695" s="3" t="s">
        <v>1644</v>
      </c>
      <c r="B695" s="3" t="s">
        <v>1645</v>
      </c>
      <c r="C695" s="3" t="s">
        <v>1640</v>
      </c>
      <c r="D695" s="3" t="s">
        <v>1640</v>
      </c>
    </row>
    <row r="696" spans="1:4">
      <c r="A696" s="3" t="s">
        <v>1646</v>
      </c>
      <c r="B696" s="3" t="s">
        <v>1647</v>
      </c>
      <c r="C696" s="3" t="s">
        <v>1640</v>
      </c>
      <c r="D696" s="3" t="s">
        <v>1640</v>
      </c>
    </row>
    <row r="697" spans="1:4">
      <c r="A697" s="3" t="s">
        <v>1648</v>
      </c>
      <c r="B697" s="3" t="s">
        <v>1649</v>
      </c>
      <c r="C697" s="3" t="s">
        <v>1640</v>
      </c>
      <c r="D697" s="3" t="s">
        <v>1640</v>
      </c>
    </row>
    <row r="698" spans="1:4">
      <c r="A698" s="3" t="s">
        <v>1650</v>
      </c>
      <c r="B698" s="3" t="s">
        <v>1651</v>
      </c>
      <c r="C698" s="3" t="s">
        <v>1640</v>
      </c>
      <c r="D698" s="3" t="s">
        <v>1640</v>
      </c>
    </row>
    <row r="699" spans="1:4">
      <c r="A699" s="3" t="s">
        <v>1652</v>
      </c>
      <c r="B699" s="3" t="s">
        <v>1653</v>
      </c>
      <c r="C699" s="3" t="s">
        <v>1653</v>
      </c>
      <c r="D699" s="3" t="s">
        <v>1653</v>
      </c>
    </row>
    <row r="700" spans="1:4">
      <c r="A700" s="3" t="s">
        <v>1654</v>
      </c>
      <c r="B700" s="3" t="s">
        <v>1655</v>
      </c>
      <c r="C700" s="3" t="s">
        <v>1653</v>
      </c>
      <c r="D700" s="3" t="s">
        <v>1653</v>
      </c>
    </row>
    <row r="701" spans="1:4">
      <c r="A701" s="3" t="s">
        <v>1656</v>
      </c>
      <c r="B701" s="3" t="s">
        <v>1657</v>
      </c>
      <c r="C701" s="3" t="s">
        <v>1653</v>
      </c>
      <c r="D701" s="3" t="s">
        <v>1653</v>
      </c>
    </row>
    <row r="702" spans="1:4">
      <c r="A702" s="3" t="s">
        <v>1658</v>
      </c>
      <c r="B702" s="3" t="s">
        <v>393</v>
      </c>
      <c r="C702" s="3" t="s">
        <v>1653</v>
      </c>
      <c r="D702" s="3" t="s">
        <v>1653</v>
      </c>
    </row>
    <row r="703" spans="1:4">
      <c r="A703" s="3" t="s">
        <v>1659</v>
      </c>
      <c r="B703" s="3" t="s">
        <v>1660</v>
      </c>
      <c r="C703" s="3" t="s">
        <v>1653</v>
      </c>
      <c r="D703" s="3" t="s">
        <v>1653</v>
      </c>
    </row>
    <row r="704" spans="1:4">
      <c r="A704" s="3" t="s">
        <v>1661</v>
      </c>
      <c r="B704" s="3" t="s">
        <v>1662</v>
      </c>
      <c r="C704" s="3" t="s">
        <v>1653</v>
      </c>
      <c r="D704" s="3" t="s">
        <v>1653</v>
      </c>
    </row>
    <row r="705" spans="1:4">
      <c r="A705" s="3" t="s">
        <v>1663</v>
      </c>
      <c r="B705" s="3" t="s">
        <v>1664</v>
      </c>
      <c r="C705" s="3" t="s">
        <v>1653</v>
      </c>
      <c r="D705" s="3" t="s">
        <v>1653</v>
      </c>
    </row>
    <row r="706" spans="1:4">
      <c r="A706" s="3" t="s">
        <v>1665</v>
      </c>
      <c r="B706" s="3" t="s">
        <v>1666</v>
      </c>
      <c r="C706" s="3" t="s">
        <v>1653</v>
      </c>
      <c r="D706" s="3" t="s">
        <v>1653</v>
      </c>
    </row>
    <row r="707" spans="1:4">
      <c r="A707" s="3" t="s">
        <v>1667</v>
      </c>
      <c r="B707" s="3" t="s">
        <v>1668</v>
      </c>
      <c r="C707" s="3" t="s">
        <v>1668</v>
      </c>
      <c r="D707" s="3" t="s">
        <v>1653</v>
      </c>
    </row>
    <row r="708" spans="1:4">
      <c r="A708" s="3" t="s">
        <v>1669</v>
      </c>
      <c r="B708" s="3" t="s">
        <v>1670</v>
      </c>
      <c r="C708" s="3" t="s">
        <v>1668</v>
      </c>
      <c r="D708" s="3" t="s">
        <v>1653</v>
      </c>
    </row>
    <row r="709" spans="1:4">
      <c r="A709" s="3" t="s">
        <v>1671</v>
      </c>
      <c r="B709" s="3" t="s">
        <v>1672</v>
      </c>
      <c r="C709" s="3" t="s">
        <v>1668</v>
      </c>
      <c r="D709" s="3" t="s">
        <v>1653</v>
      </c>
    </row>
    <row r="710" spans="1:4">
      <c r="A710" s="3" t="s">
        <v>1673</v>
      </c>
      <c r="B710" s="3" t="s">
        <v>1674</v>
      </c>
      <c r="C710" s="3" t="s">
        <v>1668</v>
      </c>
      <c r="D710" s="3" t="s">
        <v>1653</v>
      </c>
    </row>
    <row r="711" spans="1:4">
      <c r="A711" s="3" t="s">
        <v>1675</v>
      </c>
      <c r="B711" s="3" t="s">
        <v>1676</v>
      </c>
      <c r="C711" s="3" t="s">
        <v>1668</v>
      </c>
      <c r="D711" s="3" t="s">
        <v>1653</v>
      </c>
    </row>
    <row r="712" spans="1:4">
      <c r="A712" s="3" t="s">
        <v>1677</v>
      </c>
      <c r="B712" s="3" t="s">
        <v>1678</v>
      </c>
      <c r="C712" s="3" t="s">
        <v>1668</v>
      </c>
      <c r="D712" s="3" t="s">
        <v>1653</v>
      </c>
    </row>
    <row r="713" spans="1:4">
      <c r="A713" s="3" t="s">
        <v>1679</v>
      </c>
      <c r="B713" s="3" t="s">
        <v>1680</v>
      </c>
      <c r="C713" s="3" t="s">
        <v>1668</v>
      </c>
      <c r="D713" s="3" t="s">
        <v>1653</v>
      </c>
    </row>
    <row r="714" spans="1:4">
      <c r="A714" s="3" t="s">
        <v>1681</v>
      </c>
      <c r="B714" s="3" t="s">
        <v>532</v>
      </c>
      <c r="C714" s="3" t="s">
        <v>532</v>
      </c>
      <c r="D714" s="3" t="s">
        <v>1653</v>
      </c>
    </row>
    <row r="715" spans="1:4">
      <c r="A715" s="3" t="s">
        <v>1682</v>
      </c>
      <c r="B715" s="3" t="s">
        <v>1683</v>
      </c>
      <c r="C715" s="3" t="s">
        <v>532</v>
      </c>
      <c r="D715" s="3" t="s">
        <v>1653</v>
      </c>
    </row>
    <row r="716" spans="1:4">
      <c r="A716" s="3" t="s">
        <v>1684</v>
      </c>
      <c r="B716" s="3" t="s">
        <v>1685</v>
      </c>
      <c r="C716" s="3" t="s">
        <v>532</v>
      </c>
      <c r="D716" s="3" t="s">
        <v>1653</v>
      </c>
    </row>
    <row r="717" spans="1:4">
      <c r="A717" s="3" t="s">
        <v>1686</v>
      </c>
      <c r="B717" s="3" t="s">
        <v>1687</v>
      </c>
      <c r="C717" s="3" t="s">
        <v>532</v>
      </c>
      <c r="D717" s="3" t="s">
        <v>1653</v>
      </c>
    </row>
    <row r="718" spans="1:4">
      <c r="A718" s="3" t="s">
        <v>1688</v>
      </c>
      <c r="B718" s="3" t="s">
        <v>1689</v>
      </c>
      <c r="C718" s="3" t="s">
        <v>532</v>
      </c>
      <c r="D718" s="3" t="s">
        <v>1653</v>
      </c>
    </row>
    <row r="719" spans="1:4">
      <c r="A719" s="3" t="s">
        <v>1690</v>
      </c>
      <c r="B719" s="3" t="s">
        <v>1691</v>
      </c>
      <c r="C719" s="3" t="s">
        <v>532</v>
      </c>
      <c r="D719" s="3" t="s">
        <v>1653</v>
      </c>
    </row>
    <row r="720" spans="1:4">
      <c r="A720" s="3" t="s">
        <v>1692</v>
      </c>
      <c r="B720" s="3" t="s">
        <v>1693</v>
      </c>
      <c r="C720" s="3" t="s">
        <v>532</v>
      </c>
      <c r="D720" s="3" t="s">
        <v>1653</v>
      </c>
    </row>
    <row r="721" spans="1:4">
      <c r="A721" s="3" t="s">
        <v>1694</v>
      </c>
      <c r="B721" s="3" t="s">
        <v>1695</v>
      </c>
      <c r="C721" s="3" t="s">
        <v>532</v>
      </c>
      <c r="D721" s="3" t="s">
        <v>1653</v>
      </c>
    </row>
    <row r="722" spans="1:4">
      <c r="A722" s="3" t="s">
        <v>1696</v>
      </c>
      <c r="B722" s="3" t="s">
        <v>1697</v>
      </c>
      <c r="C722" s="3" t="s">
        <v>532</v>
      </c>
      <c r="D722" s="3" t="s">
        <v>1653</v>
      </c>
    </row>
    <row r="723" spans="1:4">
      <c r="A723" s="3" t="s">
        <v>1698</v>
      </c>
      <c r="B723" s="3" t="s">
        <v>1699</v>
      </c>
      <c r="C723" s="3" t="s">
        <v>1699</v>
      </c>
      <c r="D723" s="3" t="s">
        <v>1653</v>
      </c>
    </row>
    <row r="724" spans="1:4">
      <c r="A724" s="3" t="s">
        <v>1700</v>
      </c>
      <c r="B724" s="3" t="s">
        <v>1701</v>
      </c>
      <c r="C724" s="3" t="s">
        <v>1699</v>
      </c>
      <c r="D724" s="3" t="s">
        <v>1653</v>
      </c>
    </row>
    <row r="725" spans="1:4">
      <c r="A725" s="3" t="s">
        <v>1702</v>
      </c>
      <c r="B725" s="3" t="s">
        <v>1703</v>
      </c>
      <c r="C725" s="3" t="s">
        <v>1699</v>
      </c>
      <c r="D725" s="3" t="s">
        <v>1653</v>
      </c>
    </row>
    <row r="726" spans="1:4">
      <c r="A726" s="3" t="s">
        <v>1704</v>
      </c>
      <c r="B726" s="3" t="s">
        <v>1705</v>
      </c>
      <c r="C726" s="3" t="s">
        <v>1699</v>
      </c>
      <c r="D726" s="3" t="s">
        <v>1653</v>
      </c>
    </row>
    <row r="727" spans="1:4">
      <c r="A727" s="3" t="s">
        <v>1706</v>
      </c>
      <c r="B727" s="3" t="s">
        <v>1707</v>
      </c>
      <c r="C727" s="3" t="s">
        <v>1699</v>
      </c>
      <c r="D727" s="3" t="s">
        <v>1653</v>
      </c>
    </row>
    <row r="728" spans="1:4">
      <c r="A728" s="3" t="s">
        <v>1708</v>
      </c>
      <c r="B728" s="3" t="s">
        <v>1709</v>
      </c>
      <c r="C728" s="3" t="s">
        <v>1699</v>
      </c>
      <c r="D728" s="3" t="s">
        <v>1653</v>
      </c>
    </row>
    <row r="729" spans="1:4">
      <c r="A729" s="3" t="s">
        <v>1710</v>
      </c>
      <c r="B729" s="3" t="s">
        <v>1711</v>
      </c>
      <c r="C729" s="3" t="s">
        <v>1699</v>
      </c>
      <c r="D729" s="3" t="s">
        <v>1653</v>
      </c>
    </row>
    <row r="730" spans="1:4">
      <c r="A730" s="3" t="s">
        <v>1712</v>
      </c>
      <c r="B730" s="3" t="s">
        <v>1713</v>
      </c>
      <c r="C730" s="3" t="s">
        <v>1699</v>
      </c>
      <c r="D730" s="3" t="s">
        <v>1653</v>
      </c>
    </row>
    <row r="731" spans="1:4">
      <c r="A731" s="3" t="s">
        <v>1714</v>
      </c>
      <c r="B731" s="3" t="s">
        <v>1715</v>
      </c>
      <c r="C731" s="3" t="s">
        <v>1716</v>
      </c>
      <c r="D731" s="3" t="s">
        <v>1653</v>
      </c>
    </row>
    <row r="732" spans="1:4">
      <c r="A732" s="3" t="s">
        <v>1717</v>
      </c>
      <c r="B732" s="3" t="s">
        <v>1718</v>
      </c>
      <c r="C732" s="3" t="s">
        <v>1716</v>
      </c>
      <c r="D732" s="3" t="s">
        <v>1653</v>
      </c>
    </row>
    <row r="733" spans="1:4">
      <c r="A733" s="3" t="s">
        <v>1719</v>
      </c>
      <c r="B733" s="3" t="s">
        <v>1720</v>
      </c>
      <c r="C733" s="3" t="s">
        <v>1716</v>
      </c>
      <c r="D733" s="3" t="s">
        <v>1653</v>
      </c>
    </row>
    <row r="734" spans="1:4">
      <c r="A734" s="3" t="s">
        <v>1721</v>
      </c>
      <c r="B734" s="3" t="s">
        <v>1722</v>
      </c>
      <c r="C734" s="3" t="s">
        <v>1716</v>
      </c>
      <c r="D734" s="3" t="s">
        <v>1653</v>
      </c>
    </row>
    <row r="735" spans="1:4">
      <c r="A735" s="3" t="s">
        <v>1723</v>
      </c>
      <c r="B735" s="3" t="s">
        <v>1724</v>
      </c>
      <c r="C735" s="3" t="s">
        <v>1716</v>
      </c>
      <c r="D735" s="3" t="s">
        <v>1653</v>
      </c>
    </row>
    <row r="736" spans="1:4">
      <c r="A736" s="3" t="s">
        <v>1725</v>
      </c>
      <c r="B736" s="3" t="s">
        <v>1148</v>
      </c>
      <c r="C736" s="3" t="s">
        <v>1716</v>
      </c>
      <c r="D736" s="3" t="s">
        <v>1653</v>
      </c>
    </row>
    <row r="737" spans="1:4">
      <c r="A737" s="3" t="s">
        <v>1726</v>
      </c>
      <c r="B737" s="3" t="s">
        <v>1727</v>
      </c>
      <c r="C737" s="3" t="s">
        <v>1716</v>
      </c>
      <c r="D737" s="3" t="s">
        <v>1653</v>
      </c>
    </row>
    <row r="738" spans="1:4">
      <c r="A738" s="3" t="s">
        <v>1728</v>
      </c>
      <c r="B738" s="3" t="s">
        <v>1729</v>
      </c>
      <c r="C738" s="3" t="s">
        <v>1716</v>
      </c>
      <c r="D738" s="3" t="s">
        <v>1653</v>
      </c>
    </row>
    <row r="739" spans="1:4">
      <c r="A739" s="3" t="s">
        <v>1730</v>
      </c>
      <c r="B739" s="3" t="s">
        <v>1731</v>
      </c>
      <c r="C739" s="3" t="s">
        <v>1732</v>
      </c>
      <c r="D739" s="3" t="s">
        <v>1653</v>
      </c>
    </row>
    <row r="740" spans="1:4">
      <c r="A740" s="3" t="s">
        <v>1733</v>
      </c>
      <c r="B740" s="3" t="s">
        <v>1734</v>
      </c>
      <c r="C740" s="3" t="s">
        <v>1732</v>
      </c>
      <c r="D740" s="3" t="s">
        <v>1653</v>
      </c>
    </row>
    <row r="741" spans="1:4">
      <c r="A741" s="3" t="s">
        <v>1735</v>
      </c>
      <c r="B741" s="3" t="s">
        <v>1736</v>
      </c>
      <c r="C741" s="3" t="s">
        <v>1732</v>
      </c>
      <c r="D741" s="3" t="s">
        <v>1653</v>
      </c>
    </row>
    <row r="742" spans="1:4">
      <c r="A742" s="3" t="s">
        <v>1737</v>
      </c>
      <c r="B742" s="3" t="s">
        <v>1738</v>
      </c>
      <c r="C742" s="3" t="s">
        <v>1732</v>
      </c>
      <c r="D742" s="3" t="s">
        <v>1653</v>
      </c>
    </row>
    <row r="743" spans="1:4">
      <c r="A743" s="3" t="s">
        <v>1739</v>
      </c>
      <c r="B743" s="3" t="s">
        <v>1740</v>
      </c>
      <c r="C743" s="3" t="s">
        <v>1732</v>
      </c>
      <c r="D743" s="3" t="s">
        <v>1653</v>
      </c>
    </row>
    <row r="744" spans="1:4">
      <c r="A744" s="3" t="s">
        <v>1741</v>
      </c>
      <c r="B744" s="3" t="s">
        <v>1612</v>
      </c>
      <c r="C744" s="3" t="s">
        <v>1732</v>
      </c>
      <c r="D744" s="3" t="s">
        <v>1653</v>
      </c>
    </row>
    <row r="745" spans="1:4">
      <c r="A745" s="3" t="s">
        <v>1742</v>
      </c>
      <c r="B745" s="3" t="s">
        <v>670</v>
      </c>
      <c r="C745" s="3" t="s">
        <v>1732</v>
      </c>
      <c r="D745" s="3" t="s">
        <v>1653</v>
      </c>
    </row>
    <row r="746" spans="1:4">
      <c r="A746" s="3" t="s">
        <v>1743</v>
      </c>
      <c r="B746" s="3" t="s">
        <v>1744</v>
      </c>
      <c r="C746" s="3" t="s">
        <v>1732</v>
      </c>
      <c r="D746" s="3" t="s">
        <v>1653</v>
      </c>
    </row>
    <row r="747" spans="1:4">
      <c r="A747" s="3" t="s">
        <v>1745</v>
      </c>
      <c r="B747" s="3" t="s">
        <v>399</v>
      </c>
      <c r="C747" s="3" t="s">
        <v>1746</v>
      </c>
      <c r="D747" s="3" t="s">
        <v>1653</v>
      </c>
    </row>
    <row r="748" spans="1:4">
      <c r="A748" s="3" t="s">
        <v>1747</v>
      </c>
      <c r="B748" s="3" t="s">
        <v>1748</v>
      </c>
      <c r="C748" s="3" t="s">
        <v>1746</v>
      </c>
      <c r="D748" s="3" t="s">
        <v>1653</v>
      </c>
    </row>
    <row r="749" spans="1:4">
      <c r="A749" s="3" t="s">
        <v>1749</v>
      </c>
      <c r="B749" s="3" t="s">
        <v>1750</v>
      </c>
      <c r="C749" s="3" t="s">
        <v>1746</v>
      </c>
      <c r="D749" s="3" t="s">
        <v>1653</v>
      </c>
    </row>
    <row r="750" spans="1:4">
      <c r="A750" s="3" t="s">
        <v>1751</v>
      </c>
      <c r="B750" s="3" t="s">
        <v>1752</v>
      </c>
      <c r="C750" s="3" t="s">
        <v>1746</v>
      </c>
      <c r="D750" s="3" t="s">
        <v>1653</v>
      </c>
    </row>
    <row r="751" spans="1:4">
      <c r="A751" s="3" t="s">
        <v>1753</v>
      </c>
      <c r="B751" s="3" t="s">
        <v>1754</v>
      </c>
      <c r="C751" s="3" t="s">
        <v>1746</v>
      </c>
      <c r="D751" s="3" t="s">
        <v>1653</v>
      </c>
    </row>
    <row r="752" spans="1:4">
      <c r="A752" s="3" t="s">
        <v>1755</v>
      </c>
      <c r="B752" s="3" t="s">
        <v>1756</v>
      </c>
      <c r="C752" s="3" t="s">
        <v>1746</v>
      </c>
      <c r="D752" s="3" t="s">
        <v>1653</v>
      </c>
    </row>
    <row r="753" spans="1:4">
      <c r="A753" s="3" t="s">
        <v>1757</v>
      </c>
      <c r="B753" s="3" t="s">
        <v>1758</v>
      </c>
      <c r="C753" s="3" t="s">
        <v>1746</v>
      </c>
      <c r="D753" s="3" t="s">
        <v>1653</v>
      </c>
    </row>
    <row r="754" spans="1:4">
      <c r="A754" s="3" t="s">
        <v>1759</v>
      </c>
      <c r="B754" s="3" t="s">
        <v>1760</v>
      </c>
      <c r="C754" s="3" t="s">
        <v>1746</v>
      </c>
      <c r="D754" s="3" t="s">
        <v>1653</v>
      </c>
    </row>
    <row r="755" spans="1:4">
      <c r="A755" s="3" t="s">
        <v>1761</v>
      </c>
      <c r="B755" s="3" t="s">
        <v>1762</v>
      </c>
      <c r="C755" s="3" t="s">
        <v>1762</v>
      </c>
      <c r="D755" s="3" t="s">
        <v>1653</v>
      </c>
    </row>
    <row r="756" spans="1:4">
      <c r="A756" s="3" t="s">
        <v>1763</v>
      </c>
      <c r="B756" s="3" t="s">
        <v>1764</v>
      </c>
      <c r="C756" s="3" t="s">
        <v>1762</v>
      </c>
      <c r="D756" s="3" t="s">
        <v>1653</v>
      </c>
    </row>
    <row r="757" spans="1:4">
      <c r="A757" s="3" t="s">
        <v>1765</v>
      </c>
      <c r="B757" s="3" t="s">
        <v>1082</v>
      </c>
      <c r="C757" s="3" t="s">
        <v>1762</v>
      </c>
      <c r="D757" s="3" t="s">
        <v>1653</v>
      </c>
    </row>
    <row r="758" spans="1:4">
      <c r="A758" s="3" t="s">
        <v>1766</v>
      </c>
      <c r="B758" s="3" t="s">
        <v>1767</v>
      </c>
      <c r="C758" s="3" t="s">
        <v>1762</v>
      </c>
      <c r="D758" s="3" t="s">
        <v>1653</v>
      </c>
    </row>
    <row r="759" spans="1:4">
      <c r="A759" s="3" t="s">
        <v>1768</v>
      </c>
      <c r="B759" s="3" t="s">
        <v>1769</v>
      </c>
      <c r="C759" s="3" t="s">
        <v>1762</v>
      </c>
      <c r="D759" s="3" t="s">
        <v>1653</v>
      </c>
    </row>
    <row r="760" spans="1:4">
      <c r="A760" s="3" t="s">
        <v>1770</v>
      </c>
      <c r="B760" s="3" t="s">
        <v>1771</v>
      </c>
      <c r="C760" s="3" t="s">
        <v>1762</v>
      </c>
      <c r="D760" s="3" t="s">
        <v>1653</v>
      </c>
    </row>
    <row r="761" spans="1:4">
      <c r="A761" s="3" t="s">
        <v>1772</v>
      </c>
      <c r="B761" s="3" t="s">
        <v>1773</v>
      </c>
      <c r="C761" s="3" t="s">
        <v>1762</v>
      </c>
      <c r="D761" s="3" t="s">
        <v>1653</v>
      </c>
    </row>
    <row r="762" spans="1:4">
      <c r="A762" s="3" t="s">
        <v>1774</v>
      </c>
      <c r="B762" s="3" t="s">
        <v>1775</v>
      </c>
      <c r="C762" s="3" t="s">
        <v>1762</v>
      </c>
      <c r="D762" s="3" t="s">
        <v>1653</v>
      </c>
    </row>
    <row r="763" spans="1:4">
      <c r="A763" s="3" t="s">
        <v>1776</v>
      </c>
      <c r="B763" s="3" t="s">
        <v>1777</v>
      </c>
      <c r="C763" s="3" t="s">
        <v>1778</v>
      </c>
      <c r="D763" s="3" t="s">
        <v>1653</v>
      </c>
    </row>
    <row r="764" spans="1:4">
      <c r="A764" s="3" t="s">
        <v>1779</v>
      </c>
      <c r="B764" s="3" t="s">
        <v>1780</v>
      </c>
      <c r="C764" s="3" t="s">
        <v>1778</v>
      </c>
      <c r="D764" s="3" t="s">
        <v>1653</v>
      </c>
    </row>
    <row r="765" spans="1:4">
      <c r="A765" s="3" t="s">
        <v>1781</v>
      </c>
      <c r="B765" s="3" t="s">
        <v>1782</v>
      </c>
      <c r="C765" s="3" t="s">
        <v>1778</v>
      </c>
      <c r="D765" s="3" t="s">
        <v>1653</v>
      </c>
    </row>
    <row r="766" spans="1:4">
      <c r="A766" s="3" t="s">
        <v>1783</v>
      </c>
      <c r="B766" s="3" t="s">
        <v>1784</v>
      </c>
      <c r="C766" s="3" t="s">
        <v>1778</v>
      </c>
      <c r="D766" s="3" t="s">
        <v>1653</v>
      </c>
    </row>
    <row r="767" spans="1:4">
      <c r="A767" s="3" t="s">
        <v>1785</v>
      </c>
      <c r="B767" s="3" t="s">
        <v>901</v>
      </c>
      <c r="C767" s="3" t="s">
        <v>1778</v>
      </c>
      <c r="D767" s="3" t="s">
        <v>1653</v>
      </c>
    </row>
    <row r="768" spans="1:4">
      <c r="A768" s="3" t="s">
        <v>1786</v>
      </c>
      <c r="B768" s="3" t="s">
        <v>1787</v>
      </c>
      <c r="C768" s="3" t="s">
        <v>1778</v>
      </c>
      <c r="D768" s="3" t="s">
        <v>1653</v>
      </c>
    </row>
    <row r="769" spans="1:4">
      <c r="A769" s="3" t="s">
        <v>1788</v>
      </c>
      <c r="B769" s="3" t="s">
        <v>1789</v>
      </c>
      <c r="C769" s="3" t="s">
        <v>1778</v>
      </c>
      <c r="D769" s="3" t="s">
        <v>1653</v>
      </c>
    </row>
    <row r="770" spans="1:4">
      <c r="A770" s="3" t="s">
        <v>1790</v>
      </c>
      <c r="B770" s="3" t="s">
        <v>1791</v>
      </c>
      <c r="C770" s="3" t="s">
        <v>1778</v>
      </c>
      <c r="D770" s="3" t="s">
        <v>1653</v>
      </c>
    </row>
    <row r="771" spans="1:4">
      <c r="A771" s="3" t="s">
        <v>1792</v>
      </c>
      <c r="B771" s="3" t="s">
        <v>937</v>
      </c>
      <c r="C771" s="3" t="s">
        <v>1778</v>
      </c>
      <c r="D771" s="3" t="s">
        <v>1653</v>
      </c>
    </row>
    <row r="772" spans="1:4">
      <c r="A772" s="3" t="s">
        <v>1793</v>
      </c>
      <c r="B772" s="3" t="s">
        <v>1794</v>
      </c>
      <c r="C772" s="3" t="s">
        <v>1778</v>
      </c>
      <c r="D772" s="3" t="s">
        <v>1653</v>
      </c>
    </row>
    <row r="773" spans="1:4">
      <c r="A773" s="3" t="s">
        <v>1795</v>
      </c>
      <c r="B773" s="3" t="s">
        <v>1796</v>
      </c>
      <c r="C773" s="3" t="s">
        <v>1778</v>
      </c>
      <c r="D773" s="3" t="s">
        <v>1653</v>
      </c>
    </row>
    <row r="774" spans="1:4">
      <c r="A774" s="3" t="s">
        <v>1797</v>
      </c>
      <c r="B774" s="3" t="s">
        <v>1798</v>
      </c>
      <c r="C774" s="3" t="s">
        <v>1778</v>
      </c>
      <c r="D774" s="3" t="s">
        <v>1653</v>
      </c>
    </row>
    <row r="775" spans="1:4">
      <c r="A775" s="3" t="s">
        <v>1799</v>
      </c>
      <c r="B775" s="3" t="s">
        <v>1800</v>
      </c>
      <c r="C775" s="3" t="s">
        <v>1778</v>
      </c>
      <c r="D775" s="3" t="s">
        <v>1653</v>
      </c>
    </row>
    <row r="776" spans="1:4">
      <c r="A776" s="3" t="s">
        <v>1801</v>
      </c>
      <c r="B776" s="3" t="s">
        <v>1802</v>
      </c>
      <c r="C776" s="3" t="s">
        <v>1778</v>
      </c>
      <c r="D776" s="3" t="s">
        <v>1653</v>
      </c>
    </row>
    <row r="777" spans="1:4">
      <c r="A777" s="3" t="s">
        <v>1803</v>
      </c>
      <c r="B777" s="3" t="s">
        <v>1804</v>
      </c>
      <c r="C777" s="3" t="s">
        <v>1804</v>
      </c>
      <c r="D777" s="3" t="s">
        <v>1653</v>
      </c>
    </row>
    <row r="778" spans="1:4">
      <c r="A778" s="3" t="s">
        <v>1805</v>
      </c>
      <c r="B778" s="3" t="s">
        <v>1806</v>
      </c>
      <c r="C778" s="3" t="s">
        <v>1804</v>
      </c>
      <c r="D778" s="3" t="s">
        <v>1653</v>
      </c>
    </row>
    <row r="779" spans="1:4">
      <c r="A779" s="3" t="s">
        <v>1807</v>
      </c>
      <c r="B779" s="3" t="s">
        <v>1808</v>
      </c>
      <c r="C779" s="3" t="s">
        <v>1804</v>
      </c>
      <c r="D779" s="3" t="s">
        <v>1653</v>
      </c>
    </row>
    <row r="780" spans="1:4">
      <c r="A780" s="3" t="s">
        <v>1809</v>
      </c>
      <c r="B780" s="3" t="s">
        <v>1810</v>
      </c>
      <c r="C780" s="3" t="s">
        <v>1804</v>
      </c>
      <c r="D780" s="3" t="s">
        <v>1653</v>
      </c>
    </row>
    <row r="781" spans="1:4">
      <c r="A781" s="3" t="s">
        <v>1811</v>
      </c>
      <c r="B781" s="3" t="s">
        <v>1812</v>
      </c>
      <c r="C781" s="3" t="s">
        <v>1804</v>
      </c>
      <c r="D781" s="3" t="s">
        <v>1653</v>
      </c>
    </row>
    <row r="782" spans="1:4">
      <c r="A782" s="3" t="s">
        <v>1813</v>
      </c>
      <c r="B782" s="3" t="s">
        <v>1814</v>
      </c>
      <c r="C782" s="3" t="s">
        <v>1804</v>
      </c>
      <c r="D782" s="3" t="s">
        <v>1653</v>
      </c>
    </row>
    <row r="783" spans="1:4">
      <c r="A783" s="3" t="s">
        <v>1815</v>
      </c>
      <c r="B783" s="3" t="s">
        <v>1816</v>
      </c>
      <c r="C783" s="3" t="s">
        <v>1804</v>
      </c>
      <c r="D783" s="3" t="s">
        <v>1653</v>
      </c>
    </row>
    <row r="784" spans="1:4">
      <c r="A784" s="3" t="s">
        <v>1817</v>
      </c>
      <c r="B784" s="3" t="s">
        <v>1818</v>
      </c>
      <c r="C784" s="3" t="s">
        <v>1804</v>
      </c>
      <c r="D784" s="3" t="s">
        <v>1653</v>
      </c>
    </row>
    <row r="785" spans="1:4">
      <c r="A785" s="3" t="s">
        <v>1819</v>
      </c>
      <c r="B785" s="3" t="s">
        <v>1820</v>
      </c>
      <c r="C785" s="3" t="s">
        <v>1804</v>
      </c>
      <c r="D785" s="3" t="s">
        <v>1653</v>
      </c>
    </row>
    <row r="786" spans="1:4">
      <c r="A786" s="3" t="s">
        <v>1821</v>
      </c>
      <c r="B786" s="3" t="s">
        <v>1822</v>
      </c>
      <c r="C786" s="3" t="s">
        <v>1822</v>
      </c>
      <c r="D786" s="3" t="s">
        <v>1653</v>
      </c>
    </row>
    <row r="787" spans="1:4">
      <c r="A787" s="3" t="s">
        <v>1823</v>
      </c>
      <c r="B787" s="3" t="s">
        <v>1824</v>
      </c>
      <c r="C787" s="3" t="s">
        <v>1822</v>
      </c>
      <c r="D787" s="3" t="s">
        <v>1653</v>
      </c>
    </row>
    <row r="788" spans="1:4">
      <c r="A788" s="3" t="s">
        <v>1825</v>
      </c>
      <c r="B788" s="3" t="s">
        <v>1826</v>
      </c>
      <c r="C788" s="3" t="s">
        <v>1822</v>
      </c>
      <c r="D788" s="3" t="s">
        <v>1653</v>
      </c>
    </row>
    <row r="789" spans="1:4">
      <c r="A789" s="3" t="s">
        <v>1827</v>
      </c>
      <c r="B789" s="3" t="s">
        <v>1828</v>
      </c>
      <c r="C789" s="3" t="s">
        <v>1822</v>
      </c>
      <c r="D789" s="3" t="s">
        <v>1653</v>
      </c>
    </row>
    <row r="790" spans="1:4">
      <c r="A790" s="3" t="s">
        <v>1829</v>
      </c>
      <c r="B790" s="3" t="s">
        <v>1830</v>
      </c>
      <c r="C790" s="3" t="s">
        <v>1822</v>
      </c>
      <c r="D790" s="3" t="s">
        <v>1653</v>
      </c>
    </row>
    <row r="791" spans="1:4">
      <c r="A791" s="3" t="s">
        <v>1831</v>
      </c>
      <c r="B791" s="3" t="s">
        <v>1832</v>
      </c>
      <c r="C791" s="3" t="s">
        <v>1822</v>
      </c>
      <c r="D791" s="3" t="s">
        <v>1653</v>
      </c>
    </row>
    <row r="792" spans="1:4">
      <c r="A792" s="3" t="s">
        <v>1833</v>
      </c>
      <c r="B792" s="3" t="s">
        <v>1834</v>
      </c>
      <c r="C792" s="3" t="s">
        <v>1835</v>
      </c>
      <c r="D792" s="3" t="s">
        <v>1653</v>
      </c>
    </row>
    <row r="793" spans="1:4">
      <c r="A793" s="3" t="s">
        <v>1836</v>
      </c>
      <c r="B793" s="3" t="s">
        <v>1837</v>
      </c>
      <c r="C793" s="3" t="s">
        <v>1835</v>
      </c>
      <c r="D793" s="3" t="s">
        <v>1653</v>
      </c>
    </row>
    <row r="794" spans="1:4">
      <c r="A794" s="3" t="s">
        <v>1838</v>
      </c>
      <c r="B794" s="3" t="s">
        <v>1839</v>
      </c>
      <c r="C794" s="3" t="s">
        <v>1835</v>
      </c>
      <c r="D794" s="3" t="s">
        <v>1653</v>
      </c>
    </row>
    <row r="795" spans="1:4">
      <c r="A795" s="3" t="s">
        <v>1840</v>
      </c>
      <c r="B795" s="3" t="s">
        <v>1841</v>
      </c>
      <c r="C795" s="3" t="s">
        <v>1835</v>
      </c>
      <c r="D795" s="3" t="s">
        <v>1653</v>
      </c>
    </row>
    <row r="796" spans="1:4">
      <c r="A796" s="3" t="s">
        <v>1842</v>
      </c>
      <c r="B796" s="3" t="s">
        <v>1843</v>
      </c>
      <c r="C796" s="3" t="s">
        <v>1835</v>
      </c>
      <c r="D796" s="3" t="s">
        <v>1653</v>
      </c>
    </row>
    <row r="797" spans="1:4">
      <c r="A797" s="3" t="s">
        <v>1844</v>
      </c>
      <c r="B797" s="3" t="s">
        <v>1845</v>
      </c>
      <c r="C797" s="3" t="s">
        <v>1835</v>
      </c>
      <c r="D797" s="3" t="s">
        <v>1653</v>
      </c>
    </row>
    <row r="798" spans="1:4">
      <c r="A798" s="3" t="s">
        <v>1846</v>
      </c>
      <c r="B798" s="3" t="s">
        <v>1847</v>
      </c>
      <c r="C798" s="3" t="s">
        <v>1835</v>
      </c>
      <c r="D798" s="3" t="s">
        <v>1653</v>
      </c>
    </row>
    <row r="799" spans="1:4">
      <c r="A799" s="3" t="s">
        <v>1848</v>
      </c>
      <c r="B799" s="3" t="s">
        <v>863</v>
      </c>
      <c r="C799" s="3" t="s">
        <v>1835</v>
      </c>
      <c r="D799" s="3" t="s">
        <v>1653</v>
      </c>
    </row>
    <row r="800" spans="1:4">
      <c r="A800" s="3" t="s">
        <v>1849</v>
      </c>
      <c r="B800" s="3" t="s">
        <v>1850</v>
      </c>
      <c r="C800" s="3" t="s">
        <v>1835</v>
      </c>
      <c r="D800" s="3" t="s">
        <v>1653</v>
      </c>
    </row>
    <row r="801" spans="1:4">
      <c r="A801" s="3" t="s">
        <v>1851</v>
      </c>
      <c r="B801" s="3" t="s">
        <v>1852</v>
      </c>
      <c r="C801" s="3" t="s">
        <v>1835</v>
      </c>
      <c r="D801" s="3" t="s">
        <v>1653</v>
      </c>
    </row>
    <row r="802" spans="1:4">
      <c r="A802" s="3" t="s">
        <v>1853</v>
      </c>
      <c r="B802" s="3" t="s">
        <v>841</v>
      </c>
      <c r="C802" s="3" t="s">
        <v>1835</v>
      </c>
      <c r="D802" s="3" t="s">
        <v>1653</v>
      </c>
    </row>
    <row r="803" spans="1:4">
      <c r="A803" s="3" t="s">
        <v>1854</v>
      </c>
      <c r="B803" s="3" t="s">
        <v>1855</v>
      </c>
      <c r="C803" s="3" t="s">
        <v>1835</v>
      </c>
      <c r="D803" s="3" t="s">
        <v>1653</v>
      </c>
    </row>
    <row r="804" spans="1:4">
      <c r="A804" s="3" t="s">
        <v>1856</v>
      </c>
      <c r="B804" s="3" t="s">
        <v>1857</v>
      </c>
      <c r="C804" s="3" t="s">
        <v>1857</v>
      </c>
      <c r="D804" s="3" t="s">
        <v>1653</v>
      </c>
    </row>
    <row r="805" spans="1:4">
      <c r="A805" s="3" t="s">
        <v>1858</v>
      </c>
      <c r="B805" s="3" t="s">
        <v>1859</v>
      </c>
      <c r="C805" s="3" t="s">
        <v>1857</v>
      </c>
      <c r="D805" s="3" t="s">
        <v>1653</v>
      </c>
    </row>
    <row r="806" spans="1:4">
      <c r="A806" s="3" t="s">
        <v>1860</v>
      </c>
      <c r="B806" s="3" t="s">
        <v>749</v>
      </c>
      <c r="C806" s="3" t="s">
        <v>1857</v>
      </c>
      <c r="D806" s="3" t="s">
        <v>1653</v>
      </c>
    </row>
    <row r="807" spans="1:4">
      <c r="A807" s="3" t="s">
        <v>1861</v>
      </c>
      <c r="B807" s="3" t="s">
        <v>1862</v>
      </c>
      <c r="C807" s="3" t="s">
        <v>1857</v>
      </c>
      <c r="D807" s="3" t="s">
        <v>1653</v>
      </c>
    </row>
    <row r="808" spans="1:4">
      <c r="A808" s="3" t="s">
        <v>1863</v>
      </c>
      <c r="B808" s="3" t="s">
        <v>1864</v>
      </c>
      <c r="C808" s="3" t="s">
        <v>1857</v>
      </c>
      <c r="D808" s="3" t="s">
        <v>1653</v>
      </c>
    </row>
    <row r="809" spans="1:4">
      <c r="A809" s="3" t="s">
        <v>1865</v>
      </c>
      <c r="B809" s="3" t="s">
        <v>1866</v>
      </c>
      <c r="C809" s="3" t="s">
        <v>1857</v>
      </c>
      <c r="D809" s="3" t="s">
        <v>1653</v>
      </c>
    </row>
    <row r="810" spans="1:4">
      <c r="A810" s="3" t="s">
        <v>1867</v>
      </c>
      <c r="B810" s="3" t="s">
        <v>1868</v>
      </c>
      <c r="C810" s="3" t="s">
        <v>1857</v>
      </c>
      <c r="D810" s="3" t="s">
        <v>1653</v>
      </c>
    </row>
    <row r="811" spans="1:4">
      <c r="A811" s="3" t="s">
        <v>1869</v>
      </c>
      <c r="B811" s="3" t="s">
        <v>1870</v>
      </c>
      <c r="C811" s="3" t="s">
        <v>1870</v>
      </c>
      <c r="D811" s="3" t="s">
        <v>1870</v>
      </c>
    </row>
    <row r="812" spans="1:4">
      <c r="A812" s="3" t="s">
        <v>1871</v>
      </c>
      <c r="B812" s="3" t="s">
        <v>1872</v>
      </c>
      <c r="C812" s="3" t="s">
        <v>1870</v>
      </c>
      <c r="D812" s="3" t="s">
        <v>1870</v>
      </c>
    </row>
    <row r="813" spans="1:4">
      <c r="A813" s="3" t="s">
        <v>1873</v>
      </c>
      <c r="B813" s="3" t="s">
        <v>1874</v>
      </c>
      <c r="C813" s="3" t="s">
        <v>1870</v>
      </c>
      <c r="D813" s="3" t="s">
        <v>1870</v>
      </c>
    </row>
    <row r="814" spans="1:4">
      <c r="A814" s="3" t="s">
        <v>1875</v>
      </c>
      <c r="B814" s="3" t="s">
        <v>1876</v>
      </c>
      <c r="C814" s="3" t="s">
        <v>1870</v>
      </c>
      <c r="D814" s="3" t="s">
        <v>1870</v>
      </c>
    </row>
    <row r="815" spans="1:4">
      <c r="A815" s="3" t="s">
        <v>1877</v>
      </c>
      <c r="B815" s="3" t="s">
        <v>1878</v>
      </c>
      <c r="C815" s="3" t="s">
        <v>1870</v>
      </c>
      <c r="D815" s="3" t="s">
        <v>1870</v>
      </c>
    </row>
    <row r="816" spans="1:4">
      <c r="A816" s="3" t="s">
        <v>1879</v>
      </c>
      <c r="B816" s="3" t="s">
        <v>1880</v>
      </c>
      <c r="C816" s="3" t="s">
        <v>1870</v>
      </c>
      <c r="D816" s="3" t="s">
        <v>1870</v>
      </c>
    </row>
    <row r="817" spans="1:4">
      <c r="A817" s="3" t="s">
        <v>1881</v>
      </c>
      <c r="B817" s="3" t="s">
        <v>1882</v>
      </c>
      <c r="C817" s="3" t="s">
        <v>1870</v>
      </c>
      <c r="D817" s="3" t="s">
        <v>1870</v>
      </c>
    </row>
    <row r="818" spans="1:4">
      <c r="A818" s="3" t="s">
        <v>1883</v>
      </c>
      <c r="B818" s="3" t="s">
        <v>1884</v>
      </c>
      <c r="C818" s="3" t="s">
        <v>1870</v>
      </c>
      <c r="D818" s="3" t="s">
        <v>1870</v>
      </c>
    </row>
    <row r="819" spans="1:4">
      <c r="A819" s="3" t="s">
        <v>1885</v>
      </c>
      <c r="B819" s="3" t="s">
        <v>1886</v>
      </c>
      <c r="C819" s="3" t="s">
        <v>1870</v>
      </c>
      <c r="D819" s="3" t="s">
        <v>1870</v>
      </c>
    </row>
    <row r="820" spans="1:4">
      <c r="A820" s="3" t="s">
        <v>1887</v>
      </c>
      <c r="B820" s="3" t="s">
        <v>1888</v>
      </c>
      <c r="C820" s="3" t="s">
        <v>1870</v>
      </c>
      <c r="D820" s="3" t="s">
        <v>1870</v>
      </c>
    </row>
    <row r="821" spans="1:4">
      <c r="A821" s="3" t="s">
        <v>1889</v>
      </c>
      <c r="B821" s="3" t="s">
        <v>1007</v>
      </c>
      <c r="C821" s="3" t="s">
        <v>1870</v>
      </c>
      <c r="D821" s="3" t="s">
        <v>1870</v>
      </c>
    </row>
    <row r="822" spans="1:4">
      <c r="A822" s="3" t="s">
        <v>1890</v>
      </c>
      <c r="B822" s="3" t="s">
        <v>1891</v>
      </c>
      <c r="C822" s="3" t="s">
        <v>1870</v>
      </c>
      <c r="D822" s="3" t="s">
        <v>1870</v>
      </c>
    </row>
    <row r="823" spans="1:4">
      <c r="A823" s="3" t="s">
        <v>1892</v>
      </c>
      <c r="B823" s="3" t="s">
        <v>1893</v>
      </c>
      <c r="C823" s="3" t="s">
        <v>1870</v>
      </c>
      <c r="D823" s="3" t="s">
        <v>1870</v>
      </c>
    </row>
    <row r="824" spans="1:4">
      <c r="A824" s="3" t="s">
        <v>1894</v>
      </c>
      <c r="B824" s="3" t="s">
        <v>1895</v>
      </c>
      <c r="C824" s="3" t="s">
        <v>1870</v>
      </c>
      <c r="D824" s="3" t="s">
        <v>1870</v>
      </c>
    </row>
    <row r="825" spans="1:4">
      <c r="A825" s="3" t="s">
        <v>1896</v>
      </c>
      <c r="B825" s="3" t="s">
        <v>1897</v>
      </c>
      <c r="C825" s="3" t="s">
        <v>1870</v>
      </c>
      <c r="D825" s="3" t="s">
        <v>1870</v>
      </c>
    </row>
    <row r="826" spans="1:4">
      <c r="A826" s="3" t="s">
        <v>1898</v>
      </c>
      <c r="B826" s="3" t="s">
        <v>1899</v>
      </c>
      <c r="C826" s="3" t="s">
        <v>1870</v>
      </c>
      <c r="D826" s="3" t="s">
        <v>1870</v>
      </c>
    </row>
    <row r="827" spans="1:4">
      <c r="A827" s="3" t="s">
        <v>1900</v>
      </c>
      <c r="B827" s="3" t="s">
        <v>1901</v>
      </c>
      <c r="C827" s="3" t="s">
        <v>1870</v>
      </c>
      <c r="D827" s="3" t="s">
        <v>1870</v>
      </c>
    </row>
    <row r="828" spans="1:4">
      <c r="A828" s="3" t="s">
        <v>1902</v>
      </c>
      <c r="B828" s="3" t="s">
        <v>1903</v>
      </c>
      <c r="C828" s="3" t="s">
        <v>1870</v>
      </c>
      <c r="D828" s="3" t="s">
        <v>1870</v>
      </c>
    </row>
    <row r="829" spans="1:4">
      <c r="A829" s="3" t="s">
        <v>1904</v>
      </c>
      <c r="B829" s="3" t="s">
        <v>1905</v>
      </c>
      <c r="C829" s="3" t="s">
        <v>1870</v>
      </c>
      <c r="D829" s="3" t="s">
        <v>1870</v>
      </c>
    </row>
    <row r="830" spans="1:4">
      <c r="A830" s="3" t="s">
        <v>1906</v>
      </c>
      <c r="B830" s="3" t="s">
        <v>741</v>
      </c>
      <c r="C830" s="3" t="s">
        <v>741</v>
      </c>
      <c r="D830" s="3" t="s">
        <v>1870</v>
      </c>
    </row>
    <row r="831" spans="1:4">
      <c r="A831" s="3" t="s">
        <v>1907</v>
      </c>
      <c r="B831" s="3" t="s">
        <v>1620</v>
      </c>
      <c r="C831" s="3" t="s">
        <v>741</v>
      </c>
      <c r="D831" s="3" t="s">
        <v>1870</v>
      </c>
    </row>
    <row r="832" spans="1:4">
      <c r="A832" s="3" t="s">
        <v>1908</v>
      </c>
      <c r="B832" s="3" t="s">
        <v>532</v>
      </c>
      <c r="C832" s="3" t="s">
        <v>741</v>
      </c>
      <c r="D832" s="3" t="s">
        <v>1870</v>
      </c>
    </row>
    <row r="833" spans="1:4">
      <c r="A833" s="3" t="s">
        <v>1909</v>
      </c>
      <c r="B833" s="3" t="s">
        <v>1910</v>
      </c>
      <c r="C833" s="3" t="s">
        <v>741</v>
      </c>
      <c r="D833" s="3" t="s">
        <v>1870</v>
      </c>
    </row>
    <row r="834" spans="1:4">
      <c r="A834" s="3" t="s">
        <v>1911</v>
      </c>
      <c r="B834" s="3" t="s">
        <v>1912</v>
      </c>
      <c r="C834" s="3" t="s">
        <v>741</v>
      </c>
      <c r="D834" s="3" t="s">
        <v>1870</v>
      </c>
    </row>
    <row r="835" spans="1:4">
      <c r="A835" s="3" t="s">
        <v>1913</v>
      </c>
      <c r="B835" s="3" t="s">
        <v>1914</v>
      </c>
      <c r="C835" s="3" t="s">
        <v>741</v>
      </c>
      <c r="D835" s="3" t="s">
        <v>1870</v>
      </c>
    </row>
    <row r="836" spans="1:4">
      <c r="A836" s="3" t="s">
        <v>1915</v>
      </c>
      <c r="B836" s="3" t="s">
        <v>814</v>
      </c>
      <c r="C836" s="3" t="s">
        <v>741</v>
      </c>
      <c r="D836" s="3" t="s">
        <v>1870</v>
      </c>
    </row>
    <row r="837" spans="1:4">
      <c r="A837" s="3" t="s">
        <v>1916</v>
      </c>
      <c r="B837" s="3" t="s">
        <v>1917</v>
      </c>
      <c r="C837" s="3" t="s">
        <v>741</v>
      </c>
      <c r="D837" s="3" t="s">
        <v>1870</v>
      </c>
    </row>
    <row r="838" spans="1:4">
      <c r="A838" s="3" t="s">
        <v>1918</v>
      </c>
      <c r="B838" s="3" t="s">
        <v>1919</v>
      </c>
      <c r="C838" s="3" t="s">
        <v>1920</v>
      </c>
      <c r="D838" s="3" t="s">
        <v>1870</v>
      </c>
    </row>
    <row r="839" spans="1:4">
      <c r="A839" s="3" t="s">
        <v>1921</v>
      </c>
      <c r="B839" s="3" t="s">
        <v>1922</v>
      </c>
      <c r="C839" s="3" t="s">
        <v>1920</v>
      </c>
      <c r="D839" s="3" t="s">
        <v>1870</v>
      </c>
    </row>
    <row r="840" spans="1:4">
      <c r="A840" s="3" t="s">
        <v>1923</v>
      </c>
      <c r="B840" s="3" t="s">
        <v>1924</v>
      </c>
      <c r="C840" s="3" t="s">
        <v>1920</v>
      </c>
      <c r="D840" s="3" t="s">
        <v>1870</v>
      </c>
    </row>
    <row r="841" spans="1:4">
      <c r="A841" s="3" t="s">
        <v>1925</v>
      </c>
      <c r="B841" s="3" t="s">
        <v>1926</v>
      </c>
      <c r="C841" s="3" t="s">
        <v>1920</v>
      </c>
      <c r="D841" s="3" t="s">
        <v>1870</v>
      </c>
    </row>
    <row r="842" spans="1:4">
      <c r="A842" s="3" t="s">
        <v>1927</v>
      </c>
      <c r="B842" s="3" t="s">
        <v>1928</v>
      </c>
      <c r="C842" s="3" t="s">
        <v>1920</v>
      </c>
      <c r="D842" s="3" t="s">
        <v>1870</v>
      </c>
    </row>
    <row r="843" spans="1:4">
      <c r="A843" s="3" t="s">
        <v>1929</v>
      </c>
      <c r="B843" s="3" t="s">
        <v>1930</v>
      </c>
      <c r="C843" s="3" t="s">
        <v>1920</v>
      </c>
      <c r="D843" s="3" t="s">
        <v>1870</v>
      </c>
    </row>
    <row r="844" spans="1:4">
      <c r="A844" s="3" t="s">
        <v>1931</v>
      </c>
      <c r="B844" s="3" t="s">
        <v>1932</v>
      </c>
      <c r="C844" s="3" t="s">
        <v>1920</v>
      </c>
      <c r="D844" s="3" t="s">
        <v>1870</v>
      </c>
    </row>
    <row r="845" spans="1:4">
      <c r="A845" s="3" t="s">
        <v>1933</v>
      </c>
      <c r="B845" s="3" t="s">
        <v>1934</v>
      </c>
      <c r="C845" s="3" t="s">
        <v>1920</v>
      </c>
      <c r="D845" s="3" t="s">
        <v>1870</v>
      </c>
    </row>
    <row r="846" spans="1:4">
      <c r="A846" s="3" t="s">
        <v>1935</v>
      </c>
      <c r="B846" s="3" t="s">
        <v>1936</v>
      </c>
      <c r="C846" s="3" t="s">
        <v>1920</v>
      </c>
      <c r="D846" s="3" t="s">
        <v>1870</v>
      </c>
    </row>
    <row r="847" spans="1:4">
      <c r="A847" s="3" t="s">
        <v>1937</v>
      </c>
      <c r="B847" s="3" t="s">
        <v>1938</v>
      </c>
      <c r="C847" s="3" t="s">
        <v>1920</v>
      </c>
      <c r="D847" s="3" t="s">
        <v>1870</v>
      </c>
    </row>
    <row r="848" spans="1:4">
      <c r="A848" s="3" t="s">
        <v>1939</v>
      </c>
      <c r="B848" s="3" t="s">
        <v>1940</v>
      </c>
      <c r="C848" s="3" t="s">
        <v>1920</v>
      </c>
      <c r="D848" s="3" t="s">
        <v>1870</v>
      </c>
    </row>
    <row r="849" spans="1:4">
      <c r="A849" s="3" t="s">
        <v>1941</v>
      </c>
      <c r="B849" s="3" t="s">
        <v>1942</v>
      </c>
      <c r="C849" s="3" t="s">
        <v>1920</v>
      </c>
      <c r="D849" s="3" t="s">
        <v>1870</v>
      </c>
    </row>
    <row r="850" spans="1:4">
      <c r="A850" s="3" t="s">
        <v>1943</v>
      </c>
      <c r="B850" s="3" t="s">
        <v>1944</v>
      </c>
      <c r="C850" s="3" t="s">
        <v>1944</v>
      </c>
      <c r="D850" s="3" t="s">
        <v>1870</v>
      </c>
    </row>
    <row r="851" spans="1:4">
      <c r="A851" s="3" t="s">
        <v>1945</v>
      </c>
      <c r="B851" s="3" t="s">
        <v>1946</v>
      </c>
      <c r="C851" s="3" t="s">
        <v>1944</v>
      </c>
      <c r="D851" s="3" t="s">
        <v>1870</v>
      </c>
    </row>
    <row r="852" spans="1:4">
      <c r="A852" s="3" t="s">
        <v>1947</v>
      </c>
      <c r="B852" s="3" t="s">
        <v>1948</v>
      </c>
      <c r="C852" s="3" t="s">
        <v>1944</v>
      </c>
      <c r="D852" s="3" t="s">
        <v>1870</v>
      </c>
    </row>
    <row r="853" spans="1:4">
      <c r="A853" s="3" t="s">
        <v>1949</v>
      </c>
      <c r="B853" s="3" t="s">
        <v>1950</v>
      </c>
      <c r="C853" s="3" t="s">
        <v>1944</v>
      </c>
      <c r="D853" s="3" t="s">
        <v>1870</v>
      </c>
    </row>
    <row r="854" spans="1:4">
      <c r="A854" s="3" t="s">
        <v>1951</v>
      </c>
      <c r="B854" s="3" t="s">
        <v>1952</v>
      </c>
      <c r="C854" s="3" t="s">
        <v>1944</v>
      </c>
      <c r="D854" s="3" t="s">
        <v>1870</v>
      </c>
    </row>
    <row r="855" spans="1:4">
      <c r="A855" s="3" t="s">
        <v>1953</v>
      </c>
      <c r="B855" s="3" t="s">
        <v>1954</v>
      </c>
      <c r="C855" s="3" t="s">
        <v>1944</v>
      </c>
      <c r="D855" s="3" t="s">
        <v>1870</v>
      </c>
    </row>
    <row r="856" spans="1:4">
      <c r="A856" s="3" t="s">
        <v>1955</v>
      </c>
      <c r="B856" s="3" t="s">
        <v>1956</v>
      </c>
      <c r="C856" s="3" t="s">
        <v>1944</v>
      </c>
      <c r="D856" s="3" t="s">
        <v>1870</v>
      </c>
    </row>
    <row r="857" spans="1:4">
      <c r="A857" s="3" t="s">
        <v>1957</v>
      </c>
      <c r="B857" s="3" t="s">
        <v>1958</v>
      </c>
      <c r="C857" s="3" t="s">
        <v>1944</v>
      </c>
      <c r="D857" s="3" t="s">
        <v>1870</v>
      </c>
    </row>
    <row r="858" spans="1:4">
      <c r="A858" s="3" t="s">
        <v>1959</v>
      </c>
      <c r="B858" s="3" t="s">
        <v>1960</v>
      </c>
      <c r="C858" s="3" t="s">
        <v>1944</v>
      </c>
      <c r="D858" s="3" t="s">
        <v>1870</v>
      </c>
    </row>
    <row r="859" spans="1:4">
      <c r="A859" s="3" t="s">
        <v>1961</v>
      </c>
      <c r="B859" s="3" t="s">
        <v>755</v>
      </c>
      <c r="C859" s="3" t="s">
        <v>1944</v>
      </c>
      <c r="D859" s="3" t="s">
        <v>1870</v>
      </c>
    </row>
    <row r="860" spans="1:4">
      <c r="A860" s="3" t="s">
        <v>1962</v>
      </c>
      <c r="B860" s="3" t="s">
        <v>1777</v>
      </c>
      <c r="C860" s="3" t="s">
        <v>1944</v>
      </c>
      <c r="D860" s="3" t="s">
        <v>1870</v>
      </c>
    </row>
    <row r="861" spans="1:4">
      <c r="A861" s="3" t="s">
        <v>1963</v>
      </c>
      <c r="B861" s="3" t="s">
        <v>1964</v>
      </c>
      <c r="C861" s="3" t="s">
        <v>1944</v>
      </c>
      <c r="D861" s="3" t="s">
        <v>1870</v>
      </c>
    </row>
    <row r="862" spans="1:4">
      <c r="A862" s="3" t="s">
        <v>1965</v>
      </c>
      <c r="B862" s="3" t="s">
        <v>1966</v>
      </c>
      <c r="C862" s="3" t="s">
        <v>1944</v>
      </c>
      <c r="D862" s="3" t="s">
        <v>1870</v>
      </c>
    </row>
    <row r="863" spans="1:4">
      <c r="A863" s="3" t="s">
        <v>1967</v>
      </c>
      <c r="B863" s="3" t="s">
        <v>1968</v>
      </c>
      <c r="C863" s="3" t="s">
        <v>1968</v>
      </c>
      <c r="D863" s="3" t="s">
        <v>1870</v>
      </c>
    </row>
    <row r="864" spans="1:4">
      <c r="A864" s="3" t="s">
        <v>1969</v>
      </c>
      <c r="B864" s="3" t="s">
        <v>1241</v>
      </c>
      <c r="C864" s="3" t="s">
        <v>1968</v>
      </c>
      <c r="D864" s="3" t="s">
        <v>1870</v>
      </c>
    </row>
    <row r="865" spans="1:4">
      <c r="A865" s="3" t="s">
        <v>1970</v>
      </c>
      <c r="B865" s="3" t="s">
        <v>1971</v>
      </c>
      <c r="C865" s="3" t="s">
        <v>1968</v>
      </c>
      <c r="D865" s="3" t="s">
        <v>1870</v>
      </c>
    </row>
    <row r="866" spans="1:4">
      <c r="A866" s="3" t="s">
        <v>1972</v>
      </c>
      <c r="B866" s="3" t="s">
        <v>1973</v>
      </c>
      <c r="C866" s="3" t="s">
        <v>1968</v>
      </c>
      <c r="D866" s="3" t="s">
        <v>1870</v>
      </c>
    </row>
    <row r="867" spans="1:4">
      <c r="A867" s="3" t="s">
        <v>1974</v>
      </c>
      <c r="B867" s="3" t="s">
        <v>475</v>
      </c>
      <c r="C867" s="3" t="s">
        <v>1968</v>
      </c>
      <c r="D867" s="3" t="s">
        <v>1870</v>
      </c>
    </row>
    <row r="868" spans="1:4">
      <c r="A868" s="3" t="s">
        <v>1975</v>
      </c>
      <c r="B868" s="3" t="s">
        <v>1976</v>
      </c>
      <c r="C868" s="3" t="s">
        <v>1968</v>
      </c>
      <c r="D868" s="3" t="s">
        <v>1870</v>
      </c>
    </row>
    <row r="869" spans="1:4">
      <c r="A869" s="3" t="s">
        <v>1977</v>
      </c>
      <c r="B869" s="3" t="s">
        <v>1978</v>
      </c>
      <c r="C869" s="3" t="s">
        <v>1968</v>
      </c>
      <c r="D869" s="3" t="s">
        <v>1870</v>
      </c>
    </row>
    <row r="870" spans="1:4">
      <c r="A870" s="3" t="s">
        <v>1979</v>
      </c>
      <c r="B870" s="3" t="s">
        <v>1980</v>
      </c>
      <c r="C870" s="3" t="s">
        <v>1968</v>
      </c>
      <c r="D870" s="3" t="s">
        <v>1870</v>
      </c>
    </row>
    <row r="871" spans="1:4">
      <c r="A871" s="3" t="s">
        <v>1981</v>
      </c>
      <c r="B871" s="3" t="s">
        <v>1982</v>
      </c>
      <c r="C871" s="3" t="s">
        <v>1968</v>
      </c>
      <c r="D871" s="3" t="s">
        <v>1870</v>
      </c>
    </row>
    <row r="872" spans="1:4">
      <c r="A872" s="3" t="s">
        <v>1983</v>
      </c>
      <c r="B872" s="3" t="s">
        <v>1984</v>
      </c>
      <c r="C872" s="3" t="s">
        <v>1968</v>
      </c>
      <c r="D872" s="3" t="s">
        <v>1870</v>
      </c>
    </row>
    <row r="873" spans="1:4">
      <c r="A873" s="3" t="s">
        <v>1985</v>
      </c>
      <c r="B873" s="3" t="s">
        <v>1986</v>
      </c>
      <c r="C873" s="3" t="s">
        <v>1968</v>
      </c>
      <c r="D873" s="3" t="s">
        <v>1870</v>
      </c>
    </row>
    <row r="874" spans="1:4">
      <c r="A874" s="3" t="s">
        <v>1987</v>
      </c>
      <c r="B874" s="3" t="s">
        <v>1988</v>
      </c>
      <c r="C874" s="3" t="s">
        <v>1988</v>
      </c>
      <c r="D874" s="3" t="s">
        <v>1870</v>
      </c>
    </row>
    <row r="875" spans="1:4">
      <c r="A875" s="3" t="s">
        <v>1989</v>
      </c>
      <c r="B875" s="3" t="s">
        <v>1990</v>
      </c>
      <c r="C875" s="3" t="s">
        <v>1988</v>
      </c>
      <c r="D875" s="3" t="s">
        <v>1870</v>
      </c>
    </row>
    <row r="876" spans="1:4">
      <c r="A876" s="3" t="s">
        <v>1991</v>
      </c>
      <c r="B876" s="3" t="s">
        <v>1992</v>
      </c>
      <c r="C876" s="3" t="s">
        <v>1988</v>
      </c>
      <c r="D876" s="3" t="s">
        <v>1870</v>
      </c>
    </row>
    <row r="877" spans="1:4">
      <c r="A877" s="3" t="s">
        <v>1993</v>
      </c>
      <c r="B877" s="3" t="s">
        <v>1994</v>
      </c>
      <c r="C877" s="3" t="s">
        <v>1988</v>
      </c>
      <c r="D877" s="3" t="s">
        <v>1870</v>
      </c>
    </row>
    <row r="878" spans="1:4">
      <c r="A878" s="3" t="s">
        <v>1995</v>
      </c>
      <c r="B878" s="3" t="s">
        <v>1996</v>
      </c>
      <c r="C878" s="3" t="s">
        <v>1988</v>
      </c>
      <c r="D878" s="3" t="s">
        <v>1870</v>
      </c>
    </row>
    <row r="879" spans="1:4">
      <c r="A879" s="3" t="s">
        <v>1997</v>
      </c>
      <c r="B879" s="3" t="s">
        <v>1998</v>
      </c>
      <c r="C879" s="3" t="s">
        <v>1988</v>
      </c>
      <c r="D879" s="3" t="s">
        <v>1870</v>
      </c>
    </row>
    <row r="880" spans="1:4">
      <c r="A880" s="3" t="s">
        <v>1999</v>
      </c>
      <c r="B880" s="3" t="s">
        <v>2000</v>
      </c>
      <c r="C880" s="3" t="s">
        <v>1988</v>
      </c>
      <c r="D880" s="3" t="s">
        <v>1870</v>
      </c>
    </row>
    <row r="881" spans="1:4">
      <c r="A881" s="3" t="s">
        <v>2001</v>
      </c>
      <c r="B881" s="3" t="s">
        <v>2002</v>
      </c>
      <c r="C881" s="3" t="s">
        <v>1988</v>
      </c>
      <c r="D881" s="3" t="s">
        <v>1870</v>
      </c>
    </row>
    <row r="882" spans="1:4">
      <c r="A882" s="3" t="s">
        <v>2003</v>
      </c>
      <c r="B882" s="3" t="s">
        <v>2004</v>
      </c>
      <c r="C882" s="3" t="s">
        <v>1988</v>
      </c>
      <c r="D882" s="3" t="s">
        <v>1870</v>
      </c>
    </row>
    <row r="883" spans="1:4">
      <c r="A883" s="3" t="s">
        <v>2005</v>
      </c>
      <c r="B883" s="3" t="s">
        <v>2006</v>
      </c>
      <c r="C883" s="3" t="s">
        <v>1988</v>
      </c>
      <c r="D883" s="3" t="s">
        <v>1870</v>
      </c>
    </row>
    <row r="884" spans="1:4">
      <c r="A884" s="3" t="s">
        <v>2007</v>
      </c>
      <c r="B884" s="3" t="s">
        <v>2008</v>
      </c>
      <c r="C884" s="3" t="s">
        <v>1988</v>
      </c>
      <c r="D884" s="3" t="s">
        <v>1870</v>
      </c>
    </row>
    <row r="885" spans="1:4">
      <c r="A885" s="3" t="s">
        <v>2009</v>
      </c>
      <c r="B885" s="3" t="s">
        <v>2010</v>
      </c>
      <c r="C885" s="3" t="s">
        <v>1988</v>
      </c>
      <c r="D885" s="3" t="s">
        <v>1870</v>
      </c>
    </row>
    <row r="886" spans="1:4">
      <c r="A886" s="3" t="s">
        <v>2011</v>
      </c>
      <c r="B886" s="3" t="s">
        <v>2012</v>
      </c>
      <c r="C886" s="3" t="s">
        <v>1988</v>
      </c>
      <c r="D886" s="3" t="s">
        <v>1870</v>
      </c>
    </row>
    <row r="887" spans="1:4">
      <c r="A887" s="3" t="s">
        <v>2013</v>
      </c>
      <c r="B887" s="3" t="s">
        <v>2014</v>
      </c>
      <c r="C887" s="3" t="s">
        <v>1988</v>
      </c>
      <c r="D887" s="3" t="s">
        <v>1870</v>
      </c>
    </row>
    <row r="888" spans="1:4">
      <c r="A888" s="3" t="s">
        <v>2015</v>
      </c>
      <c r="B888" s="3" t="s">
        <v>2016</v>
      </c>
      <c r="C888" s="3" t="s">
        <v>1988</v>
      </c>
      <c r="D888" s="3" t="s">
        <v>1870</v>
      </c>
    </row>
    <row r="889" spans="1:4">
      <c r="A889" s="3" t="s">
        <v>2017</v>
      </c>
      <c r="B889" s="3" t="s">
        <v>1252</v>
      </c>
      <c r="C889" s="3" t="s">
        <v>1988</v>
      </c>
      <c r="D889" s="3" t="s">
        <v>1870</v>
      </c>
    </row>
    <row r="890" spans="1:4">
      <c r="A890" s="3" t="s">
        <v>2018</v>
      </c>
      <c r="B890" s="3" t="s">
        <v>461</v>
      </c>
      <c r="C890" s="3" t="s">
        <v>2019</v>
      </c>
      <c r="D890" s="3" t="s">
        <v>1870</v>
      </c>
    </row>
    <row r="891" spans="1:4">
      <c r="A891" s="3" t="s">
        <v>2020</v>
      </c>
      <c r="B891" s="3" t="s">
        <v>2021</v>
      </c>
      <c r="C891" s="3" t="s">
        <v>2019</v>
      </c>
      <c r="D891" s="3" t="s">
        <v>1870</v>
      </c>
    </row>
    <row r="892" spans="1:4">
      <c r="A892" s="3" t="s">
        <v>2022</v>
      </c>
      <c r="B892" s="3" t="s">
        <v>2023</v>
      </c>
      <c r="C892" s="3" t="s">
        <v>2019</v>
      </c>
      <c r="D892" s="3" t="s">
        <v>1870</v>
      </c>
    </row>
    <row r="893" spans="1:4">
      <c r="A893" s="3" t="s">
        <v>2024</v>
      </c>
      <c r="B893" s="3" t="s">
        <v>2025</v>
      </c>
      <c r="C893" s="3" t="s">
        <v>2019</v>
      </c>
      <c r="D893" s="3" t="s">
        <v>1870</v>
      </c>
    </row>
    <row r="894" spans="1:4">
      <c r="A894" s="3" t="s">
        <v>2026</v>
      </c>
      <c r="B894" s="3" t="s">
        <v>450</v>
      </c>
      <c r="C894" s="3" t="s">
        <v>2019</v>
      </c>
      <c r="D894" s="3" t="s">
        <v>1870</v>
      </c>
    </row>
    <row r="895" spans="1:4">
      <c r="A895" s="3" t="s">
        <v>2027</v>
      </c>
      <c r="B895" s="3" t="s">
        <v>2028</v>
      </c>
      <c r="C895" s="3" t="s">
        <v>2019</v>
      </c>
      <c r="D895" s="3" t="s">
        <v>1870</v>
      </c>
    </row>
    <row r="896" spans="1:4">
      <c r="A896" s="3" t="s">
        <v>2029</v>
      </c>
      <c r="B896" s="3" t="s">
        <v>1880</v>
      </c>
      <c r="C896" s="3" t="s">
        <v>2019</v>
      </c>
      <c r="D896" s="3" t="s">
        <v>1870</v>
      </c>
    </row>
    <row r="897" spans="1:4">
      <c r="A897" s="3" t="s">
        <v>2030</v>
      </c>
      <c r="B897" s="3" t="s">
        <v>2031</v>
      </c>
      <c r="C897" s="3" t="s">
        <v>2019</v>
      </c>
      <c r="D897" s="3" t="s">
        <v>1870</v>
      </c>
    </row>
    <row r="898" spans="1:4">
      <c r="A898" s="3" t="s">
        <v>2032</v>
      </c>
      <c r="B898" s="3" t="s">
        <v>2033</v>
      </c>
      <c r="C898" s="3" t="s">
        <v>2019</v>
      </c>
      <c r="D898" s="3" t="s">
        <v>1870</v>
      </c>
    </row>
    <row r="899" spans="1:4">
      <c r="A899" s="3" t="s">
        <v>2034</v>
      </c>
      <c r="B899" s="3" t="s">
        <v>2035</v>
      </c>
      <c r="C899" s="3" t="s">
        <v>2019</v>
      </c>
      <c r="D899" s="3" t="s">
        <v>1870</v>
      </c>
    </row>
    <row r="900" spans="1:4">
      <c r="A900" s="3" t="s">
        <v>2036</v>
      </c>
      <c r="B900" s="3" t="s">
        <v>2037</v>
      </c>
      <c r="C900" s="3" t="s">
        <v>2019</v>
      </c>
      <c r="D900" s="3" t="s">
        <v>1870</v>
      </c>
    </row>
    <row r="901" spans="1:4">
      <c r="A901" s="3" t="s">
        <v>2038</v>
      </c>
      <c r="B901" s="3" t="s">
        <v>2039</v>
      </c>
      <c r="C901" s="3" t="s">
        <v>2019</v>
      </c>
      <c r="D901" s="3" t="s">
        <v>1870</v>
      </c>
    </row>
    <row r="902" spans="1:4">
      <c r="A902" s="3" t="s">
        <v>2040</v>
      </c>
      <c r="B902" s="3" t="s">
        <v>2041</v>
      </c>
      <c r="C902" s="3" t="s">
        <v>2019</v>
      </c>
      <c r="D902" s="3" t="s">
        <v>1870</v>
      </c>
    </row>
    <row r="903" spans="1:4">
      <c r="A903" s="3" t="s">
        <v>2042</v>
      </c>
      <c r="B903" s="3" t="s">
        <v>2043</v>
      </c>
      <c r="C903" s="3" t="s">
        <v>2019</v>
      </c>
      <c r="D903" s="3" t="s">
        <v>1870</v>
      </c>
    </row>
    <row r="904" spans="1:4">
      <c r="A904" s="3" t="s">
        <v>2044</v>
      </c>
      <c r="B904" s="3" t="s">
        <v>2045</v>
      </c>
      <c r="C904" s="3" t="s">
        <v>2019</v>
      </c>
      <c r="D904" s="3" t="s">
        <v>1870</v>
      </c>
    </row>
    <row r="905" spans="1:4">
      <c r="A905" s="3" t="s">
        <v>2046</v>
      </c>
      <c r="B905" s="3" t="s">
        <v>2047</v>
      </c>
      <c r="C905" s="3" t="s">
        <v>2019</v>
      </c>
      <c r="D905" s="3" t="s">
        <v>1870</v>
      </c>
    </row>
    <row r="906" spans="1:4">
      <c r="A906" s="3" t="s">
        <v>2048</v>
      </c>
      <c r="B906" s="3" t="s">
        <v>2049</v>
      </c>
      <c r="C906" s="3" t="s">
        <v>2019</v>
      </c>
      <c r="D906" s="3" t="s">
        <v>1870</v>
      </c>
    </row>
    <row r="907" spans="1:4">
      <c r="A907" s="3" t="s">
        <v>2050</v>
      </c>
      <c r="B907" s="3" t="s">
        <v>2051</v>
      </c>
      <c r="C907" s="3" t="s">
        <v>2019</v>
      </c>
      <c r="D907" s="3" t="s">
        <v>1870</v>
      </c>
    </row>
    <row r="908" spans="1:4">
      <c r="A908" s="3" t="s">
        <v>2052</v>
      </c>
      <c r="B908" s="3" t="s">
        <v>2053</v>
      </c>
      <c r="C908" s="3" t="s">
        <v>2019</v>
      </c>
      <c r="D908" s="3" t="s">
        <v>1870</v>
      </c>
    </row>
    <row r="909" spans="1:4">
      <c r="A909" s="3" t="s">
        <v>2054</v>
      </c>
      <c r="B909" s="3" t="s">
        <v>2055</v>
      </c>
      <c r="C909" s="3" t="s">
        <v>2019</v>
      </c>
      <c r="D909" s="3" t="s">
        <v>1870</v>
      </c>
    </row>
    <row r="910" spans="1:4">
      <c r="A910" s="3" t="s">
        <v>2056</v>
      </c>
      <c r="B910" s="3" t="s">
        <v>2057</v>
      </c>
      <c r="C910" s="3" t="s">
        <v>2019</v>
      </c>
      <c r="D910" s="3" t="s">
        <v>1870</v>
      </c>
    </row>
    <row r="911" spans="1:4">
      <c r="A911" s="3" t="s">
        <v>2058</v>
      </c>
      <c r="B911" s="3" t="s">
        <v>2059</v>
      </c>
      <c r="C911" s="3" t="s">
        <v>2059</v>
      </c>
      <c r="D911" s="3" t="s">
        <v>2059</v>
      </c>
    </row>
    <row r="912" spans="1:4">
      <c r="A912" s="3" t="s">
        <v>2060</v>
      </c>
      <c r="B912" s="3" t="s">
        <v>2061</v>
      </c>
      <c r="C912" s="3" t="s">
        <v>2059</v>
      </c>
      <c r="D912" s="3" t="s">
        <v>2059</v>
      </c>
    </row>
    <row r="913" spans="1:4">
      <c r="A913" s="3" t="s">
        <v>2062</v>
      </c>
      <c r="B913" s="3" t="s">
        <v>2063</v>
      </c>
      <c r="C913" s="3" t="s">
        <v>2059</v>
      </c>
      <c r="D913" s="3" t="s">
        <v>2059</v>
      </c>
    </row>
    <row r="914" spans="1:4">
      <c r="A914" s="3" t="s">
        <v>2064</v>
      </c>
      <c r="B914" s="3" t="s">
        <v>2065</v>
      </c>
      <c r="C914" s="3" t="s">
        <v>2059</v>
      </c>
      <c r="D914" s="3" t="s">
        <v>2059</v>
      </c>
    </row>
    <row r="915" spans="1:4">
      <c r="A915" s="3" t="s">
        <v>2066</v>
      </c>
      <c r="B915" s="3" t="s">
        <v>2067</v>
      </c>
      <c r="C915" s="3" t="s">
        <v>2059</v>
      </c>
      <c r="D915" s="3" t="s">
        <v>2059</v>
      </c>
    </row>
    <row r="916" spans="1:4">
      <c r="A916" s="3" t="s">
        <v>2068</v>
      </c>
      <c r="B916" s="3" t="s">
        <v>2069</v>
      </c>
      <c r="C916" s="3" t="s">
        <v>2059</v>
      </c>
      <c r="D916" s="3" t="s">
        <v>2059</v>
      </c>
    </row>
    <row r="917" spans="1:4">
      <c r="A917" s="3" t="s">
        <v>2070</v>
      </c>
      <c r="B917" s="3" t="s">
        <v>2071</v>
      </c>
      <c r="C917" s="3" t="s">
        <v>2059</v>
      </c>
      <c r="D917" s="3" t="s">
        <v>2059</v>
      </c>
    </row>
    <row r="918" spans="1:4">
      <c r="A918" s="3" t="s">
        <v>2072</v>
      </c>
      <c r="B918" s="3" t="s">
        <v>2073</v>
      </c>
      <c r="C918" s="3" t="s">
        <v>2059</v>
      </c>
      <c r="D918" s="3" t="s">
        <v>2059</v>
      </c>
    </row>
    <row r="919" spans="1:4">
      <c r="A919" s="3" t="s">
        <v>2074</v>
      </c>
      <c r="B919" s="3" t="s">
        <v>2075</v>
      </c>
      <c r="C919" s="3" t="s">
        <v>2059</v>
      </c>
      <c r="D919" s="3" t="s">
        <v>2059</v>
      </c>
    </row>
    <row r="920" spans="1:4">
      <c r="A920" s="3" t="s">
        <v>2076</v>
      </c>
      <c r="B920" s="3" t="s">
        <v>2077</v>
      </c>
      <c r="C920" s="3" t="s">
        <v>2059</v>
      </c>
      <c r="D920" s="3" t="s">
        <v>2059</v>
      </c>
    </row>
    <row r="921" spans="1:4">
      <c r="A921" s="3" t="s">
        <v>2078</v>
      </c>
      <c r="B921" s="3" t="s">
        <v>2079</v>
      </c>
      <c r="C921" s="3" t="s">
        <v>2059</v>
      </c>
      <c r="D921" s="3" t="s">
        <v>2059</v>
      </c>
    </row>
    <row r="922" spans="1:4">
      <c r="A922" s="3" t="s">
        <v>2080</v>
      </c>
      <c r="B922" s="3" t="s">
        <v>2081</v>
      </c>
      <c r="C922" s="3" t="s">
        <v>2059</v>
      </c>
      <c r="D922" s="3" t="s">
        <v>2059</v>
      </c>
    </row>
    <row r="923" spans="1:4">
      <c r="A923" s="3" t="s">
        <v>2082</v>
      </c>
      <c r="B923" s="3" t="s">
        <v>2083</v>
      </c>
      <c r="C923" s="3" t="s">
        <v>2059</v>
      </c>
      <c r="D923" s="3" t="s">
        <v>2059</v>
      </c>
    </row>
    <row r="924" spans="1:4">
      <c r="A924" s="3" t="s">
        <v>2084</v>
      </c>
      <c r="B924" s="3" t="s">
        <v>2085</v>
      </c>
      <c r="C924" s="3" t="s">
        <v>2085</v>
      </c>
      <c r="D924" s="3" t="s">
        <v>2059</v>
      </c>
    </row>
    <row r="925" spans="1:4">
      <c r="A925" s="3" t="s">
        <v>2086</v>
      </c>
      <c r="B925" s="3" t="s">
        <v>2087</v>
      </c>
      <c r="C925" s="3" t="s">
        <v>2085</v>
      </c>
      <c r="D925" s="3" t="s">
        <v>2059</v>
      </c>
    </row>
    <row r="926" spans="1:4">
      <c r="A926" s="3" t="s">
        <v>2088</v>
      </c>
      <c r="B926" s="3" t="s">
        <v>2089</v>
      </c>
      <c r="C926" s="3" t="s">
        <v>2085</v>
      </c>
      <c r="D926" s="3" t="s">
        <v>2059</v>
      </c>
    </row>
    <row r="927" spans="1:4">
      <c r="A927" s="3" t="s">
        <v>2090</v>
      </c>
      <c r="B927" s="3" t="s">
        <v>2091</v>
      </c>
      <c r="C927" s="3" t="s">
        <v>2085</v>
      </c>
      <c r="D927" s="3" t="s">
        <v>2059</v>
      </c>
    </row>
    <row r="928" spans="1:4">
      <c r="A928" s="3" t="s">
        <v>2092</v>
      </c>
      <c r="B928" s="3" t="s">
        <v>2093</v>
      </c>
      <c r="C928" s="3" t="s">
        <v>2085</v>
      </c>
      <c r="D928" s="3" t="s">
        <v>2059</v>
      </c>
    </row>
    <row r="929" spans="1:4">
      <c r="A929" s="3" t="s">
        <v>2094</v>
      </c>
      <c r="B929" s="3" t="s">
        <v>2095</v>
      </c>
      <c r="C929" s="3" t="s">
        <v>2085</v>
      </c>
      <c r="D929" s="3" t="s">
        <v>2059</v>
      </c>
    </row>
    <row r="930" spans="1:4">
      <c r="A930" s="3" t="s">
        <v>2096</v>
      </c>
      <c r="B930" s="3" t="s">
        <v>2097</v>
      </c>
      <c r="C930" s="3" t="s">
        <v>2085</v>
      </c>
      <c r="D930" s="3" t="s">
        <v>2059</v>
      </c>
    </row>
    <row r="931" spans="1:4">
      <c r="A931" s="3" t="s">
        <v>2098</v>
      </c>
      <c r="B931" s="3" t="s">
        <v>2099</v>
      </c>
      <c r="C931" s="3" t="s">
        <v>2085</v>
      </c>
      <c r="D931" s="3" t="s">
        <v>2059</v>
      </c>
    </row>
    <row r="932" spans="1:4">
      <c r="A932" s="3" t="s">
        <v>2100</v>
      </c>
      <c r="B932" s="3" t="s">
        <v>1140</v>
      </c>
      <c r="C932" s="3" t="s">
        <v>2101</v>
      </c>
      <c r="D932" s="3" t="s">
        <v>2059</v>
      </c>
    </row>
    <row r="933" spans="1:4">
      <c r="A933" s="3" t="s">
        <v>2102</v>
      </c>
      <c r="B933" s="3" t="s">
        <v>2103</v>
      </c>
      <c r="C933" s="3" t="s">
        <v>2101</v>
      </c>
      <c r="D933" s="3" t="s">
        <v>2059</v>
      </c>
    </row>
    <row r="934" spans="1:4">
      <c r="A934" s="3" t="s">
        <v>2104</v>
      </c>
      <c r="B934" s="3" t="s">
        <v>2105</v>
      </c>
      <c r="C934" s="3" t="s">
        <v>2101</v>
      </c>
      <c r="D934" s="3" t="s">
        <v>2059</v>
      </c>
    </row>
    <row r="935" spans="1:4">
      <c r="A935" s="3" t="s">
        <v>2106</v>
      </c>
      <c r="B935" s="3" t="s">
        <v>2107</v>
      </c>
      <c r="C935" s="3" t="s">
        <v>2101</v>
      </c>
      <c r="D935" s="3" t="s">
        <v>2059</v>
      </c>
    </row>
    <row r="936" spans="1:4">
      <c r="A936" s="3" t="s">
        <v>2108</v>
      </c>
      <c r="B936" s="3" t="s">
        <v>2109</v>
      </c>
      <c r="C936" s="3" t="s">
        <v>2101</v>
      </c>
      <c r="D936" s="3" t="s">
        <v>2059</v>
      </c>
    </row>
    <row r="937" spans="1:4">
      <c r="A937" s="3" t="s">
        <v>2110</v>
      </c>
      <c r="B937" s="3" t="s">
        <v>2111</v>
      </c>
      <c r="C937" s="3" t="s">
        <v>2101</v>
      </c>
      <c r="D937" s="3" t="s">
        <v>2059</v>
      </c>
    </row>
    <row r="938" spans="1:4">
      <c r="A938" s="3" t="s">
        <v>2112</v>
      </c>
      <c r="B938" s="3" t="s">
        <v>2113</v>
      </c>
      <c r="C938" s="3" t="s">
        <v>2101</v>
      </c>
      <c r="D938" s="3" t="s">
        <v>2059</v>
      </c>
    </row>
    <row r="939" spans="1:4">
      <c r="A939" s="3" t="s">
        <v>2114</v>
      </c>
      <c r="B939" s="3" t="s">
        <v>2115</v>
      </c>
      <c r="C939" s="3" t="s">
        <v>2101</v>
      </c>
      <c r="D939" s="3" t="s">
        <v>2059</v>
      </c>
    </row>
    <row r="940" spans="1:4">
      <c r="A940" s="3" t="s">
        <v>2116</v>
      </c>
      <c r="B940" s="3" t="s">
        <v>2117</v>
      </c>
      <c r="C940" s="3" t="s">
        <v>2101</v>
      </c>
      <c r="D940" s="3" t="s">
        <v>2059</v>
      </c>
    </row>
    <row r="941" spans="1:4">
      <c r="A941" s="3" t="s">
        <v>2118</v>
      </c>
      <c r="B941" s="3" t="s">
        <v>2119</v>
      </c>
      <c r="C941" s="3" t="s">
        <v>2119</v>
      </c>
      <c r="D941" s="3" t="s">
        <v>2059</v>
      </c>
    </row>
    <row r="942" spans="1:4">
      <c r="A942" s="3" t="s">
        <v>2120</v>
      </c>
      <c r="B942" s="3" t="s">
        <v>2121</v>
      </c>
      <c r="C942" s="3" t="s">
        <v>2119</v>
      </c>
      <c r="D942" s="3" t="s">
        <v>2059</v>
      </c>
    </row>
    <row r="943" spans="1:4">
      <c r="A943" s="3" t="s">
        <v>2122</v>
      </c>
      <c r="B943" s="3" t="s">
        <v>448</v>
      </c>
      <c r="C943" s="3" t="s">
        <v>2119</v>
      </c>
      <c r="D943" s="3" t="s">
        <v>2059</v>
      </c>
    </row>
    <row r="944" spans="1:4">
      <c r="A944" s="3" t="s">
        <v>2123</v>
      </c>
      <c r="B944" s="3" t="s">
        <v>2124</v>
      </c>
      <c r="C944" s="3" t="s">
        <v>2119</v>
      </c>
      <c r="D944" s="3" t="s">
        <v>2059</v>
      </c>
    </row>
    <row r="945" spans="1:4">
      <c r="A945" s="3" t="s">
        <v>2125</v>
      </c>
      <c r="B945" s="3" t="s">
        <v>2126</v>
      </c>
      <c r="C945" s="3" t="s">
        <v>2127</v>
      </c>
      <c r="D945" s="3" t="s">
        <v>2059</v>
      </c>
    </row>
    <row r="946" spans="1:4">
      <c r="A946" s="3" t="s">
        <v>2128</v>
      </c>
      <c r="B946" s="3" t="s">
        <v>2129</v>
      </c>
      <c r="C946" s="3" t="s">
        <v>2127</v>
      </c>
      <c r="D946" s="3" t="s">
        <v>2059</v>
      </c>
    </row>
    <row r="947" spans="1:4">
      <c r="A947" s="3" t="s">
        <v>2130</v>
      </c>
      <c r="B947" s="3" t="s">
        <v>2131</v>
      </c>
      <c r="C947" s="3" t="s">
        <v>2127</v>
      </c>
      <c r="D947" s="3" t="s">
        <v>2059</v>
      </c>
    </row>
    <row r="948" spans="1:4">
      <c r="A948" s="3" t="s">
        <v>2132</v>
      </c>
      <c r="B948" s="3" t="s">
        <v>2133</v>
      </c>
      <c r="C948" s="3" t="s">
        <v>2127</v>
      </c>
      <c r="D948" s="3" t="s">
        <v>2059</v>
      </c>
    </row>
    <row r="949" spans="1:4">
      <c r="A949" s="3" t="s">
        <v>2134</v>
      </c>
      <c r="B949" s="3" t="s">
        <v>2135</v>
      </c>
      <c r="C949" s="3" t="s">
        <v>2127</v>
      </c>
      <c r="D949" s="3" t="s">
        <v>2059</v>
      </c>
    </row>
    <row r="950" spans="1:4">
      <c r="A950" s="3" t="s">
        <v>2136</v>
      </c>
      <c r="B950" s="3" t="s">
        <v>961</v>
      </c>
      <c r="C950" s="3" t="s">
        <v>2127</v>
      </c>
      <c r="D950" s="3" t="s">
        <v>2059</v>
      </c>
    </row>
    <row r="951" spans="1:4">
      <c r="A951" s="3" t="s">
        <v>2137</v>
      </c>
      <c r="B951" s="3" t="s">
        <v>2138</v>
      </c>
      <c r="C951" s="3" t="s">
        <v>2127</v>
      </c>
      <c r="D951" s="3" t="s">
        <v>2059</v>
      </c>
    </row>
    <row r="952" spans="1:4">
      <c r="A952" s="3" t="s">
        <v>2139</v>
      </c>
      <c r="B952" s="3" t="s">
        <v>2140</v>
      </c>
      <c r="C952" s="3" t="s">
        <v>2127</v>
      </c>
      <c r="D952" s="3" t="s">
        <v>2059</v>
      </c>
    </row>
    <row r="953" spans="1:4">
      <c r="A953" s="3" t="s">
        <v>2141</v>
      </c>
      <c r="B953" s="3" t="s">
        <v>2142</v>
      </c>
      <c r="C953" s="3" t="s">
        <v>2127</v>
      </c>
      <c r="D953" s="3" t="s">
        <v>2059</v>
      </c>
    </row>
    <row r="954" spans="1:4">
      <c r="A954" s="3" t="s">
        <v>2143</v>
      </c>
      <c r="B954" s="3" t="s">
        <v>2144</v>
      </c>
      <c r="C954" s="3" t="s">
        <v>2127</v>
      </c>
      <c r="D954" s="3" t="s">
        <v>2059</v>
      </c>
    </row>
    <row r="955" spans="1:4">
      <c r="A955" s="3" t="s">
        <v>2145</v>
      </c>
      <c r="B955" s="3" t="s">
        <v>2146</v>
      </c>
      <c r="C955" s="3" t="s">
        <v>2127</v>
      </c>
      <c r="D955" s="3" t="s">
        <v>2059</v>
      </c>
    </row>
    <row r="956" spans="1:4">
      <c r="A956" s="3" t="s">
        <v>2147</v>
      </c>
      <c r="B956" s="3" t="s">
        <v>2148</v>
      </c>
      <c r="C956" s="3" t="s">
        <v>1276</v>
      </c>
      <c r="D956" s="3" t="s">
        <v>2059</v>
      </c>
    </row>
    <row r="957" spans="1:4">
      <c r="A957" s="3" t="s">
        <v>2149</v>
      </c>
      <c r="B957" s="3" t="s">
        <v>2150</v>
      </c>
      <c r="C957" s="3" t="s">
        <v>1276</v>
      </c>
      <c r="D957" s="3" t="s">
        <v>2059</v>
      </c>
    </row>
    <row r="958" spans="1:4">
      <c r="A958" s="3" t="s">
        <v>2151</v>
      </c>
      <c r="B958" s="3" t="s">
        <v>2152</v>
      </c>
      <c r="C958" s="3" t="s">
        <v>1276</v>
      </c>
      <c r="D958" s="3" t="s">
        <v>2059</v>
      </c>
    </row>
    <row r="959" spans="1:4">
      <c r="A959" s="3" t="s">
        <v>2153</v>
      </c>
      <c r="B959" s="3" t="s">
        <v>2154</v>
      </c>
      <c r="C959" s="3" t="s">
        <v>1276</v>
      </c>
      <c r="D959" s="3" t="s">
        <v>2059</v>
      </c>
    </row>
    <row r="960" spans="1:4">
      <c r="A960" s="3" t="s">
        <v>2155</v>
      </c>
      <c r="B960" s="3" t="s">
        <v>2156</v>
      </c>
      <c r="C960" s="3" t="s">
        <v>1276</v>
      </c>
      <c r="D960" s="3" t="s">
        <v>2059</v>
      </c>
    </row>
    <row r="961" spans="1:4">
      <c r="A961" s="3" t="s">
        <v>2157</v>
      </c>
      <c r="B961" s="3" t="s">
        <v>2158</v>
      </c>
      <c r="C961" s="3" t="s">
        <v>1276</v>
      </c>
      <c r="D961" s="3" t="s">
        <v>2059</v>
      </c>
    </row>
    <row r="962" spans="1:4">
      <c r="A962" s="3" t="s">
        <v>2159</v>
      </c>
      <c r="B962" s="3" t="s">
        <v>2160</v>
      </c>
      <c r="C962" s="3" t="s">
        <v>1276</v>
      </c>
      <c r="D962" s="3" t="s">
        <v>2059</v>
      </c>
    </row>
    <row r="963" spans="1:4">
      <c r="A963" s="3" t="s">
        <v>2161</v>
      </c>
      <c r="B963" s="3" t="s">
        <v>2162</v>
      </c>
      <c r="C963" s="3" t="s">
        <v>1276</v>
      </c>
      <c r="D963" s="3" t="s">
        <v>2059</v>
      </c>
    </row>
    <row r="964" spans="1:4">
      <c r="A964" s="3" t="s">
        <v>2163</v>
      </c>
      <c r="B964" s="3" t="s">
        <v>2164</v>
      </c>
      <c r="C964" s="3" t="s">
        <v>1276</v>
      </c>
      <c r="D964" s="3" t="s">
        <v>2059</v>
      </c>
    </row>
    <row r="965" spans="1:4">
      <c r="A965" s="3" t="s">
        <v>2165</v>
      </c>
      <c r="B965" s="3" t="s">
        <v>2166</v>
      </c>
      <c r="C965" s="3" t="s">
        <v>1276</v>
      </c>
      <c r="D965" s="3" t="s">
        <v>2059</v>
      </c>
    </row>
    <row r="966" spans="1:4">
      <c r="A966" s="3" t="s">
        <v>2167</v>
      </c>
      <c r="B966" s="3" t="s">
        <v>2168</v>
      </c>
      <c r="C966" s="3" t="s">
        <v>2169</v>
      </c>
      <c r="D966" s="3" t="s">
        <v>2059</v>
      </c>
    </row>
    <row r="967" spans="1:4">
      <c r="A967" s="3" t="s">
        <v>2170</v>
      </c>
      <c r="B967" s="3" t="s">
        <v>2171</v>
      </c>
      <c r="C967" s="3" t="s">
        <v>2169</v>
      </c>
      <c r="D967" s="3" t="s">
        <v>2059</v>
      </c>
    </row>
    <row r="968" spans="1:4">
      <c r="A968" s="3" t="s">
        <v>2172</v>
      </c>
      <c r="B968" s="3" t="s">
        <v>2173</v>
      </c>
      <c r="C968" s="3" t="s">
        <v>2169</v>
      </c>
      <c r="D968" s="3" t="s">
        <v>2059</v>
      </c>
    </row>
    <row r="969" spans="1:4">
      <c r="A969" s="3" t="s">
        <v>2174</v>
      </c>
      <c r="B969" s="3" t="s">
        <v>2175</v>
      </c>
      <c r="C969" s="3" t="s">
        <v>2169</v>
      </c>
      <c r="D969" s="3" t="s">
        <v>2059</v>
      </c>
    </row>
    <row r="970" spans="1:4">
      <c r="A970" s="3" t="s">
        <v>2176</v>
      </c>
      <c r="B970" s="3" t="s">
        <v>2177</v>
      </c>
      <c r="C970" s="3" t="s">
        <v>2169</v>
      </c>
      <c r="D970" s="3" t="s">
        <v>2059</v>
      </c>
    </row>
    <row r="971" spans="1:4">
      <c r="A971" s="3" t="s">
        <v>2178</v>
      </c>
      <c r="B971" s="3" t="s">
        <v>2179</v>
      </c>
      <c r="C971" s="3" t="s">
        <v>2180</v>
      </c>
      <c r="D971" s="3" t="s">
        <v>2059</v>
      </c>
    </row>
    <row r="972" spans="1:4">
      <c r="A972" s="3" t="s">
        <v>2181</v>
      </c>
      <c r="B972" s="3" t="s">
        <v>2182</v>
      </c>
      <c r="C972" s="3" t="s">
        <v>2180</v>
      </c>
      <c r="D972" s="3" t="s">
        <v>2059</v>
      </c>
    </row>
    <row r="973" spans="1:4">
      <c r="A973" s="3" t="s">
        <v>2183</v>
      </c>
      <c r="B973" s="3" t="s">
        <v>2184</v>
      </c>
      <c r="C973" s="3" t="s">
        <v>2180</v>
      </c>
      <c r="D973" s="3" t="s">
        <v>2059</v>
      </c>
    </row>
    <row r="974" spans="1:4">
      <c r="A974" s="3" t="s">
        <v>2185</v>
      </c>
      <c r="B974" s="3" t="s">
        <v>2186</v>
      </c>
      <c r="C974" s="3" t="s">
        <v>2180</v>
      </c>
      <c r="D974" s="3" t="s">
        <v>2059</v>
      </c>
    </row>
    <row r="975" spans="1:4">
      <c r="A975" s="3" t="s">
        <v>2187</v>
      </c>
      <c r="B975" s="3" t="s">
        <v>2188</v>
      </c>
      <c r="C975" s="3" t="s">
        <v>2188</v>
      </c>
      <c r="D975" s="3" t="s">
        <v>2059</v>
      </c>
    </row>
    <row r="976" spans="1:4">
      <c r="A976" s="3" t="s">
        <v>2189</v>
      </c>
      <c r="B976" s="3" t="s">
        <v>2190</v>
      </c>
      <c r="C976" s="3" t="s">
        <v>2188</v>
      </c>
      <c r="D976" s="3" t="s">
        <v>2059</v>
      </c>
    </row>
    <row r="977" spans="1:4">
      <c r="A977" s="3" t="s">
        <v>2191</v>
      </c>
      <c r="B977" s="3" t="s">
        <v>2192</v>
      </c>
      <c r="C977" s="3" t="s">
        <v>2188</v>
      </c>
      <c r="D977" s="3" t="s">
        <v>2059</v>
      </c>
    </row>
    <row r="978" spans="1:4">
      <c r="A978" s="3" t="s">
        <v>2193</v>
      </c>
      <c r="B978" s="3" t="s">
        <v>2194</v>
      </c>
      <c r="C978" s="3" t="s">
        <v>2188</v>
      </c>
      <c r="D978" s="3" t="s">
        <v>2059</v>
      </c>
    </row>
    <row r="979" spans="1:4">
      <c r="A979" s="3" t="s">
        <v>2195</v>
      </c>
      <c r="B979" s="3" t="s">
        <v>2196</v>
      </c>
      <c r="C979" s="3" t="s">
        <v>2188</v>
      </c>
      <c r="D979" s="3" t="s">
        <v>2059</v>
      </c>
    </row>
    <row r="980" spans="1:4">
      <c r="A980" s="3" t="s">
        <v>2197</v>
      </c>
      <c r="B980" s="3" t="s">
        <v>1407</v>
      </c>
      <c r="C980" s="3" t="s">
        <v>2198</v>
      </c>
      <c r="D980" s="3" t="s">
        <v>2059</v>
      </c>
    </row>
    <row r="981" spans="1:4">
      <c r="A981" s="3" t="s">
        <v>2199</v>
      </c>
      <c r="B981" s="3" t="s">
        <v>2200</v>
      </c>
      <c r="C981" s="3" t="s">
        <v>2198</v>
      </c>
      <c r="D981" s="3" t="s">
        <v>2059</v>
      </c>
    </row>
    <row r="982" spans="1:4">
      <c r="A982" s="3" t="s">
        <v>2201</v>
      </c>
      <c r="B982" s="3" t="s">
        <v>2202</v>
      </c>
      <c r="C982" s="3" t="s">
        <v>2198</v>
      </c>
      <c r="D982" s="3" t="s">
        <v>2059</v>
      </c>
    </row>
    <row r="983" spans="1:4">
      <c r="A983" s="3" t="s">
        <v>2203</v>
      </c>
      <c r="B983" s="3" t="s">
        <v>2204</v>
      </c>
      <c r="C983" s="3" t="s">
        <v>2198</v>
      </c>
      <c r="D983" s="3" t="s">
        <v>2059</v>
      </c>
    </row>
    <row r="984" spans="1:4">
      <c r="A984" s="3" t="s">
        <v>2205</v>
      </c>
      <c r="B984" s="3" t="s">
        <v>2206</v>
      </c>
      <c r="C984" s="3" t="s">
        <v>2198</v>
      </c>
      <c r="D984" s="3" t="s">
        <v>2059</v>
      </c>
    </row>
    <row r="985" spans="1:4">
      <c r="A985" s="3" t="s">
        <v>2207</v>
      </c>
      <c r="B985" s="3" t="s">
        <v>2208</v>
      </c>
      <c r="C985" s="3" t="s">
        <v>2198</v>
      </c>
      <c r="D985" s="3" t="s">
        <v>2059</v>
      </c>
    </row>
    <row r="986" spans="1:4">
      <c r="A986" s="3" t="s">
        <v>2209</v>
      </c>
      <c r="B986" s="3" t="s">
        <v>2210</v>
      </c>
      <c r="C986" s="3" t="s">
        <v>2198</v>
      </c>
      <c r="D986" s="3" t="s">
        <v>2059</v>
      </c>
    </row>
    <row r="987" spans="1:4">
      <c r="A987" s="3" t="s">
        <v>2211</v>
      </c>
      <c r="B987" s="3" t="s">
        <v>2212</v>
      </c>
      <c r="C987" s="3" t="s">
        <v>2213</v>
      </c>
      <c r="D987" s="3" t="s">
        <v>2059</v>
      </c>
    </row>
    <row r="988" spans="1:4">
      <c r="A988" s="3" t="s">
        <v>2214</v>
      </c>
      <c r="B988" s="3" t="s">
        <v>2215</v>
      </c>
      <c r="C988" s="3" t="s">
        <v>2213</v>
      </c>
      <c r="D988" s="3" t="s">
        <v>2059</v>
      </c>
    </row>
    <row r="989" spans="1:4">
      <c r="A989" s="3" t="s">
        <v>2216</v>
      </c>
      <c r="B989" s="3" t="s">
        <v>2217</v>
      </c>
      <c r="C989" s="3" t="s">
        <v>2213</v>
      </c>
      <c r="D989" s="3" t="s">
        <v>2059</v>
      </c>
    </row>
    <row r="990" spans="1:4">
      <c r="A990" s="3" t="s">
        <v>2218</v>
      </c>
      <c r="B990" s="3" t="s">
        <v>2219</v>
      </c>
      <c r="C990" s="3" t="s">
        <v>2213</v>
      </c>
      <c r="D990" s="3" t="s">
        <v>2059</v>
      </c>
    </row>
    <row r="991" spans="1:4">
      <c r="A991" s="3" t="s">
        <v>2220</v>
      </c>
      <c r="B991" s="3" t="s">
        <v>2221</v>
      </c>
      <c r="C991" s="3" t="s">
        <v>2213</v>
      </c>
      <c r="D991" s="3" t="s">
        <v>2059</v>
      </c>
    </row>
    <row r="992" spans="1:4">
      <c r="A992" s="3" t="s">
        <v>2222</v>
      </c>
      <c r="B992" s="3" t="s">
        <v>2223</v>
      </c>
      <c r="C992" s="3" t="s">
        <v>2213</v>
      </c>
      <c r="D992" s="3" t="s">
        <v>2059</v>
      </c>
    </row>
    <row r="993" spans="1:4">
      <c r="A993" s="3" t="s">
        <v>2224</v>
      </c>
      <c r="B993" s="3" t="s">
        <v>1148</v>
      </c>
      <c r="C993" s="3" t="s">
        <v>2213</v>
      </c>
      <c r="D993" s="3" t="s">
        <v>2059</v>
      </c>
    </row>
    <row r="994" spans="1:4">
      <c r="A994" s="3" t="s">
        <v>2225</v>
      </c>
      <c r="B994" s="3" t="s">
        <v>2226</v>
      </c>
      <c r="C994" s="3" t="s">
        <v>2213</v>
      </c>
      <c r="D994" s="3" t="s">
        <v>2059</v>
      </c>
    </row>
    <row r="995" spans="1:4">
      <c r="A995" s="3" t="s">
        <v>2227</v>
      </c>
      <c r="B995" s="3" t="s">
        <v>2228</v>
      </c>
      <c r="C995" s="3" t="s">
        <v>2228</v>
      </c>
      <c r="D995" s="3" t="s">
        <v>2228</v>
      </c>
    </row>
    <row r="996" spans="1:4">
      <c r="A996" s="3" t="s">
        <v>2229</v>
      </c>
      <c r="B996" s="3" t="s">
        <v>2230</v>
      </c>
      <c r="C996" s="3" t="s">
        <v>2228</v>
      </c>
      <c r="D996" s="3" t="s">
        <v>2228</v>
      </c>
    </row>
    <row r="997" spans="1:4">
      <c r="A997" s="3" t="s">
        <v>2231</v>
      </c>
      <c r="B997" s="3" t="s">
        <v>2232</v>
      </c>
      <c r="C997" s="3" t="s">
        <v>2228</v>
      </c>
      <c r="D997" s="3" t="s">
        <v>2228</v>
      </c>
    </row>
    <row r="998" spans="1:4">
      <c r="A998" s="3" t="s">
        <v>2233</v>
      </c>
      <c r="B998" s="3" t="s">
        <v>2234</v>
      </c>
      <c r="C998" s="3" t="s">
        <v>2228</v>
      </c>
      <c r="D998" s="3" t="s">
        <v>2228</v>
      </c>
    </row>
    <row r="999" spans="1:4">
      <c r="A999" s="3" t="s">
        <v>2235</v>
      </c>
      <c r="B999" s="3" t="s">
        <v>2236</v>
      </c>
      <c r="C999" s="3" t="s">
        <v>2228</v>
      </c>
      <c r="D999" s="3" t="s">
        <v>2228</v>
      </c>
    </row>
    <row r="1000" spans="1:4">
      <c r="A1000" s="3" t="s">
        <v>2237</v>
      </c>
      <c r="B1000" s="3" t="s">
        <v>2238</v>
      </c>
      <c r="C1000" s="3" t="s">
        <v>2228</v>
      </c>
      <c r="D1000" s="3" t="s">
        <v>2228</v>
      </c>
    </row>
    <row r="1001" spans="1:4">
      <c r="A1001" s="3" t="s">
        <v>2239</v>
      </c>
      <c r="B1001" s="3" t="s">
        <v>2164</v>
      </c>
      <c r="C1001" s="3" t="s">
        <v>2228</v>
      </c>
      <c r="D1001" s="3" t="s">
        <v>2228</v>
      </c>
    </row>
    <row r="1002" spans="1:4">
      <c r="A1002" s="3" t="s">
        <v>2240</v>
      </c>
      <c r="B1002" s="3" t="s">
        <v>2241</v>
      </c>
      <c r="C1002" s="3" t="s">
        <v>2228</v>
      </c>
      <c r="D1002" s="3" t="s">
        <v>2228</v>
      </c>
    </row>
    <row r="1003" spans="1:4">
      <c r="A1003" s="3" t="s">
        <v>2242</v>
      </c>
      <c r="B1003" s="3" t="s">
        <v>2243</v>
      </c>
      <c r="C1003" s="3" t="s">
        <v>2228</v>
      </c>
      <c r="D1003" s="3" t="s">
        <v>2228</v>
      </c>
    </row>
    <row r="1004" spans="1:4">
      <c r="A1004" s="3" t="s">
        <v>2244</v>
      </c>
      <c r="B1004" s="3" t="s">
        <v>1179</v>
      </c>
      <c r="C1004" s="3" t="s">
        <v>2228</v>
      </c>
      <c r="D1004" s="3" t="s">
        <v>2228</v>
      </c>
    </row>
    <row r="1005" spans="1:4">
      <c r="A1005" s="3" t="s">
        <v>2245</v>
      </c>
      <c r="B1005" s="3" t="s">
        <v>1662</v>
      </c>
      <c r="C1005" s="3" t="s">
        <v>2228</v>
      </c>
      <c r="D1005" s="3" t="s">
        <v>2228</v>
      </c>
    </row>
    <row r="1006" spans="1:4">
      <c r="A1006" s="3" t="s">
        <v>2246</v>
      </c>
      <c r="B1006" s="3" t="s">
        <v>2247</v>
      </c>
      <c r="C1006" s="3" t="s">
        <v>2228</v>
      </c>
      <c r="D1006" s="3" t="s">
        <v>2228</v>
      </c>
    </row>
    <row r="1007" spans="1:4">
      <c r="A1007" s="3" t="s">
        <v>2248</v>
      </c>
      <c r="B1007" s="3" t="s">
        <v>2249</v>
      </c>
      <c r="C1007" s="3" t="s">
        <v>2228</v>
      </c>
      <c r="D1007" s="3" t="s">
        <v>2228</v>
      </c>
    </row>
    <row r="1008" spans="1:4">
      <c r="A1008" s="3" t="s">
        <v>2250</v>
      </c>
      <c r="B1008" s="3" t="s">
        <v>2251</v>
      </c>
      <c r="C1008" s="3" t="s">
        <v>2228</v>
      </c>
      <c r="D1008" s="3" t="s">
        <v>2228</v>
      </c>
    </row>
    <row r="1009" spans="1:4">
      <c r="A1009" s="3" t="s">
        <v>2252</v>
      </c>
      <c r="B1009" s="3" t="s">
        <v>2253</v>
      </c>
      <c r="C1009" s="3" t="s">
        <v>2254</v>
      </c>
      <c r="D1009" s="3" t="s">
        <v>2228</v>
      </c>
    </row>
    <row r="1010" spans="1:4">
      <c r="A1010" s="3" t="s">
        <v>2255</v>
      </c>
      <c r="B1010" s="3" t="s">
        <v>2256</v>
      </c>
      <c r="C1010" s="3" t="s">
        <v>2254</v>
      </c>
      <c r="D1010" s="3" t="s">
        <v>2228</v>
      </c>
    </row>
    <row r="1011" spans="1:4">
      <c r="A1011" s="3" t="s">
        <v>2257</v>
      </c>
      <c r="B1011" s="3" t="s">
        <v>2258</v>
      </c>
      <c r="C1011" s="3" t="s">
        <v>2254</v>
      </c>
      <c r="D1011" s="3" t="s">
        <v>2228</v>
      </c>
    </row>
    <row r="1012" spans="1:4">
      <c r="A1012" s="3" t="s">
        <v>2259</v>
      </c>
      <c r="B1012" s="3" t="s">
        <v>2260</v>
      </c>
      <c r="C1012" s="3" t="s">
        <v>2254</v>
      </c>
      <c r="D1012" s="3" t="s">
        <v>2228</v>
      </c>
    </row>
    <row r="1013" spans="1:4">
      <c r="A1013" s="3" t="s">
        <v>2261</v>
      </c>
      <c r="B1013" s="3" t="s">
        <v>1973</v>
      </c>
      <c r="C1013" s="3" t="s">
        <v>2254</v>
      </c>
      <c r="D1013" s="3" t="s">
        <v>2228</v>
      </c>
    </row>
    <row r="1014" spans="1:4">
      <c r="A1014" s="3" t="s">
        <v>2262</v>
      </c>
      <c r="B1014" s="3" t="s">
        <v>2263</v>
      </c>
      <c r="C1014" s="3" t="s">
        <v>2254</v>
      </c>
      <c r="D1014" s="3" t="s">
        <v>2228</v>
      </c>
    </row>
    <row r="1015" spans="1:4">
      <c r="A1015" s="3" t="s">
        <v>2264</v>
      </c>
      <c r="B1015" s="3" t="s">
        <v>2164</v>
      </c>
      <c r="C1015" s="3" t="s">
        <v>2254</v>
      </c>
      <c r="D1015" s="3" t="s">
        <v>2228</v>
      </c>
    </row>
    <row r="1016" spans="1:4">
      <c r="A1016" s="3" t="s">
        <v>2265</v>
      </c>
      <c r="B1016" s="3" t="s">
        <v>2266</v>
      </c>
      <c r="C1016" s="3" t="s">
        <v>2254</v>
      </c>
      <c r="D1016" s="3" t="s">
        <v>2228</v>
      </c>
    </row>
    <row r="1017" spans="1:4">
      <c r="A1017" s="3" t="s">
        <v>2267</v>
      </c>
      <c r="B1017" s="3" t="s">
        <v>2268</v>
      </c>
      <c r="C1017" s="3" t="s">
        <v>2254</v>
      </c>
      <c r="D1017" s="3" t="s">
        <v>2228</v>
      </c>
    </row>
    <row r="1018" spans="1:4">
      <c r="A1018" s="3" t="s">
        <v>2269</v>
      </c>
      <c r="B1018" s="3" t="s">
        <v>2270</v>
      </c>
      <c r="C1018" s="3" t="s">
        <v>2254</v>
      </c>
      <c r="D1018" s="3" t="s">
        <v>2228</v>
      </c>
    </row>
    <row r="1019" spans="1:4">
      <c r="A1019" s="3" t="s">
        <v>2271</v>
      </c>
      <c r="B1019" s="3" t="s">
        <v>2272</v>
      </c>
      <c r="C1019" s="3" t="s">
        <v>2254</v>
      </c>
      <c r="D1019" s="3" t="s">
        <v>2228</v>
      </c>
    </row>
    <row r="1020" spans="1:4">
      <c r="A1020" s="3" t="s">
        <v>2273</v>
      </c>
      <c r="B1020" s="3" t="s">
        <v>2274</v>
      </c>
      <c r="C1020" s="3" t="s">
        <v>2274</v>
      </c>
      <c r="D1020" s="3" t="s">
        <v>2228</v>
      </c>
    </row>
    <row r="1021" spans="1:4">
      <c r="A1021" s="3" t="s">
        <v>2275</v>
      </c>
      <c r="B1021" s="3" t="s">
        <v>2276</v>
      </c>
      <c r="C1021" s="3" t="s">
        <v>2274</v>
      </c>
      <c r="D1021" s="3" t="s">
        <v>2228</v>
      </c>
    </row>
    <row r="1022" spans="1:4">
      <c r="A1022" s="3" t="s">
        <v>2277</v>
      </c>
      <c r="B1022" s="3" t="s">
        <v>2278</v>
      </c>
      <c r="C1022" s="3" t="s">
        <v>2274</v>
      </c>
      <c r="D1022" s="3" t="s">
        <v>2228</v>
      </c>
    </row>
    <row r="1023" spans="1:4">
      <c r="A1023" s="3" t="s">
        <v>2279</v>
      </c>
      <c r="B1023" s="3" t="s">
        <v>2280</v>
      </c>
      <c r="C1023" s="3" t="s">
        <v>2274</v>
      </c>
      <c r="D1023" s="3" t="s">
        <v>2228</v>
      </c>
    </row>
    <row r="1024" spans="1:4">
      <c r="A1024" s="3" t="s">
        <v>2281</v>
      </c>
      <c r="B1024" s="3" t="s">
        <v>428</v>
      </c>
      <c r="C1024" s="3" t="s">
        <v>2274</v>
      </c>
      <c r="D1024" s="3" t="s">
        <v>2228</v>
      </c>
    </row>
    <row r="1025" spans="1:4">
      <c r="A1025" s="3" t="s">
        <v>2282</v>
      </c>
      <c r="B1025" s="3" t="s">
        <v>2283</v>
      </c>
      <c r="C1025" s="3" t="s">
        <v>2283</v>
      </c>
      <c r="D1025" s="3" t="s">
        <v>2228</v>
      </c>
    </row>
    <row r="1026" spans="1:4">
      <c r="A1026" s="3" t="s">
        <v>2284</v>
      </c>
      <c r="B1026" s="3" t="s">
        <v>2285</v>
      </c>
      <c r="C1026" s="3" t="s">
        <v>2283</v>
      </c>
      <c r="D1026" s="3" t="s">
        <v>2228</v>
      </c>
    </row>
    <row r="1027" spans="1:4">
      <c r="A1027" s="3" t="s">
        <v>2286</v>
      </c>
      <c r="B1027" s="3" t="s">
        <v>1121</v>
      </c>
      <c r="C1027" s="3" t="s">
        <v>2283</v>
      </c>
      <c r="D1027" s="3" t="s">
        <v>2228</v>
      </c>
    </row>
    <row r="1028" spans="1:4">
      <c r="A1028" s="3" t="s">
        <v>2287</v>
      </c>
      <c r="B1028" s="3" t="s">
        <v>631</v>
      </c>
      <c r="C1028" s="3" t="s">
        <v>2283</v>
      </c>
      <c r="D1028" s="3" t="s">
        <v>2228</v>
      </c>
    </row>
    <row r="1029" spans="1:4">
      <c r="A1029" s="3" t="s">
        <v>2288</v>
      </c>
      <c r="B1029" s="3" t="s">
        <v>2289</v>
      </c>
      <c r="C1029" s="3" t="s">
        <v>2283</v>
      </c>
      <c r="D1029" s="3" t="s">
        <v>2228</v>
      </c>
    </row>
    <row r="1030" spans="1:4">
      <c r="A1030" s="3" t="s">
        <v>2290</v>
      </c>
      <c r="B1030" s="3" t="s">
        <v>2291</v>
      </c>
      <c r="C1030" s="3" t="s">
        <v>2291</v>
      </c>
      <c r="D1030" s="3" t="s">
        <v>2228</v>
      </c>
    </row>
    <row r="1031" spans="1:4">
      <c r="A1031" s="3" t="s">
        <v>2292</v>
      </c>
      <c r="B1031" s="3" t="s">
        <v>2293</v>
      </c>
      <c r="C1031" s="3" t="s">
        <v>2291</v>
      </c>
      <c r="D1031" s="3" t="s">
        <v>2228</v>
      </c>
    </row>
    <row r="1032" spans="1:4">
      <c r="A1032" s="3" t="s">
        <v>2294</v>
      </c>
      <c r="B1032" s="3" t="s">
        <v>2295</v>
      </c>
      <c r="C1032" s="3" t="s">
        <v>2291</v>
      </c>
      <c r="D1032" s="3" t="s">
        <v>2228</v>
      </c>
    </row>
    <row r="1033" spans="1:4">
      <c r="A1033" s="3" t="s">
        <v>2296</v>
      </c>
      <c r="B1033" s="3" t="s">
        <v>454</v>
      </c>
      <c r="C1033" s="3" t="s">
        <v>2291</v>
      </c>
      <c r="D1033" s="3" t="s">
        <v>2228</v>
      </c>
    </row>
    <row r="1034" spans="1:4">
      <c r="A1034" s="3" t="s">
        <v>2297</v>
      </c>
      <c r="B1034" s="3" t="s">
        <v>2298</v>
      </c>
      <c r="C1034" s="3" t="s">
        <v>2291</v>
      </c>
      <c r="D1034" s="3" t="s">
        <v>2228</v>
      </c>
    </row>
    <row r="1035" spans="1:4">
      <c r="A1035" s="3" t="s">
        <v>2299</v>
      </c>
      <c r="B1035" s="3" t="s">
        <v>2300</v>
      </c>
      <c r="C1035" s="3" t="s">
        <v>2291</v>
      </c>
      <c r="D1035" s="3" t="s">
        <v>2228</v>
      </c>
    </row>
    <row r="1036" spans="1:4">
      <c r="A1036" s="3" t="s">
        <v>2301</v>
      </c>
      <c r="B1036" s="3" t="s">
        <v>2302</v>
      </c>
      <c r="C1036" s="3" t="s">
        <v>2291</v>
      </c>
      <c r="D1036" s="3" t="s">
        <v>2228</v>
      </c>
    </row>
    <row r="1037" spans="1:4">
      <c r="A1037" s="3" t="s">
        <v>2303</v>
      </c>
      <c r="B1037" s="3" t="s">
        <v>2304</v>
      </c>
      <c r="C1037" s="3" t="s">
        <v>2291</v>
      </c>
      <c r="D1037" s="3" t="s">
        <v>2228</v>
      </c>
    </row>
    <row r="1038" spans="1:4">
      <c r="A1038" s="3" t="s">
        <v>2305</v>
      </c>
      <c r="B1038" s="3" t="s">
        <v>2306</v>
      </c>
      <c r="C1038" s="3" t="s">
        <v>2306</v>
      </c>
      <c r="D1038" s="3" t="s">
        <v>2307</v>
      </c>
    </row>
    <row r="1039" spans="1:4">
      <c r="A1039" s="3" t="s">
        <v>2308</v>
      </c>
      <c r="B1039" s="3" t="s">
        <v>2309</v>
      </c>
      <c r="C1039" s="3" t="s">
        <v>2306</v>
      </c>
      <c r="D1039" s="3" t="s">
        <v>2307</v>
      </c>
    </row>
    <row r="1040" spans="1:4">
      <c r="A1040" s="3" t="s">
        <v>2310</v>
      </c>
      <c r="B1040" s="3" t="s">
        <v>2311</v>
      </c>
      <c r="C1040" s="3" t="s">
        <v>2306</v>
      </c>
      <c r="D1040" s="3" t="s">
        <v>2307</v>
      </c>
    </row>
    <row r="1041" spans="1:4">
      <c r="A1041" s="3" t="s">
        <v>2312</v>
      </c>
      <c r="B1041" s="3" t="s">
        <v>2313</v>
      </c>
      <c r="C1041" s="3" t="s">
        <v>2306</v>
      </c>
      <c r="D1041" s="3" t="s">
        <v>2307</v>
      </c>
    </row>
    <row r="1042" spans="1:4">
      <c r="A1042" s="3" t="s">
        <v>2314</v>
      </c>
      <c r="B1042" s="3" t="s">
        <v>2315</v>
      </c>
      <c r="C1042" s="3" t="s">
        <v>2306</v>
      </c>
      <c r="D1042" s="3" t="s">
        <v>2307</v>
      </c>
    </row>
    <row r="1043" spans="1:4">
      <c r="A1043" s="3" t="s">
        <v>2316</v>
      </c>
      <c r="B1043" s="3" t="s">
        <v>2317</v>
      </c>
      <c r="C1043" s="3" t="s">
        <v>2306</v>
      </c>
      <c r="D1043" s="3" t="s">
        <v>2307</v>
      </c>
    </row>
    <row r="1044" spans="1:4">
      <c r="A1044" s="3" t="s">
        <v>2318</v>
      </c>
      <c r="B1044" s="3" t="s">
        <v>2319</v>
      </c>
      <c r="C1044" s="3" t="s">
        <v>2306</v>
      </c>
      <c r="D1044" s="3" t="s">
        <v>2307</v>
      </c>
    </row>
    <row r="1045" spans="1:4">
      <c r="A1045" s="3" t="s">
        <v>2320</v>
      </c>
      <c r="B1045" s="3" t="s">
        <v>1371</v>
      </c>
      <c r="C1045" s="3" t="s">
        <v>2306</v>
      </c>
      <c r="D1045" s="3" t="s">
        <v>2307</v>
      </c>
    </row>
    <row r="1046" spans="1:4">
      <c r="A1046" s="3" t="s">
        <v>2321</v>
      </c>
      <c r="B1046" s="3" t="s">
        <v>2322</v>
      </c>
      <c r="C1046" s="3" t="s">
        <v>2306</v>
      </c>
      <c r="D1046" s="3" t="s">
        <v>2307</v>
      </c>
    </row>
    <row r="1047" spans="1:4">
      <c r="A1047" s="3" t="s">
        <v>2323</v>
      </c>
      <c r="B1047" s="3" t="s">
        <v>2324</v>
      </c>
      <c r="C1047" s="3" t="s">
        <v>2306</v>
      </c>
      <c r="D1047" s="3" t="s">
        <v>2307</v>
      </c>
    </row>
    <row r="1048" spans="1:4">
      <c r="A1048" s="3" t="s">
        <v>2325</v>
      </c>
      <c r="B1048" s="3" t="s">
        <v>2326</v>
      </c>
      <c r="C1048" s="3" t="s">
        <v>2306</v>
      </c>
      <c r="D1048" s="3" t="s">
        <v>2307</v>
      </c>
    </row>
    <row r="1049" spans="1:4">
      <c r="A1049" s="3" t="s">
        <v>2327</v>
      </c>
      <c r="B1049" s="3" t="s">
        <v>2328</v>
      </c>
      <c r="C1049" s="3" t="s">
        <v>2306</v>
      </c>
      <c r="D1049" s="3" t="s">
        <v>2307</v>
      </c>
    </row>
    <row r="1050" spans="1:4">
      <c r="A1050" s="3" t="s">
        <v>2329</v>
      </c>
      <c r="B1050" s="3" t="s">
        <v>2330</v>
      </c>
      <c r="C1050" s="3" t="s">
        <v>2306</v>
      </c>
      <c r="D1050" s="3" t="s">
        <v>2307</v>
      </c>
    </row>
    <row r="1051" spans="1:4">
      <c r="A1051" s="3" t="s">
        <v>2331</v>
      </c>
      <c r="B1051" s="3" t="s">
        <v>2332</v>
      </c>
      <c r="C1051" s="3" t="s">
        <v>2306</v>
      </c>
      <c r="D1051" s="3" t="s">
        <v>2307</v>
      </c>
    </row>
    <row r="1052" spans="1:4">
      <c r="A1052" s="3" t="s">
        <v>2333</v>
      </c>
      <c r="B1052" s="3" t="s">
        <v>2334</v>
      </c>
      <c r="C1052" s="3" t="s">
        <v>2306</v>
      </c>
      <c r="D1052" s="3" t="s">
        <v>2307</v>
      </c>
    </row>
    <row r="1053" spans="1:4">
      <c r="A1053" s="3" t="s">
        <v>2335</v>
      </c>
      <c r="B1053" s="3" t="s">
        <v>2336</v>
      </c>
      <c r="C1053" s="3" t="s">
        <v>2306</v>
      </c>
      <c r="D1053" s="3" t="s">
        <v>2307</v>
      </c>
    </row>
    <row r="1054" spans="1:4">
      <c r="A1054" s="3" t="s">
        <v>2337</v>
      </c>
      <c r="B1054" s="3" t="s">
        <v>538</v>
      </c>
      <c r="C1054" s="3" t="s">
        <v>2306</v>
      </c>
      <c r="D1054" s="3" t="s">
        <v>2307</v>
      </c>
    </row>
    <row r="1055" spans="1:4">
      <c r="A1055" s="3" t="s">
        <v>2338</v>
      </c>
      <c r="B1055" s="3" t="s">
        <v>2339</v>
      </c>
      <c r="C1055" s="3" t="s">
        <v>2306</v>
      </c>
      <c r="D1055" s="3" t="s">
        <v>2307</v>
      </c>
    </row>
    <row r="1056" spans="1:4">
      <c r="A1056" s="3" t="s">
        <v>2340</v>
      </c>
      <c r="B1056" s="3" t="s">
        <v>1550</v>
      </c>
      <c r="C1056" s="3" t="s">
        <v>2306</v>
      </c>
      <c r="D1056" s="3" t="s">
        <v>2307</v>
      </c>
    </row>
    <row r="1057" spans="1:4">
      <c r="A1057" s="3" t="s">
        <v>2341</v>
      </c>
      <c r="B1057" s="3" t="s">
        <v>2342</v>
      </c>
      <c r="C1057" s="3" t="s">
        <v>2306</v>
      </c>
      <c r="D1057" s="3" t="s">
        <v>2307</v>
      </c>
    </row>
    <row r="1058" spans="1:4">
      <c r="A1058" s="3" t="s">
        <v>2343</v>
      </c>
      <c r="B1058" s="3" t="s">
        <v>2344</v>
      </c>
      <c r="C1058" s="3" t="s">
        <v>2306</v>
      </c>
      <c r="D1058" s="3" t="s">
        <v>2307</v>
      </c>
    </row>
    <row r="1059" spans="1:4">
      <c r="A1059" s="3" t="s">
        <v>2345</v>
      </c>
      <c r="B1059" s="3" t="s">
        <v>2346</v>
      </c>
      <c r="C1059" s="3" t="s">
        <v>2306</v>
      </c>
      <c r="D1059" s="3" t="s">
        <v>2307</v>
      </c>
    </row>
    <row r="1060" spans="1:4">
      <c r="A1060" s="3" t="s">
        <v>2347</v>
      </c>
      <c r="B1060" s="3" t="s">
        <v>2348</v>
      </c>
      <c r="C1060" s="3" t="s">
        <v>2306</v>
      </c>
      <c r="D1060" s="3" t="s">
        <v>2307</v>
      </c>
    </row>
    <row r="1061" spans="1:4">
      <c r="A1061" s="3" t="s">
        <v>2349</v>
      </c>
      <c r="B1061" s="3" t="s">
        <v>2350</v>
      </c>
      <c r="C1061" s="3" t="s">
        <v>2306</v>
      </c>
      <c r="D1061" s="3" t="s">
        <v>2307</v>
      </c>
    </row>
    <row r="1062" spans="1:4">
      <c r="A1062" s="3" t="s">
        <v>2351</v>
      </c>
      <c r="B1062" s="3" t="s">
        <v>2352</v>
      </c>
      <c r="C1062" s="3" t="s">
        <v>2306</v>
      </c>
      <c r="D1062" s="3" t="s">
        <v>2307</v>
      </c>
    </row>
    <row r="1063" spans="1:4">
      <c r="A1063" s="3" t="s">
        <v>2353</v>
      </c>
      <c r="B1063" s="3" t="s">
        <v>2354</v>
      </c>
      <c r="C1063" s="3" t="s">
        <v>2306</v>
      </c>
      <c r="D1063" s="3" t="s">
        <v>2307</v>
      </c>
    </row>
    <row r="1064" spans="1:4">
      <c r="A1064" s="3" t="s">
        <v>2355</v>
      </c>
      <c r="B1064" s="3" t="s">
        <v>2356</v>
      </c>
      <c r="C1064" s="3" t="s">
        <v>2306</v>
      </c>
      <c r="D1064" s="3" t="s">
        <v>2307</v>
      </c>
    </row>
    <row r="1065" spans="1:4">
      <c r="A1065" s="3" t="s">
        <v>2357</v>
      </c>
      <c r="B1065" s="3" t="s">
        <v>2358</v>
      </c>
      <c r="C1065" s="3" t="s">
        <v>2306</v>
      </c>
      <c r="D1065" s="3" t="s">
        <v>2307</v>
      </c>
    </row>
    <row r="1066" spans="1:4">
      <c r="A1066" s="3" t="s">
        <v>2359</v>
      </c>
      <c r="B1066" s="3" t="s">
        <v>1389</v>
      </c>
      <c r="C1066" s="3" t="s">
        <v>1389</v>
      </c>
      <c r="D1066" s="3" t="s">
        <v>2307</v>
      </c>
    </row>
    <row r="1067" spans="1:4">
      <c r="A1067" s="3" t="s">
        <v>2360</v>
      </c>
      <c r="B1067" s="3" t="s">
        <v>564</v>
      </c>
      <c r="C1067" s="3" t="s">
        <v>1389</v>
      </c>
      <c r="D1067" s="3" t="s">
        <v>2307</v>
      </c>
    </row>
    <row r="1068" spans="1:4">
      <c r="A1068" s="3" t="s">
        <v>2361</v>
      </c>
      <c r="B1068" s="3" t="s">
        <v>2362</v>
      </c>
      <c r="C1068" s="3" t="s">
        <v>1389</v>
      </c>
      <c r="D1068" s="3" t="s">
        <v>2307</v>
      </c>
    </row>
    <row r="1069" spans="1:4">
      <c r="A1069" s="3" t="s">
        <v>2363</v>
      </c>
      <c r="B1069" s="3" t="s">
        <v>2364</v>
      </c>
      <c r="C1069" s="3" t="s">
        <v>1389</v>
      </c>
      <c r="D1069" s="3" t="s">
        <v>2307</v>
      </c>
    </row>
    <row r="1070" spans="1:4">
      <c r="A1070" s="3" t="s">
        <v>2365</v>
      </c>
      <c r="B1070" s="3" t="s">
        <v>662</v>
      </c>
      <c r="C1070" s="3" t="s">
        <v>1389</v>
      </c>
      <c r="D1070" s="3" t="s">
        <v>2307</v>
      </c>
    </row>
    <row r="1071" spans="1:4">
      <c r="A1071" s="3" t="s">
        <v>2366</v>
      </c>
      <c r="B1071" s="3" t="s">
        <v>2367</v>
      </c>
      <c r="C1071" s="3" t="s">
        <v>1389</v>
      </c>
      <c r="D1071" s="3" t="s">
        <v>2307</v>
      </c>
    </row>
    <row r="1072" spans="1:4">
      <c r="A1072" s="3" t="s">
        <v>2368</v>
      </c>
      <c r="B1072" s="3" t="s">
        <v>2369</v>
      </c>
      <c r="C1072" s="3" t="s">
        <v>1389</v>
      </c>
      <c r="D1072" s="3" t="s">
        <v>2307</v>
      </c>
    </row>
    <row r="1073" spans="1:4">
      <c r="A1073" s="3" t="s">
        <v>2370</v>
      </c>
      <c r="B1073" s="3" t="s">
        <v>2371</v>
      </c>
      <c r="C1073" s="3" t="s">
        <v>1389</v>
      </c>
      <c r="D1073" s="3" t="s">
        <v>2307</v>
      </c>
    </row>
    <row r="1074" spans="1:4">
      <c r="A1074" s="3" t="s">
        <v>2372</v>
      </c>
      <c r="B1074" s="3" t="s">
        <v>297</v>
      </c>
      <c r="C1074" s="3" t="s">
        <v>1389</v>
      </c>
      <c r="D1074" s="3" t="s">
        <v>2307</v>
      </c>
    </row>
    <row r="1075" spans="1:4">
      <c r="A1075" s="3" t="s">
        <v>2373</v>
      </c>
      <c r="B1075" s="3" t="s">
        <v>2374</v>
      </c>
      <c r="C1075" s="3" t="s">
        <v>1389</v>
      </c>
      <c r="D1075" s="3" t="s">
        <v>2307</v>
      </c>
    </row>
    <row r="1076" spans="1:4">
      <c r="A1076" s="3" t="s">
        <v>2375</v>
      </c>
      <c r="B1076" s="3" t="s">
        <v>2376</v>
      </c>
      <c r="C1076" s="3" t="s">
        <v>1389</v>
      </c>
      <c r="D1076" s="3" t="s">
        <v>2307</v>
      </c>
    </row>
    <row r="1077" spans="1:4">
      <c r="A1077" s="3" t="s">
        <v>2377</v>
      </c>
      <c r="B1077" s="3" t="s">
        <v>2378</v>
      </c>
      <c r="C1077" s="3" t="s">
        <v>1389</v>
      </c>
      <c r="D1077" s="3" t="s">
        <v>2307</v>
      </c>
    </row>
    <row r="1078" spans="1:4">
      <c r="A1078" s="3" t="s">
        <v>2379</v>
      </c>
      <c r="B1078" s="3" t="s">
        <v>2380</v>
      </c>
      <c r="C1078" s="3" t="s">
        <v>1389</v>
      </c>
      <c r="D1078" s="3" t="s">
        <v>2307</v>
      </c>
    </row>
    <row r="1079" spans="1:4">
      <c r="A1079" s="3" t="s">
        <v>2381</v>
      </c>
      <c r="B1079" s="3" t="s">
        <v>2382</v>
      </c>
      <c r="C1079" s="3" t="s">
        <v>1389</v>
      </c>
      <c r="D1079" s="3" t="s">
        <v>2307</v>
      </c>
    </row>
    <row r="1080" spans="1:4">
      <c r="A1080" s="3" t="s">
        <v>2383</v>
      </c>
      <c r="B1080" s="3" t="s">
        <v>2384</v>
      </c>
      <c r="C1080" s="3" t="s">
        <v>1389</v>
      </c>
      <c r="D1080" s="3" t="s">
        <v>2307</v>
      </c>
    </row>
    <row r="1081" spans="1:4">
      <c r="A1081" s="3" t="s">
        <v>2385</v>
      </c>
      <c r="B1081" s="3" t="s">
        <v>2386</v>
      </c>
      <c r="C1081" s="3" t="s">
        <v>2386</v>
      </c>
      <c r="D1081" s="3" t="s">
        <v>2307</v>
      </c>
    </row>
    <row r="1082" spans="1:4">
      <c r="A1082" s="3" t="s">
        <v>2387</v>
      </c>
      <c r="B1082" s="3" t="s">
        <v>2388</v>
      </c>
      <c r="C1082" s="3" t="s">
        <v>2386</v>
      </c>
      <c r="D1082" s="3" t="s">
        <v>2307</v>
      </c>
    </row>
    <row r="1083" spans="1:4">
      <c r="A1083" s="3" t="s">
        <v>2389</v>
      </c>
      <c r="B1083" s="3" t="s">
        <v>2390</v>
      </c>
      <c r="C1083" s="3" t="s">
        <v>2386</v>
      </c>
      <c r="D1083" s="3" t="s">
        <v>2307</v>
      </c>
    </row>
    <row r="1084" spans="1:4">
      <c r="A1084" s="3" t="s">
        <v>2391</v>
      </c>
      <c r="B1084" s="3" t="s">
        <v>2392</v>
      </c>
      <c r="C1084" s="3" t="s">
        <v>2386</v>
      </c>
      <c r="D1084" s="3" t="s">
        <v>2307</v>
      </c>
    </row>
    <row r="1085" spans="1:4">
      <c r="A1085" s="3" t="s">
        <v>2393</v>
      </c>
      <c r="B1085" s="3" t="s">
        <v>2394</v>
      </c>
      <c r="C1085" s="3" t="s">
        <v>2386</v>
      </c>
      <c r="D1085" s="3" t="s">
        <v>2307</v>
      </c>
    </row>
    <row r="1086" spans="1:4">
      <c r="A1086" s="3" t="s">
        <v>2395</v>
      </c>
      <c r="B1086" s="3" t="s">
        <v>2396</v>
      </c>
      <c r="C1086" s="3" t="s">
        <v>2386</v>
      </c>
      <c r="D1086" s="3" t="s">
        <v>2307</v>
      </c>
    </row>
    <row r="1087" spans="1:4">
      <c r="A1087" s="3" t="s">
        <v>2397</v>
      </c>
      <c r="B1087" s="3" t="s">
        <v>2398</v>
      </c>
      <c r="C1087" s="3" t="s">
        <v>2398</v>
      </c>
      <c r="D1087" s="3" t="s">
        <v>2307</v>
      </c>
    </row>
    <row r="1088" spans="1:4">
      <c r="A1088" s="3" t="s">
        <v>2399</v>
      </c>
      <c r="B1088" s="3" t="s">
        <v>2400</v>
      </c>
      <c r="C1088" s="3" t="s">
        <v>2398</v>
      </c>
      <c r="D1088" s="3" t="s">
        <v>2307</v>
      </c>
    </row>
    <row r="1089" spans="1:4">
      <c r="A1089" s="3" t="s">
        <v>2401</v>
      </c>
      <c r="B1089" s="3" t="s">
        <v>2402</v>
      </c>
      <c r="C1089" s="3" t="s">
        <v>2398</v>
      </c>
      <c r="D1089" s="3" t="s">
        <v>2307</v>
      </c>
    </row>
    <row r="1090" spans="1:4">
      <c r="A1090" s="3" t="s">
        <v>2403</v>
      </c>
      <c r="B1090" s="3" t="s">
        <v>2404</v>
      </c>
      <c r="C1090" s="3" t="s">
        <v>2398</v>
      </c>
      <c r="D1090" s="3" t="s">
        <v>2307</v>
      </c>
    </row>
    <row r="1091" spans="1:4">
      <c r="A1091" s="3" t="s">
        <v>2405</v>
      </c>
      <c r="B1091" s="3" t="s">
        <v>2406</v>
      </c>
      <c r="C1091" s="3" t="s">
        <v>2398</v>
      </c>
      <c r="D1091" s="3" t="s">
        <v>2307</v>
      </c>
    </row>
    <row r="1092" spans="1:4">
      <c r="A1092" s="3" t="s">
        <v>2407</v>
      </c>
      <c r="B1092" s="3" t="s">
        <v>2408</v>
      </c>
      <c r="C1092" s="3" t="s">
        <v>2398</v>
      </c>
      <c r="D1092" s="3" t="s">
        <v>2307</v>
      </c>
    </row>
    <row r="1093" spans="1:4">
      <c r="A1093" s="3" t="s">
        <v>2409</v>
      </c>
      <c r="B1093" s="3" t="s">
        <v>2410</v>
      </c>
      <c r="C1093" s="3" t="s">
        <v>2398</v>
      </c>
      <c r="D1093" s="3" t="s">
        <v>2307</v>
      </c>
    </row>
    <row r="1094" spans="1:4">
      <c r="A1094" s="3" t="s">
        <v>2411</v>
      </c>
      <c r="B1094" s="3" t="s">
        <v>2412</v>
      </c>
      <c r="C1094" s="3" t="s">
        <v>2398</v>
      </c>
      <c r="D1094" s="3" t="s">
        <v>2307</v>
      </c>
    </row>
    <row r="1095" spans="1:4">
      <c r="A1095" s="3" t="s">
        <v>2413</v>
      </c>
      <c r="B1095" s="3" t="s">
        <v>2414</v>
      </c>
      <c r="C1095" s="3" t="s">
        <v>2398</v>
      </c>
      <c r="D1095" s="3" t="s">
        <v>2307</v>
      </c>
    </row>
    <row r="1096" spans="1:4">
      <c r="A1096" s="3" t="s">
        <v>2415</v>
      </c>
      <c r="B1096" s="3" t="s">
        <v>2416</v>
      </c>
      <c r="C1096" s="3" t="s">
        <v>2398</v>
      </c>
      <c r="D1096" s="3" t="s">
        <v>2307</v>
      </c>
    </row>
    <row r="1097" spans="1:4">
      <c r="A1097" s="3" t="s">
        <v>2417</v>
      </c>
      <c r="B1097" s="3" t="s">
        <v>2418</v>
      </c>
      <c r="C1097" s="3" t="s">
        <v>2398</v>
      </c>
      <c r="D1097" s="3" t="s">
        <v>2307</v>
      </c>
    </row>
    <row r="1098" spans="1:4">
      <c r="A1098" s="3" t="s">
        <v>2419</v>
      </c>
      <c r="B1098" s="3" t="s">
        <v>2420</v>
      </c>
      <c r="C1098" s="3" t="s">
        <v>2398</v>
      </c>
      <c r="D1098" s="3" t="s">
        <v>2307</v>
      </c>
    </row>
    <row r="1099" spans="1:4">
      <c r="A1099" s="3" t="s">
        <v>2421</v>
      </c>
      <c r="B1099" s="3" t="s">
        <v>2422</v>
      </c>
      <c r="C1099" s="3" t="s">
        <v>2398</v>
      </c>
      <c r="D1099" s="3" t="s">
        <v>2307</v>
      </c>
    </row>
    <row r="1100" spans="1:4">
      <c r="A1100" s="3" t="s">
        <v>2423</v>
      </c>
      <c r="B1100" s="3" t="s">
        <v>2424</v>
      </c>
      <c r="C1100" s="3" t="s">
        <v>2398</v>
      </c>
      <c r="D1100" s="3" t="s">
        <v>2307</v>
      </c>
    </row>
    <row r="1101" spans="1:4">
      <c r="A1101" s="3" t="s">
        <v>2425</v>
      </c>
      <c r="B1101" s="3" t="s">
        <v>2426</v>
      </c>
      <c r="C1101" s="3" t="s">
        <v>2398</v>
      </c>
      <c r="D1101" s="3" t="s">
        <v>2307</v>
      </c>
    </row>
    <row r="1102" spans="1:4">
      <c r="A1102" s="3" t="s">
        <v>2427</v>
      </c>
      <c r="B1102" s="3" t="s">
        <v>2428</v>
      </c>
      <c r="C1102" s="3" t="s">
        <v>2398</v>
      </c>
      <c r="D1102" s="3" t="s">
        <v>2307</v>
      </c>
    </row>
    <row r="1103" spans="1:4">
      <c r="A1103" s="3" t="s">
        <v>2429</v>
      </c>
      <c r="B1103" s="3" t="s">
        <v>2430</v>
      </c>
      <c r="C1103" s="3" t="s">
        <v>2398</v>
      </c>
      <c r="D1103" s="3" t="s">
        <v>2307</v>
      </c>
    </row>
    <row r="1104" spans="1:4">
      <c r="A1104" s="3" t="s">
        <v>2431</v>
      </c>
      <c r="B1104" s="3" t="s">
        <v>2432</v>
      </c>
      <c r="C1104" s="3" t="s">
        <v>2398</v>
      </c>
      <c r="D1104" s="3" t="s">
        <v>2307</v>
      </c>
    </row>
    <row r="1105" spans="1:4">
      <c r="A1105" s="3" t="s">
        <v>2433</v>
      </c>
      <c r="B1105" s="3" t="s">
        <v>2434</v>
      </c>
      <c r="C1105" s="3" t="s">
        <v>2398</v>
      </c>
      <c r="D1105" s="3" t="s">
        <v>2307</v>
      </c>
    </row>
    <row r="1106" spans="1:4">
      <c r="A1106" s="3" t="s">
        <v>2435</v>
      </c>
      <c r="B1106" s="3" t="s">
        <v>2436</v>
      </c>
      <c r="C1106" s="3" t="s">
        <v>2398</v>
      </c>
      <c r="D1106" s="3" t="s">
        <v>2307</v>
      </c>
    </row>
    <row r="1107" spans="1:4">
      <c r="A1107" s="3" t="s">
        <v>2437</v>
      </c>
      <c r="B1107" s="3" t="s">
        <v>2438</v>
      </c>
      <c r="C1107" s="3" t="s">
        <v>2398</v>
      </c>
      <c r="D1107" s="3" t="s">
        <v>2307</v>
      </c>
    </row>
    <row r="1108" spans="1:4">
      <c r="A1108" s="3" t="s">
        <v>2439</v>
      </c>
      <c r="B1108" s="3" t="s">
        <v>2440</v>
      </c>
      <c r="C1108" s="3" t="s">
        <v>2398</v>
      </c>
      <c r="D1108" s="3" t="s">
        <v>2307</v>
      </c>
    </row>
    <row r="1109" spans="1:4">
      <c r="A1109" s="3" t="s">
        <v>2441</v>
      </c>
      <c r="B1109" s="3" t="s">
        <v>1472</v>
      </c>
      <c r="C1109" s="3" t="s">
        <v>2398</v>
      </c>
      <c r="D1109" s="3" t="s">
        <v>2307</v>
      </c>
    </row>
    <row r="1110" spans="1:4">
      <c r="A1110" s="3" t="s">
        <v>2442</v>
      </c>
      <c r="B1110" s="3" t="s">
        <v>2443</v>
      </c>
      <c r="C1110" s="3" t="s">
        <v>2398</v>
      </c>
      <c r="D1110" s="3" t="s">
        <v>2307</v>
      </c>
    </row>
    <row r="1111" spans="1:4">
      <c r="A1111" s="3" t="s">
        <v>2444</v>
      </c>
      <c r="B1111" s="3" t="s">
        <v>2445</v>
      </c>
      <c r="C1111" s="3" t="s">
        <v>2398</v>
      </c>
      <c r="D1111" s="3" t="s">
        <v>2307</v>
      </c>
    </row>
    <row r="1112" spans="1:4">
      <c r="A1112" s="3" t="s">
        <v>2446</v>
      </c>
      <c r="B1112" s="3" t="s">
        <v>2447</v>
      </c>
      <c r="C1112" s="3" t="s">
        <v>2398</v>
      </c>
      <c r="D1112" s="3" t="s">
        <v>2307</v>
      </c>
    </row>
    <row r="1113" spans="1:4">
      <c r="A1113" s="3" t="s">
        <v>2448</v>
      </c>
      <c r="B1113" s="3" t="s">
        <v>2449</v>
      </c>
      <c r="C1113" s="3" t="s">
        <v>2398</v>
      </c>
      <c r="D1113" s="3" t="s">
        <v>2307</v>
      </c>
    </row>
    <row r="1114" spans="1:4">
      <c r="A1114" s="3" t="s">
        <v>2450</v>
      </c>
      <c r="B1114" s="3" t="s">
        <v>2451</v>
      </c>
      <c r="C1114" s="3" t="s">
        <v>2398</v>
      </c>
      <c r="D1114" s="3" t="s">
        <v>2307</v>
      </c>
    </row>
    <row r="1115" spans="1:4">
      <c r="A1115" s="3" t="s">
        <v>2452</v>
      </c>
      <c r="B1115" s="3" t="s">
        <v>2453</v>
      </c>
      <c r="C1115" s="3" t="s">
        <v>2398</v>
      </c>
      <c r="D1115" s="3" t="s">
        <v>2307</v>
      </c>
    </row>
    <row r="1116" spans="1:4">
      <c r="A1116" s="3" t="s">
        <v>2454</v>
      </c>
      <c r="B1116" s="3" t="s">
        <v>2455</v>
      </c>
      <c r="C1116" s="3" t="s">
        <v>2398</v>
      </c>
      <c r="D1116" s="3" t="s">
        <v>2307</v>
      </c>
    </row>
    <row r="1117" spans="1:4">
      <c r="A1117" s="3" t="s">
        <v>2456</v>
      </c>
      <c r="B1117" s="3" t="s">
        <v>2457</v>
      </c>
      <c r="C1117" s="3" t="s">
        <v>2398</v>
      </c>
      <c r="D1117" s="3" t="s">
        <v>2307</v>
      </c>
    </row>
    <row r="1118" spans="1:4">
      <c r="A1118" s="3" t="s">
        <v>2458</v>
      </c>
      <c r="B1118" s="3" t="s">
        <v>2459</v>
      </c>
      <c r="C1118" s="3" t="s">
        <v>2398</v>
      </c>
      <c r="D1118" s="3" t="s">
        <v>2307</v>
      </c>
    </row>
    <row r="1119" spans="1:4">
      <c r="A1119" s="3" t="s">
        <v>2460</v>
      </c>
      <c r="B1119" s="3" t="s">
        <v>1901</v>
      </c>
      <c r="C1119" s="3" t="s">
        <v>2398</v>
      </c>
      <c r="D1119" s="3" t="s">
        <v>2307</v>
      </c>
    </row>
    <row r="1120" spans="1:4">
      <c r="A1120" s="3" t="s">
        <v>2461</v>
      </c>
      <c r="B1120" s="3" t="s">
        <v>2462</v>
      </c>
      <c r="C1120" s="3" t="s">
        <v>2398</v>
      </c>
      <c r="D1120" s="3" t="s">
        <v>2307</v>
      </c>
    </row>
    <row r="1121" spans="1:4">
      <c r="A1121" s="3" t="s">
        <v>2463</v>
      </c>
      <c r="B1121" s="3" t="s">
        <v>2307</v>
      </c>
      <c r="C1121" s="3" t="s">
        <v>2307</v>
      </c>
      <c r="D1121" s="3" t="s">
        <v>2307</v>
      </c>
    </row>
    <row r="1122" spans="1:4">
      <c r="A1122" s="3" t="s">
        <v>2464</v>
      </c>
      <c r="B1122" s="3" t="s">
        <v>2465</v>
      </c>
      <c r="C1122" s="3" t="s">
        <v>2307</v>
      </c>
      <c r="D1122" s="3" t="s">
        <v>2307</v>
      </c>
    </row>
    <row r="1123" spans="1:4">
      <c r="A1123" s="3" t="s">
        <v>2466</v>
      </c>
      <c r="B1123" s="3" t="s">
        <v>2467</v>
      </c>
      <c r="C1123" s="3" t="s">
        <v>2307</v>
      </c>
      <c r="D1123" s="3" t="s">
        <v>2307</v>
      </c>
    </row>
    <row r="1124" spans="1:4">
      <c r="A1124" s="3" t="s">
        <v>2468</v>
      </c>
      <c r="B1124" s="3" t="s">
        <v>2469</v>
      </c>
      <c r="C1124" s="3" t="s">
        <v>2307</v>
      </c>
      <c r="D1124" s="3" t="s">
        <v>2307</v>
      </c>
    </row>
    <row r="1125" spans="1:4">
      <c r="A1125" s="3" t="s">
        <v>2470</v>
      </c>
      <c r="B1125" s="3" t="s">
        <v>2471</v>
      </c>
      <c r="C1125" s="3" t="s">
        <v>2471</v>
      </c>
      <c r="D1125" s="3" t="s">
        <v>2307</v>
      </c>
    </row>
    <row r="1126" spans="1:4">
      <c r="A1126" s="3" t="s">
        <v>2472</v>
      </c>
      <c r="B1126" s="3" t="s">
        <v>2473</v>
      </c>
      <c r="C1126" s="3" t="s">
        <v>2471</v>
      </c>
      <c r="D1126" s="3" t="s">
        <v>2307</v>
      </c>
    </row>
    <row r="1127" spans="1:4">
      <c r="A1127" s="3" t="s">
        <v>2474</v>
      </c>
      <c r="B1127" s="3" t="s">
        <v>2475</v>
      </c>
      <c r="C1127" s="3" t="s">
        <v>2471</v>
      </c>
      <c r="D1127" s="3" t="s">
        <v>2307</v>
      </c>
    </row>
    <row r="1128" spans="1:4">
      <c r="A1128" s="3" t="s">
        <v>2476</v>
      </c>
      <c r="B1128" s="3" t="s">
        <v>2477</v>
      </c>
      <c r="C1128" s="3" t="s">
        <v>2471</v>
      </c>
      <c r="D1128" s="3" t="s">
        <v>2307</v>
      </c>
    </row>
    <row r="1129" spans="1:4">
      <c r="A1129" s="3" t="s">
        <v>2478</v>
      </c>
      <c r="B1129" s="3" t="s">
        <v>2479</v>
      </c>
      <c r="C1129" s="3" t="s">
        <v>2471</v>
      </c>
      <c r="D1129" s="3" t="s">
        <v>2307</v>
      </c>
    </row>
    <row r="1130" spans="1:4">
      <c r="A1130" s="3" t="s">
        <v>2480</v>
      </c>
      <c r="B1130" s="3" t="s">
        <v>2481</v>
      </c>
      <c r="C1130" s="3" t="s">
        <v>2471</v>
      </c>
      <c r="D1130" s="3" t="s">
        <v>2307</v>
      </c>
    </row>
    <row r="1131" spans="1:4">
      <c r="A1131" s="3" t="s">
        <v>2482</v>
      </c>
      <c r="B1131" s="3" t="s">
        <v>2483</v>
      </c>
      <c r="C1131" s="3" t="s">
        <v>2471</v>
      </c>
      <c r="D1131" s="3" t="s">
        <v>2307</v>
      </c>
    </row>
    <row r="1132" spans="1:4">
      <c r="A1132" s="3" t="s">
        <v>2484</v>
      </c>
      <c r="B1132" s="3" t="s">
        <v>2485</v>
      </c>
      <c r="C1132" s="3" t="s">
        <v>2471</v>
      </c>
      <c r="D1132" s="3" t="s">
        <v>2307</v>
      </c>
    </row>
    <row r="1133" spans="1:4">
      <c r="A1133" s="3" t="s">
        <v>2486</v>
      </c>
      <c r="B1133" s="3" t="s">
        <v>2487</v>
      </c>
      <c r="C1133" s="3" t="s">
        <v>2471</v>
      </c>
      <c r="D1133" s="3" t="s">
        <v>2307</v>
      </c>
    </row>
    <row r="1134" spans="1:4">
      <c r="A1134" s="3" t="s">
        <v>2488</v>
      </c>
      <c r="B1134" s="3" t="s">
        <v>2489</v>
      </c>
      <c r="C1134" s="3" t="s">
        <v>2489</v>
      </c>
      <c r="D1134" s="3" t="s">
        <v>2307</v>
      </c>
    </row>
    <row r="1135" spans="1:4">
      <c r="A1135" s="3" t="s">
        <v>2490</v>
      </c>
      <c r="B1135" s="3" t="s">
        <v>741</v>
      </c>
      <c r="C1135" s="3" t="s">
        <v>2489</v>
      </c>
      <c r="D1135" s="3" t="s">
        <v>2307</v>
      </c>
    </row>
    <row r="1136" spans="1:4">
      <c r="A1136" s="3" t="s">
        <v>2491</v>
      </c>
      <c r="B1136" s="3" t="s">
        <v>2492</v>
      </c>
      <c r="C1136" s="3" t="s">
        <v>2489</v>
      </c>
      <c r="D1136" s="3" t="s">
        <v>2307</v>
      </c>
    </row>
    <row r="1137" spans="1:4">
      <c r="A1137" s="3" t="s">
        <v>2493</v>
      </c>
      <c r="B1137" s="3" t="s">
        <v>2494</v>
      </c>
      <c r="C1137" s="3" t="s">
        <v>2489</v>
      </c>
      <c r="D1137" s="3" t="s">
        <v>2307</v>
      </c>
    </row>
    <row r="1138" spans="1:4">
      <c r="A1138" s="3" t="s">
        <v>2495</v>
      </c>
      <c r="B1138" s="3" t="s">
        <v>1140</v>
      </c>
      <c r="C1138" s="3" t="s">
        <v>2489</v>
      </c>
      <c r="D1138" s="3" t="s">
        <v>2307</v>
      </c>
    </row>
    <row r="1139" spans="1:4">
      <c r="A1139" s="3" t="s">
        <v>2496</v>
      </c>
      <c r="B1139" s="3" t="s">
        <v>1895</v>
      </c>
      <c r="C1139" s="3" t="s">
        <v>2489</v>
      </c>
      <c r="D1139" s="3" t="s">
        <v>2307</v>
      </c>
    </row>
    <row r="1140" spans="1:4">
      <c r="A1140" s="3" t="s">
        <v>2497</v>
      </c>
      <c r="B1140" s="3" t="s">
        <v>2498</v>
      </c>
      <c r="C1140" s="3" t="s">
        <v>2489</v>
      </c>
      <c r="D1140" s="3" t="s">
        <v>2307</v>
      </c>
    </row>
    <row r="1141" spans="1:4">
      <c r="A1141" s="3" t="s">
        <v>2499</v>
      </c>
      <c r="B1141" s="3" t="s">
        <v>2500</v>
      </c>
      <c r="C1141" s="3" t="s">
        <v>2489</v>
      </c>
      <c r="D1141" s="3" t="s">
        <v>2307</v>
      </c>
    </row>
    <row r="1142" spans="1:4">
      <c r="A1142" s="3" t="s">
        <v>2501</v>
      </c>
      <c r="B1142" s="3" t="s">
        <v>2502</v>
      </c>
      <c r="C1142" s="3" t="s">
        <v>2489</v>
      </c>
      <c r="D1142" s="3" t="s">
        <v>2307</v>
      </c>
    </row>
    <row r="1143" spans="1:4">
      <c r="A1143" s="3" t="s">
        <v>2503</v>
      </c>
      <c r="B1143" s="3" t="s">
        <v>2504</v>
      </c>
      <c r="C1143" s="3" t="s">
        <v>1901</v>
      </c>
      <c r="D1143" s="3" t="s">
        <v>2307</v>
      </c>
    </row>
    <row r="1144" spans="1:4">
      <c r="A1144" s="3" t="s">
        <v>2505</v>
      </c>
      <c r="B1144" s="3" t="s">
        <v>2506</v>
      </c>
      <c r="C1144" s="3" t="s">
        <v>1901</v>
      </c>
      <c r="D1144" s="3" t="s">
        <v>2307</v>
      </c>
    </row>
    <row r="1145" spans="1:4">
      <c r="A1145" s="3" t="s">
        <v>2507</v>
      </c>
      <c r="B1145" s="3" t="s">
        <v>2508</v>
      </c>
      <c r="C1145" s="3" t="s">
        <v>1901</v>
      </c>
      <c r="D1145" s="3" t="s">
        <v>2307</v>
      </c>
    </row>
    <row r="1146" spans="1:4">
      <c r="A1146" s="3" t="s">
        <v>2509</v>
      </c>
      <c r="B1146" s="3" t="s">
        <v>2510</v>
      </c>
      <c r="C1146" s="3" t="s">
        <v>1901</v>
      </c>
      <c r="D1146" s="3" t="s">
        <v>2307</v>
      </c>
    </row>
    <row r="1147" spans="1:4">
      <c r="A1147" s="3" t="s">
        <v>2511</v>
      </c>
      <c r="B1147" s="3" t="s">
        <v>2512</v>
      </c>
      <c r="C1147" s="3" t="s">
        <v>1901</v>
      </c>
      <c r="D1147" s="3" t="s">
        <v>2307</v>
      </c>
    </row>
    <row r="1148" spans="1:4">
      <c r="A1148" s="3" t="s">
        <v>2513</v>
      </c>
      <c r="B1148" s="3" t="s">
        <v>1472</v>
      </c>
      <c r="C1148" s="3" t="s">
        <v>1901</v>
      </c>
      <c r="D1148" s="3" t="s">
        <v>2307</v>
      </c>
    </row>
    <row r="1149" spans="1:4">
      <c r="A1149" s="3" t="s">
        <v>2514</v>
      </c>
      <c r="B1149" s="3" t="s">
        <v>2515</v>
      </c>
      <c r="C1149" s="3" t="s">
        <v>1901</v>
      </c>
      <c r="D1149" s="3" t="s">
        <v>2307</v>
      </c>
    </row>
    <row r="1150" spans="1:4">
      <c r="A1150" s="3" t="s">
        <v>2516</v>
      </c>
      <c r="B1150" s="3" t="s">
        <v>2517</v>
      </c>
      <c r="C1150" s="3" t="s">
        <v>1901</v>
      </c>
      <c r="D1150" s="3" t="s">
        <v>2307</v>
      </c>
    </row>
    <row r="1151" spans="1:4">
      <c r="A1151" s="3" t="s">
        <v>2518</v>
      </c>
      <c r="B1151" s="3" t="s">
        <v>2519</v>
      </c>
      <c r="C1151" s="3" t="s">
        <v>1901</v>
      </c>
      <c r="D1151" s="3" t="s">
        <v>2307</v>
      </c>
    </row>
    <row r="1152" spans="1:4">
      <c r="A1152" s="3" t="s">
        <v>2520</v>
      </c>
      <c r="B1152" s="3" t="s">
        <v>1901</v>
      </c>
      <c r="C1152" s="3" t="s">
        <v>1901</v>
      </c>
      <c r="D1152" s="3" t="s">
        <v>2307</v>
      </c>
    </row>
    <row r="1153" spans="1:4">
      <c r="A1153" s="3" t="s">
        <v>2521</v>
      </c>
      <c r="B1153" s="3" t="s">
        <v>2522</v>
      </c>
      <c r="C1153" s="3" t="s">
        <v>2522</v>
      </c>
      <c r="D1153" s="3" t="s">
        <v>2307</v>
      </c>
    </row>
    <row r="1154" spans="1:4">
      <c r="A1154" s="3" t="s">
        <v>2523</v>
      </c>
      <c r="B1154" s="3" t="s">
        <v>2524</v>
      </c>
      <c r="C1154" s="3" t="s">
        <v>2522</v>
      </c>
      <c r="D1154" s="3" t="s">
        <v>2307</v>
      </c>
    </row>
    <row r="1155" spans="1:4">
      <c r="A1155" s="3" t="s">
        <v>2525</v>
      </c>
      <c r="B1155" s="3" t="s">
        <v>2526</v>
      </c>
      <c r="C1155" s="3" t="s">
        <v>2522</v>
      </c>
      <c r="D1155" s="3" t="s">
        <v>2307</v>
      </c>
    </row>
    <row r="1156" spans="1:4">
      <c r="A1156" s="3" t="s">
        <v>2527</v>
      </c>
      <c r="B1156" s="3" t="s">
        <v>2528</v>
      </c>
      <c r="C1156" s="3" t="s">
        <v>2522</v>
      </c>
      <c r="D1156" s="3" t="s">
        <v>2307</v>
      </c>
    </row>
    <row r="1157" spans="1:4">
      <c r="A1157" s="3" t="s">
        <v>2529</v>
      </c>
      <c r="B1157" s="3" t="s">
        <v>2530</v>
      </c>
      <c r="C1157" s="3" t="s">
        <v>2522</v>
      </c>
      <c r="D1157" s="3" t="s">
        <v>2307</v>
      </c>
    </row>
    <row r="1158" spans="1:4">
      <c r="A1158" s="3" t="s">
        <v>2531</v>
      </c>
      <c r="B1158" s="3" t="s">
        <v>2532</v>
      </c>
      <c r="C1158" s="3" t="s">
        <v>2522</v>
      </c>
      <c r="D1158" s="3" t="s">
        <v>2307</v>
      </c>
    </row>
    <row r="1159" spans="1:4">
      <c r="A1159" s="3" t="s">
        <v>2533</v>
      </c>
      <c r="B1159" s="3" t="s">
        <v>2534</v>
      </c>
      <c r="C1159" s="3" t="s">
        <v>2522</v>
      </c>
      <c r="D1159" s="3" t="s">
        <v>2307</v>
      </c>
    </row>
    <row r="1160" spans="1:4">
      <c r="A1160" s="3" t="s">
        <v>2535</v>
      </c>
      <c r="B1160" s="3" t="s">
        <v>2536</v>
      </c>
      <c r="C1160" s="3" t="s">
        <v>2522</v>
      </c>
      <c r="D1160" s="3" t="s">
        <v>2307</v>
      </c>
    </row>
    <row r="1161" spans="1:4">
      <c r="A1161" s="3" t="s">
        <v>2537</v>
      </c>
      <c r="B1161" s="3" t="s">
        <v>2538</v>
      </c>
      <c r="C1161" s="3" t="s">
        <v>2522</v>
      </c>
      <c r="D1161" s="3" t="s">
        <v>2307</v>
      </c>
    </row>
    <row r="1162" spans="1:4">
      <c r="A1162" s="3" t="s">
        <v>2539</v>
      </c>
      <c r="B1162" s="3" t="s">
        <v>2540</v>
      </c>
      <c r="C1162" s="3" t="s">
        <v>2540</v>
      </c>
      <c r="D1162" s="3" t="s">
        <v>458</v>
      </c>
    </row>
    <row r="1163" spans="1:4">
      <c r="A1163" s="3" t="s">
        <v>2541</v>
      </c>
      <c r="B1163" s="3" t="s">
        <v>911</v>
      </c>
      <c r="C1163" s="3" t="s">
        <v>2540</v>
      </c>
      <c r="D1163" s="3" t="s">
        <v>458</v>
      </c>
    </row>
    <row r="1164" spans="1:4">
      <c r="A1164" s="3" t="s">
        <v>2542</v>
      </c>
      <c r="B1164" s="3" t="s">
        <v>2543</v>
      </c>
      <c r="C1164" s="3" t="s">
        <v>2540</v>
      </c>
      <c r="D1164" s="3" t="s">
        <v>458</v>
      </c>
    </row>
    <row r="1165" spans="1:4">
      <c r="A1165" s="3" t="s">
        <v>2544</v>
      </c>
      <c r="B1165" s="3" t="s">
        <v>2545</v>
      </c>
      <c r="C1165" s="3" t="s">
        <v>2540</v>
      </c>
      <c r="D1165" s="3" t="s">
        <v>458</v>
      </c>
    </row>
    <row r="1166" spans="1:4">
      <c r="A1166" s="3" t="s">
        <v>2546</v>
      </c>
      <c r="B1166" s="3" t="s">
        <v>1626</v>
      </c>
      <c r="C1166" s="3" t="s">
        <v>2540</v>
      </c>
      <c r="D1166" s="3" t="s">
        <v>458</v>
      </c>
    </row>
    <row r="1167" spans="1:4">
      <c r="A1167" s="3" t="s">
        <v>2547</v>
      </c>
      <c r="B1167" s="3" t="s">
        <v>2548</v>
      </c>
      <c r="C1167" s="3" t="s">
        <v>2540</v>
      </c>
      <c r="D1167" s="3" t="s">
        <v>458</v>
      </c>
    </row>
    <row r="1168" spans="1:4">
      <c r="A1168" s="3" t="s">
        <v>2549</v>
      </c>
      <c r="B1168" s="3" t="s">
        <v>2550</v>
      </c>
      <c r="C1168" s="3" t="s">
        <v>2540</v>
      </c>
      <c r="D1168" s="3" t="s">
        <v>458</v>
      </c>
    </row>
    <row r="1169" spans="1:4">
      <c r="A1169" s="3" t="s">
        <v>2551</v>
      </c>
      <c r="B1169" s="3" t="s">
        <v>2552</v>
      </c>
      <c r="C1169" s="3" t="s">
        <v>2540</v>
      </c>
      <c r="D1169" s="3" t="s">
        <v>458</v>
      </c>
    </row>
    <row r="1170" spans="1:4">
      <c r="A1170" s="3" t="s">
        <v>2553</v>
      </c>
      <c r="B1170" s="3" t="s">
        <v>2554</v>
      </c>
      <c r="C1170" s="3" t="s">
        <v>2540</v>
      </c>
      <c r="D1170" s="3" t="s">
        <v>458</v>
      </c>
    </row>
    <row r="1171" spans="1:4">
      <c r="A1171" s="3" t="s">
        <v>2555</v>
      </c>
      <c r="B1171" s="3" t="s">
        <v>2556</v>
      </c>
      <c r="C1171" s="3" t="s">
        <v>2540</v>
      </c>
      <c r="D1171" s="3" t="s">
        <v>458</v>
      </c>
    </row>
    <row r="1172" spans="1:4">
      <c r="A1172" s="3" t="s">
        <v>2557</v>
      </c>
      <c r="B1172" s="3" t="s">
        <v>2558</v>
      </c>
      <c r="C1172" s="3" t="s">
        <v>2540</v>
      </c>
      <c r="D1172" s="3" t="s">
        <v>458</v>
      </c>
    </row>
    <row r="1173" spans="1:4">
      <c r="A1173" s="3" t="s">
        <v>2559</v>
      </c>
      <c r="B1173" s="3" t="s">
        <v>2560</v>
      </c>
      <c r="C1173" s="3" t="s">
        <v>2560</v>
      </c>
      <c r="D1173" s="3" t="s">
        <v>458</v>
      </c>
    </row>
    <row r="1174" spans="1:4">
      <c r="A1174" s="3" t="s">
        <v>2561</v>
      </c>
      <c r="B1174" s="3" t="s">
        <v>2562</v>
      </c>
      <c r="C1174" s="3" t="s">
        <v>2560</v>
      </c>
      <c r="D1174" s="3" t="s">
        <v>458</v>
      </c>
    </row>
    <row r="1175" spans="1:4">
      <c r="A1175" s="3" t="s">
        <v>2563</v>
      </c>
      <c r="B1175" s="3" t="s">
        <v>2564</v>
      </c>
      <c r="C1175" s="3" t="s">
        <v>2560</v>
      </c>
      <c r="D1175" s="3" t="s">
        <v>458</v>
      </c>
    </row>
    <row r="1176" spans="1:4">
      <c r="A1176" s="3" t="s">
        <v>2565</v>
      </c>
      <c r="B1176" s="3" t="s">
        <v>2566</v>
      </c>
      <c r="C1176" s="3" t="s">
        <v>2560</v>
      </c>
      <c r="D1176" s="3" t="s">
        <v>458</v>
      </c>
    </row>
    <row r="1177" spans="1:4">
      <c r="A1177" s="3" t="s">
        <v>2567</v>
      </c>
      <c r="B1177" s="3" t="s">
        <v>2568</v>
      </c>
      <c r="C1177" s="3" t="s">
        <v>2560</v>
      </c>
      <c r="D1177" s="3" t="s">
        <v>458</v>
      </c>
    </row>
    <row r="1178" spans="1:4">
      <c r="A1178" s="3" t="s">
        <v>2569</v>
      </c>
      <c r="B1178" s="3" t="s">
        <v>2570</v>
      </c>
      <c r="C1178" s="3" t="s">
        <v>2560</v>
      </c>
      <c r="D1178" s="3" t="s">
        <v>458</v>
      </c>
    </row>
    <row r="1179" spans="1:4">
      <c r="A1179" s="3" t="s">
        <v>2571</v>
      </c>
      <c r="B1179" s="3" t="s">
        <v>2572</v>
      </c>
      <c r="C1179" s="3" t="s">
        <v>2560</v>
      </c>
      <c r="D1179" s="3" t="s">
        <v>458</v>
      </c>
    </row>
    <row r="1180" spans="1:4">
      <c r="A1180" s="3" t="s">
        <v>2573</v>
      </c>
      <c r="B1180" s="3" t="s">
        <v>2574</v>
      </c>
      <c r="C1180" s="3" t="s">
        <v>2560</v>
      </c>
      <c r="D1180" s="3" t="s">
        <v>458</v>
      </c>
    </row>
    <row r="1181" spans="1:4">
      <c r="A1181" s="3" t="s">
        <v>2575</v>
      </c>
      <c r="B1181" s="3" t="s">
        <v>1588</v>
      </c>
      <c r="C1181" s="3" t="s">
        <v>1588</v>
      </c>
      <c r="D1181" s="3" t="s">
        <v>458</v>
      </c>
    </row>
    <row r="1182" spans="1:4">
      <c r="A1182" s="3" t="s">
        <v>2576</v>
      </c>
      <c r="B1182" s="3" t="s">
        <v>1530</v>
      </c>
      <c r="C1182" s="3" t="s">
        <v>1588</v>
      </c>
      <c r="D1182" s="3" t="s">
        <v>458</v>
      </c>
    </row>
    <row r="1183" spans="1:4">
      <c r="A1183" s="3" t="s">
        <v>2577</v>
      </c>
      <c r="B1183" s="3" t="s">
        <v>2578</v>
      </c>
      <c r="C1183" s="3" t="s">
        <v>1588</v>
      </c>
      <c r="D1183" s="3" t="s">
        <v>458</v>
      </c>
    </row>
    <row r="1184" spans="1:4">
      <c r="A1184" s="3" t="s">
        <v>2579</v>
      </c>
      <c r="B1184" s="3" t="s">
        <v>2580</v>
      </c>
      <c r="C1184" s="3" t="s">
        <v>1588</v>
      </c>
      <c r="D1184" s="3" t="s">
        <v>458</v>
      </c>
    </row>
    <row r="1185" spans="1:4">
      <c r="A1185" s="3" t="s">
        <v>2581</v>
      </c>
      <c r="B1185" s="3" t="s">
        <v>2582</v>
      </c>
      <c r="C1185" s="3" t="s">
        <v>1588</v>
      </c>
      <c r="D1185" s="3" t="s">
        <v>458</v>
      </c>
    </row>
    <row r="1186" spans="1:4">
      <c r="A1186" s="3" t="s">
        <v>2583</v>
      </c>
      <c r="B1186" s="3" t="s">
        <v>2584</v>
      </c>
      <c r="C1186" s="3" t="s">
        <v>1588</v>
      </c>
      <c r="D1186" s="3" t="s">
        <v>458</v>
      </c>
    </row>
    <row r="1187" spans="1:4">
      <c r="A1187" s="3" t="s">
        <v>2585</v>
      </c>
      <c r="B1187" s="3" t="s">
        <v>2586</v>
      </c>
      <c r="C1187" s="3" t="s">
        <v>2586</v>
      </c>
      <c r="D1187" s="3" t="s">
        <v>458</v>
      </c>
    </row>
    <row r="1188" spans="1:4">
      <c r="A1188" s="3" t="s">
        <v>2587</v>
      </c>
      <c r="B1188" s="3" t="s">
        <v>2588</v>
      </c>
      <c r="C1188" s="3" t="s">
        <v>2586</v>
      </c>
      <c r="D1188" s="3" t="s">
        <v>458</v>
      </c>
    </row>
    <row r="1189" spans="1:4">
      <c r="A1189" s="3" t="s">
        <v>2589</v>
      </c>
      <c r="B1189" s="3" t="s">
        <v>2164</v>
      </c>
      <c r="C1189" s="3" t="s">
        <v>2586</v>
      </c>
      <c r="D1189" s="3" t="s">
        <v>458</v>
      </c>
    </row>
    <row r="1190" spans="1:4">
      <c r="A1190" s="3" t="s">
        <v>2590</v>
      </c>
      <c r="B1190" s="3" t="s">
        <v>2420</v>
      </c>
      <c r="C1190" s="3" t="s">
        <v>2420</v>
      </c>
      <c r="D1190" s="3" t="s">
        <v>458</v>
      </c>
    </row>
    <row r="1191" spans="1:4">
      <c r="A1191" s="3" t="s">
        <v>2591</v>
      </c>
      <c r="B1191" s="3" t="s">
        <v>2592</v>
      </c>
      <c r="C1191" s="3" t="s">
        <v>2420</v>
      </c>
      <c r="D1191" s="3" t="s">
        <v>458</v>
      </c>
    </row>
    <row r="1192" spans="1:4">
      <c r="A1192" s="3" t="s">
        <v>2593</v>
      </c>
      <c r="B1192" s="3" t="s">
        <v>2594</v>
      </c>
      <c r="C1192" s="3" t="s">
        <v>2420</v>
      </c>
      <c r="D1192" s="3" t="s">
        <v>458</v>
      </c>
    </row>
    <row r="1193" spans="1:4">
      <c r="A1193" s="3" t="s">
        <v>2595</v>
      </c>
      <c r="B1193" s="3" t="s">
        <v>2596</v>
      </c>
      <c r="C1193" s="3" t="s">
        <v>2420</v>
      </c>
      <c r="D1193" s="3" t="s">
        <v>458</v>
      </c>
    </row>
    <row r="1194" spans="1:4">
      <c r="A1194" s="3" t="s">
        <v>2597</v>
      </c>
      <c r="B1194" s="3" t="s">
        <v>2598</v>
      </c>
      <c r="C1194" s="3" t="s">
        <v>2598</v>
      </c>
      <c r="D1194" s="3" t="s">
        <v>458</v>
      </c>
    </row>
    <row r="1195" spans="1:4">
      <c r="A1195" s="3" t="s">
        <v>2599</v>
      </c>
      <c r="B1195" s="3" t="s">
        <v>2600</v>
      </c>
      <c r="C1195" s="3" t="s">
        <v>2598</v>
      </c>
      <c r="D1195" s="3" t="s">
        <v>458</v>
      </c>
    </row>
    <row r="1196" spans="1:4">
      <c r="A1196" s="3" t="s">
        <v>2601</v>
      </c>
      <c r="B1196" s="3" t="s">
        <v>2602</v>
      </c>
      <c r="C1196" s="3" t="s">
        <v>2598</v>
      </c>
      <c r="D1196" s="3" t="s">
        <v>458</v>
      </c>
    </row>
    <row r="1197" spans="1:4">
      <c r="A1197" s="3" t="s">
        <v>2603</v>
      </c>
      <c r="B1197" s="3" t="s">
        <v>2604</v>
      </c>
      <c r="C1197" s="3" t="s">
        <v>2598</v>
      </c>
      <c r="D1197" s="3" t="s">
        <v>458</v>
      </c>
    </row>
    <row r="1198" spans="1:4">
      <c r="A1198" s="3" t="s">
        <v>2605</v>
      </c>
      <c r="B1198" s="3" t="s">
        <v>2606</v>
      </c>
      <c r="C1198" s="3" t="s">
        <v>2598</v>
      </c>
      <c r="D1198" s="3" t="s">
        <v>458</v>
      </c>
    </row>
    <row r="1199" spans="1:4">
      <c r="A1199" s="3" t="s">
        <v>2607</v>
      </c>
      <c r="B1199" s="3" t="s">
        <v>2608</v>
      </c>
      <c r="C1199" s="3" t="s">
        <v>2598</v>
      </c>
      <c r="D1199" s="3" t="s">
        <v>458</v>
      </c>
    </row>
    <row r="1200" spans="1:4">
      <c r="A1200" s="3" t="s">
        <v>2609</v>
      </c>
      <c r="B1200" s="3" t="s">
        <v>2610</v>
      </c>
      <c r="C1200" s="3" t="s">
        <v>2598</v>
      </c>
      <c r="D1200" s="3" t="s">
        <v>458</v>
      </c>
    </row>
    <row r="1201" spans="1:4">
      <c r="A1201" s="3" t="s">
        <v>2611</v>
      </c>
      <c r="B1201" s="3" t="s">
        <v>2612</v>
      </c>
      <c r="C1201" s="3" t="s">
        <v>2598</v>
      </c>
      <c r="D1201" s="3" t="s">
        <v>458</v>
      </c>
    </row>
    <row r="1202" spans="1:4">
      <c r="A1202" s="3" t="s">
        <v>2613</v>
      </c>
      <c r="B1202" s="3" t="s">
        <v>2614</v>
      </c>
      <c r="C1202" s="3" t="s">
        <v>2598</v>
      </c>
      <c r="D1202" s="3" t="s">
        <v>458</v>
      </c>
    </row>
    <row r="1203" spans="1:4">
      <c r="A1203" s="3" t="s">
        <v>2615</v>
      </c>
      <c r="B1203" s="3" t="s">
        <v>2616</v>
      </c>
      <c r="C1203" s="3" t="s">
        <v>2598</v>
      </c>
      <c r="D1203" s="3" t="s">
        <v>458</v>
      </c>
    </row>
    <row r="1204" spans="1:4">
      <c r="A1204" s="3" t="s">
        <v>2617</v>
      </c>
      <c r="B1204" s="3" t="s">
        <v>2618</v>
      </c>
      <c r="C1204" s="3" t="s">
        <v>2619</v>
      </c>
      <c r="D1204" s="3" t="s">
        <v>458</v>
      </c>
    </row>
    <row r="1205" spans="1:4">
      <c r="A1205" s="3" t="s">
        <v>2620</v>
      </c>
      <c r="B1205" s="3" t="s">
        <v>2621</v>
      </c>
      <c r="C1205" s="3" t="s">
        <v>2619</v>
      </c>
      <c r="D1205" s="3" t="s">
        <v>458</v>
      </c>
    </row>
    <row r="1206" spans="1:4">
      <c r="A1206" s="3" t="s">
        <v>2622</v>
      </c>
      <c r="B1206" s="3" t="s">
        <v>2623</v>
      </c>
      <c r="C1206" s="3" t="s">
        <v>2619</v>
      </c>
      <c r="D1206" s="3" t="s">
        <v>458</v>
      </c>
    </row>
    <row r="1207" spans="1:4">
      <c r="A1207" s="3" t="s">
        <v>2624</v>
      </c>
      <c r="B1207" s="3" t="s">
        <v>2619</v>
      </c>
      <c r="C1207" s="3" t="s">
        <v>2619</v>
      </c>
      <c r="D1207" s="3" t="s">
        <v>458</v>
      </c>
    </row>
    <row r="1208" spans="1:4">
      <c r="A1208" s="3" t="s">
        <v>2625</v>
      </c>
      <c r="B1208" s="3" t="s">
        <v>2626</v>
      </c>
      <c r="C1208" s="3" t="s">
        <v>2619</v>
      </c>
      <c r="D1208" s="3" t="s">
        <v>458</v>
      </c>
    </row>
    <row r="1209" spans="1:4">
      <c r="A1209" s="3" t="s">
        <v>2627</v>
      </c>
      <c r="B1209" s="3" t="s">
        <v>2628</v>
      </c>
      <c r="C1209" s="3" t="s">
        <v>2629</v>
      </c>
      <c r="D1209" s="3" t="s">
        <v>458</v>
      </c>
    </row>
    <row r="1210" spans="1:4">
      <c r="A1210" s="3" t="s">
        <v>2630</v>
      </c>
      <c r="B1210" s="3" t="s">
        <v>2631</v>
      </c>
      <c r="C1210" s="3" t="s">
        <v>2629</v>
      </c>
      <c r="D1210" s="3" t="s">
        <v>458</v>
      </c>
    </row>
    <row r="1211" spans="1:4">
      <c r="A1211" s="3" t="s">
        <v>2632</v>
      </c>
      <c r="B1211" s="3" t="s">
        <v>2633</v>
      </c>
      <c r="C1211" s="3" t="s">
        <v>2629</v>
      </c>
      <c r="D1211" s="3" t="s">
        <v>458</v>
      </c>
    </row>
    <row r="1212" spans="1:4">
      <c r="A1212" s="3" t="s">
        <v>2634</v>
      </c>
      <c r="B1212" s="3" t="s">
        <v>2635</v>
      </c>
      <c r="C1212" s="3" t="s">
        <v>2629</v>
      </c>
      <c r="D1212" s="3" t="s">
        <v>458</v>
      </c>
    </row>
    <row r="1213" spans="1:4">
      <c r="A1213" s="3" t="s">
        <v>2636</v>
      </c>
      <c r="B1213" s="3" t="s">
        <v>2637</v>
      </c>
      <c r="C1213" s="3" t="s">
        <v>2629</v>
      </c>
      <c r="D1213" s="3" t="s">
        <v>458</v>
      </c>
    </row>
    <row r="1214" spans="1:4">
      <c r="A1214" s="3" t="s">
        <v>2638</v>
      </c>
      <c r="B1214" s="3" t="s">
        <v>2639</v>
      </c>
      <c r="C1214" s="3" t="s">
        <v>2629</v>
      </c>
      <c r="D1214" s="3" t="s">
        <v>458</v>
      </c>
    </row>
    <row r="1215" spans="1:4">
      <c r="A1215" s="3" t="s">
        <v>2640</v>
      </c>
      <c r="B1215" s="3" t="s">
        <v>2641</v>
      </c>
      <c r="C1215" s="3" t="s">
        <v>2629</v>
      </c>
      <c r="D1215" s="3" t="s">
        <v>458</v>
      </c>
    </row>
    <row r="1216" spans="1:4">
      <c r="A1216" s="3" t="s">
        <v>2642</v>
      </c>
      <c r="B1216" s="3" t="s">
        <v>2643</v>
      </c>
      <c r="C1216" s="3" t="s">
        <v>2629</v>
      </c>
      <c r="D1216" s="3" t="s">
        <v>458</v>
      </c>
    </row>
    <row r="1217" spans="1:4">
      <c r="A1217" s="3" t="s">
        <v>2644</v>
      </c>
      <c r="B1217" s="3" t="s">
        <v>2629</v>
      </c>
      <c r="C1217" s="3" t="s">
        <v>2629</v>
      </c>
      <c r="D1217" s="3" t="s">
        <v>458</v>
      </c>
    </row>
    <row r="1218" spans="1:4">
      <c r="A1218" s="3" t="s">
        <v>2645</v>
      </c>
      <c r="B1218" s="3" t="s">
        <v>2646</v>
      </c>
      <c r="C1218" s="3" t="s">
        <v>2629</v>
      </c>
      <c r="D1218" s="3" t="s">
        <v>458</v>
      </c>
    </row>
    <row r="1219" spans="1:4">
      <c r="A1219" s="3" t="s">
        <v>2647</v>
      </c>
      <c r="B1219" s="3" t="s">
        <v>2648</v>
      </c>
      <c r="C1219" s="3" t="s">
        <v>2629</v>
      </c>
      <c r="D1219" s="3" t="s">
        <v>458</v>
      </c>
    </row>
    <row r="1220" spans="1:4">
      <c r="A1220" s="3" t="s">
        <v>2649</v>
      </c>
      <c r="B1220" s="3" t="s">
        <v>2650</v>
      </c>
      <c r="C1220" s="3" t="s">
        <v>2629</v>
      </c>
      <c r="D1220" s="3" t="s">
        <v>458</v>
      </c>
    </row>
    <row r="1221" spans="1:4">
      <c r="A1221" s="3" t="s">
        <v>2651</v>
      </c>
      <c r="B1221" s="3" t="s">
        <v>2652</v>
      </c>
      <c r="C1221" s="3" t="s">
        <v>2629</v>
      </c>
      <c r="D1221" s="3" t="s">
        <v>458</v>
      </c>
    </row>
    <row r="1222" spans="1:4">
      <c r="A1222" s="3" t="s">
        <v>2653</v>
      </c>
      <c r="B1222" s="3" t="s">
        <v>2654</v>
      </c>
      <c r="C1222" s="3" t="s">
        <v>2655</v>
      </c>
      <c r="D1222" s="3" t="s">
        <v>458</v>
      </c>
    </row>
    <row r="1223" spans="1:4">
      <c r="A1223" s="3" t="s">
        <v>2656</v>
      </c>
      <c r="B1223" s="3" t="s">
        <v>2657</v>
      </c>
      <c r="C1223" s="3" t="s">
        <v>2655</v>
      </c>
      <c r="D1223" s="3" t="s">
        <v>458</v>
      </c>
    </row>
    <row r="1224" spans="1:4">
      <c r="A1224" s="3" t="s">
        <v>2658</v>
      </c>
      <c r="B1224" s="3" t="s">
        <v>2659</v>
      </c>
      <c r="C1224" s="3" t="s">
        <v>2655</v>
      </c>
      <c r="D1224" s="3" t="s">
        <v>458</v>
      </c>
    </row>
    <row r="1225" spans="1:4">
      <c r="A1225" s="3" t="s">
        <v>2660</v>
      </c>
      <c r="B1225" s="3" t="s">
        <v>2661</v>
      </c>
      <c r="C1225" s="3" t="s">
        <v>2655</v>
      </c>
      <c r="D1225" s="3" t="s">
        <v>458</v>
      </c>
    </row>
    <row r="1226" spans="1:4">
      <c r="A1226" s="3" t="s">
        <v>2662</v>
      </c>
      <c r="B1226" s="3" t="s">
        <v>2663</v>
      </c>
      <c r="C1226" s="3" t="s">
        <v>2655</v>
      </c>
      <c r="D1226" s="3" t="s">
        <v>458</v>
      </c>
    </row>
    <row r="1227" spans="1:4">
      <c r="A1227" s="3" t="s">
        <v>2664</v>
      </c>
      <c r="B1227" s="3" t="s">
        <v>2665</v>
      </c>
      <c r="C1227" s="3" t="s">
        <v>2655</v>
      </c>
      <c r="D1227" s="3" t="s">
        <v>458</v>
      </c>
    </row>
    <row r="1228" spans="1:4">
      <c r="A1228" s="3" t="s">
        <v>2666</v>
      </c>
      <c r="B1228" s="3" t="s">
        <v>2667</v>
      </c>
      <c r="C1228" s="3" t="s">
        <v>2655</v>
      </c>
      <c r="D1228" s="3" t="s">
        <v>458</v>
      </c>
    </row>
    <row r="1229" spans="1:4">
      <c r="A1229" s="3" t="s">
        <v>2668</v>
      </c>
      <c r="B1229" s="3" t="s">
        <v>2669</v>
      </c>
      <c r="C1229" s="3" t="s">
        <v>2655</v>
      </c>
      <c r="D1229" s="3" t="s">
        <v>458</v>
      </c>
    </row>
    <row r="1230" spans="1:4">
      <c r="A1230" s="3" t="s">
        <v>2670</v>
      </c>
      <c r="B1230" s="3" t="s">
        <v>2671</v>
      </c>
      <c r="C1230" s="3" t="s">
        <v>2671</v>
      </c>
      <c r="D1230" s="3" t="s">
        <v>458</v>
      </c>
    </row>
    <row r="1231" spans="1:4">
      <c r="A1231" s="3" t="s">
        <v>2672</v>
      </c>
      <c r="B1231" s="3" t="s">
        <v>2673</v>
      </c>
      <c r="C1231" s="3" t="s">
        <v>2671</v>
      </c>
      <c r="D1231" s="3" t="s">
        <v>458</v>
      </c>
    </row>
    <row r="1232" spans="1:4">
      <c r="A1232" s="3" t="s">
        <v>2674</v>
      </c>
      <c r="B1232" s="3" t="s">
        <v>2675</v>
      </c>
      <c r="C1232" s="3" t="s">
        <v>2671</v>
      </c>
      <c r="D1232" s="3" t="s">
        <v>458</v>
      </c>
    </row>
    <row r="1233" spans="1:4">
      <c r="A1233" s="3" t="s">
        <v>2676</v>
      </c>
      <c r="B1233" s="3" t="s">
        <v>2677</v>
      </c>
      <c r="C1233" s="3" t="s">
        <v>2671</v>
      </c>
      <c r="D1233" s="3" t="s">
        <v>458</v>
      </c>
    </row>
    <row r="1234" spans="1:4">
      <c r="A1234" s="3" t="s">
        <v>2678</v>
      </c>
      <c r="B1234" s="3" t="s">
        <v>1693</v>
      </c>
      <c r="C1234" s="3" t="s">
        <v>2671</v>
      </c>
      <c r="D1234" s="3" t="s">
        <v>458</v>
      </c>
    </row>
    <row r="1235" spans="1:4">
      <c r="A1235" s="3" t="s">
        <v>2679</v>
      </c>
      <c r="B1235" s="3" t="s">
        <v>2680</v>
      </c>
      <c r="C1235" s="3" t="s">
        <v>2671</v>
      </c>
      <c r="D1235" s="3" t="s">
        <v>458</v>
      </c>
    </row>
    <row r="1236" spans="1:4">
      <c r="A1236" s="3" t="s">
        <v>2681</v>
      </c>
      <c r="B1236" s="3" t="s">
        <v>2682</v>
      </c>
      <c r="C1236" s="3" t="s">
        <v>2671</v>
      </c>
      <c r="D1236" s="3" t="s">
        <v>458</v>
      </c>
    </row>
    <row r="1237" spans="1:4">
      <c r="A1237" s="3" t="s">
        <v>2683</v>
      </c>
      <c r="B1237" s="3" t="s">
        <v>2684</v>
      </c>
      <c r="C1237" s="3" t="s">
        <v>2671</v>
      </c>
      <c r="D1237" s="3" t="s">
        <v>458</v>
      </c>
    </row>
    <row r="1238" spans="1:4">
      <c r="A1238" s="3" t="s">
        <v>2685</v>
      </c>
      <c r="B1238" s="3" t="s">
        <v>2686</v>
      </c>
      <c r="C1238" s="3" t="s">
        <v>2687</v>
      </c>
      <c r="D1238" s="3" t="s">
        <v>458</v>
      </c>
    </row>
    <row r="1239" spans="1:4">
      <c r="A1239" s="3" t="s">
        <v>2688</v>
      </c>
      <c r="B1239" s="3" t="s">
        <v>650</v>
      </c>
      <c r="C1239" s="3" t="s">
        <v>2687</v>
      </c>
      <c r="D1239" s="3" t="s">
        <v>458</v>
      </c>
    </row>
    <row r="1240" spans="1:4">
      <c r="A1240" s="3" t="s">
        <v>2689</v>
      </c>
      <c r="B1240" s="3" t="s">
        <v>2690</v>
      </c>
      <c r="C1240" s="3" t="s">
        <v>2687</v>
      </c>
      <c r="D1240" s="3" t="s">
        <v>458</v>
      </c>
    </row>
    <row r="1241" spans="1:4">
      <c r="A1241" s="3" t="s">
        <v>2691</v>
      </c>
      <c r="B1241" s="3" t="s">
        <v>2692</v>
      </c>
      <c r="C1241" s="3" t="s">
        <v>2687</v>
      </c>
      <c r="D1241" s="3" t="s">
        <v>458</v>
      </c>
    </row>
    <row r="1242" spans="1:4">
      <c r="A1242" s="3" t="s">
        <v>2693</v>
      </c>
      <c r="B1242" s="3" t="s">
        <v>2694</v>
      </c>
      <c r="C1242" s="3" t="s">
        <v>2694</v>
      </c>
      <c r="D1242" s="3" t="s">
        <v>458</v>
      </c>
    </row>
    <row r="1243" spans="1:4">
      <c r="A1243" s="3" t="s">
        <v>2695</v>
      </c>
      <c r="B1243" s="3" t="s">
        <v>2696</v>
      </c>
      <c r="C1243" s="3" t="s">
        <v>2694</v>
      </c>
      <c r="D1243" s="3" t="s">
        <v>458</v>
      </c>
    </row>
    <row r="1244" spans="1:4">
      <c r="A1244" s="3" t="s">
        <v>2697</v>
      </c>
      <c r="B1244" s="3" t="s">
        <v>2698</v>
      </c>
      <c r="C1244" s="3" t="s">
        <v>2694</v>
      </c>
      <c r="D1244" s="3" t="s">
        <v>458</v>
      </c>
    </row>
    <row r="1245" spans="1:4">
      <c r="A1245" s="3" t="s">
        <v>2699</v>
      </c>
      <c r="B1245" s="3" t="s">
        <v>2700</v>
      </c>
      <c r="C1245" s="3" t="s">
        <v>2700</v>
      </c>
      <c r="D1245" s="3" t="s">
        <v>2701</v>
      </c>
    </row>
    <row r="1246" spans="1:4">
      <c r="A1246" s="3" t="s">
        <v>2702</v>
      </c>
      <c r="B1246" s="3" t="s">
        <v>2703</v>
      </c>
      <c r="C1246" s="3" t="s">
        <v>2700</v>
      </c>
      <c r="D1246" s="3" t="s">
        <v>2701</v>
      </c>
    </row>
    <row r="1247" spans="1:4">
      <c r="A1247" s="3" t="s">
        <v>2704</v>
      </c>
      <c r="B1247" s="3" t="s">
        <v>2705</v>
      </c>
      <c r="C1247" s="3" t="s">
        <v>2700</v>
      </c>
      <c r="D1247" s="3" t="s">
        <v>2701</v>
      </c>
    </row>
    <row r="1248" spans="1:4">
      <c r="A1248" s="3" t="s">
        <v>2706</v>
      </c>
      <c r="B1248" s="3" t="s">
        <v>2707</v>
      </c>
      <c r="C1248" s="3" t="s">
        <v>2700</v>
      </c>
      <c r="D1248" s="3" t="s">
        <v>2701</v>
      </c>
    </row>
    <row r="1249" spans="1:4">
      <c r="A1249" s="3" t="s">
        <v>2708</v>
      </c>
      <c r="B1249" s="3" t="s">
        <v>2709</v>
      </c>
      <c r="C1249" s="3" t="s">
        <v>2700</v>
      </c>
      <c r="D1249" s="3" t="s">
        <v>2701</v>
      </c>
    </row>
    <row r="1250" spans="1:4">
      <c r="A1250" s="3" t="s">
        <v>2710</v>
      </c>
      <c r="B1250" s="3" t="s">
        <v>2711</v>
      </c>
      <c r="C1250" s="3" t="s">
        <v>2700</v>
      </c>
      <c r="D1250" s="3" t="s">
        <v>2701</v>
      </c>
    </row>
    <row r="1251" spans="1:4">
      <c r="A1251" s="3" t="s">
        <v>2712</v>
      </c>
      <c r="B1251" s="3" t="s">
        <v>2713</v>
      </c>
      <c r="C1251" s="3" t="s">
        <v>2700</v>
      </c>
      <c r="D1251" s="3" t="s">
        <v>2701</v>
      </c>
    </row>
    <row r="1252" spans="1:4">
      <c r="A1252" s="3" t="s">
        <v>2714</v>
      </c>
      <c r="B1252" s="3" t="s">
        <v>2715</v>
      </c>
      <c r="C1252" s="3" t="s">
        <v>2700</v>
      </c>
      <c r="D1252" s="3" t="s">
        <v>2701</v>
      </c>
    </row>
    <row r="1253" spans="1:4">
      <c r="A1253" s="3" t="s">
        <v>2716</v>
      </c>
      <c r="B1253" s="3" t="s">
        <v>2717</v>
      </c>
      <c r="C1253" s="3" t="s">
        <v>2700</v>
      </c>
      <c r="D1253" s="3" t="s">
        <v>2701</v>
      </c>
    </row>
    <row r="1254" spans="1:4">
      <c r="A1254" s="3" t="s">
        <v>2718</v>
      </c>
      <c r="B1254" s="3" t="s">
        <v>2719</v>
      </c>
      <c r="C1254" s="3" t="s">
        <v>2700</v>
      </c>
      <c r="D1254" s="3" t="s">
        <v>2701</v>
      </c>
    </row>
    <row r="1255" spans="1:4">
      <c r="A1255" s="3" t="s">
        <v>2720</v>
      </c>
      <c r="B1255" s="3" t="s">
        <v>2721</v>
      </c>
      <c r="C1255" s="3" t="s">
        <v>2700</v>
      </c>
      <c r="D1255" s="3" t="s">
        <v>2701</v>
      </c>
    </row>
    <row r="1256" spans="1:4">
      <c r="A1256" s="3" t="s">
        <v>2722</v>
      </c>
      <c r="B1256" s="3" t="s">
        <v>2723</v>
      </c>
      <c r="C1256" s="3" t="s">
        <v>2700</v>
      </c>
      <c r="D1256" s="3" t="s">
        <v>2701</v>
      </c>
    </row>
    <row r="1257" spans="1:4">
      <c r="A1257" s="3" t="s">
        <v>2724</v>
      </c>
      <c r="B1257" s="3" t="s">
        <v>2725</v>
      </c>
      <c r="C1257" s="3" t="s">
        <v>2700</v>
      </c>
      <c r="D1257" s="3" t="s">
        <v>2701</v>
      </c>
    </row>
    <row r="1258" spans="1:4">
      <c r="A1258" s="3" t="s">
        <v>2726</v>
      </c>
      <c r="B1258" s="3" t="s">
        <v>424</v>
      </c>
      <c r="C1258" s="3" t="s">
        <v>2700</v>
      </c>
      <c r="D1258" s="3" t="s">
        <v>2701</v>
      </c>
    </row>
    <row r="1259" spans="1:4">
      <c r="A1259" s="3" t="s">
        <v>2727</v>
      </c>
      <c r="B1259" s="3" t="s">
        <v>2728</v>
      </c>
      <c r="C1259" s="3" t="s">
        <v>2700</v>
      </c>
      <c r="D1259" s="3" t="s">
        <v>2701</v>
      </c>
    </row>
    <row r="1260" spans="1:4">
      <c r="A1260" s="3" t="s">
        <v>2729</v>
      </c>
      <c r="B1260" s="3" t="s">
        <v>2730</v>
      </c>
      <c r="C1260" s="3" t="s">
        <v>2700</v>
      </c>
      <c r="D1260" s="3" t="s">
        <v>2701</v>
      </c>
    </row>
    <row r="1261" spans="1:4">
      <c r="A1261" s="3" t="s">
        <v>2731</v>
      </c>
      <c r="B1261" s="3" t="s">
        <v>2732</v>
      </c>
      <c r="C1261" s="3" t="s">
        <v>2700</v>
      </c>
      <c r="D1261" s="3" t="s">
        <v>2701</v>
      </c>
    </row>
    <row r="1262" spans="1:4">
      <c r="A1262" s="3" t="s">
        <v>2733</v>
      </c>
      <c r="B1262" s="3" t="s">
        <v>2734</v>
      </c>
      <c r="C1262" s="3" t="s">
        <v>2700</v>
      </c>
      <c r="D1262" s="3" t="s">
        <v>2701</v>
      </c>
    </row>
    <row r="1263" spans="1:4">
      <c r="A1263" s="3" t="s">
        <v>2735</v>
      </c>
      <c r="B1263" s="3" t="s">
        <v>2736</v>
      </c>
      <c r="C1263" s="3" t="s">
        <v>2700</v>
      </c>
      <c r="D1263" s="3" t="s">
        <v>2701</v>
      </c>
    </row>
    <row r="1264" spans="1:4">
      <c r="A1264" s="3" t="s">
        <v>2737</v>
      </c>
      <c r="B1264" s="3" t="s">
        <v>2738</v>
      </c>
      <c r="C1264" s="3" t="s">
        <v>2700</v>
      </c>
      <c r="D1264" s="3" t="s">
        <v>2701</v>
      </c>
    </row>
    <row r="1265" spans="1:4">
      <c r="A1265" s="3" t="s">
        <v>2739</v>
      </c>
      <c r="B1265" s="3" t="s">
        <v>2740</v>
      </c>
      <c r="C1265" s="3" t="s">
        <v>2740</v>
      </c>
      <c r="D1265" s="3" t="s">
        <v>2701</v>
      </c>
    </row>
    <row r="1266" spans="1:4">
      <c r="A1266" s="3" t="s">
        <v>2741</v>
      </c>
      <c r="B1266" s="3" t="s">
        <v>2742</v>
      </c>
      <c r="C1266" s="3" t="s">
        <v>2740</v>
      </c>
      <c r="D1266" s="3" t="s">
        <v>2701</v>
      </c>
    </row>
    <row r="1267" spans="1:4">
      <c r="A1267" s="3" t="s">
        <v>2743</v>
      </c>
      <c r="B1267" s="3" t="s">
        <v>2744</v>
      </c>
      <c r="C1267" s="3" t="s">
        <v>2740</v>
      </c>
      <c r="D1267" s="3" t="s">
        <v>2701</v>
      </c>
    </row>
    <row r="1268" spans="1:4">
      <c r="A1268" s="3" t="s">
        <v>2745</v>
      </c>
      <c r="B1268" s="3" t="s">
        <v>2746</v>
      </c>
      <c r="C1268" s="3" t="s">
        <v>2740</v>
      </c>
      <c r="D1268" s="3" t="s">
        <v>2701</v>
      </c>
    </row>
    <row r="1269" spans="1:4">
      <c r="A1269" s="3" t="s">
        <v>2747</v>
      </c>
      <c r="B1269" s="3" t="s">
        <v>2748</v>
      </c>
      <c r="C1269" s="3" t="s">
        <v>2740</v>
      </c>
      <c r="D1269" s="3" t="s">
        <v>2701</v>
      </c>
    </row>
    <row r="1270" spans="1:4">
      <c r="A1270" s="3" t="s">
        <v>2749</v>
      </c>
      <c r="B1270" s="3" t="s">
        <v>2164</v>
      </c>
      <c r="C1270" s="3" t="s">
        <v>2740</v>
      </c>
      <c r="D1270" s="3" t="s">
        <v>2701</v>
      </c>
    </row>
    <row r="1271" spans="1:4">
      <c r="A1271" s="3" t="s">
        <v>2750</v>
      </c>
      <c r="B1271" s="3" t="s">
        <v>2701</v>
      </c>
      <c r="C1271" s="3" t="s">
        <v>2701</v>
      </c>
      <c r="D1271" s="3" t="s">
        <v>2701</v>
      </c>
    </row>
    <row r="1272" spans="1:4">
      <c r="A1272" s="3" t="s">
        <v>2751</v>
      </c>
      <c r="B1272" s="3" t="s">
        <v>2752</v>
      </c>
      <c r="C1272" s="3" t="s">
        <v>2701</v>
      </c>
      <c r="D1272" s="3" t="s">
        <v>2701</v>
      </c>
    </row>
    <row r="1273" spans="1:4">
      <c r="A1273" s="3" t="s">
        <v>2753</v>
      </c>
      <c r="B1273" s="3" t="s">
        <v>2754</v>
      </c>
      <c r="C1273" s="3" t="s">
        <v>2701</v>
      </c>
      <c r="D1273" s="3" t="s">
        <v>2701</v>
      </c>
    </row>
    <row r="1274" spans="1:4">
      <c r="A1274" s="3" t="s">
        <v>2755</v>
      </c>
      <c r="B1274" s="3" t="s">
        <v>2756</v>
      </c>
      <c r="C1274" s="3" t="s">
        <v>2701</v>
      </c>
      <c r="D1274" s="3" t="s">
        <v>2701</v>
      </c>
    </row>
    <row r="1275" spans="1:4">
      <c r="A1275" s="3" t="s">
        <v>2757</v>
      </c>
      <c r="B1275" s="3" t="s">
        <v>2758</v>
      </c>
      <c r="C1275" s="3" t="s">
        <v>2701</v>
      </c>
      <c r="D1275" s="3" t="s">
        <v>2701</v>
      </c>
    </row>
    <row r="1276" spans="1:4">
      <c r="A1276" s="3" t="s">
        <v>2759</v>
      </c>
      <c r="B1276" s="3" t="s">
        <v>2760</v>
      </c>
      <c r="C1276" s="3" t="s">
        <v>2701</v>
      </c>
      <c r="D1276" s="3" t="s">
        <v>2701</v>
      </c>
    </row>
    <row r="1277" spans="1:4">
      <c r="A1277" s="3" t="s">
        <v>2761</v>
      </c>
      <c r="B1277" s="3" t="s">
        <v>2762</v>
      </c>
      <c r="C1277" s="3" t="s">
        <v>2701</v>
      </c>
      <c r="D1277" s="3" t="s">
        <v>2701</v>
      </c>
    </row>
    <row r="1278" spans="1:4">
      <c r="A1278" s="3" t="s">
        <v>2763</v>
      </c>
      <c r="B1278" s="3" t="s">
        <v>2764</v>
      </c>
      <c r="C1278" s="3" t="s">
        <v>2701</v>
      </c>
      <c r="D1278" s="3" t="s">
        <v>2701</v>
      </c>
    </row>
    <row r="1279" spans="1:4">
      <c r="A1279" s="3" t="s">
        <v>2765</v>
      </c>
      <c r="B1279" s="3" t="s">
        <v>2766</v>
      </c>
      <c r="C1279" s="3" t="s">
        <v>2701</v>
      </c>
      <c r="D1279" s="3" t="s">
        <v>2701</v>
      </c>
    </row>
    <row r="1280" spans="1:4">
      <c r="A1280" s="3" t="s">
        <v>2767</v>
      </c>
      <c r="B1280" s="3" t="s">
        <v>2241</v>
      </c>
      <c r="C1280" s="3" t="s">
        <v>2701</v>
      </c>
      <c r="D1280" s="3" t="s">
        <v>2701</v>
      </c>
    </row>
    <row r="1281" spans="1:4">
      <c r="A1281" s="3" t="s">
        <v>2768</v>
      </c>
      <c r="B1281" s="3" t="s">
        <v>2626</v>
      </c>
      <c r="C1281" s="3" t="s">
        <v>2701</v>
      </c>
      <c r="D1281" s="3" t="s">
        <v>2701</v>
      </c>
    </row>
    <row r="1282" spans="1:4">
      <c r="A1282" s="3" t="s">
        <v>2769</v>
      </c>
      <c r="B1282" s="3" t="s">
        <v>2770</v>
      </c>
      <c r="C1282" s="3" t="s">
        <v>2701</v>
      </c>
      <c r="D1282" s="3" t="s">
        <v>2701</v>
      </c>
    </row>
    <row r="1283" spans="1:4">
      <c r="A1283" s="3" t="s">
        <v>2771</v>
      </c>
      <c r="B1283" s="3" t="s">
        <v>2772</v>
      </c>
      <c r="C1283" s="3" t="s">
        <v>2772</v>
      </c>
      <c r="D1283" s="3" t="s">
        <v>2772</v>
      </c>
    </row>
    <row r="1284" spans="1:4">
      <c r="A1284" s="3" t="s">
        <v>2773</v>
      </c>
      <c r="B1284" s="3" t="s">
        <v>2774</v>
      </c>
      <c r="C1284" s="3" t="s">
        <v>2772</v>
      </c>
      <c r="D1284" s="3" t="s">
        <v>2772</v>
      </c>
    </row>
    <row r="1285" spans="1:4">
      <c r="A1285" s="3" t="s">
        <v>2775</v>
      </c>
      <c r="B1285" s="3" t="s">
        <v>2776</v>
      </c>
      <c r="C1285" s="3" t="s">
        <v>2772</v>
      </c>
      <c r="D1285" s="3" t="s">
        <v>2772</v>
      </c>
    </row>
    <row r="1286" spans="1:4">
      <c r="A1286" s="3" t="s">
        <v>2777</v>
      </c>
      <c r="B1286" s="3" t="s">
        <v>2778</v>
      </c>
      <c r="C1286" s="3" t="s">
        <v>2772</v>
      </c>
      <c r="D1286" s="3" t="s">
        <v>2772</v>
      </c>
    </row>
    <row r="1287" spans="1:4">
      <c r="A1287" s="3" t="s">
        <v>2779</v>
      </c>
      <c r="B1287" s="3" t="s">
        <v>2780</v>
      </c>
      <c r="C1287" s="3" t="s">
        <v>2772</v>
      </c>
      <c r="D1287" s="3" t="s">
        <v>2772</v>
      </c>
    </row>
    <row r="1288" spans="1:4">
      <c r="A1288" s="3" t="s">
        <v>2781</v>
      </c>
      <c r="B1288" s="3" t="s">
        <v>2782</v>
      </c>
      <c r="C1288" s="3" t="s">
        <v>2772</v>
      </c>
      <c r="D1288" s="3" t="s">
        <v>2772</v>
      </c>
    </row>
    <row r="1289" spans="1:4">
      <c r="A1289" s="3" t="s">
        <v>2783</v>
      </c>
      <c r="B1289" s="3" t="s">
        <v>2784</v>
      </c>
      <c r="C1289" s="3" t="s">
        <v>2772</v>
      </c>
      <c r="D1289" s="3" t="s">
        <v>2772</v>
      </c>
    </row>
    <row r="1290" spans="1:4">
      <c r="A1290" s="3" t="s">
        <v>2785</v>
      </c>
      <c r="B1290" s="3" t="s">
        <v>2786</v>
      </c>
      <c r="C1290" s="3" t="s">
        <v>2772</v>
      </c>
      <c r="D1290" s="3" t="s">
        <v>2772</v>
      </c>
    </row>
    <row r="1291" spans="1:4">
      <c r="A1291" s="3" t="s">
        <v>2787</v>
      </c>
      <c r="B1291" s="3" t="s">
        <v>2788</v>
      </c>
      <c r="C1291" s="3" t="s">
        <v>2772</v>
      </c>
      <c r="D1291" s="3" t="s">
        <v>2772</v>
      </c>
    </row>
    <row r="1292" spans="1:4">
      <c r="A1292" s="3" t="s">
        <v>2789</v>
      </c>
      <c r="B1292" s="3" t="s">
        <v>2367</v>
      </c>
      <c r="C1292" s="3" t="s">
        <v>2772</v>
      </c>
      <c r="D1292" s="3" t="s">
        <v>2772</v>
      </c>
    </row>
    <row r="1293" spans="1:4">
      <c r="A1293" s="3" t="s">
        <v>2790</v>
      </c>
      <c r="B1293" s="3" t="s">
        <v>2791</v>
      </c>
      <c r="C1293" s="3" t="s">
        <v>2772</v>
      </c>
      <c r="D1293" s="3" t="s">
        <v>2772</v>
      </c>
    </row>
    <row r="1294" spans="1:4">
      <c r="A1294" s="3" t="s">
        <v>2792</v>
      </c>
      <c r="B1294" s="3" t="s">
        <v>454</v>
      </c>
      <c r="C1294" s="3" t="s">
        <v>2772</v>
      </c>
      <c r="D1294" s="3" t="s">
        <v>2772</v>
      </c>
    </row>
    <row r="1295" spans="1:4">
      <c r="A1295" s="3" t="s">
        <v>2793</v>
      </c>
      <c r="B1295" s="3" t="s">
        <v>2794</v>
      </c>
      <c r="C1295" s="3" t="s">
        <v>2772</v>
      </c>
      <c r="D1295" s="3" t="s">
        <v>2772</v>
      </c>
    </row>
    <row r="1296" spans="1:4">
      <c r="A1296" s="3" t="s">
        <v>2795</v>
      </c>
      <c r="B1296" s="3" t="s">
        <v>2796</v>
      </c>
      <c r="C1296" s="3" t="s">
        <v>2772</v>
      </c>
      <c r="D1296" s="3" t="s">
        <v>2772</v>
      </c>
    </row>
    <row r="1297" spans="1:4">
      <c r="A1297" s="3" t="s">
        <v>2797</v>
      </c>
      <c r="B1297" s="3" t="s">
        <v>2711</v>
      </c>
      <c r="C1297" s="3" t="s">
        <v>2772</v>
      </c>
      <c r="D1297" s="3" t="s">
        <v>2772</v>
      </c>
    </row>
    <row r="1298" spans="1:4">
      <c r="A1298" s="3" t="s">
        <v>2798</v>
      </c>
      <c r="B1298" s="3" t="s">
        <v>2799</v>
      </c>
      <c r="C1298" s="3" t="s">
        <v>2772</v>
      </c>
      <c r="D1298" s="3" t="s">
        <v>2772</v>
      </c>
    </row>
    <row r="1299" spans="1:4">
      <c r="A1299" s="3" t="s">
        <v>2800</v>
      </c>
      <c r="B1299" s="3" t="s">
        <v>2801</v>
      </c>
      <c r="C1299" s="3" t="s">
        <v>2772</v>
      </c>
      <c r="D1299" s="3" t="s">
        <v>2772</v>
      </c>
    </row>
    <row r="1300" spans="1:4">
      <c r="A1300" s="3" t="s">
        <v>2802</v>
      </c>
      <c r="B1300" s="3" t="s">
        <v>2803</v>
      </c>
      <c r="C1300" s="3" t="s">
        <v>2772</v>
      </c>
      <c r="D1300" s="3" t="s">
        <v>2772</v>
      </c>
    </row>
    <row r="1301" spans="1:4">
      <c r="A1301" s="3" t="s">
        <v>2804</v>
      </c>
      <c r="B1301" s="3" t="s">
        <v>2805</v>
      </c>
      <c r="C1301" s="3" t="s">
        <v>2772</v>
      </c>
      <c r="D1301" s="3" t="s">
        <v>2772</v>
      </c>
    </row>
    <row r="1302" spans="1:4">
      <c r="A1302" s="3" t="s">
        <v>2806</v>
      </c>
      <c r="B1302" s="3" t="s">
        <v>2807</v>
      </c>
      <c r="C1302" s="3" t="s">
        <v>2772</v>
      </c>
      <c r="D1302" s="3" t="s">
        <v>2772</v>
      </c>
    </row>
    <row r="1303" spans="1:4">
      <c r="A1303" s="3" t="s">
        <v>2808</v>
      </c>
      <c r="B1303" s="3" t="s">
        <v>629</v>
      </c>
      <c r="C1303" s="3" t="s">
        <v>2772</v>
      </c>
      <c r="D1303" s="3" t="s">
        <v>2772</v>
      </c>
    </row>
    <row r="1304" spans="1:4">
      <c r="A1304" s="3" t="s">
        <v>2809</v>
      </c>
      <c r="B1304" s="3" t="s">
        <v>961</v>
      </c>
      <c r="C1304" s="3" t="s">
        <v>2772</v>
      </c>
      <c r="D1304" s="3" t="s">
        <v>2772</v>
      </c>
    </row>
    <row r="1305" spans="1:4">
      <c r="A1305" s="3" t="s">
        <v>2810</v>
      </c>
      <c r="B1305" s="3" t="s">
        <v>2811</v>
      </c>
      <c r="C1305" s="3" t="s">
        <v>2772</v>
      </c>
      <c r="D1305" s="3" t="s">
        <v>2772</v>
      </c>
    </row>
    <row r="1306" spans="1:4">
      <c r="A1306" s="3" t="s">
        <v>2812</v>
      </c>
      <c r="B1306" s="3" t="s">
        <v>2813</v>
      </c>
      <c r="C1306" s="3" t="s">
        <v>2772</v>
      </c>
      <c r="D1306" s="3" t="s">
        <v>2772</v>
      </c>
    </row>
    <row r="1307" spans="1:4">
      <c r="A1307" s="3" t="s">
        <v>2814</v>
      </c>
      <c r="B1307" s="3" t="s">
        <v>2815</v>
      </c>
      <c r="C1307" s="3" t="s">
        <v>2772</v>
      </c>
      <c r="D1307" s="3" t="s">
        <v>2772</v>
      </c>
    </row>
    <row r="1308" spans="1:4">
      <c r="A1308" s="3" t="s">
        <v>2816</v>
      </c>
      <c r="B1308" s="3" t="s">
        <v>2817</v>
      </c>
      <c r="C1308" s="3" t="s">
        <v>2772</v>
      </c>
      <c r="D1308" s="3" t="s">
        <v>2772</v>
      </c>
    </row>
    <row r="1309" spans="1:4">
      <c r="A1309" s="3" t="s">
        <v>2818</v>
      </c>
      <c r="B1309" s="3" t="s">
        <v>2819</v>
      </c>
      <c r="C1309" s="3" t="s">
        <v>2772</v>
      </c>
      <c r="D1309" s="3" t="s">
        <v>2772</v>
      </c>
    </row>
    <row r="1310" spans="1:4">
      <c r="A1310" s="3" t="s">
        <v>2820</v>
      </c>
      <c r="B1310" s="3" t="s">
        <v>2821</v>
      </c>
      <c r="C1310" s="3" t="s">
        <v>2772</v>
      </c>
      <c r="D1310" s="3" t="s">
        <v>2772</v>
      </c>
    </row>
    <row r="1311" spans="1:4">
      <c r="A1311" s="3" t="s">
        <v>2822</v>
      </c>
      <c r="B1311" s="3" t="s">
        <v>2823</v>
      </c>
      <c r="C1311" s="3" t="s">
        <v>2772</v>
      </c>
      <c r="D1311" s="3" t="s">
        <v>2772</v>
      </c>
    </row>
    <row r="1312" spans="1:4">
      <c r="A1312" s="3" t="s">
        <v>2824</v>
      </c>
      <c r="B1312" s="3" t="s">
        <v>2825</v>
      </c>
      <c r="C1312" s="3" t="s">
        <v>2772</v>
      </c>
      <c r="D1312" s="3" t="s">
        <v>2772</v>
      </c>
    </row>
    <row r="1313" spans="1:4">
      <c r="A1313" s="3" t="s">
        <v>2826</v>
      </c>
      <c r="B1313" s="3" t="s">
        <v>2010</v>
      </c>
      <c r="C1313" s="3" t="s">
        <v>2772</v>
      </c>
      <c r="D1313" s="3" t="s">
        <v>2772</v>
      </c>
    </row>
    <row r="1314" spans="1:4">
      <c r="A1314" s="3" t="s">
        <v>2827</v>
      </c>
      <c r="B1314" s="3" t="s">
        <v>2828</v>
      </c>
      <c r="C1314" s="3" t="s">
        <v>2772</v>
      </c>
      <c r="D1314" s="3" t="s">
        <v>2772</v>
      </c>
    </row>
    <row r="1315" spans="1:4">
      <c r="A1315" s="3" t="s">
        <v>2829</v>
      </c>
      <c r="B1315" s="3" t="s">
        <v>2830</v>
      </c>
      <c r="C1315" s="3" t="s">
        <v>2772</v>
      </c>
      <c r="D1315" s="3" t="s">
        <v>2772</v>
      </c>
    </row>
    <row r="1316" spans="1:4">
      <c r="A1316" s="3" t="s">
        <v>2831</v>
      </c>
      <c r="B1316" s="3" t="s">
        <v>548</v>
      </c>
      <c r="C1316" s="3" t="s">
        <v>2772</v>
      </c>
      <c r="D1316" s="3" t="s">
        <v>2772</v>
      </c>
    </row>
    <row r="1317" spans="1:4">
      <c r="A1317" s="3" t="s">
        <v>2832</v>
      </c>
      <c r="B1317" s="3" t="s">
        <v>2833</v>
      </c>
      <c r="C1317" s="3" t="s">
        <v>2772</v>
      </c>
      <c r="D1317" s="3" t="s">
        <v>2772</v>
      </c>
    </row>
    <row r="1318" spans="1:4">
      <c r="A1318" s="3" t="s">
        <v>2834</v>
      </c>
      <c r="B1318" s="3" t="s">
        <v>1238</v>
      </c>
      <c r="C1318" s="3" t="s">
        <v>2772</v>
      </c>
      <c r="D1318" s="3" t="s">
        <v>2772</v>
      </c>
    </row>
    <row r="1319" spans="1:4">
      <c r="A1319" s="3" t="s">
        <v>2835</v>
      </c>
      <c r="B1319" s="3" t="s">
        <v>2836</v>
      </c>
      <c r="C1319" s="3" t="s">
        <v>2772</v>
      </c>
      <c r="D1319" s="3" t="s">
        <v>2772</v>
      </c>
    </row>
    <row r="1320" spans="1:4">
      <c r="A1320" s="3" t="s">
        <v>2837</v>
      </c>
      <c r="B1320" s="3" t="s">
        <v>2838</v>
      </c>
      <c r="C1320" s="3" t="s">
        <v>2772</v>
      </c>
      <c r="D1320" s="3" t="s">
        <v>2772</v>
      </c>
    </row>
    <row r="1321" spans="1:4">
      <c r="A1321" s="3" t="s">
        <v>2839</v>
      </c>
      <c r="B1321" s="3" t="s">
        <v>424</v>
      </c>
      <c r="C1321" s="3" t="s">
        <v>2772</v>
      </c>
      <c r="D1321" s="3" t="s">
        <v>2772</v>
      </c>
    </row>
    <row r="1322" spans="1:4">
      <c r="A1322" s="3" t="s">
        <v>2840</v>
      </c>
      <c r="B1322" s="3" t="s">
        <v>2841</v>
      </c>
      <c r="C1322" s="3" t="s">
        <v>2772</v>
      </c>
      <c r="D1322" s="3" t="s">
        <v>2772</v>
      </c>
    </row>
    <row r="1323" spans="1:4">
      <c r="A1323" s="3" t="s">
        <v>2842</v>
      </c>
      <c r="B1323" s="3" t="s">
        <v>2843</v>
      </c>
      <c r="C1323" s="3" t="s">
        <v>2772</v>
      </c>
      <c r="D1323" s="3" t="s">
        <v>2772</v>
      </c>
    </row>
    <row r="1324" spans="1:4">
      <c r="A1324" s="3" t="s">
        <v>2844</v>
      </c>
      <c r="B1324" s="3" t="s">
        <v>2845</v>
      </c>
      <c r="C1324" s="3" t="s">
        <v>2772</v>
      </c>
      <c r="D1324" s="3" t="s">
        <v>2772</v>
      </c>
    </row>
    <row r="1325" spans="1:4">
      <c r="A1325" s="3" t="s">
        <v>2846</v>
      </c>
      <c r="B1325" s="3" t="s">
        <v>2847</v>
      </c>
      <c r="C1325" s="3" t="s">
        <v>2772</v>
      </c>
      <c r="D1325" s="3" t="s">
        <v>2772</v>
      </c>
    </row>
    <row r="1326" spans="1:4">
      <c r="A1326" s="3" t="s">
        <v>2848</v>
      </c>
      <c r="B1326" s="3" t="s">
        <v>2849</v>
      </c>
      <c r="C1326" s="3" t="s">
        <v>2849</v>
      </c>
      <c r="D1326" s="3" t="s">
        <v>2772</v>
      </c>
    </row>
    <row r="1327" spans="1:4">
      <c r="A1327" s="3" t="s">
        <v>2850</v>
      </c>
      <c r="B1327" s="3" t="s">
        <v>2851</v>
      </c>
      <c r="C1327" s="3" t="s">
        <v>2849</v>
      </c>
      <c r="D1327" s="3" t="s">
        <v>2772</v>
      </c>
    </row>
    <row r="1328" spans="1:4">
      <c r="A1328" s="3" t="s">
        <v>2852</v>
      </c>
      <c r="B1328" s="3" t="s">
        <v>2853</v>
      </c>
      <c r="C1328" s="3" t="s">
        <v>2849</v>
      </c>
      <c r="D1328" s="3" t="s">
        <v>2772</v>
      </c>
    </row>
    <row r="1329" spans="1:4">
      <c r="A1329" s="3" t="s">
        <v>2854</v>
      </c>
      <c r="B1329" s="3" t="s">
        <v>2855</v>
      </c>
      <c r="C1329" s="3" t="s">
        <v>2849</v>
      </c>
      <c r="D1329" s="3" t="s">
        <v>2772</v>
      </c>
    </row>
    <row r="1330" spans="1:4">
      <c r="A1330" s="3" t="s">
        <v>2856</v>
      </c>
      <c r="B1330" s="3" t="s">
        <v>2857</v>
      </c>
      <c r="C1330" s="3" t="s">
        <v>2849</v>
      </c>
      <c r="D1330" s="3" t="s">
        <v>2772</v>
      </c>
    </row>
    <row r="1331" spans="1:4">
      <c r="A1331" s="3" t="s">
        <v>2858</v>
      </c>
      <c r="B1331" s="3" t="s">
        <v>2859</v>
      </c>
      <c r="C1331" s="3" t="s">
        <v>2859</v>
      </c>
      <c r="D1331" s="3" t="s">
        <v>2772</v>
      </c>
    </row>
    <row r="1332" spans="1:4">
      <c r="A1332" s="3" t="s">
        <v>2860</v>
      </c>
      <c r="B1332" s="3" t="s">
        <v>2861</v>
      </c>
      <c r="C1332" s="3" t="s">
        <v>2859</v>
      </c>
      <c r="D1332" s="3" t="s">
        <v>2772</v>
      </c>
    </row>
    <row r="1333" spans="1:4">
      <c r="A1333" s="3" t="s">
        <v>2862</v>
      </c>
      <c r="B1333" s="3" t="s">
        <v>2863</v>
      </c>
      <c r="C1333" s="3" t="s">
        <v>2859</v>
      </c>
      <c r="D1333" s="3" t="s">
        <v>2772</v>
      </c>
    </row>
    <row r="1334" spans="1:4">
      <c r="A1334" s="3" t="s">
        <v>2864</v>
      </c>
      <c r="B1334" s="3" t="s">
        <v>2865</v>
      </c>
      <c r="C1334" s="3" t="s">
        <v>2859</v>
      </c>
      <c r="D1334" s="3" t="s">
        <v>2772</v>
      </c>
    </row>
    <row r="1335" spans="1:4">
      <c r="A1335" s="3" t="s">
        <v>2866</v>
      </c>
      <c r="B1335" s="3" t="s">
        <v>2867</v>
      </c>
      <c r="C1335" s="3" t="s">
        <v>2859</v>
      </c>
      <c r="D1335" s="3" t="s">
        <v>2772</v>
      </c>
    </row>
    <row r="1336" spans="1:4">
      <c r="A1336" s="3" t="s">
        <v>2868</v>
      </c>
      <c r="B1336" s="3" t="s">
        <v>2869</v>
      </c>
      <c r="C1336" s="3" t="s">
        <v>2869</v>
      </c>
      <c r="D1336" s="3" t="s">
        <v>2772</v>
      </c>
    </row>
    <row r="1337" spans="1:4">
      <c r="A1337" s="3" t="s">
        <v>2870</v>
      </c>
      <c r="B1337" s="3" t="s">
        <v>2871</v>
      </c>
      <c r="C1337" s="3" t="s">
        <v>2869</v>
      </c>
      <c r="D1337" s="3" t="s">
        <v>2772</v>
      </c>
    </row>
    <row r="1338" spans="1:4">
      <c r="A1338" s="3" t="s">
        <v>2872</v>
      </c>
      <c r="B1338" s="3" t="s">
        <v>2873</v>
      </c>
      <c r="C1338" s="3" t="s">
        <v>2869</v>
      </c>
      <c r="D1338" s="3" t="s">
        <v>2772</v>
      </c>
    </row>
    <row r="1339" spans="1:4">
      <c r="A1339" s="3" t="s">
        <v>2874</v>
      </c>
      <c r="B1339" s="3" t="s">
        <v>2875</v>
      </c>
      <c r="C1339" s="3" t="s">
        <v>2869</v>
      </c>
      <c r="D1339" s="3" t="s">
        <v>2772</v>
      </c>
    </row>
    <row r="1340" spans="1:4">
      <c r="A1340" s="3" t="s">
        <v>2876</v>
      </c>
      <c r="B1340" s="3" t="s">
        <v>2877</v>
      </c>
      <c r="C1340" s="3" t="s">
        <v>2869</v>
      </c>
      <c r="D1340" s="3" t="s">
        <v>2772</v>
      </c>
    </row>
    <row r="1341" spans="1:4">
      <c r="A1341" s="3" t="s">
        <v>2878</v>
      </c>
      <c r="B1341" s="3" t="s">
        <v>2173</v>
      </c>
      <c r="C1341" s="3" t="s">
        <v>2869</v>
      </c>
      <c r="D1341" s="3" t="s">
        <v>2772</v>
      </c>
    </row>
    <row r="1342" spans="1:4">
      <c r="A1342" s="3" t="s">
        <v>2879</v>
      </c>
      <c r="B1342" s="3" t="s">
        <v>2880</v>
      </c>
      <c r="C1342" s="3" t="s">
        <v>2869</v>
      </c>
      <c r="D1342" s="3" t="s">
        <v>2772</v>
      </c>
    </row>
    <row r="1343" spans="1:4">
      <c r="A1343" s="3" t="s">
        <v>2881</v>
      </c>
      <c r="B1343" s="3" t="s">
        <v>2882</v>
      </c>
      <c r="C1343" s="3" t="s">
        <v>2883</v>
      </c>
      <c r="D1343" s="3" t="s">
        <v>2772</v>
      </c>
    </row>
    <row r="1344" spans="1:4">
      <c r="A1344" s="3" t="s">
        <v>2884</v>
      </c>
      <c r="B1344" s="3" t="s">
        <v>2885</v>
      </c>
      <c r="C1344" s="3" t="s">
        <v>2883</v>
      </c>
      <c r="D1344" s="3" t="s">
        <v>2772</v>
      </c>
    </row>
    <row r="1345" spans="1:4">
      <c r="A1345" s="3" t="s">
        <v>2886</v>
      </c>
      <c r="B1345" s="3" t="s">
        <v>2887</v>
      </c>
      <c r="C1345" s="3" t="s">
        <v>2883</v>
      </c>
      <c r="D1345" s="3" t="s">
        <v>2772</v>
      </c>
    </row>
    <row r="1346" spans="1:4">
      <c r="A1346" s="3" t="s">
        <v>2888</v>
      </c>
      <c r="B1346" s="3" t="s">
        <v>2889</v>
      </c>
      <c r="C1346" s="3" t="s">
        <v>2883</v>
      </c>
      <c r="D1346" s="3" t="s">
        <v>2772</v>
      </c>
    </row>
    <row r="1347" spans="1:4">
      <c r="A1347" s="3" t="s">
        <v>2890</v>
      </c>
      <c r="B1347" s="3" t="s">
        <v>2315</v>
      </c>
      <c r="C1347" s="3" t="s">
        <v>2883</v>
      </c>
      <c r="D1347" s="3" t="s">
        <v>2772</v>
      </c>
    </row>
    <row r="1348" spans="1:4">
      <c r="A1348" s="3" t="s">
        <v>2891</v>
      </c>
      <c r="B1348" s="3" t="s">
        <v>2892</v>
      </c>
      <c r="C1348" s="3" t="s">
        <v>2883</v>
      </c>
      <c r="D1348" s="3" t="s">
        <v>2772</v>
      </c>
    </row>
    <row r="1349" spans="1:4">
      <c r="A1349" s="3" t="s">
        <v>2893</v>
      </c>
      <c r="B1349" s="3" t="s">
        <v>2894</v>
      </c>
      <c r="C1349" s="3" t="s">
        <v>2883</v>
      </c>
      <c r="D1349" s="3" t="s">
        <v>2772</v>
      </c>
    </row>
    <row r="1350" spans="1:4">
      <c r="A1350" s="3" t="s">
        <v>2895</v>
      </c>
      <c r="B1350" s="3" t="s">
        <v>2896</v>
      </c>
      <c r="C1350" s="3" t="s">
        <v>2883</v>
      </c>
      <c r="D1350" s="3" t="s">
        <v>2772</v>
      </c>
    </row>
    <row r="1351" spans="1:4">
      <c r="A1351" s="3" t="s">
        <v>2897</v>
      </c>
      <c r="B1351" s="3" t="s">
        <v>2898</v>
      </c>
      <c r="C1351" s="3" t="s">
        <v>2883</v>
      </c>
      <c r="D1351" s="3" t="s">
        <v>2772</v>
      </c>
    </row>
    <row r="1352" spans="1:4">
      <c r="A1352" s="3" t="s">
        <v>2899</v>
      </c>
      <c r="B1352" s="3" t="s">
        <v>2900</v>
      </c>
      <c r="C1352" s="3" t="s">
        <v>2883</v>
      </c>
      <c r="D1352" s="3" t="s">
        <v>2772</v>
      </c>
    </row>
    <row r="1353" spans="1:4">
      <c r="A1353" s="3" t="s">
        <v>2901</v>
      </c>
      <c r="B1353" s="3" t="s">
        <v>2902</v>
      </c>
      <c r="C1353" s="3" t="s">
        <v>2883</v>
      </c>
      <c r="D1353" s="3" t="s">
        <v>2772</v>
      </c>
    </row>
    <row r="1354" spans="1:4">
      <c r="A1354" s="3" t="s">
        <v>2903</v>
      </c>
      <c r="B1354" s="3" t="s">
        <v>2904</v>
      </c>
      <c r="C1354" s="3" t="s">
        <v>2883</v>
      </c>
      <c r="D1354" s="3" t="s">
        <v>2772</v>
      </c>
    </row>
    <row r="1355" spans="1:4">
      <c r="A1355" s="3" t="s">
        <v>2905</v>
      </c>
      <c r="B1355" s="3" t="s">
        <v>932</v>
      </c>
      <c r="C1355" s="3" t="s">
        <v>2883</v>
      </c>
      <c r="D1355" s="3" t="s">
        <v>2772</v>
      </c>
    </row>
    <row r="1356" spans="1:4">
      <c r="A1356" s="3" t="s">
        <v>2906</v>
      </c>
      <c r="B1356" s="3" t="s">
        <v>548</v>
      </c>
      <c r="C1356" s="3" t="s">
        <v>2883</v>
      </c>
      <c r="D1356" s="3" t="s">
        <v>2772</v>
      </c>
    </row>
    <row r="1357" spans="1:4">
      <c r="A1357" s="3" t="s">
        <v>2907</v>
      </c>
      <c r="B1357" s="3" t="s">
        <v>2908</v>
      </c>
      <c r="C1357" s="3" t="s">
        <v>2883</v>
      </c>
      <c r="D1357" s="3" t="s">
        <v>2772</v>
      </c>
    </row>
    <row r="1358" spans="1:4">
      <c r="A1358" s="3" t="s">
        <v>2909</v>
      </c>
      <c r="B1358" s="3" t="s">
        <v>2910</v>
      </c>
      <c r="C1358" s="3" t="s">
        <v>2883</v>
      </c>
      <c r="D1358" s="3" t="s">
        <v>2772</v>
      </c>
    </row>
    <row r="1359" spans="1:4">
      <c r="A1359" s="3" t="s">
        <v>2911</v>
      </c>
      <c r="B1359" s="3" t="s">
        <v>2912</v>
      </c>
      <c r="C1359" s="3" t="s">
        <v>2912</v>
      </c>
      <c r="D1359" s="3" t="s">
        <v>2772</v>
      </c>
    </row>
    <row r="1360" spans="1:4">
      <c r="A1360" s="3" t="s">
        <v>2913</v>
      </c>
      <c r="B1360" s="3" t="s">
        <v>2914</v>
      </c>
      <c r="C1360" s="3" t="s">
        <v>2912</v>
      </c>
      <c r="D1360" s="3" t="s">
        <v>2772</v>
      </c>
    </row>
    <row r="1361" spans="1:4">
      <c r="A1361" s="3" t="s">
        <v>2915</v>
      </c>
      <c r="B1361" s="3" t="s">
        <v>2916</v>
      </c>
      <c r="C1361" s="3" t="s">
        <v>2912</v>
      </c>
      <c r="D1361" s="3" t="s">
        <v>2772</v>
      </c>
    </row>
    <row r="1362" spans="1:4">
      <c r="A1362" s="3" t="s">
        <v>2917</v>
      </c>
      <c r="B1362" s="3" t="s">
        <v>2918</v>
      </c>
      <c r="C1362" s="3" t="s">
        <v>2912</v>
      </c>
      <c r="D1362" s="3" t="s">
        <v>2772</v>
      </c>
    </row>
    <row r="1363" spans="1:4">
      <c r="A1363" s="3" t="s">
        <v>2919</v>
      </c>
      <c r="B1363" s="3" t="s">
        <v>1575</v>
      </c>
      <c r="C1363" s="3" t="s">
        <v>2912</v>
      </c>
      <c r="D1363" s="3" t="s">
        <v>2772</v>
      </c>
    </row>
    <row r="1364" spans="1:4">
      <c r="A1364" s="3" t="s">
        <v>2920</v>
      </c>
      <c r="B1364" s="3" t="s">
        <v>2921</v>
      </c>
      <c r="C1364" s="3" t="s">
        <v>2912</v>
      </c>
      <c r="D1364" s="3" t="s">
        <v>2772</v>
      </c>
    </row>
    <row r="1365" spans="1:4">
      <c r="A1365" s="3" t="s">
        <v>2922</v>
      </c>
      <c r="B1365" s="3" t="s">
        <v>2923</v>
      </c>
      <c r="C1365" s="3" t="s">
        <v>2912</v>
      </c>
      <c r="D1365" s="3" t="s">
        <v>2772</v>
      </c>
    </row>
    <row r="1366" spans="1:4">
      <c r="A1366" s="3" t="s">
        <v>2924</v>
      </c>
      <c r="B1366" s="3" t="s">
        <v>2925</v>
      </c>
      <c r="C1366" s="3" t="s">
        <v>2912</v>
      </c>
      <c r="D1366" s="3" t="s">
        <v>2772</v>
      </c>
    </row>
    <row r="1367" spans="1:4">
      <c r="A1367" s="3" t="s">
        <v>2926</v>
      </c>
      <c r="B1367" s="3" t="s">
        <v>2927</v>
      </c>
      <c r="C1367" s="3" t="s">
        <v>2912</v>
      </c>
      <c r="D1367" s="3" t="s">
        <v>2772</v>
      </c>
    </row>
    <row r="1368" spans="1:4">
      <c r="A1368" s="3" t="s">
        <v>2928</v>
      </c>
      <c r="B1368" s="3" t="s">
        <v>2929</v>
      </c>
      <c r="C1368" s="3" t="s">
        <v>2912</v>
      </c>
      <c r="D1368" s="3" t="s">
        <v>2772</v>
      </c>
    </row>
    <row r="1369" spans="1:4">
      <c r="A1369" s="3" t="s">
        <v>2930</v>
      </c>
      <c r="B1369" s="3" t="s">
        <v>2931</v>
      </c>
      <c r="C1369" s="3" t="s">
        <v>2912</v>
      </c>
      <c r="D1369" s="3" t="s">
        <v>2772</v>
      </c>
    </row>
    <row r="1370" spans="1:4">
      <c r="A1370" s="3" t="s">
        <v>2932</v>
      </c>
      <c r="B1370" s="3" t="s">
        <v>2933</v>
      </c>
      <c r="C1370" s="3" t="s">
        <v>2912</v>
      </c>
      <c r="D1370" s="3" t="s">
        <v>2772</v>
      </c>
    </row>
    <row r="1371" spans="1:4">
      <c r="A1371" s="3" t="s">
        <v>2934</v>
      </c>
      <c r="B1371" s="3" t="s">
        <v>2935</v>
      </c>
      <c r="C1371" s="3" t="s">
        <v>2936</v>
      </c>
      <c r="D1371" s="3" t="s">
        <v>2772</v>
      </c>
    </row>
    <row r="1372" spans="1:4">
      <c r="A1372" s="3" t="s">
        <v>2937</v>
      </c>
      <c r="B1372" s="3" t="s">
        <v>2938</v>
      </c>
      <c r="C1372" s="3" t="s">
        <v>2936</v>
      </c>
      <c r="D1372" s="3" t="s">
        <v>2772</v>
      </c>
    </row>
    <row r="1373" spans="1:4">
      <c r="A1373" s="3" t="s">
        <v>2939</v>
      </c>
      <c r="B1373" s="3" t="s">
        <v>2940</v>
      </c>
      <c r="C1373" s="3" t="s">
        <v>2936</v>
      </c>
      <c r="D1373" s="3" t="s">
        <v>2772</v>
      </c>
    </row>
    <row r="1374" spans="1:4">
      <c r="A1374" s="3" t="s">
        <v>2941</v>
      </c>
      <c r="B1374" s="3" t="s">
        <v>2942</v>
      </c>
      <c r="C1374" s="3" t="s">
        <v>2936</v>
      </c>
      <c r="D1374" s="3" t="s">
        <v>2772</v>
      </c>
    </row>
    <row r="1375" spans="1:4">
      <c r="A1375" s="3" t="s">
        <v>2943</v>
      </c>
      <c r="B1375" s="3" t="s">
        <v>2944</v>
      </c>
      <c r="C1375" s="3" t="s">
        <v>2936</v>
      </c>
      <c r="D1375" s="3" t="s">
        <v>2772</v>
      </c>
    </row>
    <row r="1376" spans="1:4">
      <c r="A1376" s="3" t="s">
        <v>2945</v>
      </c>
      <c r="B1376" s="3" t="s">
        <v>1878</v>
      </c>
      <c r="C1376" s="3" t="s">
        <v>2936</v>
      </c>
      <c r="D1376" s="3" t="s">
        <v>2772</v>
      </c>
    </row>
    <row r="1377" spans="1:4">
      <c r="A1377" s="3" t="s">
        <v>2946</v>
      </c>
      <c r="B1377" s="3" t="s">
        <v>2947</v>
      </c>
      <c r="C1377" s="3" t="s">
        <v>2936</v>
      </c>
      <c r="D1377" s="3" t="s">
        <v>2772</v>
      </c>
    </row>
    <row r="1378" spans="1:4">
      <c r="A1378" s="3" t="s">
        <v>2948</v>
      </c>
      <c r="B1378" s="3" t="s">
        <v>2949</v>
      </c>
      <c r="C1378" s="3" t="s">
        <v>2936</v>
      </c>
      <c r="D1378" s="3" t="s">
        <v>2772</v>
      </c>
    </row>
    <row r="1379" spans="1:4">
      <c r="A1379" s="3" t="s">
        <v>2950</v>
      </c>
      <c r="B1379" s="3" t="s">
        <v>2936</v>
      </c>
      <c r="C1379" s="3" t="s">
        <v>2936</v>
      </c>
      <c r="D1379" s="3" t="s">
        <v>2772</v>
      </c>
    </row>
    <row r="1380" spans="1:4">
      <c r="A1380" s="3" t="s">
        <v>2951</v>
      </c>
      <c r="B1380" s="3" t="s">
        <v>2952</v>
      </c>
      <c r="C1380" s="3" t="s">
        <v>2936</v>
      </c>
      <c r="D1380" s="3" t="s">
        <v>2772</v>
      </c>
    </row>
    <row r="1381" spans="1:4">
      <c r="A1381" s="3" t="s">
        <v>2953</v>
      </c>
      <c r="B1381" s="3" t="s">
        <v>2954</v>
      </c>
      <c r="C1381" s="3" t="s">
        <v>2936</v>
      </c>
      <c r="D1381" s="3" t="s">
        <v>2772</v>
      </c>
    </row>
    <row r="1382" spans="1:4">
      <c r="A1382" s="3" t="s">
        <v>2955</v>
      </c>
      <c r="B1382" s="3" t="s">
        <v>2956</v>
      </c>
      <c r="C1382" s="3" t="s">
        <v>2936</v>
      </c>
      <c r="D1382" s="3" t="s">
        <v>2772</v>
      </c>
    </row>
    <row r="1383" spans="1:4">
      <c r="A1383" s="3" t="s">
        <v>2957</v>
      </c>
      <c r="B1383" s="3" t="s">
        <v>2958</v>
      </c>
      <c r="C1383" s="3" t="s">
        <v>2936</v>
      </c>
      <c r="D1383" s="3" t="s">
        <v>2772</v>
      </c>
    </row>
    <row r="1384" spans="1:4">
      <c r="A1384" s="3" t="s">
        <v>2959</v>
      </c>
      <c r="B1384" s="3" t="s">
        <v>2960</v>
      </c>
      <c r="C1384" s="3" t="s">
        <v>2936</v>
      </c>
      <c r="D1384" s="3" t="s">
        <v>2772</v>
      </c>
    </row>
    <row r="1385" spans="1:4">
      <c r="A1385" s="3" t="s">
        <v>2961</v>
      </c>
      <c r="B1385" s="3" t="s">
        <v>2962</v>
      </c>
      <c r="C1385" s="3" t="s">
        <v>2936</v>
      </c>
      <c r="D1385" s="3" t="s">
        <v>2772</v>
      </c>
    </row>
    <row r="1386" spans="1:4">
      <c r="A1386" s="3" t="s">
        <v>2963</v>
      </c>
      <c r="B1386" s="3" t="s">
        <v>932</v>
      </c>
      <c r="C1386" s="3" t="s">
        <v>2936</v>
      </c>
      <c r="D1386" s="3" t="s">
        <v>2772</v>
      </c>
    </row>
    <row r="1387" spans="1:4">
      <c r="A1387" s="3" t="s">
        <v>2964</v>
      </c>
      <c r="B1387" s="3" t="s">
        <v>2965</v>
      </c>
      <c r="C1387" s="3" t="s">
        <v>2936</v>
      </c>
      <c r="D1387" s="3" t="s">
        <v>2772</v>
      </c>
    </row>
    <row r="1388" spans="1:4">
      <c r="A1388" s="3" t="s">
        <v>2966</v>
      </c>
      <c r="B1388" s="3" t="s">
        <v>2967</v>
      </c>
      <c r="C1388" s="3" t="s">
        <v>2936</v>
      </c>
      <c r="D1388" s="3" t="s">
        <v>2772</v>
      </c>
    </row>
    <row r="1389" spans="1:4">
      <c r="A1389" s="3" t="s">
        <v>2968</v>
      </c>
      <c r="B1389" s="3" t="s">
        <v>2969</v>
      </c>
      <c r="C1389" s="3" t="s">
        <v>2936</v>
      </c>
      <c r="D1389" s="3" t="s">
        <v>2772</v>
      </c>
    </row>
    <row r="1390" spans="1:4">
      <c r="A1390" s="3" t="s">
        <v>2970</v>
      </c>
      <c r="B1390" s="3" t="s">
        <v>2971</v>
      </c>
      <c r="C1390" s="3" t="s">
        <v>2936</v>
      </c>
      <c r="D1390" s="3" t="s">
        <v>2772</v>
      </c>
    </row>
    <row r="1391" spans="1:4">
      <c r="A1391" s="3" t="s">
        <v>2972</v>
      </c>
      <c r="B1391" s="3" t="s">
        <v>2973</v>
      </c>
      <c r="C1391" s="3" t="s">
        <v>2936</v>
      </c>
      <c r="D1391" s="3" t="s">
        <v>2772</v>
      </c>
    </row>
    <row r="1392" spans="1:4">
      <c r="A1392" s="3" t="s">
        <v>2974</v>
      </c>
      <c r="B1392" s="3" t="s">
        <v>2975</v>
      </c>
      <c r="C1392" s="3" t="s">
        <v>2936</v>
      </c>
      <c r="D1392" s="3" t="s">
        <v>2772</v>
      </c>
    </row>
    <row r="1393" spans="1:4">
      <c r="A1393" s="3" t="s">
        <v>2976</v>
      </c>
      <c r="B1393" s="3" t="s">
        <v>2977</v>
      </c>
      <c r="C1393" s="3" t="s">
        <v>2936</v>
      </c>
      <c r="D1393" s="3" t="s">
        <v>2772</v>
      </c>
    </row>
    <row r="1394" spans="1:4">
      <c r="A1394" s="3" t="s">
        <v>2978</v>
      </c>
      <c r="B1394" s="3" t="s">
        <v>2979</v>
      </c>
      <c r="C1394" s="3" t="s">
        <v>2936</v>
      </c>
      <c r="D1394" s="3" t="s">
        <v>2772</v>
      </c>
    </row>
    <row r="1395" spans="1:4">
      <c r="A1395" s="3" t="s">
        <v>2980</v>
      </c>
      <c r="B1395" s="3" t="s">
        <v>2981</v>
      </c>
      <c r="C1395" s="3" t="s">
        <v>2936</v>
      </c>
      <c r="D1395" s="3" t="s">
        <v>2772</v>
      </c>
    </row>
    <row r="1396" spans="1:4">
      <c r="A1396" s="3" t="s">
        <v>2982</v>
      </c>
      <c r="B1396" s="3" t="s">
        <v>2983</v>
      </c>
      <c r="C1396" s="3" t="s">
        <v>2936</v>
      </c>
      <c r="D1396" s="3" t="s">
        <v>2772</v>
      </c>
    </row>
    <row r="1397" spans="1:4">
      <c r="A1397" s="3" t="s">
        <v>2984</v>
      </c>
      <c r="B1397" s="3" t="s">
        <v>2985</v>
      </c>
      <c r="C1397" s="3" t="s">
        <v>2936</v>
      </c>
      <c r="D1397" s="3" t="s">
        <v>2772</v>
      </c>
    </row>
    <row r="1398" spans="1:4">
      <c r="A1398" s="3" t="s">
        <v>2986</v>
      </c>
      <c r="B1398" s="3" t="s">
        <v>2987</v>
      </c>
      <c r="C1398" s="3" t="s">
        <v>2936</v>
      </c>
      <c r="D1398" s="3" t="s">
        <v>2772</v>
      </c>
    </row>
    <row r="1399" spans="1:4">
      <c r="A1399" s="3" t="s">
        <v>2988</v>
      </c>
      <c r="B1399" s="3" t="s">
        <v>2989</v>
      </c>
      <c r="C1399" s="3" t="s">
        <v>2936</v>
      </c>
      <c r="D1399" s="3" t="s">
        <v>2772</v>
      </c>
    </row>
    <row r="1400" spans="1:4">
      <c r="A1400" s="3" t="s">
        <v>2990</v>
      </c>
      <c r="B1400" s="3" t="s">
        <v>2991</v>
      </c>
      <c r="C1400" s="3" t="s">
        <v>2936</v>
      </c>
      <c r="D1400" s="3" t="s">
        <v>2772</v>
      </c>
    </row>
    <row r="1401" spans="1:4">
      <c r="A1401" s="3" t="s">
        <v>2992</v>
      </c>
      <c r="B1401" s="3" t="s">
        <v>2993</v>
      </c>
      <c r="C1401" s="3" t="s">
        <v>2936</v>
      </c>
      <c r="D1401" s="3" t="s">
        <v>2772</v>
      </c>
    </row>
    <row r="1402" spans="1:4">
      <c r="A1402" s="3" t="s">
        <v>2994</v>
      </c>
      <c r="B1402" s="3" t="s">
        <v>2995</v>
      </c>
      <c r="C1402" s="3" t="s">
        <v>2936</v>
      </c>
      <c r="D1402" s="3" t="s">
        <v>2772</v>
      </c>
    </row>
    <row r="1403" spans="1:4">
      <c r="A1403" s="3" t="s">
        <v>2996</v>
      </c>
      <c r="B1403" s="3" t="s">
        <v>2997</v>
      </c>
      <c r="C1403" s="3" t="s">
        <v>2998</v>
      </c>
      <c r="D1403" s="3" t="s">
        <v>2772</v>
      </c>
    </row>
    <row r="1404" spans="1:4">
      <c r="A1404" s="3" t="s">
        <v>2999</v>
      </c>
      <c r="B1404" s="3" t="s">
        <v>3000</v>
      </c>
      <c r="C1404" s="3" t="s">
        <v>2998</v>
      </c>
      <c r="D1404" s="3" t="s">
        <v>2772</v>
      </c>
    </row>
    <row r="1405" spans="1:4">
      <c r="A1405" s="3" t="s">
        <v>3001</v>
      </c>
      <c r="B1405" s="3" t="s">
        <v>3002</v>
      </c>
      <c r="C1405" s="3" t="s">
        <v>2998</v>
      </c>
      <c r="D1405" s="3" t="s">
        <v>2772</v>
      </c>
    </row>
    <row r="1406" spans="1:4">
      <c r="A1406" s="3" t="s">
        <v>3003</v>
      </c>
      <c r="B1406" s="3" t="s">
        <v>3004</v>
      </c>
      <c r="C1406" s="3" t="s">
        <v>2998</v>
      </c>
      <c r="D1406" s="3" t="s">
        <v>2772</v>
      </c>
    </row>
    <row r="1407" spans="1:4">
      <c r="A1407" s="3" t="s">
        <v>3005</v>
      </c>
      <c r="B1407" s="3" t="s">
        <v>3006</v>
      </c>
      <c r="C1407" s="3" t="s">
        <v>2998</v>
      </c>
      <c r="D1407" s="3" t="s">
        <v>2772</v>
      </c>
    </row>
    <row r="1408" spans="1:4">
      <c r="A1408" s="3" t="s">
        <v>3007</v>
      </c>
      <c r="B1408" s="3" t="s">
        <v>2998</v>
      </c>
      <c r="C1408" s="3" t="s">
        <v>2998</v>
      </c>
      <c r="D1408" s="3" t="s">
        <v>2772</v>
      </c>
    </row>
    <row r="1409" spans="1:4">
      <c r="A1409" s="3" t="s">
        <v>3008</v>
      </c>
      <c r="B1409" s="3" t="s">
        <v>1276</v>
      </c>
      <c r="C1409" s="3" t="s">
        <v>2998</v>
      </c>
      <c r="D1409" s="3" t="s">
        <v>2772</v>
      </c>
    </row>
    <row r="1410" spans="1:4">
      <c r="A1410" s="3" t="s">
        <v>3009</v>
      </c>
      <c r="B1410" s="3" t="s">
        <v>3010</v>
      </c>
      <c r="C1410" s="3" t="s">
        <v>2998</v>
      </c>
      <c r="D1410" s="3" t="s">
        <v>2772</v>
      </c>
    </row>
    <row r="1411" spans="1:4">
      <c r="A1411" s="3" t="s">
        <v>3011</v>
      </c>
      <c r="B1411" s="3" t="s">
        <v>3012</v>
      </c>
      <c r="C1411" s="3" t="s">
        <v>2998</v>
      </c>
      <c r="D1411" s="3" t="s">
        <v>2772</v>
      </c>
    </row>
    <row r="1412" spans="1:4">
      <c r="A1412" s="3" t="s">
        <v>3013</v>
      </c>
      <c r="B1412" s="3" t="s">
        <v>3014</v>
      </c>
      <c r="C1412" s="3" t="s">
        <v>2998</v>
      </c>
      <c r="D1412" s="3" t="s">
        <v>2772</v>
      </c>
    </row>
    <row r="1413" spans="1:4">
      <c r="A1413" s="3" t="s">
        <v>3015</v>
      </c>
      <c r="B1413" s="3" t="s">
        <v>3016</v>
      </c>
      <c r="C1413" s="3" t="s">
        <v>2998</v>
      </c>
      <c r="D1413" s="3" t="s">
        <v>2772</v>
      </c>
    </row>
    <row r="1414" spans="1:4">
      <c r="A1414" s="3" t="s">
        <v>3017</v>
      </c>
      <c r="B1414" s="3" t="s">
        <v>3018</v>
      </c>
      <c r="C1414" s="3" t="s">
        <v>2998</v>
      </c>
      <c r="D1414" s="3" t="s">
        <v>2772</v>
      </c>
    </row>
    <row r="1415" spans="1:4">
      <c r="A1415" s="3" t="s">
        <v>3019</v>
      </c>
      <c r="B1415" s="3" t="s">
        <v>3020</v>
      </c>
      <c r="C1415" s="3" t="s">
        <v>3020</v>
      </c>
      <c r="D1415" s="3" t="s">
        <v>2772</v>
      </c>
    </row>
    <row r="1416" spans="1:4">
      <c r="A1416" s="3" t="s">
        <v>3021</v>
      </c>
      <c r="B1416" s="3" t="s">
        <v>3022</v>
      </c>
      <c r="C1416" s="3" t="s">
        <v>3020</v>
      </c>
      <c r="D1416" s="3" t="s">
        <v>2772</v>
      </c>
    </row>
    <row r="1417" spans="1:4">
      <c r="A1417" s="3" t="s">
        <v>3023</v>
      </c>
      <c r="B1417" s="3" t="s">
        <v>3024</v>
      </c>
      <c r="C1417" s="3" t="s">
        <v>3020</v>
      </c>
      <c r="D1417" s="3" t="s">
        <v>2772</v>
      </c>
    </row>
    <row r="1418" spans="1:4">
      <c r="A1418" s="3" t="s">
        <v>3025</v>
      </c>
      <c r="B1418" s="3" t="s">
        <v>3026</v>
      </c>
      <c r="C1418" s="3" t="s">
        <v>3020</v>
      </c>
      <c r="D1418" s="3" t="s">
        <v>2772</v>
      </c>
    </row>
    <row r="1419" spans="1:4">
      <c r="A1419" s="3" t="s">
        <v>3027</v>
      </c>
      <c r="B1419" s="3" t="s">
        <v>3028</v>
      </c>
      <c r="C1419" s="3" t="s">
        <v>3020</v>
      </c>
      <c r="D1419" s="3" t="s">
        <v>2772</v>
      </c>
    </row>
    <row r="1420" spans="1:4">
      <c r="A1420" s="3" t="s">
        <v>3029</v>
      </c>
      <c r="B1420" s="3" t="s">
        <v>3030</v>
      </c>
      <c r="C1420" s="3" t="s">
        <v>3020</v>
      </c>
      <c r="D1420" s="3" t="s">
        <v>2772</v>
      </c>
    </row>
    <row r="1421" spans="1:4">
      <c r="A1421" s="3" t="s">
        <v>3031</v>
      </c>
      <c r="B1421" s="3" t="s">
        <v>2462</v>
      </c>
      <c r="C1421" s="3" t="s">
        <v>2462</v>
      </c>
      <c r="D1421" s="3" t="s">
        <v>2772</v>
      </c>
    </row>
    <row r="1422" spans="1:4">
      <c r="A1422" s="3" t="s">
        <v>3032</v>
      </c>
      <c r="B1422" s="3" t="s">
        <v>3033</v>
      </c>
      <c r="C1422" s="3" t="s">
        <v>2462</v>
      </c>
      <c r="D1422" s="3" t="s">
        <v>2772</v>
      </c>
    </row>
    <row r="1423" spans="1:4">
      <c r="A1423" s="3" t="s">
        <v>3034</v>
      </c>
      <c r="B1423" s="3" t="s">
        <v>3035</v>
      </c>
      <c r="C1423" s="3" t="s">
        <v>2462</v>
      </c>
      <c r="D1423" s="3" t="s">
        <v>2772</v>
      </c>
    </row>
    <row r="1424" spans="1:4">
      <c r="A1424" s="3" t="s">
        <v>3036</v>
      </c>
      <c r="B1424" s="3" t="s">
        <v>3037</v>
      </c>
      <c r="C1424" s="3" t="s">
        <v>2462</v>
      </c>
      <c r="D1424" s="3" t="s">
        <v>2772</v>
      </c>
    </row>
    <row r="1425" spans="1:4">
      <c r="A1425" s="3" t="s">
        <v>3038</v>
      </c>
      <c r="B1425" s="3" t="s">
        <v>3039</v>
      </c>
      <c r="C1425" s="3" t="s">
        <v>2462</v>
      </c>
      <c r="D1425" s="3" t="s">
        <v>2772</v>
      </c>
    </row>
    <row r="1426" spans="1:4">
      <c r="A1426" s="3" t="s">
        <v>3040</v>
      </c>
      <c r="B1426" s="3" t="s">
        <v>3041</v>
      </c>
      <c r="C1426" s="3" t="s">
        <v>2462</v>
      </c>
      <c r="D1426" s="3" t="s">
        <v>2772</v>
      </c>
    </row>
    <row r="1427" spans="1:4">
      <c r="A1427" s="3" t="s">
        <v>3042</v>
      </c>
      <c r="B1427" s="3" t="s">
        <v>3043</v>
      </c>
      <c r="C1427" s="3" t="s">
        <v>2462</v>
      </c>
      <c r="D1427" s="3" t="s">
        <v>2772</v>
      </c>
    </row>
    <row r="1428" spans="1:4">
      <c r="A1428" s="3" t="s">
        <v>3044</v>
      </c>
      <c r="B1428" s="3" t="s">
        <v>3045</v>
      </c>
      <c r="C1428" s="3" t="s">
        <v>2462</v>
      </c>
      <c r="D1428" s="3" t="s">
        <v>2772</v>
      </c>
    </row>
    <row r="1429" spans="1:4">
      <c r="A1429" s="3" t="s">
        <v>3046</v>
      </c>
      <c r="B1429" s="3" t="s">
        <v>3047</v>
      </c>
      <c r="C1429" s="3" t="s">
        <v>2462</v>
      </c>
      <c r="D1429" s="3" t="s">
        <v>2772</v>
      </c>
    </row>
    <row r="1430" spans="1:4">
      <c r="A1430" s="3" t="s">
        <v>3048</v>
      </c>
      <c r="B1430" s="3" t="s">
        <v>662</v>
      </c>
      <c r="C1430" s="3" t="s">
        <v>2462</v>
      </c>
      <c r="D1430" s="3" t="s">
        <v>2772</v>
      </c>
    </row>
    <row r="1431" spans="1:4">
      <c r="A1431" s="3" t="s">
        <v>3049</v>
      </c>
      <c r="B1431" s="3" t="s">
        <v>3050</v>
      </c>
      <c r="C1431" s="3" t="s">
        <v>2462</v>
      </c>
      <c r="D1431" s="3" t="s">
        <v>2772</v>
      </c>
    </row>
    <row r="1432" spans="1:4">
      <c r="A1432" s="3" t="s">
        <v>3051</v>
      </c>
      <c r="B1432" s="3" t="s">
        <v>3052</v>
      </c>
      <c r="C1432" s="3" t="s">
        <v>2462</v>
      </c>
      <c r="D1432" s="3" t="s">
        <v>2772</v>
      </c>
    </row>
    <row r="1433" spans="1:4">
      <c r="A1433" s="3" t="s">
        <v>3053</v>
      </c>
      <c r="B1433" s="3" t="s">
        <v>3054</v>
      </c>
      <c r="C1433" s="3" t="s">
        <v>2462</v>
      </c>
      <c r="D1433" s="3" t="s">
        <v>2772</v>
      </c>
    </row>
    <row r="1434" spans="1:4">
      <c r="A1434" s="3" t="s">
        <v>3055</v>
      </c>
      <c r="B1434" s="3" t="s">
        <v>3056</v>
      </c>
      <c r="C1434" s="3" t="s">
        <v>2462</v>
      </c>
      <c r="D1434" s="3" t="s">
        <v>2772</v>
      </c>
    </row>
    <row r="1435" spans="1:4">
      <c r="A1435" s="3" t="s">
        <v>3057</v>
      </c>
      <c r="B1435" s="3" t="s">
        <v>3058</v>
      </c>
      <c r="C1435" s="3" t="s">
        <v>2462</v>
      </c>
      <c r="D1435" s="3" t="s">
        <v>2772</v>
      </c>
    </row>
    <row r="1436" spans="1:4">
      <c r="A1436" s="3" t="s">
        <v>3059</v>
      </c>
      <c r="B1436" s="3" t="s">
        <v>3060</v>
      </c>
      <c r="C1436" s="3" t="s">
        <v>2462</v>
      </c>
      <c r="D1436" s="3" t="s">
        <v>2772</v>
      </c>
    </row>
    <row r="1437" spans="1:4">
      <c r="A1437" s="3" t="s">
        <v>3061</v>
      </c>
      <c r="B1437" s="3" t="s">
        <v>3062</v>
      </c>
      <c r="C1437" s="3" t="s">
        <v>2462</v>
      </c>
      <c r="D1437" s="3" t="s">
        <v>2772</v>
      </c>
    </row>
    <row r="1438" spans="1:4">
      <c r="A1438" s="3" t="s">
        <v>3063</v>
      </c>
      <c r="B1438" s="3" t="s">
        <v>2956</v>
      </c>
      <c r="C1438" s="3" t="s">
        <v>2462</v>
      </c>
      <c r="D1438" s="3" t="s">
        <v>2772</v>
      </c>
    </row>
    <row r="1439" spans="1:4">
      <c r="A1439" s="3" t="s">
        <v>3064</v>
      </c>
      <c r="B1439" s="3" t="s">
        <v>3065</v>
      </c>
      <c r="C1439" s="3" t="s">
        <v>2462</v>
      </c>
      <c r="D1439" s="3" t="s">
        <v>2772</v>
      </c>
    </row>
    <row r="1440" spans="1:4">
      <c r="A1440" s="3" t="s">
        <v>3066</v>
      </c>
      <c r="B1440" s="3" t="s">
        <v>3067</v>
      </c>
      <c r="C1440" s="3" t="s">
        <v>2462</v>
      </c>
      <c r="D1440" s="3" t="s">
        <v>2772</v>
      </c>
    </row>
    <row r="1441" spans="1:4">
      <c r="A1441" s="3" t="s">
        <v>3068</v>
      </c>
      <c r="B1441" s="3" t="s">
        <v>961</v>
      </c>
      <c r="C1441" s="3" t="s">
        <v>2462</v>
      </c>
      <c r="D1441" s="3" t="s">
        <v>2772</v>
      </c>
    </row>
    <row r="1442" spans="1:4">
      <c r="A1442" s="3" t="s">
        <v>3069</v>
      </c>
      <c r="B1442" s="3" t="s">
        <v>3070</v>
      </c>
      <c r="C1442" s="3" t="s">
        <v>2462</v>
      </c>
      <c r="D1442" s="3" t="s">
        <v>2772</v>
      </c>
    </row>
    <row r="1443" spans="1:4">
      <c r="A1443" s="3" t="s">
        <v>3071</v>
      </c>
      <c r="B1443" s="3" t="s">
        <v>3072</v>
      </c>
      <c r="C1443" s="3" t="s">
        <v>2462</v>
      </c>
      <c r="D1443" s="3" t="s">
        <v>2772</v>
      </c>
    </row>
    <row r="1444" spans="1:4">
      <c r="A1444" s="3" t="s">
        <v>3073</v>
      </c>
      <c r="B1444" s="3" t="s">
        <v>3074</v>
      </c>
      <c r="C1444" s="3" t="s">
        <v>2462</v>
      </c>
      <c r="D1444" s="3" t="s">
        <v>2772</v>
      </c>
    </row>
    <row r="1445" spans="1:4">
      <c r="A1445" s="3" t="s">
        <v>3075</v>
      </c>
      <c r="B1445" s="3" t="s">
        <v>3076</v>
      </c>
      <c r="C1445" s="3" t="s">
        <v>2462</v>
      </c>
      <c r="D1445" s="3" t="s">
        <v>2772</v>
      </c>
    </row>
    <row r="1446" spans="1:4">
      <c r="A1446" s="3" t="s">
        <v>3077</v>
      </c>
      <c r="B1446" s="3" t="s">
        <v>3078</v>
      </c>
      <c r="C1446" s="3" t="s">
        <v>2462</v>
      </c>
      <c r="D1446" s="3" t="s">
        <v>2772</v>
      </c>
    </row>
    <row r="1447" spans="1:4">
      <c r="A1447" s="3" t="s">
        <v>3079</v>
      </c>
      <c r="B1447" s="3" t="s">
        <v>3080</v>
      </c>
      <c r="C1447" s="3" t="s">
        <v>2462</v>
      </c>
      <c r="D1447" s="3" t="s">
        <v>2772</v>
      </c>
    </row>
    <row r="1448" spans="1:4">
      <c r="A1448" s="3" t="s">
        <v>3081</v>
      </c>
      <c r="B1448" s="3" t="s">
        <v>3082</v>
      </c>
      <c r="C1448" s="3" t="s">
        <v>2462</v>
      </c>
      <c r="D1448" s="3" t="s">
        <v>2772</v>
      </c>
    </row>
    <row r="1449" spans="1:4">
      <c r="A1449" s="3" t="s">
        <v>3083</v>
      </c>
      <c r="B1449" s="3" t="s">
        <v>3084</v>
      </c>
      <c r="C1449" s="3" t="s">
        <v>2462</v>
      </c>
      <c r="D1449" s="3" t="s">
        <v>2772</v>
      </c>
    </row>
    <row r="1450" spans="1:4">
      <c r="A1450" s="3" t="s">
        <v>3085</v>
      </c>
      <c r="B1450" s="3" t="s">
        <v>3086</v>
      </c>
      <c r="C1450" s="3" t="s">
        <v>2462</v>
      </c>
      <c r="D1450" s="3" t="s">
        <v>2772</v>
      </c>
    </row>
    <row r="1451" spans="1:4">
      <c r="A1451" s="3" t="s">
        <v>3087</v>
      </c>
      <c r="B1451" s="3" t="s">
        <v>3088</v>
      </c>
      <c r="C1451" s="3" t="s">
        <v>2462</v>
      </c>
      <c r="D1451" s="3" t="s">
        <v>2772</v>
      </c>
    </row>
    <row r="1452" spans="1:4">
      <c r="A1452" s="3" t="s">
        <v>3089</v>
      </c>
      <c r="B1452" s="3" t="s">
        <v>3090</v>
      </c>
      <c r="C1452" s="3" t="s">
        <v>2462</v>
      </c>
      <c r="D1452" s="3" t="s">
        <v>2772</v>
      </c>
    </row>
    <row r="1453" spans="1:4">
      <c r="A1453" s="3" t="s">
        <v>3091</v>
      </c>
      <c r="B1453" s="3" t="s">
        <v>3092</v>
      </c>
      <c r="C1453" s="3" t="s">
        <v>2462</v>
      </c>
      <c r="D1453" s="3" t="s">
        <v>2772</v>
      </c>
    </row>
    <row r="1454" spans="1:4">
      <c r="A1454" s="3" t="s">
        <v>3093</v>
      </c>
      <c r="B1454" s="3" t="s">
        <v>3094</v>
      </c>
      <c r="C1454" s="3" t="s">
        <v>3095</v>
      </c>
      <c r="D1454" s="3" t="s">
        <v>3096</v>
      </c>
    </row>
    <row r="1455" spans="1:4">
      <c r="A1455" s="3" t="s">
        <v>3097</v>
      </c>
      <c r="B1455" s="3" t="s">
        <v>3098</v>
      </c>
      <c r="C1455" s="3" t="s">
        <v>3095</v>
      </c>
      <c r="D1455" s="3" t="s">
        <v>3096</v>
      </c>
    </row>
    <row r="1456" spans="1:4">
      <c r="A1456" s="3" t="s">
        <v>3099</v>
      </c>
      <c r="B1456" s="3" t="s">
        <v>3100</v>
      </c>
      <c r="C1456" s="3" t="s">
        <v>3095</v>
      </c>
      <c r="D1456" s="3" t="s">
        <v>3096</v>
      </c>
    </row>
    <row r="1457" spans="1:4">
      <c r="A1457" s="3" t="s">
        <v>3101</v>
      </c>
      <c r="B1457" s="3" t="s">
        <v>3102</v>
      </c>
      <c r="C1457" s="3" t="s">
        <v>3095</v>
      </c>
      <c r="D1457" s="3" t="s">
        <v>3096</v>
      </c>
    </row>
    <row r="1458" spans="1:4">
      <c r="A1458" s="3" t="s">
        <v>3103</v>
      </c>
      <c r="B1458" s="3" t="s">
        <v>3104</v>
      </c>
      <c r="C1458" s="3" t="s">
        <v>3095</v>
      </c>
      <c r="D1458" s="3" t="s">
        <v>3096</v>
      </c>
    </row>
    <row r="1459" spans="1:4">
      <c r="A1459" s="3" t="s">
        <v>3105</v>
      </c>
      <c r="B1459" s="3" t="s">
        <v>3106</v>
      </c>
      <c r="C1459" s="3" t="s">
        <v>3095</v>
      </c>
      <c r="D1459" s="3" t="s">
        <v>3096</v>
      </c>
    </row>
    <row r="1460" spans="1:4">
      <c r="A1460" s="3" t="s">
        <v>3107</v>
      </c>
      <c r="B1460" s="3" t="s">
        <v>3108</v>
      </c>
      <c r="C1460" s="3" t="s">
        <v>3095</v>
      </c>
      <c r="D1460" s="3" t="s">
        <v>3096</v>
      </c>
    </row>
    <row r="1461" spans="1:4">
      <c r="A1461" s="3" t="s">
        <v>3109</v>
      </c>
      <c r="B1461" s="3" t="s">
        <v>3110</v>
      </c>
      <c r="C1461" s="3" t="s">
        <v>3095</v>
      </c>
      <c r="D1461" s="3" t="s">
        <v>3096</v>
      </c>
    </row>
    <row r="1462" spans="1:4">
      <c r="A1462" s="3" t="s">
        <v>3111</v>
      </c>
      <c r="B1462" s="3" t="s">
        <v>3112</v>
      </c>
      <c r="C1462" s="3" t="s">
        <v>3095</v>
      </c>
      <c r="D1462" s="3" t="s">
        <v>3096</v>
      </c>
    </row>
    <row r="1463" spans="1:4">
      <c r="A1463" s="3" t="s">
        <v>3113</v>
      </c>
      <c r="B1463" s="3" t="s">
        <v>1338</v>
      </c>
      <c r="C1463" s="3" t="s">
        <v>3095</v>
      </c>
      <c r="D1463" s="3" t="s">
        <v>3096</v>
      </c>
    </row>
    <row r="1464" spans="1:4">
      <c r="A1464" s="3" t="s">
        <v>3114</v>
      </c>
      <c r="B1464" s="3" t="s">
        <v>1179</v>
      </c>
      <c r="C1464" s="3" t="s">
        <v>3095</v>
      </c>
      <c r="D1464" s="3" t="s">
        <v>3096</v>
      </c>
    </row>
    <row r="1465" spans="1:4">
      <c r="A1465" s="3" t="s">
        <v>3115</v>
      </c>
      <c r="B1465" s="3" t="s">
        <v>3116</v>
      </c>
      <c r="C1465" s="3" t="s">
        <v>3117</v>
      </c>
      <c r="D1465" s="3" t="s">
        <v>3096</v>
      </c>
    </row>
    <row r="1466" spans="1:4">
      <c r="A1466" s="3" t="s">
        <v>3118</v>
      </c>
      <c r="B1466" s="3" t="s">
        <v>3119</v>
      </c>
      <c r="C1466" s="3" t="s">
        <v>3117</v>
      </c>
      <c r="D1466" s="3" t="s">
        <v>3096</v>
      </c>
    </row>
    <row r="1467" spans="1:4">
      <c r="A1467" s="3" t="s">
        <v>3120</v>
      </c>
      <c r="B1467" s="3" t="s">
        <v>3121</v>
      </c>
      <c r="C1467" s="3" t="s">
        <v>3117</v>
      </c>
      <c r="D1467" s="3" t="s">
        <v>3096</v>
      </c>
    </row>
    <row r="1468" spans="1:4">
      <c r="A1468" s="3" t="s">
        <v>3122</v>
      </c>
      <c r="B1468" s="3" t="s">
        <v>2713</v>
      </c>
      <c r="C1468" s="3" t="s">
        <v>3117</v>
      </c>
      <c r="D1468" s="3" t="s">
        <v>3096</v>
      </c>
    </row>
    <row r="1469" spans="1:4">
      <c r="A1469" s="3" t="s">
        <v>3123</v>
      </c>
      <c r="B1469" s="3" t="s">
        <v>631</v>
      </c>
      <c r="C1469" s="3" t="s">
        <v>3117</v>
      </c>
      <c r="D1469" s="3" t="s">
        <v>3096</v>
      </c>
    </row>
    <row r="1470" spans="1:4">
      <c r="A1470" s="3" t="s">
        <v>3124</v>
      </c>
      <c r="B1470" s="3" t="s">
        <v>3125</v>
      </c>
      <c r="C1470" s="3" t="s">
        <v>3117</v>
      </c>
      <c r="D1470" s="3" t="s">
        <v>3096</v>
      </c>
    </row>
    <row r="1471" spans="1:4">
      <c r="A1471" s="3" t="s">
        <v>3126</v>
      </c>
      <c r="B1471" s="3" t="s">
        <v>3127</v>
      </c>
      <c r="C1471" s="3" t="s">
        <v>3096</v>
      </c>
      <c r="D1471" s="3" t="s">
        <v>3096</v>
      </c>
    </row>
    <row r="1472" spans="1:4">
      <c r="A1472" s="3" t="s">
        <v>3128</v>
      </c>
      <c r="B1472" s="3" t="s">
        <v>3129</v>
      </c>
      <c r="C1472" s="3" t="s">
        <v>3096</v>
      </c>
      <c r="D1472" s="3" t="s">
        <v>3096</v>
      </c>
    </row>
    <row r="1473" spans="1:4">
      <c r="A1473" s="3" t="s">
        <v>3130</v>
      </c>
      <c r="B1473" s="3" t="s">
        <v>3131</v>
      </c>
      <c r="C1473" s="3" t="s">
        <v>3096</v>
      </c>
      <c r="D1473" s="3" t="s">
        <v>3096</v>
      </c>
    </row>
    <row r="1474" spans="1:4">
      <c r="A1474" s="3" t="s">
        <v>3132</v>
      </c>
      <c r="B1474" s="3" t="s">
        <v>3133</v>
      </c>
      <c r="C1474" s="3" t="s">
        <v>3096</v>
      </c>
      <c r="D1474" s="3" t="s">
        <v>3096</v>
      </c>
    </row>
    <row r="1475" spans="1:4">
      <c r="A1475" s="3" t="s">
        <v>3134</v>
      </c>
      <c r="B1475" s="3" t="s">
        <v>3135</v>
      </c>
      <c r="C1475" s="3" t="s">
        <v>3096</v>
      </c>
      <c r="D1475" s="3" t="s">
        <v>3096</v>
      </c>
    </row>
    <row r="1476" spans="1:4">
      <c r="A1476" s="3" t="s">
        <v>3136</v>
      </c>
      <c r="B1476" s="3" t="s">
        <v>3137</v>
      </c>
      <c r="C1476" s="3" t="s">
        <v>3138</v>
      </c>
      <c r="D1476" s="3" t="s">
        <v>3096</v>
      </c>
    </row>
    <row r="1477" spans="1:4">
      <c r="A1477" s="3" t="s">
        <v>3139</v>
      </c>
      <c r="B1477" s="3" t="s">
        <v>3140</v>
      </c>
      <c r="C1477" s="3" t="s">
        <v>3138</v>
      </c>
      <c r="D1477" s="3" t="s">
        <v>3096</v>
      </c>
    </row>
    <row r="1478" spans="1:4">
      <c r="A1478" s="3" t="s">
        <v>3141</v>
      </c>
      <c r="B1478" s="3" t="s">
        <v>3142</v>
      </c>
      <c r="C1478" s="3" t="s">
        <v>3138</v>
      </c>
      <c r="D1478" s="3" t="s">
        <v>3096</v>
      </c>
    </row>
    <row r="1479" spans="1:4">
      <c r="A1479" s="3" t="s">
        <v>3143</v>
      </c>
      <c r="B1479" s="3" t="s">
        <v>1612</v>
      </c>
      <c r="C1479" s="3" t="s">
        <v>3138</v>
      </c>
      <c r="D1479" s="3" t="s">
        <v>3096</v>
      </c>
    </row>
    <row r="1480" spans="1:4">
      <c r="A1480" s="3" t="s">
        <v>3144</v>
      </c>
      <c r="B1480" s="3" t="s">
        <v>3145</v>
      </c>
      <c r="C1480" s="3" t="s">
        <v>3145</v>
      </c>
      <c r="D1480" s="3" t="s">
        <v>3096</v>
      </c>
    </row>
    <row r="1481" spans="1:4">
      <c r="A1481" s="3" t="s">
        <v>3146</v>
      </c>
      <c r="B1481" s="3" t="s">
        <v>3147</v>
      </c>
      <c r="C1481" s="3" t="s">
        <v>3145</v>
      </c>
      <c r="D1481" s="3" t="s">
        <v>3096</v>
      </c>
    </row>
    <row r="1482" spans="1:4">
      <c r="A1482" s="3" t="s">
        <v>3148</v>
      </c>
      <c r="B1482" s="3" t="s">
        <v>3149</v>
      </c>
      <c r="C1482" s="3" t="s">
        <v>3145</v>
      </c>
      <c r="D1482" s="3" t="s">
        <v>3096</v>
      </c>
    </row>
    <row r="1483" spans="1:4">
      <c r="A1483" s="3" t="s">
        <v>3150</v>
      </c>
      <c r="B1483" s="3" t="s">
        <v>3151</v>
      </c>
      <c r="C1483" s="3" t="s">
        <v>3145</v>
      </c>
      <c r="D1483" s="3" t="s">
        <v>3096</v>
      </c>
    </row>
    <row r="1484" spans="1:4">
      <c r="A1484" s="3" t="s">
        <v>3152</v>
      </c>
      <c r="B1484" s="3" t="s">
        <v>3153</v>
      </c>
      <c r="C1484" s="3" t="s">
        <v>3145</v>
      </c>
      <c r="D1484" s="3" t="s">
        <v>3096</v>
      </c>
    </row>
    <row r="1485" spans="1:4">
      <c r="A1485" s="3" t="s">
        <v>3154</v>
      </c>
      <c r="B1485" s="3" t="s">
        <v>3155</v>
      </c>
      <c r="C1485" s="3" t="s">
        <v>3145</v>
      </c>
      <c r="D1485" s="3" t="s">
        <v>3096</v>
      </c>
    </row>
    <row r="1486" spans="1:4">
      <c r="A1486" s="3" t="s">
        <v>3156</v>
      </c>
      <c r="B1486" s="3" t="s">
        <v>3157</v>
      </c>
      <c r="C1486" s="3" t="s">
        <v>3145</v>
      </c>
      <c r="D1486" s="3" t="s">
        <v>3096</v>
      </c>
    </row>
    <row r="1487" spans="1:4">
      <c r="A1487" s="3" t="s">
        <v>3158</v>
      </c>
      <c r="B1487" s="3" t="s">
        <v>3159</v>
      </c>
      <c r="C1487" s="3" t="s">
        <v>3145</v>
      </c>
      <c r="D1487" s="3" t="s">
        <v>3096</v>
      </c>
    </row>
    <row r="1488" spans="1:4">
      <c r="A1488" s="3" t="s">
        <v>3160</v>
      </c>
      <c r="B1488" s="3" t="s">
        <v>3161</v>
      </c>
      <c r="C1488" s="3" t="s">
        <v>3145</v>
      </c>
      <c r="D1488" s="3" t="s">
        <v>3096</v>
      </c>
    </row>
    <row r="1489" spans="1:4">
      <c r="A1489" s="3" t="s">
        <v>3162</v>
      </c>
      <c r="B1489" s="3" t="s">
        <v>3163</v>
      </c>
      <c r="C1489" s="3" t="s">
        <v>3145</v>
      </c>
      <c r="D1489" s="3" t="s">
        <v>3096</v>
      </c>
    </row>
    <row r="1490" spans="1:4">
      <c r="A1490" s="3" t="s">
        <v>3164</v>
      </c>
      <c r="B1490" s="3" t="s">
        <v>3165</v>
      </c>
      <c r="C1490" s="3" t="s">
        <v>3145</v>
      </c>
      <c r="D1490" s="3" t="s">
        <v>3096</v>
      </c>
    </row>
    <row r="1491" spans="1:4">
      <c r="A1491" s="3" t="s">
        <v>3166</v>
      </c>
      <c r="B1491" s="3" t="s">
        <v>3167</v>
      </c>
      <c r="C1491" s="3" t="s">
        <v>3168</v>
      </c>
      <c r="D1491" s="3" t="s">
        <v>3096</v>
      </c>
    </row>
    <row r="1492" spans="1:4">
      <c r="A1492" s="3" t="s">
        <v>3169</v>
      </c>
      <c r="B1492" s="3" t="s">
        <v>3170</v>
      </c>
      <c r="C1492" s="3" t="s">
        <v>3168</v>
      </c>
      <c r="D1492" s="3" t="s">
        <v>3096</v>
      </c>
    </row>
    <row r="1493" spans="1:4">
      <c r="A1493" s="3" t="s">
        <v>3171</v>
      </c>
      <c r="B1493" s="3" t="s">
        <v>3172</v>
      </c>
      <c r="C1493" s="3" t="s">
        <v>3168</v>
      </c>
      <c r="D1493" s="3" t="s">
        <v>3096</v>
      </c>
    </row>
    <row r="1494" spans="1:4">
      <c r="A1494" s="3" t="s">
        <v>3173</v>
      </c>
      <c r="B1494" s="3" t="s">
        <v>2479</v>
      </c>
      <c r="C1494" s="3" t="s">
        <v>3168</v>
      </c>
      <c r="D1494" s="3" t="s">
        <v>3096</v>
      </c>
    </row>
    <row r="1495" spans="1:4">
      <c r="A1495" s="3" t="s">
        <v>3174</v>
      </c>
      <c r="B1495" s="3" t="s">
        <v>3175</v>
      </c>
      <c r="C1495" s="3" t="s">
        <v>3168</v>
      </c>
      <c r="D1495" s="3" t="s">
        <v>3096</v>
      </c>
    </row>
    <row r="1496" spans="1:4">
      <c r="A1496" s="3" t="s">
        <v>3176</v>
      </c>
      <c r="B1496" s="3" t="s">
        <v>3177</v>
      </c>
      <c r="C1496" s="3" t="s">
        <v>3168</v>
      </c>
      <c r="D1496" s="3" t="s">
        <v>3096</v>
      </c>
    </row>
    <row r="1497" spans="1:4">
      <c r="A1497" s="3" t="s">
        <v>3178</v>
      </c>
      <c r="B1497" s="3" t="s">
        <v>2849</v>
      </c>
      <c r="C1497" s="3" t="s">
        <v>3179</v>
      </c>
      <c r="D1497" s="3" t="s">
        <v>3096</v>
      </c>
    </row>
    <row r="1498" spans="1:4">
      <c r="A1498" s="3" t="s">
        <v>3180</v>
      </c>
      <c r="B1498" s="3" t="s">
        <v>3181</v>
      </c>
      <c r="C1498" s="3" t="s">
        <v>3179</v>
      </c>
      <c r="D1498" s="3" t="s">
        <v>3096</v>
      </c>
    </row>
    <row r="1499" spans="1:4">
      <c r="A1499" s="3" t="s">
        <v>3182</v>
      </c>
      <c r="B1499" s="3" t="s">
        <v>3183</v>
      </c>
      <c r="C1499" s="3" t="s">
        <v>3179</v>
      </c>
      <c r="D1499" s="3" t="s">
        <v>3096</v>
      </c>
    </row>
    <row r="1500" spans="1:4">
      <c r="A1500" s="3" t="s">
        <v>3184</v>
      </c>
      <c r="B1500" s="3" t="s">
        <v>3185</v>
      </c>
      <c r="C1500" s="3" t="s">
        <v>3179</v>
      </c>
      <c r="D1500" s="3" t="s">
        <v>3096</v>
      </c>
    </row>
    <row r="1501" spans="1:4">
      <c r="A1501" s="3" t="s">
        <v>3186</v>
      </c>
      <c r="B1501" s="3" t="s">
        <v>3187</v>
      </c>
      <c r="C1501" s="3" t="s">
        <v>3179</v>
      </c>
      <c r="D1501" s="3" t="s">
        <v>3096</v>
      </c>
    </row>
    <row r="1502" spans="1:4">
      <c r="A1502" s="3" t="s">
        <v>3188</v>
      </c>
      <c r="B1502" s="3" t="s">
        <v>3189</v>
      </c>
      <c r="C1502" s="3" t="s">
        <v>3179</v>
      </c>
      <c r="D1502" s="3" t="s">
        <v>3096</v>
      </c>
    </row>
    <row r="1503" spans="1:4">
      <c r="A1503" s="3" t="s">
        <v>3190</v>
      </c>
      <c r="B1503" s="3" t="s">
        <v>3191</v>
      </c>
      <c r="C1503" s="3" t="s">
        <v>3095</v>
      </c>
      <c r="D1503" s="3" t="s">
        <v>3096</v>
      </c>
    </row>
    <row r="1504" spans="1:4">
      <c r="A1504" s="3" t="s">
        <v>3192</v>
      </c>
      <c r="B1504" s="3" t="s">
        <v>3193</v>
      </c>
      <c r="C1504" s="3" t="s">
        <v>3095</v>
      </c>
      <c r="D1504" s="3" t="s">
        <v>3096</v>
      </c>
    </row>
    <row r="1505" spans="1:4">
      <c r="A1505" s="3" t="s">
        <v>3194</v>
      </c>
      <c r="B1505" s="3" t="s">
        <v>3195</v>
      </c>
      <c r="C1505" s="3" t="s">
        <v>3095</v>
      </c>
      <c r="D1505" s="3" t="s">
        <v>3096</v>
      </c>
    </row>
    <row r="1506" spans="1:4">
      <c r="A1506" s="3" t="s">
        <v>3196</v>
      </c>
      <c r="B1506" s="3" t="s">
        <v>3197</v>
      </c>
      <c r="C1506" s="3" t="s">
        <v>3095</v>
      </c>
      <c r="D1506" s="3" t="s">
        <v>3096</v>
      </c>
    </row>
    <row r="1507" spans="1:4">
      <c r="A1507" s="3" t="s">
        <v>3198</v>
      </c>
      <c r="B1507" s="3" t="s">
        <v>3199</v>
      </c>
      <c r="C1507" s="3" t="s">
        <v>3199</v>
      </c>
      <c r="D1507" s="3" t="s">
        <v>3200</v>
      </c>
    </row>
    <row r="1508" spans="1:4">
      <c r="A1508" s="3" t="s">
        <v>3201</v>
      </c>
      <c r="B1508" s="3" t="s">
        <v>3202</v>
      </c>
      <c r="C1508" s="3" t="s">
        <v>3199</v>
      </c>
      <c r="D1508" s="3" t="s">
        <v>3200</v>
      </c>
    </row>
    <row r="1509" spans="1:4">
      <c r="A1509" s="3" t="s">
        <v>3203</v>
      </c>
      <c r="B1509" s="3" t="s">
        <v>3204</v>
      </c>
      <c r="C1509" s="3" t="s">
        <v>3199</v>
      </c>
      <c r="D1509" s="3" t="s">
        <v>3200</v>
      </c>
    </row>
    <row r="1510" spans="1:4">
      <c r="A1510" s="3" t="s">
        <v>3205</v>
      </c>
      <c r="B1510" s="3" t="s">
        <v>3206</v>
      </c>
      <c r="C1510" s="3" t="s">
        <v>3199</v>
      </c>
      <c r="D1510" s="3" t="s">
        <v>3200</v>
      </c>
    </row>
    <row r="1511" spans="1:4">
      <c r="A1511" s="3" t="s">
        <v>3207</v>
      </c>
      <c r="B1511" s="3" t="s">
        <v>3208</v>
      </c>
      <c r="C1511" s="3" t="s">
        <v>3208</v>
      </c>
      <c r="D1511" s="3" t="s">
        <v>3200</v>
      </c>
    </row>
    <row r="1512" spans="1:4">
      <c r="A1512" s="3" t="s">
        <v>3209</v>
      </c>
      <c r="B1512" s="3" t="s">
        <v>3210</v>
      </c>
      <c r="C1512" s="3" t="s">
        <v>3208</v>
      </c>
      <c r="D1512" s="3" t="s">
        <v>3200</v>
      </c>
    </row>
    <row r="1513" spans="1:4">
      <c r="A1513" s="3" t="s">
        <v>3211</v>
      </c>
      <c r="B1513" s="3" t="s">
        <v>3200</v>
      </c>
      <c r="C1513" s="3" t="s">
        <v>3208</v>
      </c>
      <c r="D1513" s="3" t="s">
        <v>3200</v>
      </c>
    </row>
    <row r="1514" spans="1:4">
      <c r="A1514" s="3" t="s">
        <v>3212</v>
      </c>
      <c r="B1514" s="3" t="s">
        <v>3213</v>
      </c>
      <c r="C1514" s="3" t="s">
        <v>3208</v>
      </c>
      <c r="D1514" s="3" t="s">
        <v>3200</v>
      </c>
    </row>
    <row r="1515" spans="1:4">
      <c r="A1515" s="3" t="s">
        <v>3214</v>
      </c>
      <c r="B1515" s="3" t="s">
        <v>3215</v>
      </c>
      <c r="C1515" s="3" t="s">
        <v>3216</v>
      </c>
      <c r="D1515" s="3" t="s">
        <v>3200</v>
      </c>
    </row>
    <row r="1516" spans="1:4">
      <c r="A1516" s="3" t="s">
        <v>3217</v>
      </c>
      <c r="B1516" s="3" t="s">
        <v>3218</v>
      </c>
      <c r="C1516" s="3" t="s">
        <v>3216</v>
      </c>
      <c r="D1516" s="3" t="s">
        <v>3200</v>
      </c>
    </row>
    <row r="1517" spans="1:4">
      <c r="A1517" s="3" t="s">
        <v>3219</v>
      </c>
      <c r="B1517" s="3" t="s">
        <v>3216</v>
      </c>
      <c r="C1517" s="3" t="s">
        <v>3216</v>
      </c>
      <c r="D1517" s="3" t="s">
        <v>3200</v>
      </c>
    </row>
    <row r="1518" spans="1:4">
      <c r="A1518" s="3" t="s">
        <v>3220</v>
      </c>
      <c r="B1518" s="3" t="s">
        <v>3221</v>
      </c>
      <c r="C1518" s="3" t="s">
        <v>3222</v>
      </c>
      <c r="D1518" s="3" t="s">
        <v>3221</v>
      </c>
    </row>
    <row r="1519" spans="1:4">
      <c r="A1519" s="3" t="s">
        <v>3223</v>
      </c>
      <c r="B1519" s="3" t="s">
        <v>3224</v>
      </c>
      <c r="C1519" s="3" t="s">
        <v>3222</v>
      </c>
      <c r="D1519" s="3" t="s">
        <v>3221</v>
      </c>
    </row>
    <row r="1520" spans="1:4">
      <c r="A1520" s="3" t="s">
        <v>3225</v>
      </c>
      <c r="B1520" s="3" t="s">
        <v>3226</v>
      </c>
      <c r="C1520" s="3" t="s">
        <v>3222</v>
      </c>
      <c r="D1520" s="3" t="s">
        <v>3221</v>
      </c>
    </row>
    <row r="1521" spans="1:4">
      <c r="A1521" s="3" t="s">
        <v>3227</v>
      </c>
      <c r="B1521" s="3" t="s">
        <v>3228</v>
      </c>
      <c r="C1521" s="3" t="s">
        <v>3222</v>
      </c>
      <c r="D1521" s="3" t="s">
        <v>3221</v>
      </c>
    </row>
    <row r="1522" spans="1:4">
      <c r="A1522" s="3" t="s">
        <v>3229</v>
      </c>
      <c r="B1522" s="3" t="s">
        <v>389</v>
      </c>
      <c r="C1522" s="3" t="s">
        <v>3222</v>
      </c>
      <c r="D1522" s="3" t="s">
        <v>3221</v>
      </c>
    </row>
    <row r="1523" spans="1:4">
      <c r="A1523" s="3" t="s">
        <v>3230</v>
      </c>
      <c r="B1523" s="3" t="s">
        <v>3231</v>
      </c>
      <c r="C1523" s="3" t="s">
        <v>3222</v>
      </c>
      <c r="D1523" s="3" t="s">
        <v>3221</v>
      </c>
    </row>
    <row r="1524" spans="1:4">
      <c r="A1524" s="3" t="s">
        <v>3232</v>
      </c>
      <c r="B1524" s="3" t="s">
        <v>3233</v>
      </c>
      <c r="C1524" s="3" t="s">
        <v>3234</v>
      </c>
      <c r="D1524" s="3" t="s">
        <v>3221</v>
      </c>
    </row>
    <row r="1525" spans="1:4">
      <c r="A1525" s="3" t="s">
        <v>3235</v>
      </c>
      <c r="B1525" s="3" t="s">
        <v>3236</v>
      </c>
      <c r="C1525" s="3" t="s">
        <v>3234</v>
      </c>
      <c r="D1525" s="3" t="s">
        <v>3221</v>
      </c>
    </row>
    <row r="1526" spans="1:4">
      <c r="A1526" s="3" t="s">
        <v>3237</v>
      </c>
      <c r="B1526" s="3" t="s">
        <v>3238</v>
      </c>
      <c r="C1526" s="3" t="s">
        <v>3234</v>
      </c>
      <c r="D1526" s="3" t="s">
        <v>3221</v>
      </c>
    </row>
    <row r="1527" spans="1:4">
      <c r="A1527" s="3" t="s">
        <v>3239</v>
      </c>
      <c r="B1527" s="3" t="s">
        <v>3240</v>
      </c>
      <c r="C1527" s="3" t="s">
        <v>3234</v>
      </c>
      <c r="D1527" s="3" t="s">
        <v>3221</v>
      </c>
    </row>
    <row r="1528" spans="1:4">
      <c r="A1528" s="3" t="s">
        <v>3241</v>
      </c>
      <c r="B1528" s="3" t="s">
        <v>3242</v>
      </c>
      <c r="C1528" s="3" t="s">
        <v>3234</v>
      </c>
      <c r="D1528" s="3" t="s">
        <v>3221</v>
      </c>
    </row>
    <row r="1529" spans="1:4">
      <c r="A1529" s="3" t="s">
        <v>3243</v>
      </c>
      <c r="B1529" s="3" t="s">
        <v>3244</v>
      </c>
      <c r="C1529" s="3" t="s">
        <v>3234</v>
      </c>
      <c r="D1529" s="3" t="s">
        <v>3221</v>
      </c>
    </row>
    <row r="1530" spans="1:4">
      <c r="A1530" s="3" t="s">
        <v>3245</v>
      </c>
      <c r="B1530" s="3" t="s">
        <v>3246</v>
      </c>
      <c r="C1530" s="3" t="s">
        <v>3234</v>
      </c>
      <c r="D1530" s="3" t="s">
        <v>3221</v>
      </c>
    </row>
    <row r="1531" spans="1:4">
      <c r="A1531" s="3" t="s">
        <v>3247</v>
      </c>
      <c r="B1531" s="3" t="s">
        <v>3248</v>
      </c>
      <c r="C1531" s="3" t="s">
        <v>3234</v>
      </c>
      <c r="D1531" s="3" t="s">
        <v>3221</v>
      </c>
    </row>
    <row r="1532" spans="1:4">
      <c r="A1532" s="3" t="s">
        <v>3249</v>
      </c>
      <c r="B1532" s="3" t="s">
        <v>3250</v>
      </c>
      <c r="C1532" s="3" t="s">
        <v>3234</v>
      </c>
      <c r="D1532" s="3" t="s">
        <v>3221</v>
      </c>
    </row>
    <row r="1533" spans="1:4">
      <c r="A1533" s="3" t="s">
        <v>3251</v>
      </c>
      <c r="B1533" s="3" t="s">
        <v>3252</v>
      </c>
      <c r="C1533" s="3" t="s">
        <v>3234</v>
      </c>
      <c r="D1533" s="3" t="s">
        <v>3221</v>
      </c>
    </row>
    <row r="1534" spans="1:4">
      <c r="A1534" s="3" t="s">
        <v>3253</v>
      </c>
      <c r="B1534" s="3" t="s">
        <v>3254</v>
      </c>
      <c r="C1534" s="3" t="s">
        <v>3234</v>
      </c>
      <c r="D1534" s="3" t="s">
        <v>3221</v>
      </c>
    </row>
    <row r="1535" spans="1:4">
      <c r="A1535" s="3" t="s">
        <v>3255</v>
      </c>
      <c r="B1535" s="3" t="s">
        <v>3256</v>
      </c>
      <c r="C1535" s="3" t="s">
        <v>3256</v>
      </c>
      <c r="D1535" s="3" t="s">
        <v>3221</v>
      </c>
    </row>
    <row r="1536" spans="1:4">
      <c r="A1536" s="3" t="s">
        <v>3257</v>
      </c>
      <c r="B1536" s="3" t="s">
        <v>3258</v>
      </c>
      <c r="C1536" s="3" t="s">
        <v>3256</v>
      </c>
      <c r="D1536" s="3" t="s">
        <v>3221</v>
      </c>
    </row>
    <row r="1537" spans="1:4">
      <c r="A1537" s="3" t="s">
        <v>3259</v>
      </c>
      <c r="B1537" s="3" t="s">
        <v>3260</v>
      </c>
      <c r="C1537" s="3" t="s">
        <v>3256</v>
      </c>
      <c r="D1537" s="3" t="s">
        <v>3221</v>
      </c>
    </row>
    <row r="1538" spans="1:4">
      <c r="A1538" s="3" t="s">
        <v>3261</v>
      </c>
      <c r="B1538" s="3" t="s">
        <v>3262</v>
      </c>
      <c r="C1538" s="3" t="s">
        <v>3263</v>
      </c>
      <c r="D1538" s="3" t="s">
        <v>3263</v>
      </c>
    </row>
    <row r="1539" spans="1:4">
      <c r="A1539" s="3" t="s">
        <v>3264</v>
      </c>
      <c r="B1539" s="3" t="s">
        <v>3265</v>
      </c>
      <c r="C1539" s="3" t="s">
        <v>3263</v>
      </c>
      <c r="D1539" s="3" t="s">
        <v>3263</v>
      </c>
    </row>
    <row r="1540" spans="1:4">
      <c r="A1540" s="3" t="s">
        <v>3266</v>
      </c>
      <c r="B1540" s="3" t="s">
        <v>3267</v>
      </c>
      <c r="C1540" s="3" t="s">
        <v>3263</v>
      </c>
      <c r="D1540" s="3" t="s">
        <v>3263</v>
      </c>
    </row>
    <row r="1541" spans="1:4">
      <c r="A1541" s="3" t="s">
        <v>3268</v>
      </c>
      <c r="B1541" s="3" t="s">
        <v>3269</v>
      </c>
      <c r="C1541" s="3" t="s">
        <v>3263</v>
      </c>
      <c r="D1541" s="3" t="s">
        <v>3263</v>
      </c>
    </row>
    <row r="1542" spans="1:4">
      <c r="A1542" s="3" t="s">
        <v>3270</v>
      </c>
      <c r="B1542" s="3" t="s">
        <v>3271</v>
      </c>
      <c r="C1542" s="3" t="s">
        <v>3263</v>
      </c>
      <c r="D1542" s="3" t="s">
        <v>3263</v>
      </c>
    </row>
    <row r="1543" spans="1:4">
      <c r="A1543" s="3" t="s">
        <v>3272</v>
      </c>
      <c r="B1543" s="3" t="s">
        <v>3273</v>
      </c>
      <c r="C1543" s="3" t="s">
        <v>3263</v>
      </c>
      <c r="D1543" s="3" t="s">
        <v>3263</v>
      </c>
    </row>
    <row r="1544" spans="1:4">
      <c r="A1544" s="3" t="s">
        <v>3274</v>
      </c>
      <c r="B1544" s="3" t="s">
        <v>1822</v>
      </c>
      <c r="C1544" s="3" t="s">
        <v>3263</v>
      </c>
      <c r="D1544" s="3" t="s">
        <v>3263</v>
      </c>
    </row>
    <row r="1545" spans="1:4">
      <c r="A1545" s="3" t="s">
        <v>3275</v>
      </c>
      <c r="B1545" s="3" t="s">
        <v>3276</v>
      </c>
      <c r="C1545" s="3" t="s">
        <v>3263</v>
      </c>
      <c r="D1545" s="3" t="s">
        <v>3263</v>
      </c>
    </row>
    <row r="1546" spans="1:4">
      <c r="A1546" s="3" t="s">
        <v>3277</v>
      </c>
      <c r="B1546" s="3" t="s">
        <v>3278</v>
      </c>
      <c r="C1546" s="3" t="s">
        <v>3263</v>
      </c>
      <c r="D1546" s="3" t="s">
        <v>3263</v>
      </c>
    </row>
    <row r="1547" spans="1:4">
      <c r="A1547" s="3" t="s">
        <v>3279</v>
      </c>
      <c r="B1547" s="3" t="s">
        <v>3280</v>
      </c>
      <c r="C1547" s="3" t="s">
        <v>3263</v>
      </c>
      <c r="D1547" s="3" t="s">
        <v>3263</v>
      </c>
    </row>
    <row r="1548" spans="1:4">
      <c r="A1548" s="3" t="s">
        <v>3281</v>
      </c>
      <c r="B1548" s="3" t="s">
        <v>3282</v>
      </c>
      <c r="C1548" s="3" t="s">
        <v>3263</v>
      </c>
      <c r="D1548" s="3" t="s">
        <v>3263</v>
      </c>
    </row>
    <row r="1549" spans="1:4">
      <c r="A1549" s="3" t="s">
        <v>3283</v>
      </c>
      <c r="B1549" s="3" t="s">
        <v>3284</v>
      </c>
      <c r="C1549" s="3" t="s">
        <v>3263</v>
      </c>
      <c r="D1549" s="3" t="s">
        <v>3263</v>
      </c>
    </row>
    <row r="1550" spans="1:4">
      <c r="A1550" s="3" t="s">
        <v>3285</v>
      </c>
      <c r="B1550" s="3" t="s">
        <v>2538</v>
      </c>
      <c r="C1550" s="3" t="s">
        <v>3263</v>
      </c>
      <c r="D1550" s="3" t="s">
        <v>3263</v>
      </c>
    </row>
    <row r="1551" spans="1:4">
      <c r="A1551" s="3" t="s">
        <v>3286</v>
      </c>
      <c r="B1551" s="3" t="s">
        <v>3287</v>
      </c>
      <c r="C1551" s="3" t="s">
        <v>3288</v>
      </c>
      <c r="D1551" s="3" t="s">
        <v>3263</v>
      </c>
    </row>
    <row r="1552" spans="1:4">
      <c r="A1552" s="3" t="s">
        <v>3289</v>
      </c>
      <c r="B1552" s="3" t="s">
        <v>3290</v>
      </c>
      <c r="C1552" s="3" t="s">
        <v>3288</v>
      </c>
      <c r="D1552" s="3" t="s">
        <v>3263</v>
      </c>
    </row>
    <row r="1553" spans="1:4">
      <c r="A1553" s="3" t="s">
        <v>3291</v>
      </c>
      <c r="B1553" s="3" t="s">
        <v>3292</v>
      </c>
      <c r="C1553" s="3" t="s">
        <v>3288</v>
      </c>
      <c r="D1553" s="3" t="s">
        <v>3263</v>
      </c>
    </row>
    <row r="1554" spans="1:4">
      <c r="A1554" s="3" t="s">
        <v>3293</v>
      </c>
      <c r="B1554" s="3" t="s">
        <v>3294</v>
      </c>
      <c r="C1554" s="3" t="s">
        <v>3288</v>
      </c>
      <c r="D1554" s="3" t="s">
        <v>3263</v>
      </c>
    </row>
    <row r="1555" spans="1:4">
      <c r="A1555" s="3" t="s">
        <v>3295</v>
      </c>
      <c r="B1555" s="3" t="s">
        <v>3296</v>
      </c>
      <c r="C1555" s="3" t="s">
        <v>3288</v>
      </c>
      <c r="D1555" s="3" t="s">
        <v>3263</v>
      </c>
    </row>
    <row r="1556" spans="1:4">
      <c r="A1556" s="3" t="s">
        <v>3297</v>
      </c>
      <c r="B1556" s="3" t="s">
        <v>3298</v>
      </c>
      <c r="C1556" s="3" t="s">
        <v>3288</v>
      </c>
      <c r="D1556" s="3" t="s">
        <v>3263</v>
      </c>
    </row>
    <row r="1557" spans="1:4">
      <c r="A1557" s="3" t="s">
        <v>3299</v>
      </c>
      <c r="B1557" s="3" t="s">
        <v>3300</v>
      </c>
      <c r="C1557" s="3" t="s">
        <v>3288</v>
      </c>
      <c r="D1557" s="3" t="s">
        <v>3263</v>
      </c>
    </row>
    <row r="1558" spans="1:4">
      <c r="A1558" s="3" t="s">
        <v>3301</v>
      </c>
      <c r="B1558" s="3" t="s">
        <v>937</v>
      </c>
      <c r="C1558" s="3" t="s">
        <v>3288</v>
      </c>
      <c r="D1558" s="3" t="s">
        <v>3263</v>
      </c>
    </row>
    <row r="1559" spans="1:4">
      <c r="A1559" s="3" t="s">
        <v>3302</v>
      </c>
      <c r="B1559" s="3" t="s">
        <v>3303</v>
      </c>
      <c r="C1559" s="3" t="s">
        <v>3303</v>
      </c>
      <c r="D1559" s="3" t="s">
        <v>3263</v>
      </c>
    </row>
    <row r="1560" spans="1:4">
      <c r="A1560" s="3" t="s">
        <v>3304</v>
      </c>
      <c r="B1560" s="3" t="s">
        <v>3305</v>
      </c>
      <c r="C1560" s="3" t="s">
        <v>3303</v>
      </c>
      <c r="D1560" s="3" t="s">
        <v>3263</v>
      </c>
    </row>
    <row r="1561" spans="1:4">
      <c r="A1561" s="3" t="s">
        <v>3306</v>
      </c>
      <c r="B1561" s="3" t="s">
        <v>3307</v>
      </c>
      <c r="C1561" s="3" t="s">
        <v>3303</v>
      </c>
      <c r="D1561" s="3" t="s">
        <v>3263</v>
      </c>
    </row>
    <row r="1562" spans="1:4">
      <c r="A1562" s="3" t="s">
        <v>3308</v>
      </c>
      <c r="B1562" s="3" t="s">
        <v>3309</v>
      </c>
      <c r="C1562" s="3" t="s">
        <v>3303</v>
      </c>
      <c r="D1562" s="3" t="s">
        <v>3263</v>
      </c>
    </row>
    <row r="1563" spans="1:4">
      <c r="A1563" s="3" t="s">
        <v>3310</v>
      </c>
      <c r="B1563" s="3" t="s">
        <v>3311</v>
      </c>
      <c r="C1563" s="3" t="s">
        <v>3303</v>
      </c>
      <c r="D1563" s="3" t="s">
        <v>3263</v>
      </c>
    </row>
    <row r="1564" spans="1:4">
      <c r="A1564" s="3" t="s">
        <v>3312</v>
      </c>
      <c r="B1564" s="3" t="s">
        <v>3313</v>
      </c>
      <c r="C1564" s="3" t="s">
        <v>3303</v>
      </c>
      <c r="D1564" s="3" t="s">
        <v>3263</v>
      </c>
    </row>
    <row r="1565" spans="1:4">
      <c r="A1565" s="3" t="s">
        <v>3314</v>
      </c>
      <c r="B1565" s="3" t="s">
        <v>3315</v>
      </c>
      <c r="C1565" s="3" t="s">
        <v>3303</v>
      </c>
      <c r="D1565" s="3" t="s">
        <v>3263</v>
      </c>
    </row>
    <row r="1566" spans="1:4">
      <c r="A1566" s="3" t="s">
        <v>3316</v>
      </c>
      <c r="B1566" s="3" t="s">
        <v>3317</v>
      </c>
      <c r="C1566" s="3" t="s">
        <v>3303</v>
      </c>
      <c r="D1566" s="3" t="s">
        <v>3263</v>
      </c>
    </row>
    <row r="1567" spans="1:4">
      <c r="A1567" s="3" t="s">
        <v>3318</v>
      </c>
      <c r="B1567" s="3" t="s">
        <v>3319</v>
      </c>
      <c r="C1567" s="3" t="s">
        <v>3319</v>
      </c>
      <c r="D1567" s="3" t="s">
        <v>3319</v>
      </c>
    </row>
    <row r="1568" spans="1:4">
      <c r="A1568" s="3" t="s">
        <v>3320</v>
      </c>
      <c r="B1568" s="3" t="s">
        <v>1044</v>
      </c>
      <c r="C1568" s="3" t="s">
        <v>3319</v>
      </c>
      <c r="D1568" s="3" t="s">
        <v>3319</v>
      </c>
    </row>
    <row r="1569" spans="1:4">
      <c r="A1569" s="3" t="s">
        <v>3321</v>
      </c>
      <c r="B1569" s="3" t="s">
        <v>3322</v>
      </c>
      <c r="C1569" s="3" t="s">
        <v>3319</v>
      </c>
      <c r="D1569" s="3" t="s">
        <v>3319</v>
      </c>
    </row>
    <row r="1570" spans="1:4">
      <c r="A1570" s="3" t="s">
        <v>3323</v>
      </c>
      <c r="B1570" s="3" t="s">
        <v>3324</v>
      </c>
      <c r="C1570" s="3" t="s">
        <v>3319</v>
      </c>
      <c r="D1570" s="3" t="s">
        <v>3319</v>
      </c>
    </row>
    <row r="1571" spans="1:4">
      <c r="A1571" s="3" t="s">
        <v>3325</v>
      </c>
      <c r="B1571" s="3" t="s">
        <v>3326</v>
      </c>
      <c r="C1571" s="3" t="s">
        <v>3319</v>
      </c>
      <c r="D1571" s="3" t="s">
        <v>3319</v>
      </c>
    </row>
    <row r="1572" spans="1:4">
      <c r="A1572" s="3" t="s">
        <v>3327</v>
      </c>
      <c r="B1572" s="3" t="s">
        <v>3328</v>
      </c>
      <c r="C1572" s="3" t="s">
        <v>3319</v>
      </c>
      <c r="D1572" s="3" t="s">
        <v>3319</v>
      </c>
    </row>
    <row r="1573" spans="1:4">
      <c r="A1573" s="3" t="s">
        <v>3329</v>
      </c>
      <c r="B1573" s="3" t="s">
        <v>1140</v>
      </c>
      <c r="C1573" s="3" t="s">
        <v>3319</v>
      </c>
      <c r="D1573" s="3" t="s">
        <v>3319</v>
      </c>
    </row>
    <row r="1574" spans="1:4">
      <c r="A1574" s="3" t="s">
        <v>3330</v>
      </c>
      <c r="B1574" s="3" t="s">
        <v>3331</v>
      </c>
      <c r="C1574" s="3" t="s">
        <v>3319</v>
      </c>
      <c r="D1574" s="3" t="s">
        <v>3319</v>
      </c>
    </row>
    <row r="1575" spans="1:4">
      <c r="A1575" s="3" t="s">
        <v>3332</v>
      </c>
      <c r="B1575" s="3" t="s">
        <v>3333</v>
      </c>
      <c r="C1575" s="3" t="s">
        <v>3319</v>
      </c>
      <c r="D1575" s="3" t="s">
        <v>3319</v>
      </c>
    </row>
    <row r="1576" spans="1:4">
      <c r="A1576" s="3" t="s">
        <v>3334</v>
      </c>
      <c r="B1576" s="3" t="s">
        <v>3335</v>
      </c>
      <c r="C1576" s="3" t="s">
        <v>3319</v>
      </c>
      <c r="D1576" s="3" t="s">
        <v>3319</v>
      </c>
    </row>
    <row r="1577" spans="1:4">
      <c r="A1577" s="3" t="s">
        <v>3336</v>
      </c>
      <c r="B1577" s="3" t="s">
        <v>3337</v>
      </c>
      <c r="C1577" s="3" t="s">
        <v>3337</v>
      </c>
      <c r="D1577" s="3" t="s">
        <v>3319</v>
      </c>
    </row>
    <row r="1578" spans="1:4">
      <c r="A1578" s="3" t="s">
        <v>3338</v>
      </c>
      <c r="B1578" s="3" t="s">
        <v>3339</v>
      </c>
      <c r="C1578" s="3" t="s">
        <v>3337</v>
      </c>
      <c r="D1578" s="3" t="s">
        <v>3319</v>
      </c>
    </row>
    <row r="1579" spans="1:4">
      <c r="A1579" s="3" t="s">
        <v>3340</v>
      </c>
      <c r="B1579" s="3" t="s">
        <v>3341</v>
      </c>
      <c r="C1579" s="3" t="s">
        <v>3337</v>
      </c>
      <c r="D1579" s="3" t="s">
        <v>3319</v>
      </c>
    </row>
    <row r="1580" spans="1:4">
      <c r="A1580" s="3" t="s">
        <v>3342</v>
      </c>
      <c r="B1580" s="3" t="s">
        <v>2713</v>
      </c>
      <c r="C1580" s="3" t="s">
        <v>3337</v>
      </c>
      <c r="D1580" s="3" t="s">
        <v>3319</v>
      </c>
    </row>
    <row r="1581" spans="1:4">
      <c r="A1581" s="3" t="s">
        <v>3343</v>
      </c>
      <c r="B1581" s="3" t="s">
        <v>3344</v>
      </c>
      <c r="C1581" s="3" t="s">
        <v>3337</v>
      </c>
      <c r="D1581" s="3" t="s">
        <v>3319</v>
      </c>
    </row>
    <row r="1582" spans="1:4">
      <c r="A1582" s="3" t="s">
        <v>3345</v>
      </c>
      <c r="B1582" s="3" t="s">
        <v>3346</v>
      </c>
      <c r="C1582" s="3" t="s">
        <v>3337</v>
      </c>
      <c r="D1582" s="3" t="s">
        <v>3319</v>
      </c>
    </row>
    <row r="1583" spans="1:4">
      <c r="A1583" s="3" t="s">
        <v>3347</v>
      </c>
      <c r="B1583" s="3" t="s">
        <v>3348</v>
      </c>
      <c r="C1583" s="3" t="s">
        <v>3337</v>
      </c>
      <c r="D1583" s="3" t="s">
        <v>3319</v>
      </c>
    </row>
    <row r="1584" spans="1:4">
      <c r="A1584" s="3" t="s">
        <v>3349</v>
      </c>
      <c r="B1584" s="3" t="s">
        <v>3350</v>
      </c>
      <c r="C1584" s="3" t="s">
        <v>3337</v>
      </c>
      <c r="D1584" s="3" t="s">
        <v>3319</v>
      </c>
    </row>
    <row r="1585" spans="1:4">
      <c r="A1585" s="3" t="s">
        <v>3351</v>
      </c>
      <c r="B1585" s="3" t="s">
        <v>3352</v>
      </c>
      <c r="C1585" s="3" t="s">
        <v>3337</v>
      </c>
      <c r="D1585" s="3" t="s">
        <v>3319</v>
      </c>
    </row>
    <row r="1586" spans="1:4">
      <c r="A1586" s="3" t="s">
        <v>3353</v>
      </c>
      <c r="B1586" s="3" t="s">
        <v>3354</v>
      </c>
      <c r="C1586" s="3" t="s">
        <v>3337</v>
      </c>
      <c r="D1586" s="3" t="s">
        <v>3319</v>
      </c>
    </row>
    <row r="1587" spans="1:4">
      <c r="A1587" s="3" t="s">
        <v>3355</v>
      </c>
      <c r="B1587" s="3" t="s">
        <v>3307</v>
      </c>
      <c r="C1587" s="3" t="s">
        <v>3307</v>
      </c>
      <c r="D1587" s="3" t="s">
        <v>3319</v>
      </c>
    </row>
    <row r="1588" spans="1:4">
      <c r="A1588" s="3" t="s">
        <v>3356</v>
      </c>
      <c r="B1588" s="3" t="s">
        <v>3357</v>
      </c>
      <c r="C1588" s="3" t="s">
        <v>3307</v>
      </c>
      <c r="D1588" s="3" t="s">
        <v>3319</v>
      </c>
    </row>
    <row r="1589" spans="1:4">
      <c r="A1589" s="3" t="s">
        <v>3358</v>
      </c>
      <c r="B1589" s="3" t="s">
        <v>3359</v>
      </c>
      <c r="C1589" s="3" t="s">
        <v>3307</v>
      </c>
      <c r="D1589" s="3" t="s">
        <v>3319</v>
      </c>
    </row>
    <row r="1590" spans="1:4">
      <c r="A1590" s="3" t="s">
        <v>3360</v>
      </c>
      <c r="B1590" s="3" t="s">
        <v>3361</v>
      </c>
      <c r="C1590" s="3" t="s">
        <v>3307</v>
      </c>
      <c r="D1590" s="3" t="s">
        <v>3319</v>
      </c>
    </row>
    <row r="1591" spans="1:4">
      <c r="A1591" s="3" t="s">
        <v>3362</v>
      </c>
      <c r="B1591" s="3" t="s">
        <v>3363</v>
      </c>
      <c r="C1591" s="3" t="s">
        <v>3307</v>
      </c>
      <c r="D1591" s="3" t="s">
        <v>3319</v>
      </c>
    </row>
    <row r="1592" spans="1:4">
      <c r="A1592" s="3" t="s">
        <v>3364</v>
      </c>
      <c r="B1592" s="3" t="s">
        <v>3365</v>
      </c>
      <c r="C1592" s="3" t="s">
        <v>3307</v>
      </c>
      <c r="D1592" s="3" t="s">
        <v>3319</v>
      </c>
    </row>
    <row r="1593" spans="1:4">
      <c r="A1593" s="3" t="s">
        <v>3366</v>
      </c>
      <c r="B1593" s="3" t="s">
        <v>3367</v>
      </c>
      <c r="C1593" s="3" t="s">
        <v>3307</v>
      </c>
      <c r="D1593" s="3" t="s">
        <v>3319</v>
      </c>
    </row>
    <row r="1594" spans="1:4">
      <c r="A1594" s="3" t="s">
        <v>3368</v>
      </c>
      <c r="B1594" s="3" t="s">
        <v>3369</v>
      </c>
      <c r="C1594" s="3" t="s">
        <v>3307</v>
      </c>
      <c r="D1594" s="3" t="s">
        <v>3319</v>
      </c>
    </row>
    <row r="1595" spans="1:4">
      <c r="A1595" s="3" t="s">
        <v>3370</v>
      </c>
      <c r="B1595" s="3" t="s">
        <v>3371</v>
      </c>
      <c r="C1595" s="3" t="s">
        <v>3372</v>
      </c>
      <c r="D1595" s="3" t="s">
        <v>3319</v>
      </c>
    </row>
    <row r="1596" spans="1:4">
      <c r="A1596" s="3" t="s">
        <v>3373</v>
      </c>
      <c r="B1596" s="3" t="s">
        <v>3374</v>
      </c>
      <c r="C1596" s="3" t="s">
        <v>3372</v>
      </c>
      <c r="D1596" s="3" t="s">
        <v>3319</v>
      </c>
    </row>
    <row r="1597" spans="1:4">
      <c r="A1597" s="3" t="s">
        <v>3375</v>
      </c>
      <c r="B1597" s="3" t="s">
        <v>3376</v>
      </c>
      <c r="C1597" s="3" t="s">
        <v>3372</v>
      </c>
      <c r="D1597" s="3" t="s">
        <v>3319</v>
      </c>
    </row>
    <row r="1598" spans="1:4">
      <c r="A1598" s="3" t="s">
        <v>3377</v>
      </c>
      <c r="B1598" s="3" t="s">
        <v>3378</v>
      </c>
      <c r="C1598" s="3" t="s">
        <v>3372</v>
      </c>
      <c r="D1598" s="3" t="s">
        <v>3319</v>
      </c>
    </row>
    <row r="1599" spans="1:4">
      <c r="A1599" s="3" t="s">
        <v>3379</v>
      </c>
      <c r="B1599" s="3" t="s">
        <v>3372</v>
      </c>
      <c r="C1599" s="3" t="s">
        <v>3372</v>
      </c>
      <c r="D1599" s="3" t="s">
        <v>3319</v>
      </c>
    </row>
    <row r="1600" spans="1:4">
      <c r="A1600" s="3" t="s">
        <v>3380</v>
      </c>
      <c r="B1600" s="3" t="s">
        <v>3381</v>
      </c>
      <c r="C1600" s="3" t="s">
        <v>3372</v>
      </c>
      <c r="D1600" s="3" t="s">
        <v>3319</v>
      </c>
    </row>
    <row r="1601" spans="1:4">
      <c r="A1601" s="3" t="s">
        <v>3382</v>
      </c>
      <c r="B1601" s="3" t="s">
        <v>3383</v>
      </c>
      <c r="C1601" s="3" t="s">
        <v>3372</v>
      </c>
      <c r="D1601" s="3" t="s">
        <v>3319</v>
      </c>
    </row>
    <row r="1602" spans="1:4">
      <c r="A1602" s="3" t="s">
        <v>3384</v>
      </c>
      <c r="B1602" s="3" t="s">
        <v>3385</v>
      </c>
      <c r="C1602" s="3" t="s">
        <v>3372</v>
      </c>
      <c r="D1602" s="3" t="s">
        <v>3319</v>
      </c>
    </row>
    <row r="1603" spans="1:4">
      <c r="A1603" s="3" t="s">
        <v>3386</v>
      </c>
      <c r="B1603" s="3" t="s">
        <v>3387</v>
      </c>
      <c r="C1603" s="3" t="s">
        <v>3372</v>
      </c>
      <c r="D1603" s="3" t="s">
        <v>3319</v>
      </c>
    </row>
    <row r="1604" spans="1:4">
      <c r="A1604" s="3" t="s">
        <v>3388</v>
      </c>
      <c r="B1604" s="3" t="s">
        <v>3389</v>
      </c>
      <c r="C1604" s="3" t="s">
        <v>3372</v>
      </c>
      <c r="D1604" s="3" t="s">
        <v>3319</v>
      </c>
    </row>
    <row r="1605" spans="1:4">
      <c r="A1605" s="3" t="s">
        <v>3390</v>
      </c>
      <c r="B1605" s="3" t="s">
        <v>3391</v>
      </c>
      <c r="C1605" s="3" t="s">
        <v>3391</v>
      </c>
      <c r="D1605" s="3" t="s">
        <v>3319</v>
      </c>
    </row>
    <row r="1606" spans="1:4">
      <c r="A1606" s="3" t="s">
        <v>3392</v>
      </c>
      <c r="B1606" s="3" t="s">
        <v>3393</v>
      </c>
      <c r="C1606" s="3" t="s">
        <v>3391</v>
      </c>
      <c r="D1606" s="3" t="s">
        <v>3319</v>
      </c>
    </row>
    <row r="1607" spans="1:4">
      <c r="A1607" s="3" t="s">
        <v>3394</v>
      </c>
      <c r="B1607" s="3" t="s">
        <v>3395</v>
      </c>
      <c r="C1607" s="3" t="s">
        <v>3391</v>
      </c>
      <c r="D1607" s="3" t="s">
        <v>3319</v>
      </c>
    </row>
    <row r="1608" spans="1:4">
      <c r="A1608" s="3" t="s">
        <v>3396</v>
      </c>
      <c r="B1608" s="3" t="s">
        <v>3397</v>
      </c>
      <c r="C1608" s="3" t="s">
        <v>3391</v>
      </c>
      <c r="D1608" s="3" t="s">
        <v>3319</v>
      </c>
    </row>
    <row r="1609" spans="1:4">
      <c r="A1609" s="3" t="s">
        <v>3398</v>
      </c>
      <c r="B1609" s="3" t="s">
        <v>3399</v>
      </c>
      <c r="C1609" s="3" t="s">
        <v>3391</v>
      </c>
      <c r="D1609" s="3" t="s">
        <v>3319</v>
      </c>
    </row>
    <row r="1610" spans="1:4">
      <c r="A1610" s="3" t="s">
        <v>3400</v>
      </c>
      <c r="B1610" s="3" t="s">
        <v>3401</v>
      </c>
      <c r="C1610" s="3" t="s">
        <v>3391</v>
      </c>
      <c r="D1610" s="3" t="s">
        <v>3319</v>
      </c>
    </row>
    <row r="1611" spans="1:4">
      <c r="A1611" s="3" t="s">
        <v>3402</v>
      </c>
      <c r="B1611" s="3" t="s">
        <v>3403</v>
      </c>
      <c r="C1611" s="3" t="s">
        <v>3391</v>
      </c>
      <c r="D1611" s="3" t="s">
        <v>3319</v>
      </c>
    </row>
    <row r="1612" spans="1:4">
      <c r="A1612" s="3" t="s">
        <v>3404</v>
      </c>
      <c r="B1612" s="3" t="s">
        <v>3405</v>
      </c>
      <c r="C1612" s="3" t="s">
        <v>3405</v>
      </c>
      <c r="D1612" s="3" t="s">
        <v>3319</v>
      </c>
    </row>
    <row r="1613" spans="1:4">
      <c r="A1613" s="3" t="s">
        <v>3406</v>
      </c>
      <c r="B1613" s="3" t="s">
        <v>1538</v>
      </c>
      <c r="C1613" s="3" t="s">
        <v>3405</v>
      </c>
      <c r="D1613" s="3" t="s">
        <v>3319</v>
      </c>
    </row>
    <row r="1614" spans="1:4">
      <c r="A1614" s="3" t="s">
        <v>3407</v>
      </c>
      <c r="B1614" s="3" t="s">
        <v>3408</v>
      </c>
      <c r="C1614" s="3" t="s">
        <v>3405</v>
      </c>
      <c r="D1614" s="3" t="s">
        <v>3319</v>
      </c>
    </row>
    <row r="1615" spans="1:4">
      <c r="A1615" s="3" t="s">
        <v>3409</v>
      </c>
      <c r="B1615" s="3" t="s">
        <v>3410</v>
      </c>
      <c r="C1615" s="3" t="s">
        <v>3405</v>
      </c>
      <c r="D1615" s="3" t="s">
        <v>3319</v>
      </c>
    </row>
    <row r="1616" spans="1:4">
      <c r="A1616" s="3" t="s">
        <v>3411</v>
      </c>
      <c r="B1616" s="3" t="s">
        <v>3412</v>
      </c>
      <c r="C1616" s="3" t="s">
        <v>3405</v>
      </c>
      <c r="D1616" s="3" t="s">
        <v>3319</v>
      </c>
    </row>
    <row r="1617" spans="1:4">
      <c r="A1617" s="3" t="s">
        <v>3413</v>
      </c>
      <c r="B1617" s="3" t="s">
        <v>3414</v>
      </c>
      <c r="C1617" s="3" t="s">
        <v>3405</v>
      </c>
      <c r="D1617" s="3" t="s">
        <v>3319</v>
      </c>
    </row>
    <row r="1618" spans="1:4">
      <c r="A1618" s="3" t="s">
        <v>3415</v>
      </c>
      <c r="B1618" s="3" t="s">
        <v>3416</v>
      </c>
      <c r="C1618" s="3" t="s">
        <v>3405</v>
      </c>
      <c r="D1618" s="3" t="s">
        <v>3319</v>
      </c>
    </row>
    <row r="1619" spans="1:4">
      <c r="A1619" s="3" t="s">
        <v>3417</v>
      </c>
      <c r="B1619" s="3" t="s">
        <v>3381</v>
      </c>
      <c r="C1619" s="3" t="s">
        <v>3405</v>
      </c>
      <c r="D1619" s="3" t="s">
        <v>3319</v>
      </c>
    </row>
    <row r="1620" spans="1:4">
      <c r="A1620" s="3" t="s">
        <v>3418</v>
      </c>
      <c r="B1620" s="3" t="s">
        <v>3419</v>
      </c>
      <c r="C1620" s="3" t="s">
        <v>3420</v>
      </c>
      <c r="D1620" s="3" t="s">
        <v>3319</v>
      </c>
    </row>
    <row r="1621" spans="1:4">
      <c r="A1621" s="3" t="s">
        <v>3421</v>
      </c>
      <c r="B1621" s="3" t="s">
        <v>3422</v>
      </c>
      <c r="C1621" s="3" t="s">
        <v>3420</v>
      </c>
      <c r="D1621" s="3" t="s">
        <v>3319</v>
      </c>
    </row>
    <row r="1622" spans="1:4">
      <c r="A1622" s="3" t="s">
        <v>3423</v>
      </c>
      <c r="B1622" s="3" t="s">
        <v>3424</v>
      </c>
      <c r="C1622" s="3" t="s">
        <v>3420</v>
      </c>
      <c r="D1622" s="3" t="s">
        <v>3319</v>
      </c>
    </row>
    <row r="1623" spans="1:4">
      <c r="A1623" s="3" t="s">
        <v>3425</v>
      </c>
      <c r="B1623" s="3" t="s">
        <v>3426</v>
      </c>
      <c r="C1623" s="3" t="s">
        <v>3420</v>
      </c>
      <c r="D1623" s="3" t="s">
        <v>3319</v>
      </c>
    </row>
    <row r="1624" spans="1:4">
      <c r="A1624" s="3" t="s">
        <v>3427</v>
      </c>
      <c r="B1624" s="3" t="s">
        <v>3428</v>
      </c>
      <c r="C1624" s="3" t="s">
        <v>3420</v>
      </c>
      <c r="D1624" s="3" t="s">
        <v>3319</v>
      </c>
    </row>
    <row r="1625" spans="1:4">
      <c r="A1625" s="3" t="s">
        <v>3429</v>
      </c>
      <c r="B1625" s="3" t="s">
        <v>3430</v>
      </c>
      <c r="C1625" s="3" t="s">
        <v>3420</v>
      </c>
      <c r="D1625" s="3" t="s">
        <v>3319</v>
      </c>
    </row>
    <row r="1626" spans="1:4">
      <c r="A1626" s="3" t="s">
        <v>3431</v>
      </c>
      <c r="B1626" s="3" t="s">
        <v>3432</v>
      </c>
      <c r="C1626" s="3" t="s">
        <v>3432</v>
      </c>
      <c r="D1626" s="3" t="s">
        <v>3319</v>
      </c>
    </row>
    <row r="1627" spans="1:4">
      <c r="A1627" s="3" t="s">
        <v>3433</v>
      </c>
      <c r="B1627" s="3" t="s">
        <v>3434</v>
      </c>
      <c r="C1627" s="3" t="s">
        <v>3432</v>
      </c>
      <c r="D1627" s="3" t="s">
        <v>3319</v>
      </c>
    </row>
    <row r="1628" spans="1:4">
      <c r="A1628" s="3" t="s">
        <v>3435</v>
      </c>
      <c r="B1628" s="3" t="s">
        <v>3436</v>
      </c>
      <c r="C1628" s="3" t="s">
        <v>3432</v>
      </c>
      <c r="D1628" s="3" t="s">
        <v>3319</v>
      </c>
    </row>
    <row r="1629" spans="1:4">
      <c r="A1629" s="3" t="s">
        <v>3437</v>
      </c>
      <c r="B1629" s="3" t="s">
        <v>3438</v>
      </c>
      <c r="C1629" s="3" t="s">
        <v>3432</v>
      </c>
      <c r="D1629" s="3" t="s">
        <v>3319</v>
      </c>
    </row>
    <row r="1630" spans="1:4">
      <c r="A1630" s="3" t="s">
        <v>3439</v>
      </c>
      <c r="B1630" s="3" t="s">
        <v>3440</v>
      </c>
      <c r="C1630" s="3" t="s">
        <v>3432</v>
      </c>
      <c r="D1630" s="3" t="s">
        <v>3319</v>
      </c>
    </row>
    <row r="1631" spans="1:4">
      <c r="A1631" s="3" t="s">
        <v>3441</v>
      </c>
      <c r="B1631" s="3" t="s">
        <v>3442</v>
      </c>
      <c r="C1631" s="3" t="s">
        <v>3432</v>
      </c>
      <c r="D1631" s="3" t="s">
        <v>3319</v>
      </c>
    </row>
    <row r="1632" spans="1:4">
      <c r="A1632" s="3" t="s">
        <v>3443</v>
      </c>
      <c r="B1632" s="3" t="s">
        <v>3444</v>
      </c>
      <c r="C1632" s="3" t="s">
        <v>3444</v>
      </c>
      <c r="D1632" s="3" t="s">
        <v>3444</v>
      </c>
    </row>
    <row r="1633" spans="1:4">
      <c r="A1633" s="3" t="s">
        <v>3445</v>
      </c>
      <c r="B1633" s="3" t="s">
        <v>3446</v>
      </c>
      <c r="C1633" s="3" t="s">
        <v>3444</v>
      </c>
      <c r="D1633" s="3" t="s">
        <v>3444</v>
      </c>
    </row>
    <row r="1634" spans="1:4">
      <c r="A1634" s="3" t="s">
        <v>3447</v>
      </c>
      <c r="B1634" s="3" t="s">
        <v>3448</v>
      </c>
      <c r="C1634" s="3" t="s">
        <v>3444</v>
      </c>
      <c r="D1634" s="3" t="s">
        <v>3444</v>
      </c>
    </row>
    <row r="1635" spans="1:4">
      <c r="A1635" s="3" t="s">
        <v>3449</v>
      </c>
      <c r="B1635" s="3" t="s">
        <v>3450</v>
      </c>
      <c r="C1635" s="3" t="s">
        <v>3444</v>
      </c>
      <c r="D1635" s="3" t="s">
        <v>3444</v>
      </c>
    </row>
    <row r="1636" spans="1:4">
      <c r="A1636" s="3" t="s">
        <v>3451</v>
      </c>
      <c r="B1636" s="3" t="s">
        <v>3452</v>
      </c>
      <c r="C1636" s="3" t="s">
        <v>3444</v>
      </c>
      <c r="D1636" s="3" t="s">
        <v>3444</v>
      </c>
    </row>
    <row r="1637" spans="1:4">
      <c r="A1637" s="3" t="s">
        <v>3453</v>
      </c>
      <c r="B1637" s="3" t="s">
        <v>3454</v>
      </c>
      <c r="C1637" s="3" t="s">
        <v>3444</v>
      </c>
      <c r="D1637" s="3" t="s">
        <v>3444</v>
      </c>
    </row>
    <row r="1638" spans="1:4">
      <c r="A1638" s="3" t="s">
        <v>3455</v>
      </c>
      <c r="B1638" s="3" t="s">
        <v>3456</v>
      </c>
      <c r="C1638" s="3" t="s">
        <v>3444</v>
      </c>
      <c r="D1638" s="3" t="s">
        <v>3444</v>
      </c>
    </row>
    <row r="1639" spans="1:4">
      <c r="A1639" s="3" t="s">
        <v>3457</v>
      </c>
      <c r="B1639" s="3" t="s">
        <v>622</v>
      </c>
      <c r="C1639" s="3" t="s">
        <v>3444</v>
      </c>
      <c r="D1639" s="3" t="s">
        <v>3444</v>
      </c>
    </row>
    <row r="1640" spans="1:4">
      <c r="A1640" s="3" t="s">
        <v>3458</v>
      </c>
      <c r="B1640" s="3" t="s">
        <v>3459</v>
      </c>
      <c r="C1640" s="3" t="s">
        <v>3444</v>
      </c>
      <c r="D1640" s="3" t="s">
        <v>3444</v>
      </c>
    </row>
    <row r="1641" spans="1:4">
      <c r="A1641" s="3" t="s">
        <v>3460</v>
      </c>
      <c r="B1641" s="3" t="s">
        <v>3461</v>
      </c>
      <c r="C1641" s="3" t="s">
        <v>3444</v>
      </c>
      <c r="D1641" s="3" t="s">
        <v>3444</v>
      </c>
    </row>
    <row r="1642" spans="1:4">
      <c r="A1642" s="3" t="s">
        <v>3462</v>
      </c>
      <c r="B1642" s="3" t="s">
        <v>3463</v>
      </c>
      <c r="C1642" s="3" t="s">
        <v>3444</v>
      </c>
      <c r="D1642" s="3" t="s">
        <v>3444</v>
      </c>
    </row>
    <row r="1643" spans="1:4">
      <c r="A1643" s="3" t="s">
        <v>3464</v>
      </c>
      <c r="B1643" s="3" t="s">
        <v>3465</v>
      </c>
      <c r="C1643" s="3" t="s">
        <v>3444</v>
      </c>
      <c r="D1643" s="3" t="s">
        <v>3444</v>
      </c>
    </row>
    <row r="1644" spans="1:4">
      <c r="A1644" s="3" t="s">
        <v>3466</v>
      </c>
      <c r="B1644" s="3" t="s">
        <v>932</v>
      </c>
      <c r="C1644" s="3" t="s">
        <v>3444</v>
      </c>
      <c r="D1644" s="3" t="s">
        <v>3444</v>
      </c>
    </row>
    <row r="1645" spans="1:4">
      <c r="A1645" s="3" t="s">
        <v>3467</v>
      </c>
      <c r="B1645" s="3" t="s">
        <v>3468</v>
      </c>
      <c r="C1645" s="3" t="s">
        <v>3444</v>
      </c>
      <c r="D1645" s="3" t="s">
        <v>3444</v>
      </c>
    </row>
    <row r="1646" spans="1:4">
      <c r="A1646" s="3" t="s">
        <v>3469</v>
      </c>
      <c r="B1646" s="3" t="s">
        <v>3470</v>
      </c>
      <c r="C1646" s="3" t="s">
        <v>3444</v>
      </c>
      <c r="D1646" s="3" t="s">
        <v>3444</v>
      </c>
    </row>
    <row r="1647" spans="1:4">
      <c r="A1647" s="3" t="s">
        <v>3471</v>
      </c>
      <c r="B1647" s="3" t="s">
        <v>3039</v>
      </c>
      <c r="C1647" s="3" t="s">
        <v>3039</v>
      </c>
      <c r="D1647" s="3" t="s">
        <v>3444</v>
      </c>
    </row>
    <row r="1648" spans="1:4">
      <c r="A1648" s="3" t="s">
        <v>3472</v>
      </c>
      <c r="B1648" s="3" t="s">
        <v>3473</v>
      </c>
      <c r="C1648" s="3" t="s">
        <v>3039</v>
      </c>
      <c r="D1648" s="3" t="s">
        <v>3444</v>
      </c>
    </row>
    <row r="1649" spans="1:4">
      <c r="A1649" s="3" t="s">
        <v>3474</v>
      </c>
      <c r="B1649" s="3" t="s">
        <v>3475</v>
      </c>
      <c r="C1649" s="3" t="s">
        <v>3039</v>
      </c>
      <c r="D1649" s="3" t="s">
        <v>3444</v>
      </c>
    </row>
    <row r="1650" spans="1:4">
      <c r="A1650" s="3" t="s">
        <v>3476</v>
      </c>
      <c r="B1650" s="3" t="s">
        <v>3477</v>
      </c>
      <c r="C1650" s="3" t="s">
        <v>3039</v>
      </c>
      <c r="D1650" s="3" t="s">
        <v>3444</v>
      </c>
    </row>
    <row r="1651" spans="1:4">
      <c r="A1651" s="3" t="s">
        <v>3478</v>
      </c>
      <c r="B1651" s="3" t="s">
        <v>3479</v>
      </c>
      <c r="C1651" s="3" t="s">
        <v>3039</v>
      </c>
      <c r="D1651" s="3" t="s">
        <v>3444</v>
      </c>
    </row>
    <row r="1652" spans="1:4">
      <c r="A1652" s="3" t="s">
        <v>3480</v>
      </c>
      <c r="B1652" s="3" t="s">
        <v>3481</v>
      </c>
      <c r="C1652" s="3" t="s">
        <v>3039</v>
      </c>
      <c r="D1652" s="3" t="s">
        <v>3444</v>
      </c>
    </row>
    <row r="1653" spans="1:4">
      <c r="A1653" s="3" t="s">
        <v>3482</v>
      </c>
      <c r="B1653" s="3" t="s">
        <v>3483</v>
      </c>
      <c r="C1653" s="3" t="s">
        <v>3039</v>
      </c>
      <c r="D1653" s="3" t="s">
        <v>3444</v>
      </c>
    </row>
    <row r="1654" spans="1:4">
      <c r="A1654" s="3" t="s">
        <v>3484</v>
      </c>
      <c r="B1654" s="3" t="s">
        <v>3485</v>
      </c>
      <c r="C1654" s="3" t="s">
        <v>3039</v>
      </c>
      <c r="D1654" s="3" t="s">
        <v>3444</v>
      </c>
    </row>
    <row r="1655" spans="1:4">
      <c r="A1655" s="3" t="s">
        <v>3486</v>
      </c>
      <c r="B1655" s="3" t="s">
        <v>3487</v>
      </c>
      <c r="C1655" s="3" t="s">
        <v>3039</v>
      </c>
      <c r="D1655" s="3" t="s">
        <v>3444</v>
      </c>
    </row>
    <row r="1656" spans="1:4">
      <c r="A1656" s="3" t="s">
        <v>3488</v>
      </c>
      <c r="B1656" s="3" t="s">
        <v>3489</v>
      </c>
      <c r="C1656" s="3" t="s">
        <v>3039</v>
      </c>
      <c r="D1656" s="3" t="s">
        <v>3444</v>
      </c>
    </row>
    <row r="1657" spans="1:4">
      <c r="A1657" s="3" t="s">
        <v>3490</v>
      </c>
      <c r="B1657" s="3" t="s">
        <v>3491</v>
      </c>
      <c r="C1657" s="3" t="s">
        <v>3039</v>
      </c>
      <c r="D1657" s="3" t="s">
        <v>3444</v>
      </c>
    </row>
    <row r="1658" spans="1:4">
      <c r="A1658" s="3" t="s">
        <v>3492</v>
      </c>
      <c r="B1658" s="3" t="s">
        <v>2626</v>
      </c>
      <c r="C1658" s="3" t="s">
        <v>3039</v>
      </c>
      <c r="D1658" s="3" t="s">
        <v>3444</v>
      </c>
    </row>
    <row r="1659" spans="1:4">
      <c r="A1659" s="3" t="s">
        <v>3493</v>
      </c>
      <c r="B1659" s="3" t="s">
        <v>3494</v>
      </c>
      <c r="C1659" s="3" t="s">
        <v>3039</v>
      </c>
      <c r="D1659" s="3" t="s">
        <v>3444</v>
      </c>
    </row>
    <row r="1660" spans="1:4">
      <c r="A1660" s="3" t="s">
        <v>3495</v>
      </c>
      <c r="B1660" s="3" t="s">
        <v>3496</v>
      </c>
      <c r="C1660" s="3" t="s">
        <v>3039</v>
      </c>
      <c r="D1660" s="3" t="s">
        <v>3444</v>
      </c>
    </row>
    <row r="1661" spans="1:4">
      <c r="A1661" s="3" t="s">
        <v>3497</v>
      </c>
      <c r="B1661" s="3" t="s">
        <v>3498</v>
      </c>
      <c r="C1661" s="3" t="s">
        <v>3039</v>
      </c>
      <c r="D1661" s="3" t="s">
        <v>3444</v>
      </c>
    </row>
    <row r="1662" spans="1:4">
      <c r="A1662" s="3" t="s">
        <v>3499</v>
      </c>
      <c r="B1662" s="3" t="s">
        <v>3500</v>
      </c>
      <c r="C1662" s="3" t="s">
        <v>3501</v>
      </c>
      <c r="D1662" s="3" t="s">
        <v>3444</v>
      </c>
    </row>
    <row r="1663" spans="1:4">
      <c r="A1663" s="3" t="s">
        <v>3502</v>
      </c>
      <c r="B1663" s="3" t="s">
        <v>3503</v>
      </c>
      <c r="C1663" s="3" t="s">
        <v>3501</v>
      </c>
      <c r="D1663" s="3" t="s">
        <v>3444</v>
      </c>
    </row>
    <row r="1664" spans="1:4">
      <c r="A1664" s="3" t="s">
        <v>3504</v>
      </c>
      <c r="B1664" s="3" t="s">
        <v>3505</v>
      </c>
      <c r="C1664" s="3" t="s">
        <v>3501</v>
      </c>
      <c r="D1664" s="3" t="s">
        <v>3444</v>
      </c>
    </row>
    <row r="1665" spans="1:4">
      <c r="A1665" s="3" t="s">
        <v>3506</v>
      </c>
      <c r="B1665" s="3" t="s">
        <v>3507</v>
      </c>
      <c r="C1665" s="3" t="s">
        <v>3501</v>
      </c>
      <c r="D1665" s="3" t="s">
        <v>3444</v>
      </c>
    </row>
    <row r="1666" spans="1:4">
      <c r="A1666" s="3" t="s">
        <v>3508</v>
      </c>
      <c r="B1666" s="3" t="s">
        <v>3509</v>
      </c>
      <c r="C1666" s="3" t="s">
        <v>3501</v>
      </c>
      <c r="D1666" s="3" t="s">
        <v>3444</v>
      </c>
    </row>
    <row r="1667" spans="1:4">
      <c r="A1667" s="3" t="s">
        <v>3510</v>
      </c>
      <c r="B1667" s="3" t="s">
        <v>3511</v>
      </c>
      <c r="C1667" s="3" t="s">
        <v>3501</v>
      </c>
      <c r="D1667" s="3" t="s">
        <v>3444</v>
      </c>
    </row>
    <row r="1668" spans="1:4">
      <c r="A1668" s="3" t="s">
        <v>3512</v>
      </c>
      <c r="B1668" s="3" t="s">
        <v>3513</v>
      </c>
      <c r="C1668" s="3" t="s">
        <v>3501</v>
      </c>
      <c r="D1668" s="3" t="s">
        <v>3444</v>
      </c>
    </row>
    <row r="1669" spans="1:4">
      <c r="A1669" s="3" t="s">
        <v>3514</v>
      </c>
      <c r="B1669" s="3" t="s">
        <v>3515</v>
      </c>
      <c r="C1669" s="3" t="s">
        <v>3501</v>
      </c>
      <c r="D1669" s="3" t="s">
        <v>3444</v>
      </c>
    </row>
    <row r="1670" spans="1:4">
      <c r="A1670" s="3" t="s">
        <v>3516</v>
      </c>
      <c r="B1670" s="3" t="s">
        <v>3517</v>
      </c>
      <c r="C1670" s="3" t="s">
        <v>3501</v>
      </c>
      <c r="D1670" s="3" t="s">
        <v>3444</v>
      </c>
    </row>
    <row r="1671" spans="1:4">
      <c r="A1671" s="3" t="s">
        <v>3518</v>
      </c>
      <c r="B1671" s="3" t="s">
        <v>3519</v>
      </c>
      <c r="C1671" s="3" t="s">
        <v>3501</v>
      </c>
      <c r="D1671" s="3" t="s">
        <v>3444</v>
      </c>
    </row>
    <row r="1672" spans="1:4">
      <c r="A1672" s="3" t="s">
        <v>3520</v>
      </c>
      <c r="B1672" s="3" t="s">
        <v>3521</v>
      </c>
      <c r="C1672" s="3" t="s">
        <v>3454</v>
      </c>
      <c r="D1672" s="3" t="s">
        <v>3444</v>
      </c>
    </row>
    <row r="1673" spans="1:4">
      <c r="A1673" s="3" t="s">
        <v>3522</v>
      </c>
      <c r="B1673" s="3" t="s">
        <v>3523</v>
      </c>
      <c r="C1673" s="3" t="s">
        <v>3454</v>
      </c>
      <c r="D1673" s="3" t="s">
        <v>3444</v>
      </c>
    </row>
    <row r="1674" spans="1:4">
      <c r="A1674" s="3" t="s">
        <v>3524</v>
      </c>
      <c r="B1674" s="3" t="s">
        <v>3525</v>
      </c>
      <c r="C1674" s="3" t="s">
        <v>3454</v>
      </c>
      <c r="D1674" s="3" t="s">
        <v>3444</v>
      </c>
    </row>
    <row r="1675" spans="1:4">
      <c r="A1675" s="3" t="s">
        <v>3526</v>
      </c>
      <c r="B1675" s="3" t="s">
        <v>3527</v>
      </c>
      <c r="C1675" s="3" t="s">
        <v>3454</v>
      </c>
      <c r="D1675" s="3" t="s">
        <v>3444</v>
      </c>
    </row>
    <row r="1676" spans="1:4">
      <c r="A1676" s="3" t="s">
        <v>3528</v>
      </c>
      <c r="B1676" s="3" t="s">
        <v>3529</v>
      </c>
      <c r="C1676" s="3" t="s">
        <v>3454</v>
      </c>
      <c r="D1676" s="3" t="s">
        <v>3444</v>
      </c>
    </row>
    <row r="1677" spans="1:4">
      <c r="A1677" s="3" t="s">
        <v>3530</v>
      </c>
      <c r="B1677" s="3" t="s">
        <v>3531</v>
      </c>
      <c r="C1677" s="3" t="s">
        <v>3454</v>
      </c>
      <c r="D1677" s="3" t="s">
        <v>3444</v>
      </c>
    </row>
    <row r="1678" spans="1:4">
      <c r="A1678" s="3" t="s">
        <v>3532</v>
      </c>
      <c r="B1678" s="3" t="s">
        <v>3533</v>
      </c>
      <c r="C1678" s="3" t="s">
        <v>3454</v>
      </c>
      <c r="D1678" s="3" t="s">
        <v>3444</v>
      </c>
    </row>
    <row r="1679" spans="1:4">
      <c r="A1679" s="3" t="s">
        <v>3534</v>
      </c>
      <c r="B1679" s="3" t="s">
        <v>3535</v>
      </c>
      <c r="C1679" s="3" t="s">
        <v>3536</v>
      </c>
      <c r="D1679" s="3" t="s">
        <v>3444</v>
      </c>
    </row>
    <row r="1680" spans="1:4">
      <c r="A1680" s="3" t="s">
        <v>3537</v>
      </c>
      <c r="B1680" s="3" t="s">
        <v>3538</v>
      </c>
      <c r="C1680" s="3" t="s">
        <v>3536</v>
      </c>
      <c r="D1680" s="3" t="s">
        <v>3444</v>
      </c>
    </row>
    <row r="1681" spans="1:4">
      <c r="A1681" s="3" t="s">
        <v>3539</v>
      </c>
      <c r="B1681" s="3" t="s">
        <v>3540</v>
      </c>
      <c r="C1681" s="3" t="s">
        <v>3536</v>
      </c>
      <c r="D1681" s="3" t="s">
        <v>3444</v>
      </c>
    </row>
    <row r="1682" spans="1:4">
      <c r="A1682" s="3" t="s">
        <v>3541</v>
      </c>
      <c r="B1682" s="3" t="s">
        <v>424</v>
      </c>
      <c r="C1682" s="3" t="s">
        <v>3536</v>
      </c>
      <c r="D1682" s="3" t="s">
        <v>3444</v>
      </c>
    </row>
    <row r="1683" spans="1:4">
      <c r="A1683" s="3" t="s">
        <v>3542</v>
      </c>
      <c r="B1683" s="3" t="s">
        <v>3543</v>
      </c>
      <c r="C1683" s="3" t="s">
        <v>3536</v>
      </c>
      <c r="D1683" s="3" t="s">
        <v>3444</v>
      </c>
    </row>
    <row r="1684" spans="1:4">
      <c r="A1684" s="3" t="s">
        <v>3544</v>
      </c>
      <c r="B1684" s="3" t="s">
        <v>3545</v>
      </c>
      <c r="C1684" s="3" t="s">
        <v>3545</v>
      </c>
      <c r="D1684" s="3" t="s">
        <v>3444</v>
      </c>
    </row>
    <row r="1685" spans="1:4">
      <c r="A1685" s="3" t="s">
        <v>3546</v>
      </c>
      <c r="B1685" s="3" t="s">
        <v>3547</v>
      </c>
      <c r="C1685" s="3" t="s">
        <v>3545</v>
      </c>
      <c r="D1685" s="3" t="s">
        <v>3444</v>
      </c>
    </row>
    <row r="1686" spans="1:4">
      <c r="A1686" s="3" t="s">
        <v>3548</v>
      </c>
      <c r="B1686" s="3" t="s">
        <v>3549</v>
      </c>
      <c r="C1686" s="3" t="s">
        <v>3545</v>
      </c>
      <c r="D1686" s="3" t="s">
        <v>3444</v>
      </c>
    </row>
    <row r="1687" spans="1:4">
      <c r="A1687" s="3" t="s">
        <v>3550</v>
      </c>
      <c r="B1687" s="3" t="s">
        <v>3551</v>
      </c>
      <c r="C1687" s="3" t="s">
        <v>3545</v>
      </c>
      <c r="D1687" s="3" t="s">
        <v>3444</v>
      </c>
    </row>
    <row r="1688" spans="1:4">
      <c r="A1688" s="3" t="s">
        <v>3552</v>
      </c>
      <c r="B1688" s="3" t="s">
        <v>3553</v>
      </c>
      <c r="C1688" s="3" t="s">
        <v>3545</v>
      </c>
      <c r="D1688" s="3" t="s">
        <v>3444</v>
      </c>
    </row>
    <row r="1689" spans="1:4">
      <c r="A1689" s="3" t="s">
        <v>3554</v>
      </c>
      <c r="B1689" s="3" t="s">
        <v>3555</v>
      </c>
      <c r="C1689" s="3" t="s">
        <v>3545</v>
      </c>
      <c r="D1689" s="3" t="s">
        <v>3444</v>
      </c>
    </row>
    <row r="1690" spans="1:4">
      <c r="A1690" s="3" t="s">
        <v>3556</v>
      </c>
      <c r="B1690" s="3" t="s">
        <v>3557</v>
      </c>
      <c r="C1690" s="3" t="s">
        <v>3545</v>
      </c>
      <c r="D1690" s="3" t="s">
        <v>3444</v>
      </c>
    </row>
    <row r="1691" spans="1:4">
      <c r="A1691" s="3" t="s">
        <v>3558</v>
      </c>
      <c r="B1691" s="3" t="s">
        <v>3559</v>
      </c>
      <c r="C1691" s="3" t="s">
        <v>3545</v>
      </c>
      <c r="D1691" s="3" t="s">
        <v>3444</v>
      </c>
    </row>
    <row r="1692" spans="1:4">
      <c r="A1692" s="3" t="s">
        <v>3560</v>
      </c>
      <c r="B1692" s="3" t="s">
        <v>1321</v>
      </c>
      <c r="C1692" s="3" t="s">
        <v>1321</v>
      </c>
      <c r="D1692" s="3" t="s">
        <v>3444</v>
      </c>
    </row>
    <row r="1693" spans="1:4">
      <c r="A1693" s="3" t="s">
        <v>3561</v>
      </c>
      <c r="B1693" s="3" t="s">
        <v>3562</v>
      </c>
      <c r="C1693" s="3" t="s">
        <v>1321</v>
      </c>
      <c r="D1693" s="3" t="s">
        <v>3444</v>
      </c>
    </row>
    <row r="1694" spans="1:4">
      <c r="A1694" s="3" t="s">
        <v>3563</v>
      </c>
      <c r="B1694" s="3" t="s">
        <v>3564</v>
      </c>
      <c r="C1694" s="3" t="s">
        <v>1321</v>
      </c>
      <c r="D1694" s="3" t="s">
        <v>3444</v>
      </c>
    </row>
    <row r="1695" spans="1:4">
      <c r="A1695" s="3" t="s">
        <v>3565</v>
      </c>
      <c r="B1695" s="3" t="s">
        <v>3566</v>
      </c>
      <c r="C1695" s="3" t="s">
        <v>1321</v>
      </c>
      <c r="D1695" s="3" t="s">
        <v>3444</v>
      </c>
    </row>
    <row r="1696" spans="1:4">
      <c r="A1696" s="3" t="s">
        <v>3567</v>
      </c>
      <c r="B1696" s="3" t="s">
        <v>3568</v>
      </c>
      <c r="C1696" s="3" t="s">
        <v>1321</v>
      </c>
      <c r="D1696" s="3" t="s">
        <v>3444</v>
      </c>
    </row>
    <row r="1697" spans="1:4">
      <c r="A1697" s="3" t="s">
        <v>3569</v>
      </c>
      <c r="B1697" s="3" t="s">
        <v>1895</v>
      </c>
      <c r="C1697" s="3" t="s">
        <v>1321</v>
      </c>
      <c r="D1697" s="3" t="s">
        <v>3444</v>
      </c>
    </row>
    <row r="1698" spans="1:4">
      <c r="A1698" s="3" t="s">
        <v>3570</v>
      </c>
      <c r="B1698" s="3" t="s">
        <v>3571</v>
      </c>
      <c r="C1698" s="3" t="s">
        <v>1321</v>
      </c>
      <c r="D1698" s="3" t="s">
        <v>3444</v>
      </c>
    </row>
    <row r="1699" spans="1:4">
      <c r="A1699" s="3" t="s">
        <v>3572</v>
      </c>
      <c r="B1699" s="3" t="s">
        <v>1550</v>
      </c>
      <c r="C1699" s="3" t="s">
        <v>1321</v>
      </c>
      <c r="D1699" s="3" t="s">
        <v>3444</v>
      </c>
    </row>
    <row r="1700" spans="1:4">
      <c r="A1700" s="3" t="s">
        <v>3573</v>
      </c>
      <c r="B1700" s="3" t="s">
        <v>1295</v>
      </c>
      <c r="C1700" s="3" t="s">
        <v>1321</v>
      </c>
      <c r="D1700" s="3" t="s">
        <v>3444</v>
      </c>
    </row>
    <row r="1701" spans="1:4">
      <c r="A1701" s="3" t="s">
        <v>3574</v>
      </c>
      <c r="B1701" s="3" t="s">
        <v>3575</v>
      </c>
      <c r="C1701" s="3" t="s">
        <v>1321</v>
      </c>
      <c r="D1701" s="3" t="s">
        <v>3444</v>
      </c>
    </row>
    <row r="1702" spans="1:4">
      <c r="A1702" s="3" t="s">
        <v>3576</v>
      </c>
      <c r="B1702" s="3" t="s">
        <v>3037</v>
      </c>
      <c r="C1702" s="3" t="s">
        <v>3577</v>
      </c>
      <c r="D1702" s="3" t="s">
        <v>3444</v>
      </c>
    </row>
    <row r="1703" spans="1:4">
      <c r="A1703" s="3" t="s">
        <v>3578</v>
      </c>
      <c r="B1703" s="3" t="s">
        <v>3579</v>
      </c>
      <c r="C1703" s="3" t="s">
        <v>3577</v>
      </c>
      <c r="D1703" s="3" t="s">
        <v>3444</v>
      </c>
    </row>
    <row r="1704" spans="1:4">
      <c r="A1704" s="3" t="s">
        <v>3580</v>
      </c>
      <c r="B1704" s="3" t="s">
        <v>3581</v>
      </c>
      <c r="C1704" s="3" t="s">
        <v>3577</v>
      </c>
      <c r="D1704" s="3" t="s">
        <v>3444</v>
      </c>
    </row>
    <row r="1705" spans="1:4">
      <c r="A1705" s="3" t="s">
        <v>3582</v>
      </c>
      <c r="B1705" s="3" t="s">
        <v>3583</v>
      </c>
      <c r="C1705" s="3" t="s">
        <v>3577</v>
      </c>
      <c r="D1705" s="3" t="s">
        <v>3444</v>
      </c>
    </row>
    <row r="1706" spans="1:4">
      <c r="A1706" s="3" t="s">
        <v>3584</v>
      </c>
      <c r="B1706" s="3" t="s">
        <v>3585</v>
      </c>
      <c r="C1706" s="3" t="s">
        <v>3577</v>
      </c>
      <c r="D1706" s="3" t="s">
        <v>3444</v>
      </c>
    </row>
    <row r="1707" spans="1:4">
      <c r="A1707" s="3" t="s">
        <v>3586</v>
      </c>
      <c r="B1707" s="3" t="s">
        <v>3587</v>
      </c>
      <c r="C1707" s="3" t="s">
        <v>3577</v>
      </c>
      <c r="D1707" s="3" t="s">
        <v>3444</v>
      </c>
    </row>
    <row r="1708" spans="1:4">
      <c r="A1708" s="3" t="s">
        <v>3588</v>
      </c>
      <c r="B1708" s="3" t="s">
        <v>3589</v>
      </c>
      <c r="C1708" s="3" t="s">
        <v>3577</v>
      </c>
      <c r="D1708" s="3" t="s">
        <v>3444</v>
      </c>
    </row>
    <row r="1709" spans="1:4">
      <c r="A1709" s="3" t="s">
        <v>3590</v>
      </c>
      <c r="B1709" s="3" t="s">
        <v>424</v>
      </c>
      <c r="C1709" s="3" t="s">
        <v>3577</v>
      </c>
      <c r="D1709" s="3" t="s">
        <v>3444</v>
      </c>
    </row>
    <row r="1710" spans="1:4">
      <c r="A1710" s="3" t="s">
        <v>3591</v>
      </c>
      <c r="B1710" s="3" t="s">
        <v>3592</v>
      </c>
      <c r="C1710" s="3" t="s">
        <v>3577</v>
      </c>
      <c r="D1710" s="3" t="s">
        <v>3444</v>
      </c>
    </row>
    <row r="1711" spans="1:4">
      <c r="A1711" s="3" t="s">
        <v>3593</v>
      </c>
      <c r="B1711" s="3" t="s">
        <v>3594</v>
      </c>
      <c r="C1711" s="3" t="s">
        <v>3594</v>
      </c>
      <c r="D1711" s="3" t="s">
        <v>3444</v>
      </c>
    </row>
    <row r="1712" spans="1:4">
      <c r="A1712" s="3" t="s">
        <v>3595</v>
      </c>
      <c r="B1712" s="3" t="s">
        <v>3596</v>
      </c>
      <c r="C1712" s="3" t="s">
        <v>3594</v>
      </c>
      <c r="D1712" s="3" t="s">
        <v>3444</v>
      </c>
    </row>
    <row r="1713" spans="1:4">
      <c r="A1713" s="3" t="s">
        <v>3597</v>
      </c>
      <c r="B1713" s="3" t="s">
        <v>3598</v>
      </c>
      <c r="C1713" s="3" t="s">
        <v>3594</v>
      </c>
      <c r="D1713" s="3" t="s">
        <v>3444</v>
      </c>
    </row>
    <row r="1714" spans="1:4">
      <c r="A1714" s="3" t="s">
        <v>3599</v>
      </c>
      <c r="B1714" s="3" t="s">
        <v>3600</v>
      </c>
      <c r="C1714" s="3" t="s">
        <v>3594</v>
      </c>
      <c r="D1714" s="3" t="s">
        <v>3444</v>
      </c>
    </row>
    <row r="1715" spans="1:4">
      <c r="A1715" s="3" t="s">
        <v>3601</v>
      </c>
      <c r="B1715" s="3" t="s">
        <v>3602</v>
      </c>
      <c r="C1715" s="3" t="s">
        <v>3603</v>
      </c>
      <c r="D1715" s="3" t="s">
        <v>3444</v>
      </c>
    </row>
    <row r="1716" spans="1:4">
      <c r="A1716" s="3" t="s">
        <v>3604</v>
      </c>
      <c r="B1716" s="3" t="s">
        <v>3605</v>
      </c>
      <c r="C1716" s="3" t="s">
        <v>3603</v>
      </c>
      <c r="D1716" s="3" t="s">
        <v>3444</v>
      </c>
    </row>
    <row r="1717" spans="1:4">
      <c r="A1717" s="3" t="s">
        <v>3606</v>
      </c>
      <c r="B1717" s="3" t="s">
        <v>3607</v>
      </c>
      <c r="C1717" s="3" t="s">
        <v>3603</v>
      </c>
      <c r="D1717" s="3" t="s">
        <v>3444</v>
      </c>
    </row>
    <row r="1718" spans="1:4">
      <c r="A1718" s="3" t="s">
        <v>3608</v>
      </c>
      <c r="B1718" s="3" t="s">
        <v>3609</v>
      </c>
      <c r="C1718" s="3" t="s">
        <v>3603</v>
      </c>
      <c r="D1718" s="3" t="s">
        <v>3444</v>
      </c>
    </row>
    <row r="1719" spans="1:4">
      <c r="A1719" s="3" t="s">
        <v>3610</v>
      </c>
      <c r="B1719" s="3" t="s">
        <v>3611</v>
      </c>
      <c r="C1719" s="3" t="s">
        <v>3603</v>
      </c>
      <c r="D1719" s="3" t="s">
        <v>3444</v>
      </c>
    </row>
    <row r="1720" spans="1:4">
      <c r="A1720" s="3" t="s">
        <v>3612</v>
      </c>
      <c r="B1720" s="3" t="s">
        <v>3613</v>
      </c>
      <c r="C1720" s="3" t="s">
        <v>3614</v>
      </c>
      <c r="D1720" s="3" t="s">
        <v>3444</v>
      </c>
    </row>
    <row r="1721" spans="1:4">
      <c r="A1721" s="3" t="s">
        <v>3615</v>
      </c>
      <c r="B1721" s="3" t="s">
        <v>674</v>
      </c>
      <c r="C1721" s="3" t="s">
        <v>3614</v>
      </c>
      <c r="D1721" s="3" t="s">
        <v>3444</v>
      </c>
    </row>
    <row r="1722" spans="1:4">
      <c r="A1722" s="3" t="s">
        <v>3616</v>
      </c>
      <c r="B1722" s="3" t="s">
        <v>3617</v>
      </c>
      <c r="C1722" s="3" t="s">
        <v>3614</v>
      </c>
      <c r="D1722" s="3" t="s">
        <v>3444</v>
      </c>
    </row>
    <row r="1723" spans="1:4">
      <c r="A1723" s="3" t="s">
        <v>3618</v>
      </c>
      <c r="B1723" s="3" t="s">
        <v>3619</v>
      </c>
      <c r="C1723" s="3" t="s">
        <v>3614</v>
      </c>
      <c r="D1723" s="3" t="s">
        <v>3444</v>
      </c>
    </row>
    <row r="1724" spans="1:4">
      <c r="A1724" s="3" t="s">
        <v>3620</v>
      </c>
      <c r="B1724" s="3" t="s">
        <v>1238</v>
      </c>
      <c r="C1724" s="3" t="s">
        <v>3614</v>
      </c>
      <c r="D1724" s="3" t="s">
        <v>3444</v>
      </c>
    </row>
    <row r="1725" spans="1:4">
      <c r="A1725" s="3" t="s">
        <v>3621</v>
      </c>
      <c r="B1725" s="3" t="s">
        <v>3622</v>
      </c>
      <c r="C1725" s="3" t="s">
        <v>3622</v>
      </c>
      <c r="D1725" s="3" t="s">
        <v>3444</v>
      </c>
    </row>
    <row r="1726" spans="1:4">
      <c r="A1726" s="3" t="s">
        <v>3623</v>
      </c>
      <c r="B1726" s="3" t="s">
        <v>3624</v>
      </c>
      <c r="C1726" s="3" t="s">
        <v>3622</v>
      </c>
      <c r="D1726" s="3" t="s">
        <v>3444</v>
      </c>
    </row>
    <row r="1727" spans="1:4">
      <c r="A1727" s="3" t="s">
        <v>3625</v>
      </c>
      <c r="B1727" s="3" t="s">
        <v>3626</v>
      </c>
      <c r="C1727" s="3" t="s">
        <v>3622</v>
      </c>
      <c r="D1727" s="3" t="s">
        <v>3444</v>
      </c>
    </row>
    <row r="1728" spans="1:4">
      <c r="A1728" s="3" t="s">
        <v>3627</v>
      </c>
      <c r="B1728" s="3" t="s">
        <v>3628</v>
      </c>
      <c r="C1728" s="3" t="s">
        <v>3622</v>
      </c>
      <c r="D1728" s="3" t="s">
        <v>3444</v>
      </c>
    </row>
    <row r="1729" spans="1:4">
      <c r="A1729" s="3" t="s">
        <v>3629</v>
      </c>
      <c r="B1729" s="3" t="s">
        <v>3630</v>
      </c>
      <c r="C1729" s="3" t="s">
        <v>3622</v>
      </c>
      <c r="D1729" s="3" t="s">
        <v>3444</v>
      </c>
    </row>
    <row r="1730" spans="1:4">
      <c r="A1730" s="3" t="s">
        <v>3631</v>
      </c>
      <c r="B1730" s="3" t="s">
        <v>3632</v>
      </c>
      <c r="C1730" s="3" t="s">
        <v>3622</v>
      </c>
      <c r="D1730" s="3" t="s">
        <v>3444</v>
      </c>
    </row>
    <row r="1731" spans="1:4">
      <c r="A1731" s="3" t="s">
        <v>3633</v>
      </c>
      <c r="B1731" s="3" t="s">
        <v>3634</v>
      </c>
      <c r="C1731" s="3" t="s">
        <v>3622</v>
      </c>
      <c r="D1731" s="3" t="s">
        <v>3444</v>
      </c>
    </row>
    <row r="1732" spans="1:4">
      <c r="A1732" s="3" t="s">
        <v>3635</v>
      </c>
      <c r="B1732" s="3" t="s">
        <v>3636</v>
      </c>
      <c r="C1732" s="3" t="s">
        <v>3622</v>
      </c>
      <c r="D1732" s="3" t="s">
        <v>3444</v>
      </c>
    </row>
    <row r="1733" spans="1:4">
      <c r="A1733" s="3" t="s">
        <v>3637</v>
      </c>
      <c r="B1733" s="3" t="s">
        <v>3638</v>
      </c>
      <c r="C1733" s="3" t="s">
        <v>3622</v>
      </c>
      <c r="D1733" s="3" t="s">
        <v>3444</v>
      </c>
    </row>
    <row r="1734" spans="1:4">
      <c r="A1734" s="3" t="s">
        <v>3639</v>
      </c>
      <c r="B1734" s="3" t="s">
        <v>3640</v>
      </c>
      <c r="C1734" s="3" t="s">
        <v>3622</v>
      </c>
      <c r="D1734" s="3" t="s">
        <v>3444</v>
      </c>
    </row>
    <row r="1735" spans="1:4">
      <c r="A1735" s="3" t="s">
        <v>3641</v>
      </c>
      <c r="B1735" s="3" t="s">
        <v>3642</v>
      </c>
      <c r="C1735" s="3" t="s">
        <v>3642</v>
      </c>
      <c r="D1735" s="3" t="s">
        <v>3444</v>
      </c>
    </row>
    <row r="1736" spans="1:4">
      <c r="A1736" s="3" t="s">
        <v>3643</v>
      </c>
      <c r="B1736" s="3" t="s">
        <v>3644</v>
      </c>
      <c r="C1736" s="3" t="s">
        <v>3642</v>
      </c>
      <c r="D1736" s="3" t="s">
        <v>3444</v>
      </c>
    </row>
    <row r="1737" spans="1:4">
      <c r="A1737" s="3" t="s">
        <v>3645</v>
      </c>
      <c r="B1737" s="3" t="s">
        <v>3646</v>
      </c>
      <c r="C1737" s="3" t="s">
        <v>3642</v>
      </c>
      <c r="D1737" s="3" t="s">
        <v>3444</v>
      </c>
    </row>
    <row r="1738" spans="1:4">
      <c r="A1738" s="3" t="s">
        <v>3647</v>
      </c>
      <c r="B1738" s="3" t="s">
        <v>3648</v>
      </c>
      <c r="C1738" s="3" t="s">
        <v>3642</v>
      </c>
      <c r="D1738" s="3" t="s">
        <v>3444</v>
      </c>
    </row>
    <row r="1739" spans="1:4">
      <c r="A1739" s="3" t="s">
        <v>3649</v>
      </c>
      <c r="B1739" s="3" t="s">
        <v>3650</v>
      </c>
      <c r="C1739" s="3" t="s">
        <v>3642</v>
      </c>
      <c r="D1739" s="3" t="s">
        <v>3444</v>
      </c>
    </row>
    <row r="1740" spans="1:4">
      <c r="A1740" s="3" t="s">
        <v>3651</v>
      </c>
      <c r="B1740" s="3" t="s">
        <v>3652</v>
      </c>
      <c r="C1740" s="3" t="s">
        <v>3642</v>
      </c>
      <c r="D1740" s="3" t="s">
        <v>3444</v>
      </c>
    </row>
    <row r="1741" spans="1:4">
      <c r="A1741" s="3" t="s">
        <v>3653</v>
      </c>
      <c r="B1741" s="3" t="s">
        <v>3654</v>
      </c>
      <c r="C1741" s="3" t="s">
        <v>3642</v>
      </c>
      <c r="D1741" s="3" t="s">
        <v>3444</v>
      </c>
    </row>
    <row r="1742" spans="1:4">
      <c r="A1742" s="3" t="s">
        <v>3655</v>
      </c>
      <c r="B1742" s="3" t="s">
        <v>3656</v>
      </c>
      <c r="C1742" s="3" t="s">
        <v>3656</v>
      </c>
      <c r="D1742" s="3" t="s">
        <v>3657</v>
      </c>
    </row>
    <row r="1743" spans="1:4">
      <c r="A1743" s="3" t="s">
        <v>3658</v>
      </c>
      <c r="B1743" s="3" t="s">
        <v>3659</v>
      </c>
      <c r="C1743" s="3" t="s">
        <v>3656</v>
      </c>
      <c r="D1743" s="3" t="s">
        <v>3657</v>
      </c>
    </row>
    <row r="1744" spans="1:4">
      <c r="A1744" s="3" t="s">
        <v>3660</v>
      </c>
      <c r="B1744" s="3" t="s">
        <v>3661</v>
      </c>
      <c r="C1744" s="3" t="s">
        <v>3656</v>
      </c>
      <c r="D1744" s="3" t="s">
        <v>3657</v>
      </c>
    </row>
    <row r="1745" spans="1:4">
      <c r="A1745" s="3" t="s">
        <v>3662</v>
      </c>
      <c r="B1745" s="3" t="s">
        <v>3663</v>
      </c>
      <c r="C1745" s="3" t="s">
        <v>3656</v>
      </c>
      <c r="D1745" s="3" t="s">
        <v>3657</v>
      </c>
    </row>
    <row r="1746" spans="1:4">
      <c r="A1746" s="3" t="s">
        <v>3664</v>
      </c>
      <c r="B1746" s="3" t="s">
        <v>3665</v>
      </c>
      <c r="C1746" s="3" t="s">
        <v>3656</v>
      </c>
      <c r="D1746" s="3" t="s">
        <v>3657</v>
      </c>
    </row>
    <row r="1747" spans="1:4">
      <c r="A1747" s="3" t="s">
        <v>3666</v>
      </c>
      <c r="B1747" s="3" t="s">
        <v>3667</v>
      </c>
      <c r="C1747" s="3" t="s">
        <v>3656</v>
      </c>
      <c r="D1747" s="3" t="s">
        <v>3657</v>
      </c>
    </row>
    <row r="1748" spans="1:4">
      <c r="A1748" s="3" t="s">
        <v>3668</v>
      </c>
      <c r="B1748" s="3" t="s">
        <v>1538</v>
      </c>
      <c r="C1748" s="3" t="s">
        <v>1538</v>
      </c>
      <c r="D1748" s="3" t="s">
        <v>3657</v>
      </c>
    </row>
    <row r="1749" spans="1:4">
      <c r="A1749" s="3" t="s">
        <v>3669</v>
      </c>
      <c r="B1749" s="3" t="s">
        <v>3670</v>
      </c>
      <c r="C1749" s="3" t="s">
        <v>1538</v>
      </c>
      <c r="D1749" s="3" t="s">
        <v>3657</v>
      </c>
    </row>
    <row r="1750" spans="1:4">
      <c r="A1750" s="3" t="s">
        <v>3671</v>
      </c>
      <c r="B1750" s="3" t="s">
        <v>3672</v>
      </c>
      <c r="C1750" s="3" t="s">
        <v>1538</v>
      </c>
      <c r="D1750" s="3" t="s">
        <v>3657</v>
      </c>
    </row>
    <row r="1751" spans="1:4">
      <c r="A1751" s="3" t="s">
        <v>3673</v>
      </c>
      <c r="B1751" s="3" t="s">
        <v>3674</v>
      </c>
      <c r="C1751" s="3" t="s">
        <v>1538</v>
      </c>
      <c r="D1751" s="3" t="s">
        <v>3657</v>
      </c>
    </row>
    <row r="1752" spans="1:4">
      <c r="A1752" s="3" t="s">
        <v>3675</v>
      </c>
      <c r="B1752" s="3" t="s">
        <v>1612</v>
      </c>
      <c r="C1752" s="3" t="s">
        <v>1538</v>
      </c>
      <c r="D1752" s="3" t="s">
        <v>3657</v>
      </c>
    </row>
    <row r="1753" spans="1:4">
      <c r="A1753" s="3" t="s">
        <v>3676</v>
      </c>
      <c r="B1753" s="3" t="s">
        <v>2097</v>
      </c>
      <c r="C1753" s="3" t="s">
        <v>1538</v>
      </c>
      <c r="D1753" s="3" t="s">
        <v>3657</v>
      </c>
    </row>
    <row r="1754" spans="1:4">
      <c r="A1754" s="3" t="s">
        <v>3677</v>
      </c>
      <c r="B1754" s="3" t="s">
        <v>3678</v>
      </c>
      <c r="C1754" s="3" t="s">
        <v>3679</v>
      </c>
      <c r="D1754" s="3" t="s">
        <v>3657</v>
      </c>
    </row>
    <row r="1755" spans="1:4">
      <c r="A1755" s="3" t="s">
        <v>3680</v>
      </c>
      <c r="B1755" s="3" t="s">
        <v>3681</v>
      </c>
      <c r="C1755" s="3" t="s">
        <v>3679</v>
      </c>
      <c r="D1755" s="3" t="s">
        <v>3657</v>
      </c>
    </row>
    <row r="1756" spans="1:4">
      <c r="A1756" s="3" t="s">
        <v>3682</v>
      </c>
      <c r="B1756" s="3" t="s">
        <v>3657</v>
      </c>
      <c r="C1756" s="3" t="s">
        <v>3679</v>
      </c>
      <c r="D1756" s="3" t="s">
        <v>3657</v>
      </c>
    </row>
    <row r="1757" spans="1:4">
      <c r="A1757" s="3" t="s">
        <v>3683</v>
      </c>
      <c r="B1757" s="3" t="s">
        <v>424</v>
      </c>
      <c r="C1757" s="3" t="s">
        <v>3679</v>
      </c>
      <c r="D1757" s="3" t="s">
        <v>3657</v>
      </c>
    </row>
    <row r="1758" spans="1:4">
      <c r="A1758" s="3" t="s">
        <v>3684</v>
      </c>
      <c r="B1758" s="3" t="s">
        <v>3685</v>
      </c>
      <c r="C1758" s="3" t="s">
        <v>3679</v>
      </c>
      <c r="D1758" s="3" t="s">
        <v>3657</v>
      </c>
    </row>
    <row r="1759" spans="1:4">
      <c r="A1759" s="3" t="s">
        <v>3686</v>
      </c>
      <c r="B1759" s="3" t="s">
        <v>3687</v>
      </c>
      <c r="C1759" s="3" t="s">
        <v>3674</v>
      </c>
      <c r="D1759" s="3" t="s">
        <v>3657</v>
      </c>
    </row>
    <row r="1760" spans="1:4">
      <c r="A1760" s="3" t="s">
        <v>3688</v>
      </c>
      <c r="B1760" s="3" t="s">
        <v>3689</v>
      </c>
      <c r="C1760" s="3" t="s">
        <v>3674</v>
      </c>
      <c r="D1760" s="3" t="s">
        <v>3657</v>
      </c>
    </row>
    <row r="1761" spans="1:4">
      <c r="A1761" s="3" t="s">
        <v>3690</v>
      </c>
      <c r="B1761" s="3" t="s">
        <v>3691</v>
      </c>
      <c r="C1761" s="3" t="s">
        <v>3674</v>
      </c>
      <c r="D1761" s="3" t="s">
        <v>3657</v>
      </c>
    </row>
    <row r="1762" spans="1:4">
      <c r="A1762" s="3" t="s">
        <v>3692</v>
      </c>
      <c r="B1762" s="3" t="s">
        <v>3693</v>
      </c>
      <c r="C1762" s="3" t="s">
        <v>3674</v>
      </c>
      <c r="D1762" s="3" t="s">
        <v>3657</v>
      </c>
    </row>
    <row r="1763" spans="1:4">
      <c r="A1763" s="3" t="s">
        <v>3694</v>
      </c>
      <c r="B1763" s="3" t="s">
        <v>3695</v>
      </c>
      <c r="C1763" s="3" t="s">
        <v>3674</v>
      </c>
      <c r="D1763" s="3" t="s">
        <v>3657</v>
      </c>
    </row>
    <row r="1764" spans="1:4">
      <c r="A1764" s="3" t="s">
        <v>3696</v>
      </c>
      <c r="B1764" s="3" t="s">
        <v>3697</v>
      </c>
      <c r="C1764" s="3" t="s">
        <v>3674</v>
      </c>
      <c r="D1764" s="3" t="s">
        <v>3657</v>
      </c>
    </row>
    <row r="1765" spans="1:4">
      <c r="A1765" s="3" t="s">
        <v>3698</v>
      </c>
      <c r="B1765" s="3" t="s">
        <v>3699</v>
      </c>
      <c r="C1765" s="3" t="s">
        <v>3699</v>
      </c>
      <c r="D1765" s="3" t="s">
        <v>3657</v>
      </c>
    </row>
    <row r="1766" spans="1:4">
      <c r="A1766" s="3" t="s">
        <v>3700</v>
      </c>
      <c r="B1766" s="3" t="s">
        <v>3701</v>
      </c>
      <c r="C1766" s="3" t="s">
        <v>3699</v>
      </c>
      <c r="D1766" s="3" t="s">
        <v>3657</v>
      </c>
    </row>
    <row r="1767" spans="1:4">
      <c r="A1767" s="3" t="s">
        <v>3702</v>
      </c>
      <c r="B1767" s="3" t="s">
        <v>3703</v>
      </c>
      <c r="C1767" s="3" t="s">
        <v>3699</v>
      </c>
      <c r="D1767" s="3" t="s">
        <v>3657</v>
      </c>
    </row>
    <row r="1768" spans="1:4">
      <c r="A1768" s="3" t="s">
        <v>3704</v>
      </c>
      <c r="B1768" s="3" t="s">
        <v>3705</v>
      </c>
      <c r="C1768" s="3" t="s">
        <v>3699</v>
      </c>
      <c r="D1768" s="3" t="s">
        <v>3657</v>
      </c>
    </row>
    <row r="1769" spans="1:4">
      <c r="A1769" s="3" t="s">
        <v>3706</v>
      </c>
      <c r="B1769" s="3" t="s">
        <v>3707</v>
      </c>
      <c r="C1769" s="3" t="s">
        <v>3699</v>
      </c>
      <c r="D1769" s="3" t="s">
        <v>3657</v>
      </c>
    </row>
    <row r="1770" spans="1:4">
      <c r="A1770" s="3" t="s">
        <v>3708</v>
      </c>
      <c r="B1770" s="3" t="s">
        <v>3709</v>
      </c>
      <c r="C1770" s="3" t="s">
        <v>3699</v>
      </c>
      <c r="D1770" s="3" t="s">
        <v>3657</v>
      </c>
    </row>
    <row r="1771" spans="1:4">
      <c r="A1771" s="3" t="s">
        <v>3710</v>
      </c>
      <c r="B1771" s="3" t="s">
        <v>3711</v>
      </c>
      <c r="C1771" s="3" t="s">
        <v>3699</v>
      </c>
      <c r="D1771" s="3" t="s">
        <v>3657</v>
      </c>
    </row>
    <row r="1772" spans="1:4">
      <c r="A1772" s="3" t="s">
        <v>3712</v>
      </c>
      <c r="B1772" s="3" t="s">
        <v>3713</v>
      </c>
      <c r="C1772" s="3" t="s">
        <v>3699</v>
      </c>
      <c r="D1772" s="3" t="s">
        <v>3657</v>
      </c>
    </row>
    <row r="1773" spans="1:4">
      <c r="A1773" s="3" t="s">
        <v>3714</v>
      </c>
      <c r="B1773" s="3" t="s">
        <v>3715</v>
      </c>
      <c r="C1773" s="3" t="s">
        <v>3699</v>
      </c>
      <c r="D1773" s="3" t="s">
        <v>3657</v>
      </c>
    </row>
    <row r="1774" spans="1:4">
      <c r="A1774" s="3" t="s">
        <v>3716</v>
      </c>
      <c r="B1774" s="3" t="s">
        <v>3717</v>
      </c>
      <c r="C1774" s="3" t="s">
        <v>3699</v>
      </c>
      <c r="D1774" s="3" t="s">
        <v>3657</v>
      </c>
    </row>
    <row r="1775" spans="1:4">
      <c r="A1775" s="3" t="s">
        <v>3718</v>
      </c>
      <c r="B1775" s="3" t="s">
        <v>3719</v>
      </c>
      <c r="C1775" s="3" t="s">
        <v>3699</v>
      </c>
      <c r="D1775" s="3" t="s">
        <v>3657</v>
      </c>
    </row>
    <row r="1776" spans="1:4">
      <c r="A1776" s="3" t="s">
        <v>3720</v>
      </c>
      <c r="B1776" s="3" t="s">
        <v>3721</v>
      </c>
      <c r="C1776" s="3" t="s">
        <v>1007</v>
      </c>
      <c r="D1776" s="3" t="s">
        <v>3657</v>
      </c>
    </row>
    <row r="1777" spans="1:4">
      <c r="A1777" s="3" t="s">
        <v>3722</v>
      </c>
      <c r="B1777" s="3" t="s">
        <v>3723</v>
      </c>
      <c r="C1777" s="3" t="s">
        <v>1007</v>
      </c>
      <c r="D1777" s="3" t="s">
        <v>3657</v>
      </c>
    </row>
    <row r="1778" spans="1:4">
      <c r="A1778" s="3" t="s">
        <v>3724</v>
      </c>
      <c r="B1778" s="3" t="s">
        <v>3725</v>
      </c>
      <c r="C1778" s="3" t="s">
        <v>1007</v>
      </c>
      <c r="D1778" s="3" t="s">
        <v>3657</v>
      </c>
    </row>
    <row r="1779" spans="1:4">
      <c r="A1779" s="3" t="s">
        <v>3726</v>
      </c>
      <c r="B1779" s="3" t="s">
        <v>3727</v>
      </c>
      <c r="C1779" s="3" t="s">
        <v>1007</v>
      </c>
      <c r="D1779" s="3" t="s">
        <v>3657</v>
      </c>
    </row>
    <row r="1780" spans="1:4">
      <c r="A1780" s="3" t="s">
        <v>3728</v>
      </c>
      <c r="B1780" s="3" t="s">
        <v>3729</v>
      </c>
      <c r="C1780" s="3" t="s">
        <v>1007</v>
      </c>
      <c r="D1780" s="3" t="s">
        <v>3657</v>
      </c>
    </row>
    <row r="1781" spans="1:4">
      <c r="A1781" s="3" t="s">
        <v>3730</v>
      </c>
      <c r="B1781" s="3" t="s">
        <v>3731</v>
      </c>
      <c r="C1781" s="3" t="s">
        <v>3731</v>
      </c>
      <c r="D1781" s="3" t="s">
        <v>3657</v>
      </c>
    </row>
    <row r="1782" spans="1:4">
      <c r="A1782" s="3" t="s">
        <v>3732</v>
      </c>
      <c r="B1782" s="3" t="s">
        <v>3374</v>
      </c>
      <c r="C1782" s="3" t="s">
        <v>3731</v>
      </c>
      <c r="D1782" s="3" t="s">
        <v>3657</v>
      </c>
    </row>
    <row r="1783" spans="1:4">
      <c r="A1783" s="3" t="s">
        <v>3733</v>
      </c>
      <c r="B1783" s="3" t="s">
        <v>3734</v>
      </c>
      <c r="C1783" s="3" t="s">
        <v>3731</v>
      </c>
      <c r="D1783" s="3" t="s">
        <v>3657</v>
      </c>
    </row>
    <row r="1784" spans="1:4">
      <c r="A1784" s="3" t="s">
        <v>3735</v>
      </c>
      <c r="B1784" s="3" t="s">
        <v>3736</v>
      </c>
      <c r="C1784" s="3" t="s">
        <v>3731</v>
      </c>
      <c r="D1784" s="3" t="s">
        <v>3657</v>
      </c>
    </row>
    <row r="1785" spans="1:4">
      <c r="A1785" s="3" t="s">
        <v>3737</v>
      </c>
      <c r="B1785" s="3" t="s">
        <v>3738</v>
      </c>
      <c r="C1785" s="3" t="s">
        <v>3731</v>
      </c>
      <c r="D1785" s="3" t="s">
        <v>3657</v>
      </c>
    </row>
    <row r="1786" spans="1:4">
      <c r="A1786" s="3" t="s">
        <v>3739</v>
      </c>
      <c r="B1786" s="3" t="s">
        <v>389</v>
      </c>
      <c r="C1786" s="3" t="s">
        <v>3731</v>
      </c>
      <c r="D1786" s="3" t="s">
        <v>3657</v>
      </c>
    </row>
    <row r="1787" spans="1:4">
      <c r="A1787" s="3" t="s">
        <v>3740</v>
      </c>
      <c r="B1787" s="3" t="s">
        <v>3741</v>
      </c>
      <c r="C1787" s="3" t="s">
        <v>3731</v>
      </c>
      <c r="D1787" s="3" t="s">
        <v>3657</v>
      </c>
    </row>
    <row r="1788" spans="1:4">
      <c r="A1788" s="3" t="s">
        <v>3742</v>
      </c>
      <c r="B1788" s="3" t="s">
        <v>3743</v>
      </c>
      <c r="C1788" s="3" t="s">
        <v>3731</v>
      </c>
      <c r="D1788" s="3" t="s">
        <v>3657</v>
      </c>
    </row>
    <row r="1789" spans="1:4">
      <c r="A1789" s="3" t="s">
        <v>3744</v>
      </c>
      <c r="B1789" s="3" t="s">
        <v>3745</v>
      </c>
      <c r="C1789" s="3" t="s">
        <v>3731</v>
      </c>
      <c r="D1789" s="3" t="s">
        <v>3657</v>
      </c>
    </row>
    <row r="1790" spans="1:4">
      <c r="A1790" s="3" t="s">
        <v>3746</v>
      </c>
      <c r="B1790" s="3" t="s">
        <v>3747</v>
      </c>
      <c r="C1790" s="3" t="s">
        <v>3731</v>
      </c>
      <c r="D1790" s="3" t="s">
        <v>3657</v>
      </c>
    </row>
    <row r="1791" spans="1:4">
      <c r="A1791" s="3" t="s">
        <v>3748</v>
      </c>
      <c r="B1791" s="3" t="s">
        <v>3749</v>
      </c>
      <c r="C1791" s="3" t="s">
        <v>3749</v>
      </c>
      <c r="D1791" s="3" t="s">
        <v>3657</v>
      </c>
    </row>
    <row r="1792" spans="1:4">
      <c r="A1792" s="3" t="s">
        <v>3750</v>
      </c>
      <c r="B1792" s="3" t="s">
        <v>3751</v>
      </c>
      <c r="C1792" s="3" t="s">
        <v>3749</v>
      </c>
      <c r="D1792" s="3" t="s">
        <v>3657</v>
      </c>
    </row>
    <row r="1793" spans="1:4">
      <c r="A1793" s="3" t="s">
        <v>3752</v>
      </c>
      <c r="B1793" s="3" t="s">
        <v>3753</v>
      </c>
      <c r="C1793" s="3" t="s">
        <v>3749</v>
      </c>
      <c r="D1793" s="3" t="s">
        <v>3657</v>
      </c>
    </row>
    <row r="1794" spans="1:4">
      <c r="A1794" s="3" t="s">
        <v>3754</v>
      </c>
      <c r="B1794" s="3" t="s">
        <v>3755</v>
      </c>
      <c r="C1794" s="3" t="s">
        <v>3749</v>
      </c>
      <c r="D1794" s="3" t="s">
        <v>3657</v>
      </c>
    </row>
    <row r="1795" spans="1:4">
      <c r="A1795" s="3" t="s">
        <v>3756</v>
      </c>
      <c r="B1795" s="3" t="s">
        <v>3757</v>
      </c>
      <c r="C1795" s="3" t="s">
        <v>3749</v>
      </c>
      <c r="D1795" s="3" t="s">
        <v>3657</v>
      </c>
    </row>
    <row r="1796" spans="1:4">
      <c r="A1796" s="3" t="s">
        <v>3758</v>
      </c>
      <c r="B1796" s="3" t="s">
        <v>3759</v>
      </c>
      <c r="C1796" s="3" t="s">
        <v>3749</v>
      </c>
      <c r="D1796" s="3" t="s">
        <v>3657</v>
      </c>
    </row>
    <row r="1797" spans="1:4">
      <c r="A1797" s="3" t="s">
        <v>3760</v>
      </c>
      <c r="B1797" s="3" t="s">
        <v>3761</v>
      </c>
      <c r="C1797" s="3" t="s">
        <v>3749</v>
      </c>
      <c r="D1797" s="3" t="s">
        <v>3657</v>
      </c>
    </row>
    <row r="1798" spans="1:4">
      <c r="A1798" s="3" t="s">
        <v>3762</v>
      </c>
      <c r="B1798" s="3" t="s">
        <v>3763</v>
      </c>
      <c r="C1798" s="3" t="s">
        <v>3749</v>
      </c>
      <c r="D1798" s="3" t="s">
        <v>3657</v>
      </c>
    </row>
    <row r="1799" spans="1:4">
      <c r="A1799" s="3" t="s">
        <v>3764</v>
      </c>
      <c r="B1799" s="3" t="s">
        <v>3765</v>
      </c>
      <c r="C1799" s="3" t="s">
        <v>3749</v>
      </c>
      <c r="D1799" s="3" t="s">
        <v>3657</v>
      </c>
    </row>
    <row r="1800" spans="1:4">
      <c r="A1800" s="3" t="s">
        <v>3766</v>
      </c>
      <c r="B1800" s="3" t="s">
        <v>3767</v>
      </c>
      <c r="C1800" s="3" t="s">
        <v>3657</v>
      </c>
      <c r="D1800" s="3" t="s">
        <v>3657</v>
      </c>
    </row>
    <row r="1801" spans="1:4">
      <c r="A1801" s="3" t="s">
        <v>3768</v>
      </c>
      <c r="B1801" s="3" t="s">
        <v>3769</v>
      </c>
      <c r="C1801" s="3" t="s">
        <v>3657</v>
      </c>
      <c r="D1801" s="3" t="s">
        <v>3657</v>
      </c>
    </row>
    <row r="1802" spans="1:4">
      <c r="A1802" s="3" t="s">
        <v>3770</v>
      </c>
      <c r="B1802" s="3" t="s">
        <v>3771</v>
      </c>
      <c r="C1802" s="3" t="s">
        <v>3657</v>
      </c>
      <c r="D1802" s="3" t="s">
        <v>3657</v>
      </c>
    </row>
    <row r="1803" spans="1:4">
      <c r="A1803" s="3" t="s">
        <v>3772</v>
      </c>
      <c r="B1803" s="3" t="s">
        <v>3773</v>
      </c>
      <c r="C1803" s="3" t="s">
        <v>3657</v>
      </c>
      <c r="D1803" s="3" t="s">
        <v>3657</v>
      </c>
    </row>
    <row r="1804" spans="1:4">
      <c r="A1804" s="3" t="s">
        <v>3774</v>
      </c>
      <c r="B1804" s="3" t="s">
        <v>3775</v>
      </c>
      <c r="C1804" s="3" t="s">
        <v>3657</v>
      </c>
      <c r="D1804" s="3" t="s">
        <v>3657</v>
      </c>
    </row>
    <row r="1805" spans="1:4">
      <c r="A1805" s="3" t="s">
        <v>3776</v>
      </c>
      <c r="B1805" s="3" t="s">
        <v>911</v>
      </c>
      <c r="C1805" s="3" t="s">
        <v>3657</v>
      </c>
      <c r="D1805" s="3" t="s">
        <v>3657</v>
      </c>
    </row>
    <row r="1806" spans="1:4">
      <c r="A1806" s="3" t="s">
        <v>3777</v>
      </c>
      <c r="B1806" s="3" t="s">
        <v>3778</v>
      </c>
      <c r="C1806" s="3" t="s">
        <v>3657</v>
      </c>
      <c r="D1806" s="3" t="s">
        <v>3657</v>
      </c>
    </row>
    <row r="1807" spans="1:4">
      <c r="A1807" s="3" t="s">
        <v>3779</v>
      </c>
      <c r="B1807" s="3" t="s">
        <v>3780</v>
      </c>
      <c r="C1807" s="3" t="s">
        <v>3657</v>
      </c>
      <c r="D1807" s="3" t="s">
        <v>3657</v>
      </c>
    </row>
    <row r="1808" spans="1:4">
      <c r="A1808" s="3" t="s">
        <v>3781</v>
      </c>
      <c r="B1808" s="3" t="s">
        <v>3782</v>
      </c>
      <c r="C1808" s="3" t="s">
        <v>3657</v>
      </c>
      <c r="D1808" s="3" t="s">
        <v>3657</v>
      </c>
    </row>
    <row r="1809" spans="1:4">
      <c r="A1809" s="3" t="s">
        <v>3783</v>
      </c>
      <c r="B1809" s="3" t="s">
        <v>3784</v>
      </c>
      <c r="C1809" s="3" t="s">
        <v>3657</v>
      </c>
      <c r="D1809" s="3" t="s">
        <v>3657</v>
      </c>
    </row>
    <row r="1810" spans="1:4">
      <c r="A1810" s="3" t="s">
        <v>3785</v>
      </c>
      <c r="B1810" s="3" t="s">
        <v>3786</v>
      </c>
      <c r="C1810" s="3" t="s">
        <v>3657</v>
      </c>
      <c r="D1810" s="3" t="s">
        <v>3657</v>
      </c>
    </row>
    <row r="1811" spans="1:4">
      <c r="A1811" s="3" t="s">
        <v>3787</v>
      </c>
      <c r="B1811" s="3" t="s">
        <v>932</v>
      </c>
      <c r="C1811" s="3" t="s">
        <v>3657</v>
      </c>
      <c r="D1811" s="3" t="s">
        <v>3657</v>
      </c>
    </row>
    <row r="1812" spans="1:4">
      <c r="A1812" s="3" t="s">
        <v>3788</v>
      </c>
      <c r="B1812" s="3" t="s">
        <v>3789</v>
      </c>
      <c r="C1812" s="3" t="s">
        <v>3657</v>
      </c>
      <c r="D1812" s="3" t="s">
        <v>3657</v>
      </c>
    </row>
    <row r="1813" spans="1:4">
      <c r="A1813" s="3" t="s">
        <v>3790</v>
      </c>
      <c r="B1813" s="3" t="s">
        <v>3791</v>
      </c>
      <c r="C1813" s="3" t="s">
        <v>3657</v>
      </c>
      <c r="D1813" s="3" t="s">
        <v>3657</v>
      </c>
    </row>
    <row r="1814" spans="1:4">
      <c r="A1814" s="3" t="s">
        <v>3792</v>
      </c>
      <c r="B1814" s="3" t="s">
        <v>3793</v>
      </c>
      <c r="C1814" s="3" t="s">
        <v>3793</v>
      </c>
      <c r="D1814" s="3" t="s">
        <v>3657</v>
      </c>
    </row>
    <row r="1815" spans="1:4">
      <c r="A1815" s="3" t="s">
        <v>3794</v>
      </c>
      <c r="B1815" s="3" t="s">
        <v>3795</v>
      </c>
      <c r="C1815" s="3" t="s">
        <v>3793</v>
      </c>
      <c r="D1815" s="3" t="s">
        <v>3657</v>
      </c>
    </row>
    <row r="1816" spans="1:4">
      <c r="A1816" s="3" t="s">
        <v>3796</v>
      </c>
      <c r="B1816" s="3" t="s">
        <v>3797</v>
      </c>
      <c r="C1816" s="3" t="s">
        <v>3793</v>
      </c>
      <c r="D1816" s="3" t="s">
        <v>3657</v>
      </c>
    </row>
    <row r="1817" spans="1:4">
      <c r="A1817" s="3" t="s">
        <v>3798</v>
      </c>
      <c r="B1817" s="3" t="s">
        <v>3799</v>
      </c>
      <c r="C1817" s="3" t="s">
        <v>3793</v>
      </c>
      <c r="D1817" s="3" t="s">
        <v>3657</v>
      </c>
    </row>
    <row r="1818" spans="1:4">
      <c r="A1818" s="3" t="s">
        <v>3800</v>
      </c>
      <c r="B1818" s="3" t="s">
        <v>3801</v>
      </c>
      <c r="C1818" s="3" t="s">
        <v>3793</v>
      </c>
      <c r="D1818" s="3" t="s">
        <v>3657</v>
      </c>
    </row>
    <row r="1819" spans="1:4">
      <c r="A1819" s="3" t="s">
        <v>3802</v>
      </c>
      <c r="B1819" s="3" t="s">
        <v>3803</v>
      </c>
      <c r="C1819" s="3" t="s">
        <v>3803</v>
      </c>
      <c r="D1819" s="3" t="s">
        <v>3803</v>
      </c>
    </row>
    <row r="1820" spans="1:4">
      <c r="A1820" s="3" t="s">
        <v>3804</v>
      </c>
      <c r="B1820" s="3" t="s">
        <v>3805</v>
      </c>
      <c r="C1820" s="3" t="s">
        <v>3803</v>
      </c>
      <c r="D1820" s="3" t="s">
        <v>3803</v>
      </c>
    </row>
    <row r="1821" spans="1:4">
      <c r="A1821" s="3" t="s">
        <v>3806</v>
      </c>
      <c r="B1821" s="3" t="s">
        <v>3807</v>
      </c>
      <c r="C1821" s="3" t="s">
        <v>3803</v>
      </c>
      <c r="D1821" s="3" t="s">
        <v>3803</v>
      </c>
    </row>
    <row r="1822" spans="1:4">
      <c r="A1822" s="3" t="s">
        <v>3808</v>
      </c>
      <c r="B1822" s="3" t="s">
        <v>3809</v>
      </c>
      <c r="C1822" s="3" t="s">
        <v>3803</v>
      </c>
      <c r="D1822" s="3" t="s">
        <v>3803</v>
      </c>
    </row>
    <row r="1823" spans="1:4">
      <c r="A1823" s="3" t="s">
        <v>3810</v>
      </c>
      <c r="B1823" s="3" t="s">
        <v>3811</v>
      </c>
      <c r="C1823" s="3" t="s">
        <v>3803</v>
      </c>
      <c r="D1823" s="3" t="s">
        <v>3803</v>
      </c>
    </row>
    <row r="1824" spans="1:4">
      <c r="A1824" s="3" t="s">
        <v>3812</v>
      </c>
      <c r="B1824" s="3" t="s">
        <v>3813</v>
      </c>
      <c r="C1824" s="3" t="s">
        <v>3803</v>
      </c>
      <c r="D1824" s="3" t="s">
        <v>3803</v>
      </c>
    </row>
    <row r="1825" spans="1:4">
      <c r="A1825" s="3" t="s">
        <v>3814</v>
      </c>
      <c r="B1825" s="3" t="s">
        <v>1895</v>
      </c>
      <c r="C1825" s="3" t="s">
        <v>3803</v>
      </c>
      <c r="D1825" s="3" t="s">
        <v>3803</v>
      </c>
    </row>
    <row r="1826" spans="1:4">
      <c r="A1826" s="3" t="s">
        <v>3815</v>
      </c>
      <c r="B1826" s="3" t="s">
        <v>3816</v>
      </c>
      <c r="C1826" s="3" t="s">
        <v>3803</v>
      </c>
      <c r="D1826" s="3" t="s">
        <v>3803</v>
      </c>
    </row>
    <row r="1827" spans="1:4">
      <c r="A1827" s="3" t="s">
        <v>3817</v>
      </c>
      <c r="B1827" s="3" t="s">
        <v>3818</v>
      </c>
      <c r="C1827" s="3" t="s">
        <v>3803</v>
      </c>
      <c r="D1827" s="3" t="s">
        <v>3803</v>
      </c>
    </row>
    <row r="1828" spans="1:4">
      <c r="A1828" s="3" t="s">
        <v>3819</v>
      </c>
      <c r="B1828" s="3" t="s">
        <v>3820</v>
      </c>
      <c r="C1828" s="3" t="s">
        <v>3803</v>
      </c>
      <c r="D1828" s="3" t="s">
        <v>3803</v>
      </c>
    </row>
    <row r="1829" spans="1:4">
      <c r="A1829" s="3" t="s">
        <v>3821</v>
      </c>
      <c r="B1829" s="3" t="s">
        <v>3822</v>
      </c>
      <c r="C1829" s="3" t="s">
        <v>3803</v>
      </c>
      <c r="D1829" s="3" t="s">
        <v>3803</v>
      </c>
    </row>
    <row r="1830" spans="1:4">
      <c r="A1830" s="3" t="s">
        <v>3823</v>
      </c>
      <c r="B1830" s="3" t="s">
        <v>3824</v>
      </c>
      <c r="C1830" s="3" t="s">
        <v>3824</v>
      </c>
      <c r="D1830" s="3" t="s">
        <v>3803</v>
      </c>
    </row>
    <row r="1831" spans="1:4">
      <c r="A1831" s="3" t="s">
        <v>3825</v>
      </c>
      <c r="B1831" s="3" t="s">
        <v>3826</v>
      </c>
      <c r="C1831" s="3" t="s">
        <v>3824</v>
      </c>
      <c r="D1831" s="3" t="s">
        <v>3803</v>
      </c>
    </row>
    <row r="1832" spans="1:4">
      <c r="A1832" s="3" t="s">
        <v>3827</v>
      </c>
      <c r="B1832" s="3" t="s">
        <v>3828</v>
      </c>
      <c r="C1832" s="3" t="s">
        <v>3824</v>
      </c>
      <c r="D1832" s="3" t="s">
        <v>3803</v>
      </c>
    </row>
    <row r="1833" spans="1:4">
      <c r="A1833" s="3" t="s">
        <v>3829</v>
      </c>
      <c r="B1833" s="3" t="s">
        <v>3830</v>
      </c>
      <c r="C1833" s="3" t="s">
        <v>3824</v>
      </c>
      <c r="D1833" s="3" t="s">
        <v>3803</v>
      </c>
    </row>
    <row r="1834" spans="1:4">
      <c r="A1834" s="3" t="s">
        <v>3831</v>
      </c>
      <c r="B1834" s="3" t="s">
        <v>3832</v>
      </c>
      <c r="C1834" s="3" t="s">
        <v>3824</v>
      </c>
      <c r="D1834" s="3" t="s">
        <v>3803</v>
      </c>
    </row>
    <row r="1835" spans="1:4">
      <c r="A1835" s="3" t="s">
        <v>3833</v>
      </c>
      <c r="B1835" s="3" t="s">
        <v>3834</v>
      </c>
      <c r="C1835" s="3" t="s">
        <v>3824</v>
      </c>
      <c r="D1835" s="3" t="s">
        <v>3803</v>
      </c>
    </row>
    <row r="1836" spans="1:4">
      <c r="A1836" s="3" t="s">
        <v>3835</v>
      </c>
      <c r="B1836" s="3" t="s">
        <v>3836</v>
      </c>
      <c r="C1836" s="3" t="s">
        <v>3837</v>
      </c>
      <c r="D1836" s="3" t="s">
        <v>3803</v>
      </c>
    </row>
    <row r="1837" spans="1:4">
      <c r="A1837" s="3" t="s">
        <v>3838</v>
      </c>
      <c r="B1837" s="3" t="s">
        <v>3839</v>
      </c>
      <c r="C1837" s="3" t="s">
        <v>3837</v>
      </c>
      <c r="D1837" s="3" t="s">
        <v>3803</v>
      </c>
    </row>
    <row r="1838" spans="1:4">
      <c r="A1838" s="3" t="s">
        <v>3840</v>
      </c>
      <c r="B1838" s="3" t="s">
        <v>3841</v>
      </c>
      <c r="C1838" s="3" t="s">
        <v>3837</v>
      </c>
      <c r="D1838" s="3" t="s">
        <v>3803</v>
      </c>
    </row>
    <row r="1839" spans="1:4">
      <c r="A1839" s="3" t="s">
        <v>3842</v>
      </c>
      <c r="B1839" s="3" t="s">
        <v>3843</v>
      </c>
      <c r="C1839" s="3" t="s">
        <v>3843</v>
      </c>
      <c r="D1839" s="3" t="s">
        <v>3803</v>
      </c>
    </row>
    <row r="1840" spans="1:4">
      <c r="A1840" s="3" t="s">
        <v>3844</v>
      </c>
      <c r="B1840" s="3" t="s">
        <v>3845</v>
      </c>
      <c r="C1840" s="3" t="s">
        <v>3843</v>
      </c>
      <c r="D1840" s="3" t="s">
        <v>3803</v>
      </c>
    </row>
    <row r="1841" spans="1:4">
      <c r="A1841" s="3" t="s">
        <v>3846</v>
      </c>
      <c r="B1841" s="3" t="s">
        <v>3847</v>
      </c>
      <c r="C1841" s="3" t="s">
        <v>3843</v>
      </c>
      <c r="D1841" s="3" t="s">
        <v>3803</v>
      </c>
    </row>
    <row r="1842" spans="1:4">
      <c r="A1842" s="3" t="s">
        <v>3848</v>
      </c>
      <c r="B1842" s="3" t="s">
        <v>3849</v>
      </c>
      <c r="C1842" s="3" t="s">
        <v>3843</v>
      </c>
      <c r="D1842" s="3" t="s">
        <v>3803</v>
      </c>
    </row>
    <row r="1843" spans="1:4">
      <c r="A1843" s="3" t="s">
        <v>3850</v>
      </c>
      <c r="B1843" s="3" t="s">
        <v>3851</v>
      </c>
      <c r="C1843" s="3" t="s">
        <v>3843</v>
      </c>
      <c r="D1843" s="3" t="s">
        <v>3803</v>
      </c>
    </row>
    <row r="1844" spans="1:4">
      <c r="A1844" s="3" t="s">
        <v>3852</v>
      </c>
      <c r="B1844" s="3" t="s">
        <v>3853</v>
      </c>
      <c r="C1844" s="3" t="s">
        <v>3843</v>
      </c>
      <c r="D1844" s="3" t="s">
        <v>3803</v>
      </c>
    </row>
    <row r="1845" spans="1:4">
      <c r="A1845" s="3" t="s">
        <v>3854</v>
      </c>
      <c r="B1845" s="3" t="s">
        <v>3855</v>
      </c>
      <c r="C1845" s="3" t="s">
        <v>3843</v>
      </c>
      <c r="D1845" s="3" t="s">
        <v>3803</v>
      </c>
    </row>
    <row r="1846" spans="1:4">
      <c r="A1846" s="3" t="s">
        <v>3856</v>
      </c>
      <c r="B1846" s="3" t="s">
        <v>3857</v>
      </c>
      <c r="C1846" s="3" t="s">
        <v>3843</v>
      </c>
      <c r="D1846" s="3" t="s">
        <v>3803</v>
      </c>
    </row>
    <row r="1847" spans="1:4">
      <c r="A1847" s="3" t="s">
        <v>3858</v>
      </c>
      <c r="B1847" s="3" t="s">
        <v>3859</v>
      </c>
      <c r="C1847" s="3" t="s">
        <v>3859</v>
      </c>
      <c r="D1847" s="3" t="s">
        <v>3859</v>
      </c>
    </row>
    <row r="1848" spans="1:4">
      <c r="A1848" s="3" t="s">
        <v>3860</v>
      </c>
      <c r="B1848" s="3" t="s">
        <v>3861</v>
      </c>
      <c r="C1848" s="3" t="s">
        <v>3859</v>
      </c>
      <c r="D1848" s="3" t="s">
        <v>3859</v>
      </c>
    </row>
    <row r="1849" spans="1:4">
      <c r="A1849" s="3" t="s">
        <v>3862</v>
      </c>
      <c r="B1849" s="3" t="s">
        <v>3863</v>
      </c>
      <c r="C1849" s="3" t="s">
        <v>3859</v>
      </c>
      <c r="D1849" s="3" t="s">
        <v>3859</v>
      </c>
    </row>
    <row r="1850" spans="1:4">
      <c r="A1850" s="3" t="s">
        <v>3864</v>
      </c>
      <c r="B1850" s="3" t="s">
        <v>3865</v>
      </c>
      <c r="C1850" s="3" t="s">
        <v>3859</v>
      </c>
      <c r="D1850" s="3" t="s">
        <v>3859</v>
      </c>
    </row>
    <row r="1851" spans="1:4">
      <c r="A1851" s="3" t="s">
        <v>3866</v>
      </c>
      <c r="B1851" s="3" t="s">
        <v>3867</v>
      </c>
      <c r="C1851" s="3" t="s">
        <v>3859</v>
      </c>
      <c r="D1851" s="3" t="s">
        <v>3859</v>
      </c>
    </row>
    <row r="1852" spans="1:4">
      <c r="A1852" s="3" t="s">
        <v>3868</v>
      </c>
      <c r="B1852" s="3" t="s">
        <v>3869</v>
      </c>
      <c r="C1852" s="3" t="s">
        <v>3859</v>
      </c>
      <c r="D1852" s="3" t="s">
        <v>3859</v>
      </c>
    </row>
    <row r="1853" spans="1:4">
      <c r="A1853" s="3" t="s">
        <v>3870</v>
      </c>
      <c r="B1853" s="3" t="s">
        <v>3871</v>
      </c>
      <c r="C1853" s="3" t="s">
        <v>3872</v>
      </c>
      <c r="D1853" s="3" t="s">
        <v>3859</v>
      </c>
    </row>
    <row r="1854" spans="1:4">
      <c r="A1854" s="3" t="s">
        <v>3873</v>
      </c>
      <c r="B1854" s="3" t="s">
        <v>3874</v>
      </c>
      <c r="C1854" s="3" t="s">
        <v>3872</v>
      </c>
      <c r="D1854" s="3" t="s">
        <v>3859</v>
      </c>
    </row>
    <row r="1855" spans="1:4">
      <c r="A1855" s="3" t="s">
        <v>3875</v>
      </c>
      <c r="B1855" s="3" t="s">
        <v>3876</v>
      </c>
      <c r="C1855" s="3" t="s">
        <v>3872</v>
      </c>
      <c r="D1855" s="3" t="s">
        <v>3859</v>
      </c>
    </row>
    <row r="1856" spans="1:4">
      <c r="A1856" s="3" t="s">
        <v>3877</v>
      </c>
      <c r="B1856" s="3" t="s">
        <v>3878</v>
      </c>
      <c r="C1856" s="3" t="s">
        <v>3878</v>
      </c>
      <c r="D1856" s="3" t="s">
        <v>3859</v>
      </c>
    </row>
    <row r="1857" spans="1:4">
      <c r="A1857" s="3" t="s">
        <v>3879</v>
      </c>
      <c r="B1857" s="3" t="s">
        <v>3880</v>
      </c>
      <c r="C1857" s="3" t="s">
        <v>3878</v>
      </c>
      <c r="D1857" s="3" t="s">
        <v>3859</v>
      </c>
    </row>
    <row r="1858" spans="1:4">
      <c r="A1858" s="3" t="s">
        <v>3881</v>
      </c>
      <c r="B1858" s="3" t="s">
        <v>3882</v>
      </c>
      <c r="C1858" s="3" t="s">
        <v>3878</v>
      </c>
      <c r="D1858" s="3" t="s">
        <v>3859</v>
      </c>
    </row>
    <row r="1859" spans="1:4">
      <c r="A1859" s="3" t="s">
        <v>3883</v>
      </c>
      <c r="B1859" s="3" t="s">
        <v>3884</v>
      </c>
      <c r="C1859" s="3" t="s">
        <v>3878</v>
      </c>
      <c r="D1859" s="3" t="s">
        <v>3859</v>
      </c>
    </row>
    <row r="1860" spans="1:4">
      <c r="A1860" s="3" t="s">
        <v>3885</v>
      </c>
      <c r="B1860" s="3" t="s">
        <v>3886</v>
      </c>
      <c r="C1860" s="3" t="s">
        <v>3887</v>
      </c>
      <c r="D1860" s="3" t="s">
        <v>3168</v>
      </c>
    </row>
    <row r="1861" spans="1:4">
      <c r="A1861" s="3" t="s">
        <v>3888</v>
      </c>
      <c r="B1861" s="3" t="s">
        <v>3889</v>
      </c>
      <c r="C1861" s="3" t="s">
        <v>3887</v>
      </c>
      <c r="D1861" s="3" t="s">
        <v>3168</v>
      </c>
    </row>
    <row r="1862" spans="1:4">
      <c r="A1862" s="3" t="s">
        <v>3890</v>
      </c>
      <c r="B1862" s="3" t="s">
        <v>3891</v>
      </c>
      <c r="C1862" s="3" t="s">
        <v>3887</v>
      </c>
      <c r="D1862" s="3" t="s">
        <v>3168</v>
      </c>
    </row>
    <row r="1863" spans="1:4">
      <c r="A1863" s="3" t="s">
        <v>3892</v>
      </c>
      <c r="B1863" s="3" t="s">
        <v>3893</v>
      </c>
      <c r="C1863" s="3" t="s">
        <v>3887</v>
      </c>
      <c r="D1863" s="3" t="s">
        <v>3168</v>
      </c>
    </row>
    <row r="1864" spans="1:4">
      <c r="A1864" s="3" t="s">
        <v>3894</v>
      </c>
      <c r="B1864" s="3" t="s">
        <v>3895</v>
      </c>
      <c r="C1864" s="3" t="s">
        <v>3887</v>
      </c>
      <c r="D1864" s="3" t="s">
        <v>3168</v>
      </c>
    </row>
    <row r="1865" spans="1:4">
      <c r="A1865" s="3" t="s">
        <v>3896</v>
      </c>
      <c r="B1865" s="3" t="s">
        <v>3897</v>
      </c>
      <c r="C1865" s="3" t="s">
        <v>3887</v>
      </c>
      <c r="D1865" s="3" t="s">
        <v>3168</v>
      </c>
    </row>
    <row r="1866" spans="1:4">
      <c r="A1866" s="3" t="s">
        <v>3898</v>
      </c>
      <c r="B1866" s="3" t="s">
        <v>3899</v>
      </c>
      <c r="C1866" s="3" t="s">
        <v>3887</v>
      </c>
      <c r="D1866" s="3" t="s">
        <v>3168</v>
      </c>
    </row>
    <row r="1867" spans="1:4">
      <c r="A1867" s="3" t="s">
        <v>3900</v>
      </c>
      <c r="B1867" s="3" t="s">
        <v>3901</v>
      </c>
      <c r="C1867" s="3" t="s">
        <v>3902</v>
      </c>
      <c r="D1867" s="3" t="s">
        <v>3168</v>
      </c>
    </row>
    <row r="1868" spans="1:4">
      <c r="A1868" s="3" t="s">
        <v>3903</v>
      </c>
      <c r="B1868" s="3" t="s">
        <v>3904</v>
      </c>
      <c r="C1868" s="3" t="s">
        <v>3902</v>
      </c>
      <c r="D1868" s="3" t="s">
        <v>3168</v>
      </c>
    </row>
    <row r="1869" spans="1:4">
      <c r="A1869" s="3" t="s">
        <v>3905</v>
      </c>
      <c r="B1869" s="3" t="s">
        <v>3906</v>
      </c>
      <c r="C1869" s="3" t="s">
        <v>3902</v>
      </c>
      <c r="D1869" s="3" t="s">
        <v>3168</v>
      </c>
    </row>
    <row r="1870" spans="1:4">
      <c r="A1870" s="3" t="s">
        <v>3907</v>
      </c>
      <c r="B1870" s="3" t="s">
        <v>3908</v>
      </c>
      <c r="C1870" s="3" t="s">
        <v>3902</v>
      </c>
      <c r="D1870" s="3" t="s">
        <v>3168</v>
      </c>
    </row>
    <row r="1871" spans="1:4">
      <c r="A1871" s="3" t="s">
        <v>3909</v>
      </c>
      <c r="B1871" s="3" t="s">
        <v>3910</v>
      </c>
      <c r="C1871" s="3" t="s">
        <v>3910</v>
      </c>
      <c r="D1871" s="3" t="s">
        <v>3168</v>
      </c>
    </row>
    <row r="1872" spans="1:4">
      <c r="A1872" s="3" t="s">
        <v>3911</v>
      </c>
      <c r="B1872" s="3" t="s">
        <v>3912</v>
      </c>
      <c r="C1872" s="3" t="s">
        <v>3910</v>
      </c>
      <c r="D1872" s="3" t="s">
        <v>3168</v>
      </c>
    </row>
    <row r="1873" spans="1:4">
      <c r="A1873" s="3" t="s">
        <v>3913</v>
      </c>
      <c r="B1873" s="3" t="s">
        <v>3914</v>
      </c>
      <c r="C1873" s="3" t="s">
        <v>3910</v>
      </c>
      <c r="D1873" s="3" t="s">
        <v>3168</v>
      </c>
    </row>
    <row r="1874" spans="1:4">
      <c r="A1874" s="3" t="s">
        <v>3915</v>
      </c>
      <c r="B1874" s="3" t="s">
        <v>3916</v>
      </c>
      <c r="C1874" s="3" t="s">
        <v>3910</v>
      </c>
      <c r="D1874" s="3" t="s">
        <v>3168</v>
      </c>
    </row>
    <row r="1875" spans="1:4">
      <c r="A1875" s="3" t="s">
        <v>3917</v>
      </c>
      <c r="B1875" s="3" t="s">
        <v>3918</v>
      </c>
      <c r="C1875" s="3" t="s">
        <v>3910</v>
      </c>
      <c r="D1875" s="3" t="s">
        <v>3168</v>
      </c>
    </row>
    <row r="1876" spans="1:4">
      <c r="A1876" s="3" t="s">
        <v>3919</v>
      </c>
      <c r="B1876" s="3" t="s">
        <v>3920</v>
      </c>
      <c r="C1876" s="3" t="s">
        <v>3920</v>
      </c>
      <c r="D1876" s="3" t="s">
        <v>3168</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24</vt:i4>
      </vt:variant>
      <vt:variant>
        <vt:lpstr>Rangos con nombre</vt:lpstr>
      </vt:variant>
      <vt:variant>
        <vt:i4>61</vt:i4>
      </vt:variant>
    </vt:vector>
  </HeadingPairs>
  <TitlesOfParts>
    <vt:vector size="85" baseType="lpstr">
      <vt:lpstr>Listas</vt:lpstr>
      <vt:lpstr>Infraestructura</vt:lpstr>
      <vt:lpstr>Datos Generales</vt:lpstr>
      <vt:lpstr>Territorio</vt:lpstr>
      <vt:lpstr>Unidad Productora</vt:lpstr>
      <vt:lpstr>Involucrados</vt:lpstr>
      <vt:lpstr>Problema-Objetivo</vt:lpstr>
      <vt:lpstr>Horizonte</vt:lpstr>
      <vt:lpstr>Brecha</vt:lpstr>
      <vt:lpstr>Análisis Técnico</vt:lpstr>
      <vt:lpstr>CostosAlt1</vt:lpstr>
      <vt:lpstr>CostosAlt2</vt:lpstr>
      <vt:lpstr>CostosAlt3</vt:lpstr>
      <vt:lpstr>Evaluación Social Alt1</vt:lpstr>
      <vt:lpstr>Evaluación Social Alt2</vt:lpstr>
      <vt:lpstr>Evaluación Social Alt3</vt:lpstr>
      <vt:lpstr>Sostenibilidad</vt:lpstr>
      <vt:lpstr>Gestión</vt:lpstr>
      <vt:lpstr>Impacto ambiental</vt:lpstr>
      <vt:lpstr>Marco Lógico</vt:lpstr>
      <vt:lpstr>Conclusiones</vt:lpstr>
      <vt:lpstr>Firmas</vt:lpstr>
      <vt:lpstr>Anexos</vt:lpstr>
      <vt:lpstr>UBIGEO</vt:lpstr>
      <vt:lpstr>AccionSobreActivo</vt:lpstr>
      <vt:lpstr>AccionSobreActivo2</vt:lpstr>
      <vt:lpstr>AccionSobreActivo3</vt:lpstr>
      <vt:lpstr>AnalisisTecnico</vt:lpstr>
      <vt:lpstr>'Análisis Técnico'!Área_de_impresión</vt:lpstr>
      <vt:lpstr>Anexos!Área_de_impresión</vt:lpstr>
      <vt:lpstr>Brecha!Área_de_impresión</vt:lpstr>
      <vt:lpstr>Conclusiones!Área_de_impresión</vt:lpstr>
      <vt:lpstr>CostosAlt1!Área_de_impresión</vt:lpstr>
      <vt:lpstr>CostosAlt2!Área_de_impresión</vt:lpstr>
      <vt:lpstr>CostosAlt3!Área_de_impresión</vt:lpstr>
      <vt:lpstr>'Datos Generales'!Área_de_impresión</vt:lpstr>
      <vt:lpstr>'Evaluación Social Alt1'!Área_de_impresión</vt:lpstr>
      <vt:lpstr>'Evaluación Social Alt2'!Área_de_impresión</vt:lpstr>
      <vt:lpstr>'Evaluación Social Alt3'!Área_de_impresión</vt:lpstr>
      <vt:lpstr>Firmas!Área_de_impresión</vt:lpstr>
      <vt:lpstr>Gestión!Área_de_impresión</vt:lpstr>
      <vt:lpstr>Horizonte!Área_de_impresión</vt:lpstr>
      <vt:lpstr>'Impacto ambiental'!Área_de_impresión</vt:lpstr>
      <vt:lpstr>Involucrados!Área_de_impresión</vt:lpstr>
      <vt:lpstr>'Marco Lógico'!Área_de_impresión</vt:lpstr>
      <vt:lpstr>'Problema-Objetivo'!Área_de_impresión</vt:lpstr>
      <vt:lpstr>Sostenibilidad!Área_de_impresión</vt:lpstr>
      <vt:lpstr>Territorio!Área_de_impresión</vt:lpstr>
      <vt:lpstr>'Unidad Productora'!Área_de_impresión</vt:lpstr>
      <vt:lpstr>AreaMinimaCIAI</vt:lpstr>
      <vt:lpstr>CD_calidad1</vt:lpstr>
      <vt:lpstr>CD_calidad2</vt:lpstr>
      <vt:lpstr>CD_cobertura1</vt:lpstr>
      <vt:lpstr>CD_cobertura2</vt:lpstr>
      <vt:lpstr>CI_calidad1.1</vt:lpstr>
      <vt:lpstr>CI_calidad1.2</vt:lpstr>
      <vt:lpstr>CI_calidad1.3</vt:lpstr>
      <vt:lpstr>CI_calidad2.1</vt:lpstr>
      <vt:lpstr>CI_cobertura1.1</vt:lpstr>
      <vt:lpstr>CI_cobertura1.2</vt:lpstr>
      <vt:lpstr>CI_cobertura1.3</vt:lpstr>
      <vt:lpstr>CI_cobertura2.1</vt:lpstr>
      <vt:lpstr>CumplimientoCondiciones</vt:lpstr>
      <vt:lpstr>EstadoActual</vt:lpstr>
      <vt:lpstr>ExposicionFragilidad</vt:lpstr>
      <vt:lpstr>FactorProduccion</vt:lpstr>
      <vt:lpstr>FuenteFinanciamiento</vt:lpstr>
      <vt:lpstr>Impacto</vt:lpstr>
      <vt:lpstr>Involucrados</vt:lpstr>
      <vt:lpstr>MuroContencion</vt:lpstr>
      <vt:lpstr>Naturaleza</vt:lpstr>
      <vt:lpstr>NivelGobierno</vt:lpstr>
      <vt:lpstr>Optimizar</vt:lpstr>
      <vt:lpstr>PC_calidad</vt:lpstr>
      <vt:lpstr>PC_cobertura</vt:lpstr>
      <vt:lpstr>Probabilidad</vt:lpstr>
      <vt:lpstr>Problematica</vt:lpstr>
      <vt:lpstr>SaneamientoConProyecto</vt:lpstr>
      <vt:lpstr>Si_No</vt:lpstr>
      <vt:lpstr>SituacionSaneamientoLegal</vt:lpstr>
      <vt:lpstr>TamañoCIAI</vt:lpstr>
      <vt:lpstr>TipoCIAI</vt:lpstr>
      <vt:lpstr>TipoEjecucion</vt:lpstr>
      <vt:lpstr>Titularidad</vt:lpstr>
      <vt:lpstr>UBIGEO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Antonio Mujica Urbano</cp:lastModifiedBy>
  <cp:lastPrinted>2024-02-20T22:07:49Z</cp:lastPrinted>
  <dcterms:created xsi:type="dcterms:W3CDTF">2023-07-01T14:55:34Z</dcterms:created>
  <dcterms:modified xsi:type="dcterms:W3CDTF">2024-08-27T20:22:28Z</dcterms:modified>
</cp:coreProperties>
</file>