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4000" windowHeight="9510" firstSheet="4" activeTab="4"/>
  </bookViews>
  <sheets>
    <sheet name="DISTRITO" sheetId="5" state="hidden" r:id="rId1"/>
    <sheet name="base" sheetId="3" state="hidden" r:id="rId2"/>
    <sheet name="PROV" sheetId="6" state="hidden" r:id="rId3"/>
    <sheet name="base1" sheetId="4" state="hidden" r:id="rId4"/>
    <sheet name="FORMATO INVIERTE.PE 1" sheetId="2" r:id="rId5"/>
  </sheets>
  <externalReferences>
    <externalReference r:id="rId6"/>
    <externalReference r:id="rId7"/>
  </externalReferences>
  <definedNames>
    <definedName name="\a" localSheetId="2">'[1]PASO 3 UNION DPT-PROV Y DIST'!#REF!</definedName>
    <definedName name="\a">'[1]PASO 3 UNION DPT-PROV Y DIST'!#REF!</definedName>
    <definedName name="\b" localSheetId="2">'[1]PASO 3 UNION DPT-PROV Y DIST'!#REF!</definedName>
    <definedName name="\b">'[1]PASO 3 UNION DPT-PROV Y DIST'!#REF!</definedName>
    <definedName name="\c" localSheetId="2">'[1]PASO 3 UNION DPT-PROV Y DIST'!#REF!</definedName>
    <definedName name="\c">'[1]PASO 3 UNION DPT-PROV Y DIST'!#REF!</definedName>
    <definedName name="\d" localSheetId="2">[2]PFRATIO!#REF!</definedName>
    <definedName name="\d">[2]PFRATIO!#REF!</definedName>
    <definedName name="\g" localSheetId="2">[2]PFRATIO!#REF!</definedName>
    <definedName name="\g">[2]PFRATIO!#REF!</definedName>
    <definedName name="\h" localSheetId="2">[2]PFRATIO!#REF!</definedName>
    <definedName name="\h">[2]PFRATIO!#REF!</definedName>
    <definedName name="\m" localSheetId="2">[2]PFRATIO!#REF!</definedName>
    <definedName name="\m">[2]PFRATIO!#REF!</definedName>
    <definedName name="\s" localSheetId="2">[2]PFRATIO!#REF!</definedName>
    <definedName name="\s">[2]PFRATIO!#REF!</definedName>
    <definedName name="_xlnm._FilterDatabase" localSheetId="3" hidden="1">base1!$N$112:$P$115</definedName>
    <definedName name="_xlnm._FilterDatabase" localSheetId="0" hidden="1">DISTRITO!$A$1:$B$4339</definedName>
    <definedName name="_xlnm._FilterDatabase" localSheetId="4" hidden="1">'FORMATO INVIERTE.PE 1'!$N$99:$P$102</definedName>
    <definedName name="_xlnm._FilterDatabase" localSheetId="2" hidden="1">PROV!$A$1:$B$2491</definedName>
    <definedName name="_tab1">#REF!</definedName>
    <definedName name="_tab2">#REF!</definedName>
    <definedName name="A_impresión_IM">#REF!</definedName>
    <definedName name="ABANCAY">DISTRITO!$B$284:$B$292</definedName>
    <definedName name="ACOBAMBA">DISTRITO!$B$905:$B$912</definedName>
    <definedName name="ACOMAYO">DISTRITO!$B$772:$B$778</definedName>
    <definedName name="AIJA">DISTRITO!$B$110:$B$114</definedName>
    <definedName name="ALTOAMAZONAS">DISTRITO!$B$1594:$B$1599</definedName>
    <definedName name="AMAZONAS">PROV!$B$3:$B$9</definedName>
    <definedName name="AMBO">DISTRITO!$B$1000:$B$1007</definedName>
    <definedName name="ANCASH">PROV!$C$3:$C$22</definedName>
    <definedName name="ANDAHUAYLAS">DISTRITO!$B$294:$B$312</definedName>
    <definedName name="ANGARAES">DISTRITO!$B$914:$B$925</definedName>
    <definedName name="ANTA">DISTRITO!$B$780:$B$787</definedName>
    <definedName name="ANTABAMBA">DISTRITO!$B$314:$B$320</definedName>
    <definedName name="ANTIGUOS">#REF!</definedName>
    <definedName name="ANTONIORAIMONDI">DISTRITO!$B$116:$B$121</definedName>
    <definedName name="APURIMAC">PROV!$D$3:$D$9</definedName>
    <definedName name="_xlnm.Print_Area" localSheetId="3">base1!$B$4:$P$477</definedName>
    <definedName name="_xlnm.Print_Area" localSheetId="0">DISTRITO!$B$2:$B$2072</definedName>
    <definedName name="_xlnm.Print_Area" localSheetId="4">'FORMATO INVIERTE.PE 1'!$B$4:$P$628</definedName>
    <definedName name="_xlnm.Print_Area" localSheetId="2">PROV!$B$2:$B$224</definedName>
    <definedName name="AREQUIPA">DISTRITO!$B$372:$B$400</definedName>
    <definedName name="AREQUIPA_">PROV!$E$3:$E$10</definedName>
    <definedName name="ASCOPE">DISTRITO!$B$1272:$B$1279</definedName>
    <definedName name="ASUNCION">DISTRITO!$B$123:$B$124</definedName>
    <definedName name="ATALAYA">DISTRITO!$B$2052:$B$2055</definedName>
    <definedName name="AYABACA">DISTRITO!$B$1721:$B$1730</definedName>
    <definedName name="AYACUCHO">PROV!$G$3:$G$13</definedName>
    <definedName name="AYMARAES">DISTRITO!$B$322:$B$338</definedName>
    <definedName name="AZANGARO">DISTRITO!$B$1800:$B$1814</definedName>
    <definedName name="BAGUA">DISTRITO!$B$27:$B$32</definedName>
    <definedName name="BARRANCA">DISTRITO!$B$1442:$B$1446</definedName>
    <definedName name="_xlnm.Database">#REF!</definedName>
    <definedName name="BELLAVISTA">DISTRITO!$B$1914:$B$1919</definedName>
    <definedName name="BOLIVAR">DISTRITO!$B$1281:$B$1286</definedName>
    <definedName name="BOLOGNESI">DISTRITO!$B$126:$B$140</definedName>
    <definedName name="BONGARA">DISTRITO!$B$34:$B$45</definedName>
    <definedName name="CAJABAMBA">DISTRITO!$B$627:$B$630</definedName>
    <definedName name="CAJAMARCA">DISTRITO!$B$614:$B$625</definedName>
    <definedName name="CAJAMARCA_">PROV!$H$3:$H$15</definedName>
    <definedName name="CAJATAMBO">DISTRITO!$B$1448:$B$1452</definedName>
    <definedName name="CALCA">DISTRITO!$B$790:$B$797</definedName>
    <definedName name="CALLAO">DISTRITO!$B$755:$B$760</definedName>
    <definedName name="CALLAO_">PROV!$J$3</definedName>
    <definedName name="CAMANA">DISTRITO!$B$402:$B$409</definedName>
    <definedName name="CANAS">DISTRITO!$B$799:$B$806</definedName>
    <definedName name="CANCHIS">DISTRITO!$B$808:$B$815</definedName>
    <definedName name="CANDAVARE">DISTRITO!$B$2006:$B$2011</definedName>
    <definedName name="CANGALLO">DISTRITO!$B$507:$B$512</definedName>
    <definedName name="CANTA">DISTRITO!$B$1454:$B$1460</definedName>
    <definedName name="CAÑETE">DISTRITO!$B$1462:$B$1477</definedName>
    <definedName name="CARABAYA">DISTRITO!$B$1816:$B$1825</definedName>
    <definedName name="CARAVELI">DISTRITO!$B$411:$B$423</definedName>
    <definedName name="CARHUAZ">DISTRITO!$B$142:$B$152</definedName>
    <definedName name="CARLOSFITZCARRALD">DISTRITO!$B$154:$B$156</definedName>
    <definedName name="CASMA">DISTRITO!$B$158:$B$161</definedName>
    <definedName name="CASTILLA">DISTRITO!$B$425:$B$438</definedName>
    <definedName name="CASTROVIRREYNA">DISTRITO!$B$927:$B$939</definedName>
    <definedName name="CAYLLOMA">DISTRITO!$B$440:$B$459</definedName>
    <definedName name="CELENDIN">DISTRITO!$B$632:$B$643</definedName>
    <definedName name="CHACAS">DISTRITO!$B$123:$B$124</definedName>
    <definedName name="CHACHAPOYAS">DISTRITO!$B$5:$B$25</definedName>
    <definedName name="CHANCHAMAYO">DISTRITO!$B$1171:$B$1176</definedName>
    <definedName name="CHEPEN">DISTRITO!$B$1288:$B$1290</definedName>
    <definedName name="CHICLAYO">DISTRITO!$B$1356:$B$1375</definedName>
    <definedName name="CHINCHA">DISTRITO!$B$1092:$B$1102</definedName>
    <definedName name="CHINCHEROS">DISTRITO!$B$347:$B$353</definedName>
    <definedName name="CHKPAS" localSheetId="2">[2]PFRATIO!#REF!</definedName>
    <definedName name="CHKPAS">[2]PFRATIO!#REF!</definedName>
    <definedName name="CHKSAVE" localSheetId="2">[2]PFRATIO!#REF!</definedName>
    <definedName name="CHKSAVE">[2]PFRATIO!#REF!</definedName>
    <definedName name="CHOTA">DISTRITO!$B$645:$B$663</definedName>
    <definedName name="CHUCUITO">DISTRITO!$B$1827:$B$1833</definedName>
    <definedName name="CHUMBIVILCAS">DISTRITO!$B$817:$B$824</definedName>
    <definedName name="CHUPACA">DISTRITO!$B$1249:$B$1257</definedName>
    <definedName name="CHURCAMPA">DISTRITO!$B$942:$B$951</definedName>
    <definedName name="CIUDADES">PROV!$B$2:$AL$22</definedName>
    <definedName name="CONCEPCION">DISTRITO!$B$1155:$B$1169</definedName>
    <definedName name="CONDESUYOS">DISTRITO!$B$461:$B$468</definedName>
    <definedName name="CONDORCANQUI">DISTRITO!$B$47:$B$49</definedName>
    <definedName name="CONTRALMIRANTEVILLAR">DISTRITO!$B$2034:$B$2036</definedName>
    <definedName name="CONTUMAZA">DISTRITO!$B$665:$B$672</definedName>
    <definedName name="CORONELPORTILLO">DISTRITO!$B$2044:$B$2050</definedName>
    <definedName name="CORONGO">DISTRITO!$B$163:$B$169</definedName>
    <definedName name="COTABAMBAS">DISTRITO!$B$340:$B$345</definedName>
    <definedName name="CUSCO">DISTRITO!$B$763:$B$770</definedName>
    <definedName name="CUSCO_">PROV!$K$3:$K$15</definedName>
    <definedName name="CUTERVO">DISTRITO!$B$674:$B$688</definedName>
    <definedName name="DANIELALCIDESCARRION">DISTRITO!$B$1693:$B$1700</definedName>
    <definedName name="DATEM">DISTRITO!$B$1631:$B$1636</definedName>
    <definedName name="DEPARTAMENTOS">PROV!$B$2:$AL$2</definedName>
    <definedName name="DOSDEMAYO">DISTRITO!$B$1009:$B$1017</definedName>
    <definedName name="ELCOLLAO">DISTRITO!$B$1835:$B$1839</definedName>
    <definedName name="ELDORADO">DISTRITO!$B$1921:$B$1925</definedName>
    <definedName name="ERR_LOC" localSheetId="2">[2]PFRATIO!#REF!</definedName>
    <definedName name="ERR_LOC">[2]PFRATIO!#REF!</definedName>
    <definedName name="ERR_MSG" localSheetId="2">[2]PFRATIO!#REF!</definedName>
    <definedName name="ERR_MSG">[2]PFRATIO!#REF!</definedName>
    <definedName name="ESPINAR">DISTRITO!$B$826:$B$833</definedName>
    <definedName name="FERREÑAFE">DISTRITO!$B$1377:$B$1382</definedName>
    <definedName name="FILENAME" localSheetId="2">[2]PFRATIO!#REF!</definedName>
    <definedName name="FILENAME">[2]PFRATIO!#REF!</definedName>
    <definedName name="FLOPDIR" localSheetId="2">[2]PFRATIO!#REF!</definedName>
    <definedName name="FLOPDIR">[2]PFRATIO!#REF!</definedName>
    <definedName name="FLOPPY" localSheetId="2">[2]PFRATIO!#REF!</definedName>
    <definedName name="FLOPPY">[2]PFRATIO!#REF!</definedName>
    <definedName name="GENERALSANCHEZCERRO">DISTRITO!$B$1661:$B$1671</definedName>
    <definedName name="GETFILE" localSheetId="2">[2]PFRATIO!#REF!</definedName>
    <definedName name="GETFILE">[2]PFRATIO!#REF!</definedName>
    <definedName name="GRANCHIMU">DISTRITO!$B$1346:$B$1349</definedName>
    <definedName name="GRAU">DISTRITO!$B$356:$B$369</definedName>
    <definedName name="GRDIR" localSheetId="2">[2]PFRATIO!#REF!</definedName>
    <definedName name="GRDIR">[2]PFRATIO!#REF!</definedName>
    <definedName name="HUACAYBAMBA">DISTRITO!$B$1019:$B$1022</definedName>
    <definedName name="HUALGAYOC">DISTRITO!$B$690:$B$692</definedName>
    <definedName name="HUALLAGA">DISTRITO!$B$1927:$B$1932</definedName>
    <definedName name="HUAMANGA">DISTRITO!$B$491:$B$505</definedName>
    <definedName name="HUANCABAMBA">DISTRITO!$B$1732:$B$1739</definedName>
    <definedName name="HUANCANE">DISTRITO!$B$1841:$B$1848</definedName>
    <definedName name="HUANCASACOS">DISTRITO!$B$514:$B$517</definedName>
    <definedName name="HUANCAVELICA">DISTRITO!$B$885:$B$903</definedName>
    <definedName name="HUANCAVELICA_">PROV!$M$3:$M$9</definedName>
    <definedName name="HUANCAYO1">DISTRITO!$B$1126:$B$1153</definedName>
    <definedName name="HUANTA">DISTRITO!$B$519:$B$526</definedName>
    <definedName name="HUANUCO">DISTRITO!$B$988:$B$998</definedName>
    <definedName name="HUANUCO_">PROV!$O$3:$O$13</definedName>
    <definedName name="HUARAL">DISTRITO!$B$1479:$B$1490</definedName>
    <definedName name="HUARAZ">DISTRITO!$B$97:$B$108</definedName>
    <definedName name="HUARI">DISTRITO!$B$171:$B$186</definedName>
    <definedName name="HUARMEY">DISTRITO!$B$188:$B$192</definedName>
    <definedName name="HUAROCHIRI">DISTRITO!$B$1492:$B$1523</definedName>
    <definedName name="HUAURA">DISTRITO!$B$1525:$B$1536</definedName>
    <definedName name="HUAYLAS">DISTRITO!$B$194:$B$203</definedName>
    <definedName name="HUAYTARA">DISTRITO!$B$953:$B$968</definedName>
    <definedName name="HUMALIES">DISTRITO!$B$1024:$B$1034</definedName>
    <definedName name="ICA">DISTRITO!$B$1077:$B$1090</definedName>
    <definedName name="ICA_">PROV!$Q$3:$Q$7</definedName>
    <definedName name="ILO">DISTRITO!$B$1673:$B$1675</definedName>
    <definedName name="INICIO">'FORMATO INVIERTE.PE 1'!$F$17</definedName>
    <definedName name="ISLAY">DISTRITO!$B$471:$B$476</definedName>
    <definedName name="JAEN">DISTRITO!$B$694:$B$705</definedName>
    <definedName name="JAUJA">DISTRITO!$B$1179:$B$1212</definedName>
    <definedName name="JORGEBASADRE">DISTRITO!$B$2013:$B$2015</definedName>
    <definedName name="JULCAN">DISTRITO!$B$1292:$B$1295</definedName>
    <definedName name="JUNIN">PROV!$S$3:$S$11</definedName>
    <definedName name="JUNIN1">DISTRITO!$B$1214:$B$1217</definedName>
    <definedName name="LACONVENCION">DISTRITO!$B$835:$B$844</definedName>
    <definedName name="LALIBERTAD">PROV!$T$3:$T$14</definedName>
    <definedName name="LAMAR">DISTRITO!$B$528:$B$535</definedName>
    <definedName name="LAMAS">DISTRITO!$B$1934:$B$1944</definedName>
    <definedName name="LAMBAYEQUE">DISTRITO!$B$1384:$B$1395</definedName>
    <definedName name="LAMBAYEQUE_">PROV!$U$3:$U$5</definedName>
    <definedName name="LAMPA">DISTRITO!$B$1850:$B$1859</definedName>
    <definedName name="LAURICOCHA">DISTRITO!$B$1059:$B$1065</definedName>
    <definedName name="LEONCIOPRADO">DISTRITO!$B$1037:$B$1042</definedName>
    <definedName name="LIMA">DISTRITO!$B$1398:$B$1440</definedName>
    <definedName name="LIMA_">PROV!$W$3:$W$12</definedName>
    <definedName name="LORETO">PROV!$Y$3:$Y$9</definedName>
    <definedName name="LORETO_">DISTRITO!$B$1601:$B$1605</definedName>
    <definedName name="LUCANAS">DISTRITO!$B$537:$B$557</definedName>
    <definedName name="LUYA">DISTRITO!$B$51:$B$73</definedName>
    <definedName name="MADREDEDIOS">PROV!$Z$3:$Z$5</definedName>
    <definedName name="MANU">DISTRITO!$B$1644:$B$1647</definedName>
    <definedName name="MARAÑON">DISTRITO!$B$1044:$B$1046</definedName>
    <definedName name="MARISCALCACERES">DISTRITO!$B$1946:$B$1950</definedName>
    <definedName name="MARISCALLUZURIAGA">DISTRITO!$B$205:$B$212</definedName>
    <definedName name="MARISCALNIETO">DISTRITO!$B$1654:$B$1659</definedName>
    <definedName name="MARISCALRAMONCASTILLA">DISTRITO!$B$1607:$B$1610</definedName>
    <definedName name="MAYNAS">DISTRITO!$B$1580:$B$1592</definedName>
    <definedName name="MELGAR">DISTRITO!$B$1861:$B$1869</definedName>
    <definedName name="MESSAGE" localSheetId="2">[2]PFRATIO!#REF!</definedName>
    <definedName name="MESSAGE">[2]PFRATIO!#REF!</definedName>
    <definedName name="MOHO">DISTRITO!$B$1871:$B$1874</definedName>
    <definedName name="MOQUEGUA">PROV!$AA$3:$AA$5</definedName>
    <definedName name="MORROPON">DISTRITO!$B$1741:$B$1750</definedName>
    <definedName name="MOYOBAMBA">DISTRITO!$B$1907:$B$1912</definedName>
    <definedName name="MSG_CELL" localSheetId="2">[2]PFRATIO!#REF!</definedName>
    <definedName name="MSG_CELL">[2]PFRATIO!#REF!</definedName>
    <definedName name="NAZCA">DISTRITO!$B$1104:$B$1108</definedName>
    <definedName name="NOPAS" localSheetId="2">[2]PFRATIO!#REF!</definedName>
    <definedName name="NOPAS">[2]PFRATIO!#REF!</definedName>
    <definedName name="NOPAS3" localSheetId="2">[2]PFRATIO!#REF!</definedName>
    <definedName name="NOPAS3">[2]PFRATIO!#REF!</definedName>
    <definedName name="OBJETOS">'FORMATO INVIERTE.PE 1'!$N$239</definedName>
    <definedName name="OCROS">DISTRITO!$B$214:$B$223</definedName>
    <definedName name="OLD_MSG" localSheetId="2">[2]PFRATIO!#REF!</definedName>
    <definedName name="OLD_MSG">[2]PFRATIO!#REF!</definedName>
    <definedName name="OTUZCO">DISTRITO!$B$1297:$B$1306</definedName>
    <definedName name="OXAPAMPA">DISTRITO!$B$1702:$B$1708</definedName>
    <definedName name="OYON">DISTRITO!$B$1538:$B$1543</definedName>
    <definedName name="PACASMAYO">DISTRITO!$B$1308:$B$1312</definedName>
    <definedName name="PACHITEA">DISTRITO!$B$1048:$B$1051</definedName>
    <definedName name="PADREABAD">DISTRITO!$B$2057:$B$2059</definedName>
    <definedName name="PAITA">DISTRITO!$B$1752:$B$1758</definedName>
    <definedName name="PALLASCA">DISTRITO!$B$225:$B$235</definedName>
    <definedName name="PALPA">DISTRITO!$B$1110:$B$1114</definedName>
    <definedName name="PARINACOCHAS">DISTRITO!$B$559:$B$566</definedName>
    <definedName name="PARURO">DISTRITO!$B$846:$B$854</definedName>
    <definedName name="PAS_MSG1" localSheetId="2">[2]PFRATIO!#REF!</definedName>
    <definedName name="PAS_MSG1">[2]PFRATIO!#REF!</definedName>
    <definedName name="PAS_MSG2" localSheetId="2">[2]PFRATIO!#REF!</definedName>
    <definedName name="PAS_MSG2">[2]PFRATIO!#REF!</definedName>
    <definedName name="PAS_MSG3" localSheetId="2">[2]PFRATIO!#REF!</definedName>
    <definedName name="PAS_MSG3">[2]PFRATIO!#REF!</definedName>
    <definedName name="PASCO">PROV!$AB$3:$AB$5</definedName>
    <definedName name="PASCO_">DISTRITO!$B$1678:$B$1690</definedName>
    <definedName name="PATAZ">DISTRITO!$B$1314:$B$1326</definedName>
    <definedName name="PAUCARDELSARASARA">DISTRITO!$B$568:$B$577</definedName>
    <definedName name="PAUCARTAMBO">DISTRITO!$B$856:$B$861</definedName>
    <definedName name="PAUSE" localSheetId="2">[2]PFRATIO!#REF!</definedName>
    <definedName name="PAUSE">[2]PFRATIO!#REF!</definedName>
    <definedName name="PICOTA">DISTRITO!$B$1952:$B$1961</definedName>
    <definedName name="PISCO">DISTRITO!$B$1116:$B$1123</definedName>
    <definedName name="PIURA">DISTRITO!$B$1711:$B$1719</definedName>
    <definedName name="PIURA_">PROV!$AC$3:$AC$10</definedName>
    <definedName name="POMABAMBA">DISTRITO!$B$237:$B$240</definedName>
    <definedName name="PUERTOINCA">DISTRITO!$B$1053:$B$1057</definedName>
    <definedName name="PUNO">DISTRITO!$B$1784:$B$1798</definedName>
    <definedName name="PUNO_">PROV!$AE$3:$AE$15</definedName>
    <definedName name="PURUS">DISTRITO!$B$2061</definedName>
    <definedName name="QUISPICANCHI">DISTRITO!$B$863:$B$874</definedName>
    <definedName name="RECUAY">DISTRITO!$B$242:$B$251</definedName>
    <definedName name="REQUENA">DISTRITO!$B$1612:$B$1622</definedName>
    <definedName name="RESDIR" localSheetId="2">[2]PFRATIO!#REF!</definedName>
    <definedName name="RESDIR">[2]PFRATIO!#REF!</definedName>
    <definedName name="RESTYPE" localSheetId="2">[2]PFRATIO!#REF!</definedName>
    <definedName name="RESTYPE">[2]PFRATIO!#REF!</definedName>
    <definedName name="RIOJA">DISTRITO!$B$1963:$B$1971</definedName>
    <definedName name="RODRIGUEZ">DISTRITO!$B$75:$B$86</definedName>
    <definedName name="RSVMENU" localSheetId="2">[2]PFRATIO!#REF!</definedName>
    <definedName name="RSVMENU">[2]PFRATIO!#REF!</definedName>
    <definedName name="SANANTONIODEPUTINA">DISTRITO!$B$1876:$B$1880</definedName>
    <definedName name="SANCHEZCARRION">DISTRITO!$B$1328:$B$1335</definedName>
    <definedName name="SANDIA">DISTRITO!$B$1887:$B$1896</definedName>
    <definedName name="SANIGNACIO">DISTRITO!$B$707:$B$713</definedName>
    <definedName name="SANMARCOS">DISTRITO!$B$715:$B$721</definedName>
    <definedName name="SANMARTIN">PROV!$AG$3:$AG$12</definedName>
    <definedName name="SANMARTIN_">DISTRITO!$B$1973:$B$1986</definedName>
    <definedName name="SANMIGUEL">DISTRITO!$B$723:$B$735</definedName>
    <definedName name="SANPABLO">DISTRITO!$B$737:$B$740</definedName>
    <definedName name="SANROMAN">DISTRITO!$B$1882:$B$1885</definedName>
    <definedName name="SANTA">DISTRITO!$B$253:$B$261</definedName>
    <definedName name="SANTACRUZ">DISTRITO!$B$742:$B$752</definedName>
    <definedName name="SANTIAGODECHUCO">DISTRITO!$B$1337:$B$1344</definedName>
    <definedName name="SATIPO">DISTRITO!$B$1219:$B$1226</definedName>
    <definedName name="SAVE" localSheetId="2">[2]PFRATIO!#REF!</definedName>
    <definedName name="SAVE">[2]PFRATIO!#REF!</definedName>
    <definedName name="SAVE_MSG" localSheetId="2">[2]PFRATIO!#REF!</definedName>
    <definedName name="SAVE_MSG">[2]PFRATIO!#REF!</definedName>
    <definedName name="SAVED" localSheetId="2">[2]PFRATIO!#REF!</definedName>
    <definedName name="SAVED">[2]PFRATIO!#REF!</definedName>
    <definedName name="SAVENGO" localSheetId="2">[2]PFRATIO!#REF!</definedName>
    <definedName name="SAVENGO">[2]PFRATIO!#REF!</definedName>
    <definedName name="SECHURA">DISTRITO!$B$1776:$B$1781</definedName>
    <definedName name="SECTORES">'FORMATO INVIERTE.PE 1'!$225:$229</definedName>
    <definedName name="SIHUAS">DISTRITO!$B$263:$B$272</definedName>
    <definedName name="SUCRE">DISTRITO!$B$579:$B$589</definedName>
    <definedName name="SULLANA">DISTRITO!$B$1760:$B$1767</definedName>
    <definedName name="SUPERFICIE">#REF!</definedName>
    <definedName name="tab" localSheetId="2">#REF!</definedName>
    <definedName name="tab">#REF!</definedName>
    <definedName name="tabla" localSheetId="0">DISTRITO!#REF!</definedName>
    <definedName name="tabla" localSheetId="2">PROV!#REF!</definedName>
    <definedName name="TABLA">#REF!</definedName>
    <definedName name="tabla1">#REF!</definedName>
    <definedName name="tabla2" localSheetId="2">#REF!</definedName>
    <definedName name="tabla2">#REF!</definedName>
    <definedName name="tablon" localSheetId="2">#REF!</definedName>
    <definedName name="tablon">#REF!</definedName>
    <definedName name="TACNA">DISTRITO!$B$1995:$B$2004</definedName>
    <definedName name="TACNA_">PROV!$AH$3:$AH$6</definedName>
    <definedName name="TAHUAMANU">DISTRITO!$B$1649:$B$1651</definedName>
    <definedName name="TALARA">DISTRITO!$B$1769:$B$1774</definedName>
    <definedName name="TAMBOPATA">DISTRITO!$B$1639:$B$1642</definedName>
    <definedName name="TARATA">DISTRITO!$B$2017:$B$2024</definedName>
    <definedName name="TARMA">DISTRITO!$B$1228:$B$1236</definedName>
    <definedName name="TAYACAJA">DISTRITO!$B$970:$B$985</definedName>
    <definedName name="TEMP" localSheetId="2">[2]PFRATIO!#REF!</definedName>
    <definedName name="TEMP">[2]PFRATIO!#REF!</definedName>
    <definedName name="_xlnm.Print_Titles" localSheetId="0">DISTRITO!$1:$1</definedName>
    <definedName name="_xlnm.Print_Titles" localSheetId="2">PROV!$1:$1</definedName>
    <definedName name="TOCACHE">DISTRITO!$B$1988:$B$1992</definedName>
    <definedName name="TRUJILLO">DISTRITO!$B$1260:$B$1270</definedName>
    <definedName name="TUMBES">DISTRITO!$B$2027:$B$2032</definedName>
    <definedName name="TUMBES_">PROV!$AJ$3:$AJ$5</definedName>
    <definedName name="UCAYALI">PROV!$AL$3:$AL$6</definedName>
    <definedName name="UCAYALI_">DISTRITO!$B$1624:$B$1629</definedName>
    <definedName name="UNION">DISTRITO!$B$478:$B$488</definedName>
    <definedName name="URUBAMBA">DISTRITO!$B$876:$B$882</definedName>
    <definedName name="UTCUBAMBA">DISTRITO!$B$88:$B$94</definedName>
    <definedName name="VICTORFAJARDO">DISTRITO!$B$591:$B$602</definedName>
    <definedName name="VILCASHUAMAN">DISTRITO!$B$604:$B$611</definedName>
    <definedName name="VIRU">DISTRITO!$B$1351:$B$1353</definedName>
    <definedName name="YAROHUILCA">DISTRITO!$B$1067:$B$1074</definedName>
    <definedName name="YAULI">DISTRITO!$B$1238:$B$1247</definedName>
    <definedName name="YAUYOS">DISTRITO!$B$1545:$B$1577</definedName>
    <definedName name="YUNGAY">DISTRITO!$B$274:$B$281</definedName>
    <definedName name="YUNGUYO">DISTRITO!$B$1898:$B$1904</definedName>
    <definedName name="ZARUMILLA">DISTRITO!$B$2038:$B$2041</definedName>
  </definedNames>
  <calcPr calcId="145621"/>
</workbook>
</file>

<file path=xl/calcChain.xml><?xml version="1.0" encoding="utf-8"?>
<calcChain xmlns="http://schemas.openxmlformats.org/spreadsheetml/2006/main">
  <c r="G453" i="2" l="1"/>
  <c r="H453" i="2"/>
  <c r="I453" i="2"/>
  <c r="J453" i="2"/>
  <c r="K453" i="2"/>
  <c r="L453" i="2"/>
  <c r="M453" i="2"/>
  <c r="N453" i="2"/>
  <c r="O453" i="2"/>
  <c r="F453" i="2"/>
  <c r="G452" i="2"/>
  <c r="H452" i="2"/>
  <c r="I452" i="2"/>
  <c r="J452" i="2"/>
  <c r="K452" i="2"/>
  <c r="L452" i="2"/>
  <c r="M452" i="2"/>
  <c r="N452" i="2"/>
  <c r="O452" i="2"/>
  <c r="F452" i="2"/>
  <c r="D250" i="2" l="1"/>
  <c r="E461" i="2" l="1"/>
  <c r="F465" i="2" l="1"/>
  <c r="G461" i="2" l="1"/>
  <c r="H461" i="2"/>
  <c r="I461" i="2"/>
  <c r="J461" i="2"/>
  <c r="K461" i="2"/>
  <c r="L461" i="2"/>
  <c r="M461" i="2"/>
  <c r="N461" i="2"/>
  <c r="O461" i="2"/>
  <c r="F461" i="2"/>
  <c r="O358" i="2"/>
  <c r="O350" i="2"/>
  <c r="E266" i="2" l="1"/>
  <c r="C266" i="2"/>
  <c r="O228" i="2"/>
  <c r="J228" i="2"/>
  <c r="L228" i="2" s="1"/>
  <c r="N228" i="2" s="1"/>
  <c r="P228" i="2" s="1"/>
  <c r="P227" i="2"/>
  <c r="J227" i="2"/>
  <c r="L227" i="2" s="1"/>
  <c r="N227" i="2" s="1"/>
  <c r="O227" i="2" s="1"/>
  <c r="P226" i="2"/>
  <c r="J226" i="2"/>
  <c r="L226" i="2" s="1"/>
  <c r="N226" i="2" s="1"/>
  <c r="O226" i="2" s="1"/>
  <c r="P277" i="2" l="1"/>
  <c r="I503" i="2" l="1"/>
  <c r="I498" i="2"/>
  <c r="C391" i="2"/>
  <c r="K392" i="2"/>
  <c r="F319" i="2"/>
  <c r="O369" i="2"/>
  <c r="E327" i="2" s="1"/>
  <c r="E402" i="2" s="1"/>
  <c r="P369" i="2"/>
  <c r="O365" i="2"/>
  <c r="E326" i="2" s="1"/>
  <c r="O360" i="2"/>
  <c r="E325" i="2" s="1"/>
  <c r="O349" i="2"/>
  <c r="E324" i="2" s="1"/>
  <c r="E322" i="2"/>
  <c r="E320" i="2"/>
  <c r="E319" i="2"/>
  <c r="E317" i="2"/>
  <c r="E316" i="2"/>
  <c r="D461" i="2"/>
  <c r="E412" i="2"/>
  <c r="F412" i="2"/>
  <c r="G412" i="2"/>
  <c r="H412" i="2"/>
  <c r="I412" i="2"/>
  <c r="J412" i="2"/>
  <c r="K412" i="2"/>
  <c r="L412" i="2"/>
  <c r="M412" i="2"/>
  <c r="D412" i="2"/>
  <c r="O454" i="2"/>
  <c r="H392" i="2"/>
  <c r="L392" i="2"/>
  <c r="M392" i="2"/>
  <c r="N392" i="2"/>
  <c r="G392" i="2"/>
  <c r="E441" i="2"/>
  <c r="F441" i="2"/>
  <c r="G441" i="2"/>
  <c r="H441" i="2"/>
  <c r="I441" i="2"/>
  <c r="J441" i="2"/>
  <c r="K441" i="2"/>
  <c r="L441" i="2"/>
  <c r="M441" i="2"/>
  <c r="D441" i="2"/>
  <c r="E435" i="2"/>
  <c r="F435" i="2"/>
  <c r="G435" i="2"/>
  <c r="H435" i="2"/>
  <c r="I435" i="2"/>
  <c r="J435" i="2"/>
  <c r="K435" i="2"/>
  <c r="L435" i="2"/>
  <c r="M435" i="2"/>
  <c r="D435" i="2"/>
  <c r="E425" i="2"/>
  <c r="F425" i="2"/>
  <c r="G425" i="2"/>
  <c r="H425" i="2"/>
  <c r="I425" i="2"/>
  <c r="J425" i="2"/>
  <c r="K425" i="2"/>
  <c r="L425" i="2"/>
  <c r="M425" i="2"/>
  <c r="D425" i="2"/>
  <c r="E419" i="2"/>
  <c r="F419" i="2"/>
  <c r="G419" i="2"/>
  <c r="H419" i="2"/>
  <c r="I419" i="2"/>
  <c r="J419" i="2"/>
  <c r="K419" i="2"/>
  <c r="L419" i="2"/>
  <c r="M419" i="2"/>
  <c r="D419" i="2"/>
  <c r="P365" i="2"/>
  <c r="P360" i="2"/>
  <c r="P358" i="2"/>
  <c r="P350" i="2"/>
  <c r="E451" i="2" l="1"/>
  <c r="N454" i="2"/>
  <c r="G429" i="2"/>
  <c r="K429" i="2"/>
  <c r="K310" i="2"/>
  <c r="F429" i="2"/>
  <c r="D445" i="2"/>
  <c r="F445" i="2"/>
  <c r="J429" i="2"/>
  <c r="J445" i="2"/>
  <c r="M429" i="2"/>
  <c r="E429" i="2"/>
  <c r="M445" i="2"/>
  <c r="I445" i="2"/>
  <c r="E445" i="2"/>
  <c r="K445" i="2"/>
  <c r="K454" i="2" s="1"/>
  <c r="G445" i="2"/>
  <c r="I429" i="2"/>
  <c r="L429" i="2"/>
  <c r="H429" i="2"/>
  <c r="L445" i="2"/>
  <c r="H445" i="2"/>
  <c r="E400" i="2"/>
  <c r="D429" i="2"/>
  <c r="P349" i="2"/>
  <c r="C389" i="2"/>
  <c r="G454" i="2" l="1"/>
  <c r="F454" i="2"/>
  <c r="H454" i="2"/>
  <c r="J454" i="2"/>
  <c r="E454" i="2"/>
  <c r="M454" i="2"/>
  <c r="I454" i="2"/>
  <c r="L454" i="2"/>
  <c r="C514" i="2"/>
  <c r="C513" i="2"/>
  <c r="C512" i="2"/>
  <c r="C511" i="2"/>
  <c r="C510" i="2"/>
  <c r="F327" i="2" l="1"/>
  <c r="F326" i="2"/>
  <c r="F325" i="2"/>
  <c r="F324" i="2"/>
  <c r="F322" i="2"/>
  <c r="C387" i="2" s="1"/>
  <c r="F320" i="2"/>
  <c r="F317" i="2"/>
  <c r="F316" i="2"/>
  <c r="F464" i="2"/>
  <c r="E328" i="2"/>
  <c r="P346" i="2"/>
  <c r="O346" i="2"/>
  <c r="M346" i="2"/>
  <c r="P342" i="2"/>
  <c r="O342" i="2"/>
  <c r="M342" i="2"/>
  <c r="P333" i="2"/>
  <c r="O333" i="2"/>
  <c r="M333" i="2"/>
  <c r="M320" i="2"/>
  <c r="O320" i="2"/>
  <c r="E318" i="2" s="1"/>
  <c r="P320" i="2"/>
  <c r="F318" i="2" s="1"/>
  <c r="F466" i="2" l="1"/>
  <c r="I392" i="2"/>
  <c r="K308" i="2"/>
  <c r="O332" i="2"/>
  <c r="E323" i="2" s="1"/>
  <c r="E401" i="2" s="1"/>
  <c r="E399" i="2"/>
  <c r="M332" i="2"/>
  <c r="P332" i="2"/>
  <c r="F315" i="2"/>
  <c r="M9" i="4"/>
  <c r="I19" i="4" s="1"/>
  <c r="C5" i="3"/>
  <c r="C4" i="3"/>
  <c r="C3" i="3"/>
  <c r="J392" i="2" l="1"/>
  <c r="D451" i="2" s="1"/>
  <c r="C386" i="2"/>
  <c r="F323" i="2"/>
  <c r="F321" i="2" s="1"/>
  <c r="H315" i="2" s="1"/>
  <c r="P377" i="2" s="1"/>
  <c r="O379" i="2" s="1"/>
  <c r="C388" i="2"/>
  <c r="B8" i="3"/>
  <c r="M277" i="2" l="1"/>
  <c r="C390" i="2"/>
  <c r="C392" i="2" l="1"/>
  <c r="E248" i="2"/>
  <c r="D454" i="2" l="1"/>
  <c r="C214" i="2"/>
  <c r="P223" i="2"/>
  <c r="P224" i="2"/>
  <c r="P225" i="2"/>
  <c r="P221" i="2"/>
  <c r="J223" i="2"/>
  <c r="L223" i="2" s="1"/>
  <c r="N223" i="2" s="1"/>
  <c r="O223" i="2" s="1"/>
  <c r="J224" i="2"/>
  <c r="L224" i="2" s="1"/>
  <c r="N224" i="2" s="1"/>
  <c r="J222" i="2"/>
  <c r="L222" i="2" s="1"/>
  <c r="N222" i="2" s="1"/>
  <c r="J221" i="2"/>
  <c r="L221" i="2" s="1"/>
  <c r="N221" i="2" s="1"/>
  <c r="J225" i="2"/>
  <c r="L225" i="2" s="1"/>
  <c r="N225" i="2" s="1"/>
  <c r="O225" i="2" s="1"/>
  <c r="O224" i="2" l="1"/>
  <c r="N229" i="2"/>
  <c r="C254" i="2" s="1"/>
  <c r="P222" i="2"/>
  <c r="P229" i="2" s="1"/>
  <c r="O222" i="2"/>
  <c r="O221" i="2"/>
  <c r="C10" i="3"/>
  <c r="B14" i="3" s="1"/>
  <c r="O229" i="2" l="1"/>
  <c r="O230" i="2" s="1"/>
  <c r="D254" i="2"/>
  <c r="B55" i="3"/>
  <c r="B56" i="3"/>
  <c r="B15" i="3"/>
  <c r="B308" i="4"/>
  <c r="B307" i="4"/>
  <c r="B325" i="4" s="1"/>
  <c r="B306" i="4"/>
  <c r="B324" i="4" s="1"/>
  <c r="B305" i="4"/>
  <c r="B323" i="4" s="1"/>
  <c r="B304" i="4"/>
  <c r="B322" i="4" s="1"/>
  <c r="E237" i="4"/>
  <c r="C237" i="4"/>
  <c r="I235" i="4"/>
  <c r="D217" i="4"/>
  <c r="G208" i="4"/>
  <c r="G207" i="4"/>
  <c r="G206" i="4"/>
  <c r="J199" i="4"/>
  <c r="L199" i="4" s="1"/>
  <c r="N199" i="4" s="1"/>
  <c r="O199" i="4" s="1"/>
  <c r="J198" i="4"/>
  <c r="L198" i="4" s="1"/>
  <c r="N198" i="4" s="1"/>
  <c r="O198" i="4" s="1"/>
  <c r="J197" i="4"/>
  <c r="L197" i="4" s="1"/>
  <c r="N197" i="4" s="1"/>
  <c r="O197" i="4" s="1"/>
  <c r="J196" i="4"/>
  <c r="L196" i="4" s="1"/>
  <c r="N196" i="4" s="1"/>
  <c r="P196" i="4" s="1"/>
  <c r="P200" i="4" s="1"/>
  <c r="S195" i="4"/>
  <c r="J195" i="4"/>
  <c r="L195" i="4" s="1"/>
  <c r="N195" i="4" s="1"/>
  <c r="O195" i="4" s="1"/>
  <c r="S194" i="4"/>
  <c r="C187" i="4"/>
  <c r="D187" i="4" s="1"/>
  <c r="E187" i="4" s="1"/>
  <c r="F187" i="4" s="1"/>
  <c r="G187" i="4" s="1"/>
  <c r="H187" i="4" s="1"/>
  <c r="I187" i="4" s="1"/>
  <c r="J187" i="4" s="1"/>
  <c r="K187" i="4" s="1"/>
  <c r="L187" i="4" s="1"/>
  <c r="M187" i="4" s="1"/>
  <c r="W179" i="4"/>
  <c r="V179" i="4"/>
  <c r="U179" i="4"/>
  <c r="W178" i="4"/>
  <c r="V178" i="4"/>
  <c r="U178" i="4"/>
  <c r="G239" i="2"/>
  <c r="G238" i="2"/>
  <c r="G237" i="2"/>
  <c r="G240" i="2" l="1"/>
  <c r="G262" i="2" s="1"/>
  <c r="I262" i="2" s="1"/>
  <c r="C213" i="2"/>
  <c r="E254" i="2"/>
  <c r="E206" i="4"/>
  <c r="E237" i="2"/>
  <c r="T195" i="4"/>
  <c r="F237" i="2"/>
  <c r="E247" i="2"/>
  <c r="G209" i="4"/>
  <c r="G233" i="4" s="1"/>
  <c r="I233" i="4" s="1"/>
  <c r="C186" i="4"/>
  <c r="F186" i="4" s="1"/>
  <c r="F188" i="4" s="1"/>
  <c r="F206" i="4"/>
  <c r="O200" i="4"/>
  <c r="O201" i="4" s="1"/>
  <c r="T194" i="4"/>
  <c r="E238" i="2" s="1"/>
  <c r="D216" i="4"/>
  <c r="F254" i="2" l="1"/>
  <c r="L186" i="4"/>
  <c r="L188" i="4" s="1"/>
  <c r="H186" i="4"/>
  <c r="H188" i="4" s="1"/>
  <c r="G186" i="4"/>
  <c r="G188" i="4" s="1"/>
  <c r="J186" i="4"/>
  <c r="J188" i="4" s="1"/>
  <c r="F207" i="4"/>
  <c r="F209" i="4" s="1"/>
  <c r="F210" i="4" s="1"/>
  <c r="F238" i="2"/>
  <c r="F240" i="2" s="1"/>
  <c r="F241" i="2" s="1"/>
  <c r="I186" i="4"/>
  <c r="I188" i="4" s="1"/>
  <c r="E186" i="4"/>
  <c r="E188" i="4" s="1"/>
  <c r="D186" i="4"/>
  <c r="D188" i="4" s="1"/>
  <c r="C188" i="4"/>
  <c r="M186" i="4"/>
  <c r="M188" i="4" s="1"/>
  <c r="K186" i="4"/>
  <c r="K188" i="4" s="1"/>
  <c r="D219" i="4"/>
  <c r="E216" i="4"/>
  <c r="E207" i="4"/>
  <c r="U194" i="4"/>
  <c r="E239" i="2" s="1"/>
  <c r="E240" i="2" s="1"/>
  <c r="E241" i="2" s="1"/>
  <c r="G254" i="2" l="1"/>
  <c r="E242" i="2"/>
  <c r="I190" i="4"/>
  <c r="G232" i="4" s="1"/>
  <c r="G237" i="4" s="1"/>
  <c r="E249" i="2"/>
  <c r="E250" i="2" s="1"/>
  <c r="D251" i="2" s="1"/>
  <c r="C255" i="2" s="1"/>
  <c r="D218" i="4"/>
  <c r="E218" i="4" s="1"/>
  <c r="E219" i="4" s="1"/>
  <c r="D220" i="4" s="1"/>
  <c r="E208" i="4"/>
  <c r="E209" i="4" s="1"/>
  <c r="E210" i="4" s="1"/>
  <c r="E211" i="4" s="1"/>
  <c r="I232" i="4"/>
  <c r="I237" i="4" s="1"/>
  <c r="D214" i="2"/>
  <c r="G213" i="2"/>
  <c r="F213" i="2"/>
  <c r="L213" i="2"/>
  <c r="D213" i="2"/>
  <c r="I213" i="2"/>
  <c r="H213" i="2"/>
  <c r="J213" i="2"/>
  <c r="K213" i="2"/>
  <c r="E213" i="2"/>
  <c r="M213" i="2"/>
  <c r="I216" i="2" l="1"/>
  <c r="G261" i="2" s="1"/>
  <c r="G266" i="2" s="1"/>
  <c r="E272" i="2"/>
  <c r="E214" i="2"/>
  <c r="F214" i="2" s="1"/>
  <c r="G214" i="2" s="1"/>
  <c r="H214" i="2" s="1"/>
  <c r="I214" i="2" s="1"/>
  <c r="J214" i="2" s="1"/>
  <c r="K214" i="2" s="1"/>
  <c r="L214" i="2" s="1"/>
  <c r="M214" i="2" s="1"/>
  <c r="N272" i="2" s="1"/>
  <c r="N213" i="2"/>
  <c r="D255" i="2"/>
  <c r="E271" i="2" s="1"/>
  <c r="H254" i="2"/>
  <c r="H272" i="2" l="1"/>
  <c r="M272" i="2"/>
  <c r="J272" i="2"/>
  <c r="I272" i="2"/>
  <c r="F272" i="2"/>
  <c r="K272" i="2"/>
  <c r="G272" i="2"/>
  <c r="L272" i="2"/>
  <c r="N214" i="2"/>
  <c r="I254" i="2"/>
  <c r="E255" i="2"/>
  <c r="F271" i="2" s="1"/>
  <c r="I261" i="2"/>
  <c r="I266" i="2" s="1"/>
  <c r="F255" i="2" l="1"/>
  <c r="G271" i="2" s="1"/>
  <c r="J254" i="2"/>
  <c r="K254" i="2" l="1"/>
  <c r="G255" i="2"/>
  <c r="H271" i="2" s="1"/>
  <c r="L254" i="2" l="1"/>
  <c r="H255" i="2"/>
  <c r="I271" i="2" s="1"/>
  <c r="M254" i="2" l="1"/>
  <c r="N254" i="2" s="1"/>
  <c r="I255" i="2"/>
  <c r="J271" i="2" s="1"/>
  <c r="J255" i="2" l="1"/>
  <c r="K271" i="2" s="1"/>
  <c r="K255" i="2" l="1"/>
  <c r="L271" i="2" s="1"/>
  <c r="L255" i="2" l="1"/>
  <c r="M271" i="2" s="1"/>
  <c r="M255" i="2" l="1"/>
  <c r="N271" i="2" s="1"/>
</calcChain>
</file>

<file path=xl/sharedStrings.xml><?xml version="1.0" encoding="utf-8"?>
<sst xmlns="http://schemas.openxmlformats.org/spreadsheetml/2006/main" count="5859" uniqueCount="2560">
  <si>
    <t>TOTAL</t>
  </si>
  <si>
    <t>Alternativa 1</t>
  </si>
  <si>
    <t>CANTIDAD</t>
  </si>
  <si>
    <t>DESCRIPCIÓN</t>
  </si>
  <si>
    <t>Departamento</t>
  </si>
  <si>
    <t>Provincia</t>
  </si>
  <si>
    <t>Distrito</t>
  </si>
  <si>
    <t>Localidad</t>
  </si>
  <si>
    <t>1. EXPEDIENTE TÉCNICO</t>
  </si>
  <si>
    <t>RUBRO</t>
  </si>
  <si>
    <t>Nombre:</t>
  </si>
  <si>
    <t>UNIDAD DE MEDIDA</t>
  </si>
  <si>
    <t>[La información registrada en esta ficha tiene carácter de Declaración Jurada]</t>
  </si>
  <si>
    <t>MES 5</t>
  </si>
  <si>
    <t>MES 4</t>
  </si>
  <si>
    <t>MES 3</t>
  </si>
  <si>
    <t>MES 1</t>
  </si>
  <si>
    <t>MES 2</t>
  </si>
  <si>
    <t>Función</t>
  </si>
  <si>
    <t>DNI :</t>
  </si>
  <si>
    <t>PERÍODO DE EJECUCIÓN (meses)</t>
  </si>
  <si>
    <t>META</t>
  </si>
  <si>
    <t>CRONOGRAMA DE EJECUCIÓN DE METAS FÍSICAS (%)</t>
  </si>
  <si>
    <t>Sector / Pliego</t>
  </si>
  <si>
    <t>CIUDAD Y FECHA:</t>
  </si>
  <si>
    <t>INVERSIÓN
(Nuevos Soles)</t>
  </si>
  <si>
    <t>CRONOGRAMA DE EJECUCIÓN DE METAS FINANCIERAS (Nuevos Soles)</t>
  </si>
  <si>
    <t>INVERSIÓN TOTAL</t>
  </si>
  <si>
    <t>COSTO UNITARIO
(Nuevos Soles)</t>
  </si>
  <si>
    <t>Las personas que firmamos líneas abajo, damos fe de la veracidad de la información consignada, la misma que corresponde a una declaración jurada, por la que visamos y suscribimos todas sus partes. Asimismo indicamos que conocemos y nos sujetamos a las normas y procedimientos que se aplican.</t>
  </si>
  <si>
    <t>(*) En la programación de la ejecución de la obra, debe tenerse en cuenta el período de ocurrencia de precipitaciones pluviales, que puedan afectar la calidad de la obra y el proceso de construcción.</t>
  </si>
  <si>
    <t>Nota: La presente Ficha Técnica debe ser remitida en dos (2) juegos originales, debidamente foliados, suscrito y visado en todas sus páginas y suscrito en la página final, por los funcionarios que se mencionan en los ítems del  9.1. al  9.3.</t>
  </si>
  <si>
    <t>2.1. NOMBRE</t>
  </si>
  <si>
    <t>2.2. CÓDIGO</t>
  </si>
  <si>
    <t>2.3. ESTRUCTURA</t>
  </si>
  <si>
    <t>MES 6</t>
  </si>
  <si>
    <t>MES 7</t>
  </si>
  <si>
    <t>MES 8</t>
  </si>
  <si>
    <t xml:space="preserve">Nombre: </t>
  </si>
  <si>
    <t xml:space="preserve">DNI : </t>
  </si>
  <si>
    <t xml:space="preserve">Nombre:  </t>
  </si>
  <si>
    <t>Cargo:</t>
  </si>
  <si>
    <t>Dirección:</t>
  </si>
  <si>
    <t xml:space="preserve">Teléfono: </t>
  </si>
  <si>
    <t>Correo electrónico:</t>
  </si>
  <si>
    <t>SECTORES</t>
  </si>
  <si>
    <t>TIPO DE COMISARÍA</t>
  </si>
  <si>
    <t>SIN PORYECTO</t>
  </si>
  <si>
    <t>CON PROYECTO</t>
  </si>
  <si>
    <t>Sustento de Incremento</t>
  </si>
  <si>
    <t>Demanda</t>
  </si>
  <si>
    <t>Oferta</t>
  </si>
  <si>
    <t>Brecha</t>
  </si>
  <si>
    <t>Delitos y Faltas  D Y  NO D</t>
  </si>
  <si>
    <t>Resultados necesarios para lograr el Objetivo</t>
  </si>
  <si>
    <t>MO</t>
  </si>
  <si>
    <t>Materiales</t>
  </si>
  <si>
    <t>Otros</t>
  </si>
  <si>
    <t>Resultado 01</t>
  </si>
  <si>
    <t>Resultado 02</t>
  </si>
  <si>
    <t>Resultado 03</t>
  </si>
  <si>
    <t>Sub total Costos</t>
  </si>
  <si>
    <t>I. NOMBRE DEL POYECTO</t>
  </si>
  <si>
    <t>III. UBICACIÓN DEL PIP</t>
  </si>
  <si>
    <t>II.  UNIDAD EJECUTORA DE INVERSION</t>
  </si>
  <si>
    <t>Coordenadas UTM Georeferenciado</t>
  </si>
  <si>
    <t>IV. SITUACIÓN Y CARACTERÍSTICAS DEL SERVICIO POLICIAL</t>
  </si>
  <si>
    <t>SI</t>
  </si>
  <si>
    <t>NO</t>
  </si>
  <si>
    <t>DOCUMENTO:</t>
  </si>
  <si>
    <t>4.2. EL TERRENO ES LIBRE O POSEE EDIFICACIONES</t>
  </si>
  <si>
    <t>LIBRE</t>
  </si>
  <si>
    <t>EDIFICACION</t>
  </si>
  <si>
    <t>4.3. EL TERRENO CON EDIFICACION POSEE</t>
  </si>
  <si>
    <t>VISE</t>
  </si>
  <si>
    <t>4.4. EL TERRENO CUENTA CON</t>
  </si>
  <si>
    <t>CERTIFICADO DE PARAMETROS URBANISTICOS</t>
  </si>
  <si>
    <t>OTRO DOCUMENTO (DESCRIBA)</t>
  </si>
  <si>
    <t>4.5. SITUACIÓN Y CARACTERÍSTICAS DE LA INFRAESTRUCTURA</t>
  </si>
  <si>
    <t>4.6. SITUACIÓN Y CARACTERÍSTICAS DEL EQUIPAMIENTO</t>
  </si>
  <si>
    <t>4.8. ORGANO RESPONSABLE DE LA OPERACIÓN Y MANTENIMIENTO DEL SERVICIO POLICIAL</t>
  </si>
  <si>
    <t>TIPO DE PELIGROS</t>
  </si>
  <si>
    <t>INUNDACIONES</t>
  </si>
  <si>
    <t>FUERTES VIENTOS</t>
  </si>
  <si>
    <t>LLUVIAS INTENSAS</t>
  </si>
  <si>
    <t>DESLIZAMIENTOS</t>
  </si>
  <si>
    <t>HELADAS</t>
  </si>
  <si>
    <t>SISMOS</t>
  </si>
  <si>
    <t>FRECUENCIA</t>
  </si>
  <si>
    <t xml:space="preserve">BAJO </t>
  </si>
  <si>
    <t xml:space="preserve">MEDIO </t>
  </si>
  <si>
    <t>ALTO</t>
  </si>
  <si>
    <t>OCURRIO</t>
  </si>
  <si>
    <t>INTENSIDAD</t>
  </si>
  <si>
    <t>MEDIDAS DE MITIGACION DE RIESGO</t>
  </si>
  <si>
    <t>INDICADOR</t>
  </si>
  <si>
    <t>V. PROBLEMA Y OBJETIVO</t>
  </si>
  <si>
    <t>5.1. IDENTIFICACION DEL PROBLEMA</t>
  </si>
  <si>
    <t>TASA DE CRECIMIENTO POBLACIONAL</t>
  </si>
  <si>
    <t>POBLACION TOTAL (JURISDICCION)</t>
  </si>
  <si>
    <t>SECTOR 1</t>
  </si>
  <si>
    <t>SECTOR 2</t>
  </si>
  <si>
    <t>SECTOR 3</t>
  </si>
  <si>
    <t>DESCRIPCION</t>
  </si>
  <si>
    <t>AFECTACION</t>
  </si>
  <si>
    <t>Demanda (recorridos al año)</t>
  </si>
  <si>
    <t>Oferta (recorridos al año)</t>
  </si>
  <si>
    <t>POBLACION BENEFICIADA</t>
  </si>
  <si>
    <t>VIII. CADENA DE VALOR (RESUMEN DE LA CADENA DE VALOR)</t>
  </si>
  <si>
    <t>2. INFRAESTRUCTURA</t>
  </si>
  <si>
    <t>Mitigacion de Riesgos</t>
  </si>
  <si>
    <t>3. EQUIPAMIENTO</t>
  </si>
  <si>
    <t>Equipo Informatico</t>
  </si>
  <si>
    <t>Equipo de Comunicación</t>
  </si>
  <si>
    <t>Equipo Especializado</t>
  </si>
  <si>
    <t>Vehiculos</t>
  </si>
  <si>
    <t>Expediente Tecnico de Obra</t>
  </si>
  <si>
    <t>Expediente Tecnico de Equipamiento</t>
  </si>
  <si>
    <t>4. SUPERVISION</t>
  </si>
  <si>
    <t>Supervision  de Expediente Tecnico</t>
  </si>
  <si>
    <t>Supervision de Obra</t>
  </si>
  <si>
    <t xml:space="preserve">Liquidacion </t>
  </si>
  <si>
    <t>5. GESTION DEL PIP</t>
  </si>
  <si>
    <t>Gestion del PIP</t>
  </si>
  <si>
    <t xml:space="preserve">IX. FLUJO DE COSTOS </t>
  </si>
  <si>
    <t>OPERACIÓN</t>
  </si>
  <si>
    <t>PERSONAL</t>
  </si>
  <si>
    <t>ALIMENTACION</t>
  </si>
  <si>
    <t>SERVICIOS BASICOS</t>
  </si>
  <si>
    <t>BIENES</t>
  </si>
  <si>
    <t>MANTENIMIENTO</t>
  </si>
  <si>
    <t>MANTENIMIENTO INFRAESTRUCTURA</t>
  </si>
  <si>
    <t>MANTENIMIENTO VEHICULAR</t>
  </si>
  <si>
    <t>MANTENIMIENTO OTROS EQUIPAMIENTOS</t>
  </si>
  <si>
    <t>POLIZAS Y SEGUROS</t>
  </si>
  <si>
    <t>OPERACIÓN Y MANTENIMIENTO SIN PROYECTO</t>
  </si>
  <si>
    <t>OPERACIÓN Y MANTENIMIENTO CON PROYECTO</t>
  </si>
  <si>
    <t>TOTAL REPOSICION</t>
  </si>
  <si>
    <t xml:space="preserve">EQUIPOS </t>
  </si>
  <si>
    <t>VEHICULOS</t>
  </si>
  <si>
    <t>X. INDICADORES DE EVALUACION</t>
  </si>
  <si>
    <t>10.1. VALOR ACTUAL DE LOS COSTOS</t>
  </si>
  <si>
    <t>10.2. INDICADOR DE EFECTIVIDAD</t>
  </si>
  <si>
    <t>10.3. INDICE COSTO /EFECTIVIDAD</t>
  </si>
  <si>
    <t>XI. MATRIZ DE MARCO LOGICO</t>
  </si>
  <si>
    <t>OBJETIVOS</t>
  </si>
  <si>
    <t>INDICADORES</t>
  </si>
  <si>
    <t>MEDIOS DE VERIFICACION</t>
  </si>
  <si>
    <t>SUPUESTOS</t>
  </si>
  <si>
    <t>FIN:</t>
  </si>
  <si>
    <t>PROPOSITO:</t>
  </si>
  <si>
    <t>ACCIONES:</t>
  </si>
  <si>
    <t>COMPONENTE:</t>
  </si>
  <si>
    <t>XII. FUNCIONARIOS RESPONSABLES (los datos consignados corresponden a la entidad pública a la que pertenece el funcionario)</t>
  </si>
  <si>
    <t>XIII. FOTOS DE LA INFRAESTRUCTURA ACTUAL</t>
  </si>
  <si>
    <t xml:space="preserve">XIV.  PLANO O CROQUIS DE UBICACIÓN DE LA INFRAESTRUCTURA </t>
  </si>
  <si>
    <t>RESULTADOS RIESGO</t>
  </si>
  <si>
    <t>MUY ALTO</t>
  </si>
  <si>
    <t>BAJO</t>
  </si>
  <si>
    <t>2.4. SUSTENTO DE LA CAPACIDAD TÉCNICA Y LOGÍSTICA DE LA UNIDAD EJECUTORA EN RELACIÓN AL PIP</t>
  </si>
  <si>
    <t>UBICACIÓN GEOGRAFICA</t>
  </si>
  <si>
    <t>DEPENDENCIA POLICIAL</t>
  </si>
  <si>
    <t>Division Policial</t>
  </si>
  <si>
    <t>Macro Region Policial</t>
  </si>
  <si>
    <t>Frente Policial</t>
  </si>
  <si>
    <t>Comisaria Sectorial</t>
  </si>
  <si>
    <t>4.7. SITUACIÓN Y CARACTERÍSTICAS DE LOS RECURSOS HUMANOS</t>
  </si>
  <si>
    <t>VI CALCULO DE LA BRECHA</t>
  </si>
  <si>
    <t>PROMEDIO ANUAL DELITOS DENUNCIADOS</t>
  </si>
  <si>
    <t>PROMEDIO ANUAL FALTAS DENUNCIADAS</t>
  </si>
  <si>
    <t>4.1. ESTADO DEL SANEAMIENTONFISICO LEGAL DEL TERRENO</t>
  </si>
  <si>
    <t>JEFE DE UNA UNIDAD FORMULADORA QUE OTORGA LA VIABILIDAD</t>
  </si>
  <si>
    <t>PROFESIONAL QUE RECOMIENDA LA VIABILIDAD</t>
  </si>
  <si>
    <t>6.1 SERVICIO DE INVESTIGACION</t>
  </si>
  <si>
    <t>6.2 SERVICIOS DE PREVENCION</t>
  </si>
  <si>
    <t>Anual</t>
  </si>
  <si>
    <t>Productos</t>
  </si>
  <si>
    <t>DESCRIPCIÓN DE LOS PRINCIPALES PRODUCTOS Y RUBROS</t>
  </si>
  <si>
    <t>9.1. INVERSION POR COMPONENTE DE LA ALTERNATIVA SELECCIONADA (PRODUCTOS Y RUBROS)</t>
  </si>
  <si>
    <t>MESES</t>
  </si>
  <si>
    <t>&lt; a 5 años</t>
  </si>
  <si>
    <t>&gt; 5 años</t>
  </si>
  <si>
    <t>SERVICIOS</t>
  </si>
  <si>
    <t>9.2. PERSONA RESPONSABLE DE LA FORMULACION DEL PIP</t>
  </si>
  <si>
    <t>a) Informe sustentatorio</t>
  </si>
  <si>
    <t>b) Anexos</t>
  </si>
  <si>
    <t>9.1. RESPONSABLE DE LA UNIDAD FORMULADORA</t>
  </si>
  <si>
    <t>SUB TOTAL
(Nuevos Soles)</t>
  </si>
  <si>
    <t>4.9. ANALISIS DE RIESGOS DE LA INFRAESTRUCTURA</t>
  </si>
  <si>
    <t>6.3 PERSONAL POLICIAL EN LA COMISARÍA</t>
  </si>
  <si>
    <t>8.1. COSTO POR M2 DE AREA TECHADA (no incluye obras exteriores, ni preliminares)</t>
  </si>
  <si>
    <t>8.2. COSTO POR M2 DE AREA EXTERIOR (no incluye obras preliminares)</t>
  </si>
  <si>
    <t>Area techada</t>
  </si>
  <si>
    <t>Obras preliminares</t>
  </si>
  <si>
    <t>Equipo Mobiliario</t>
  </si>
  <si>
    <t xml:space="preserve">9.2. PLAZO DE EJECUCIÓN DEL PIP  </t>
  </si>
  <si>
    <t>9.3. MODALIDAD DE EJECUCION</t>
  </si>
  <si>
    <t>9.4. PROGRAMACIÓN FÍSICO-FINANCIERA DE LA EJECUCIÓN DEL PIP (*)</t>
  </si>
  <si>
    <t>9.5. REPOSICION</t>
  </si>
  <si>
    <t>9.6. OPERACIÓN Y MANTENIMIENTO</t>
  </si>
  <si>
    <t>XV. INFORMACIÓN Y RELACIÓN DE DOCUMENTOS SUSTENTATORIOS QUE SE ADJUNTAN A LA PRESENTE FICHA TÉCNICA</t>
  </si>
  <si>
    <t>XVI. FIRMAS DE LOS FUNCIONARIOS RESPONSABLES ( descritos en el ítem IX. )</t>
  </si>
  <si>
    <t>XVII. FECHA DEL REPORTE</t>
  </si>
  <si>
    <t>CAUSAS (Descripción)</t>
  </si>
  <si>
    <t>VALOR</t>
  </si>
  <si>
    <t>FUENTE DE INFORMACIÓN</t>
  </si>
  <si>
    <t>EFECTOS (Descripción)</t>
  </si>
  <si>
    <t>5.2. INVOLUCRADOS</t>
  </si>
  <si>
    <t>AGENTE</t>
  </si>
  <si>
    <t>POSICIÓN</t>
  </si>
  <si>
    <t>INTERES</t>
  </si>
  <si>
    <t>CONTRIBUCIÓN</t>
  </si>
  <si>
    <t>5.2. RELACIÓN ENTRE CAUSAS Y OBJETIVOS</t>
  </si>
  <si>
    <t>Relación entre Problema Central y Objetivo Central</t>
  </si>
  <si>
    <t>OBJETIVO (Descripción)</t>
  </si>
  <si>
    <t>VALOR META</t>
  </si>
  <si>
    <t>FUENTE DE VERIFICACIÓN</t>
  </si>
  <si>
    <t>Relación entre Causas y Medios</t>
  </si>
  <si>
    <t>MEDIOS (Descripción)</t>
  </si>
  <si>
    <t>Relación entre Efectos y Fines</t>
  </si>
  <si>
    <t>FINES (Descripción)</t>
  </si>
  <si>
    <t>Mas de 20,000</t>
  </si>
  <si>
    <t>Menos de 20,000</t>
  </si>
  <si>
    <t>Efectivos servicio de Investigación año 05</t>
  </si>
  <si>
    <t xml:space="preserve">TIPO </t>
  </si>
  <si>
    <t>Urbano</t>
  </si>
  <si>
    <t>Rural</t>
  </si>
  <si>
    <t>SECTOR 4</t>
  </si>
  <si>
    <t>SECTOR 5</t>
  </si>
  <si>
    <t>Total</t>
  </si>
  <si>
    <t>km dia</t>
  </si>
  <si>
    <t>Rendimiento</t>
  </si>
  <si>
    <t>camioneta</t>
  </si>
  <si>
    <t>moto</t>
  </si>
  <si>
    <t>A pie</t>
  </si>
  <si>
    <t>urbano</t>
  </si>
  <si>
    <t>rural</t>
  </si>
  <si>
    <t>DOTACION DE VEHICULOS Y PERSONAL</t>
  </si>
  <si>
    <t>Los Vehiculos son asignados de acuerdo a las caracteristicas propias del patrullaje</t>
  </si>
  <si>
    <t>Tipo de vehiculo</t>
  </si>
  <si>
    <t>Cantidad</t>
  </si>
  <si>
    <t>La dotacion minima por comisaria es de 1 camioneta y 1 motocicleta</t>
  </si>
  <si>
    <t>Personal</t>
  </si>
  <si>
    <t>Camioneta</t>
  </si>
  <si>
    <t>Dotacion de personal por camioneta es de 02 efectivos por dia</t>
  </si>
  <si>
    <t>Motocicleta</t>
  </si>
  <si>
    <t>Dotacion de personal por motocicleta es de 01 efectivo por dia</t>
  </si>
  <si>
    <t>Dotacion de personal por patrullaje a pie es de 02 efectivos por servicio</t>
  </si>
  <si>
    <t>Cobertura</t>
  </si>
  <si>
    <t>La Cobertura no debe ser menor al 90 %</t>
  </si>
  <si>
    <t>OFERTA PATRULLAJE PREVENTIVO</t>
  </si>
  <si>
    <t>La estimacion de la cantidad de recorridos (servicios) se basa en la cantidad de rondas anuales por sector</t>
  </si>
  <si>
    <t>2.5 LA UNIDAD FORMULADORA PERTENECE A</t>
  </si>
  <si>
    <t>GOBIERNO NACIONAL</t>
  </si>
  <si>
    <t>GOBIERNO REGIONAL O LOCAL</t>
  </si>
  <si>
    <t>2.6 SI LA UNIDAD FORMULADORA PERTENECE A UN GOBIERNO REGIONAL O LOCAL</t>
  </si>
  <si>
    <t>SE CUENTA CON OPINIÓN TÉCNICA DEL MINISTERIO DEL INTERIOR</t>
  </si>
  <si>
    <t>SE CUENTA CON OPINIÓN TÉCNICA DE LA POLICIA NACIONAL DEL PERÚ</t>
  </si>
  <si>
    <t>N° de DOCUMENTO</t>
  </si>
  <si>
    <t>INDICADORES (ENAPRES)</t>
  </si>
  <si>
    <t>Urb Nac</t>
  </si>
  <si>
    <t>mas 20000</t>
  </si>
  <si>
    <t>menos 20000</t>
  </si>
  <si>
    <t>% pob que denuncia</t>
  </si>
  <si>
    <t>% pob que no denuncia</t>
  </si>
  <si>
    <t>% pob que potencialmente denunciaría</t>
  </si>
  <si>
    <t>Dato proporcionado por la comisaria</t>
  </si>
  <si>
    <t>INEI</t>
  </si>
  <si>
    <t>Datos proporcionados por la comisaria</t>
  </si>
  <si>
    <t>Datos estimados por el PIP</t>
  </si>
  <si>
    <t>SERVICIO</t>
  </si>
  <si>
    <t>Asignados</t>
  </si>
  <si>
    <t>Operativos</t>
  </si>
  <si>
    <t>Investigacion</t>
  </si>
  <si>
    <t>Horario no rotativo</t>
  </si>
  <si>
    <t>Prevencion</t>
  </si>
  <si>
    <t>Turno Rotativo</t>
  </si>
  <si>
    <t>Atencion al ciudadano</t>
  </si>
  <si>
    <t>Cantidad de personal estándar</t>
  </si>
  <si>
    <t>Participacion Ciudadana</t>
  </si>
  <si>
    <t>Administacion y jefaturas</t>
  </si>
  <si>
    <t>Obras complementarias</t>
  </si>
  <si>
    <t>Obras exteriores</t>
  </si>
  <si>
    <t>PROBLEMAS</t>
  </si>
  <si>
    <t>Probelma Princial</t>
  </si>
  <si>
    <t>Primer nivel</t>
  </si>
  <si>
    <t>Las comunicaciones en la función policial son inadecuadas e insuficientes</t>
  </si>
  <si>
    <t>Segundo nivel</t>
  </si>
  <si>
    <t>Edificación realizada sin criterio técnico</t>
  </si>
  <si>
    <t>Edificación no cumple con la norma técnica de la PNP</t>
  </si>
  <si>
    <t>Edificación con pocos ambientes para labores complementarias</t>
  </si>
  <si>
    <t>Edificación con pocos ambientes para realizar la función policial</t>
  </si>
  <si>
    <t>Unidades vehículares con vida útil vencida</t>
  </si>
  <si>
    <t>Pocas unidades vehículares para la jurisdicción policial</t>
  </si>
  <si>
    <t>Equipos de comunicación en mal estado de conservación</t>
  </si>
  <si>
    <t>Inspección Técnica</t>
  </si>
  <si>
    <t>Indicador</t>
  </si>
  <si>
    <t>Unidad de medida</t>
  </si>
  <si>
    <t>Valor</t>
  </si>
  <si>
    <t>Porcentaje</t>
  </si>
  <si>
    <t>ambientes inadecuados</t>
  </si>
  <si>
    <t>Medio de Verificación</t>
  </si>
  <si>
    <t>Número de ambientes</t>
  </si>
  <si>
    <t>Unidad</t>
  </si>
  <si>
    <t>Inpección Técnica</t>
  </si>
  <si>
    <t>Ambientes inadecuados</t>
  </si>
  <si>
    <t>Número de equipos</t>
  </si>
  <si>
    <t>Inventario de la Comisaría</t>
  </si>
  <si>
    <t>Estado de obsolescencia</t>
  </si>
  <si>
    <t>Equipos inadecuados</t>
  </si>
  <si>
    <t>Número de vehículos</t>
  </si>
  <si>
    <t>Porcentaje de uso</t>
  </si>
  <si>
    <t>Entrevista</t>
  </si>
  <si>
    <t>Efectos</t>
  </si>
  <si>
    <t>Incremento de incidencias delictivas</t>
  </si>
  <si>
    <t>Baja presencia policial en la jurisdicción</t>
  </si>
  <si>
    <t>Baja participación de la población en seguridad ciudadana</t>
  </si>
  <si>
    <t>Aumento de delitos contra el patrimonio</t>
  </si>
  <si>
    <t>Aumento de la percepción de inseguridad</t>
  </si>
  <si>
    <t>población desorganizada ante la presencia delictiva</t>
  </si>
  <si>
    <t>Victimización</t>
  </si>
  <si>
    <t>ENAPRES</t>
  </si>
  <si>
    <t>Encuesta</t>
  </si>
  <si>
    <t>Percepción de inseguridad</t>
  </si>
  <si>
    <t>Nivel de coordinación con comités</t>
  </si>
  <si>
    <t>Nivel de cobertura de sectores</t>
  </si>
  <si>
    <t>ALTERNATIVA</t>
  </si>
  <si>
    <t xml:space="preserve">7.1. ALTERNATIVA PARA SOLUCIONAR EL PROBLEMA </t>
  </si>
  <si>
    <t>Alternativa Unica</t>
  </si>
  <si>
    <t>Descripción   Alternativa analizada</t>
  </si>
  <si>
    <t>A</t>
  </si>
  <si>
    <t>B</t>
  </si>
  <si>
    <t>C</t>
  </si>
  <si>
    <t>D</t>
  </si>
  <si>
    <t>E</t>
  </si>
  <si>
    <t xml:space="preserve">SI </t>
  </si>
  <si>
    <t>AMAZONAS</t>
  </si>
  <si>
    <t>ANCASH</t>
  </si>
  <si>
    <t>APURIMAC</t>
  </si>
  <si>
    <t>AREQUIPA</t>
  </si>
  <si>
    <t>AYACUCHO</t>
  </si>
  <si>
    <t>CAJAMARCA</t>
  </si>
  <si>
    <t>CALLAO</t>
  </si>
  <si>
    <t>CUSCO</t>
  </si>
  <si>
    <t>HUANUCO</t>
  </si>
  <si>
    <t>ICA</t>
  </si>
  <si>
    <t>JUNIN</t>
  </si>
  <si>
    <t>LA LIBERTAD</t>
  </si>
  <si>
    <t>LAMBAYEQUE</t>
  </si>
  <si>
    <t>LIMA</t>
  </si>
  <si>
    <t>LORETO</t>
  </si>
  <si>
    <t>MADRE DE DIOS</t>
  </si>
  <si>
    <t>MOQUEGUA</t>
  </si>
  <si>
    <t>PASCO</t>
  </si>
  <si>
    <t>PIURA</t>
  </si>
  <si>
    <t>PUNO</t>
  </si>
  <si>
    <t>SAN MARTIN</t>
  </si>
  <si>
    <t>TACNA</t>
  </si>
  <si>
    <t>TUMBES</t>
  </si>
  <si>
    <t>UCAYALI</t>
  </si>
  <si>
    <t>DEP</t>
  </si>
  <si>
    <t>PROV</t>
  </si>
  <si>
    <t>CHACHAPOYAS</t>
  </si>
  <si>
    <t>DIST</t>
  </si>
  <si>
    <t>ASUNCION</t>
  </si>
  <si>
    <t>BALSAS</t>
  </si>
  <si>
    <t>CHETO</t>
  </si>
  <si>
    <t>CHILIQUIN</t>
  </si>
  <si>
    <t>CHUQUIBAMBA</t>
  </si>
  <si>
    <t>GRANADA</t>
  </si>
  <si>
    <t>HUANCAS</t>
  </si>
  <si>
    <t>LA JALCA</t>
  </si>
  <si>
    <t>LEIMEBAMBA</t>
  </si>
  <si>
    <t>LEVANTO</t>
  </si>
  <si>
    <t>MAGDALENA</t>
  </si>
  <si>
    <t>MARISCAL CASTILLA</t>
  </si>
  <si>
    <t>MOLINOPAMPA</t>
  </si>
  <si>
    <t>MONTEVIDEO</t>
  </si>
  <si>
    <t>OLLEROS</t>
  </si>
  <si>
    <t>QUINJALCA</t>
  </si>
  <si>
    <t>SAN FRANCISCO DE DAGUAS</t>
  </si>
  <si>
    <t>SAN ISIDRO DE MAINO</t>
  </si>
  <si>
    <t>SOLOCO</t>
  </si>
  <si>
    <t>SONCHE</t>
  </si>
  <si>
    <t>BAGUA</t>
  </si>
  <si>
    <t>ARAMANGO</t>
  </si>
  <si>
    <t>COPALLIN</t>
  </si>
  <si>
    <t>EL PARCO</t>
  </si>
  <si>
    <t>IMAZA</t>
  </si>
  <si>
    <t>BONGARA</t>
  </si>
  <si>
    <t>JUMBILLA</t>
  </si>
  <si>
    <t>CHISQUILLA</t>
  </si>
  <si>
    <t>CHURUJA</t>
  </si>
  <si>
    <t>COROSHA</t>
  </si>
  <si>
    <t>CUISPES</t>
  </si>
  <si>
    <t>FLORIDA</t>
  </si>
  <si>
    <t>JAZAN</t>
  </si>
  <si>
    <t>RECTA</t>
  </si>
  <si>
    <t>SAN CARLOS</t>
  </si>
  <si>
    <t>SHIPASBAMBA</t>
  </si>
  <si>
    <t>VALERA</t>
  </si>
  <si>
    <t>YAMBRASBAMBA</t>
  </si>
  <si>
    <t>CONDORCANQUI</t>
  </si>
  <si>
    <t>RIO SANTIAGO</t>
  </si>
  <si>
    <t>LUYA</t>
  </si>
  <si>
    <t>LAMUD</t>
  </si>
  <si>
    <t>CAMPORREDONDO</t>
  </si>
  <si>
    <t>COCABAMBA</t>
  </si>
  <si>
    <t>COLCAMAR</t>
  </si>
  <si>
    <t>CONILA</t>
  </si>
  <si>
    <t>INGUILPATA</t>
  </si>
  <si>
    <t>LONGUITA</t>
  </si>
  <si>
    <t>LONYA CHICO</t>
  </si>
  <si>
    <t>LUYA VIEJO</t>
  </si>
  <si>
    <t>MARIA</t>
  </si>
  <si>
    <t>OCALLI</t>
  </si>
  <si>
    <t>OCUMAL</t>
  </si>
  <si>
    <t>PISUQUIA</t>
  </si>
  <si>
    <t>PROVIDENCIA</t>
  </si>
  <si>
    <t>SAN CRISTOBAL</t>
  </si>
  <si>
    <t>SAN FRANCISCO DEL YESO</t>
  </si>
  <si>
    <t>SAN JERONIMO</t>
  </si>
  <si>
    <t>SAN JUAN DE LOPECANCHA</t>
  </si>
  <si>
    <t>SANTA CATALINA</t>
  </si>
  <si>
    <t>SANTO TOMAS</t>
  </si>
  <si>
    <t>TINGO</t>
  </si>
  <si>
    <t>TRITA</t>
  </si>
  <si>
    <t>RODRIGUEZ DE MENDOZA</t>
  </si>
  <si>
    <t>SAN NICOLAS</t>
  </si>
  <si>
    <t>CHIRIMOTO</t>
  </si>
  <si>
    <t>COCHAMAL</t>
  </si>
  <si>
    <t>HUAMBO</t>
  </si>
  <si>
    <t>LIMABAMBA</t>
  </si>
  <si>
    <t>LONGAR</t>
  </si>
  <si>
    <t>MARISCAL BENAVIDES</t>
  </si>
  <si>
    <t>MILPUC</t>
  </si>
  <si>
    <t>OMIA</t>
  </si>
  <si>
    <t>SANTA ROSA</t>
  </si>
  <si>
    <t>TOTORA</t>
  </si>
  <si>
    <t>VISTA ALEGRE</t>
  </si>
  <si>
    <t>UTCUBAMBA</t>
  </si>
  <si>
    <t>BAGUA GRANDE</t>
  </si>
  <si>
    <t>CUMBA</t>
  </si>
  <si>
    <t>EL MILAGRO</t>
  </si>
  <si>
    <t>JAMALCA</t>
  </si>
  <si>
    <t>LONYA GRANDE</t>
  </si>
  <si>
    <t>YAMON</t>
  </si>
  <si>
    <t>HUARAZ</t>
  </si>
  <si>
    <t>COCHABAMBA</t>
  </si>
  <si>
    <t>COLCABAMBA</t>
  </si>
  <si>
    <t>HUANCHAY</t>
  </si>
  <si>
    <t>INDEPENDENCIA</t>
  </si>
  <si>
    <t>JANGAS</t>
  </si>
  <si>
    <t>PAMPAS</t>
  </si>
  <si>
    <t>PARIACOTO</t>
  </si>
  <si>
    <t>PIRA</t>
  </si>
  <si>
    <t>TARICA</t>
  </si>
  <si>
    <t>AIJA</t>
  </si>
  <si>
    <t>CORIS</t>
  </si>
  <si>
    <t>HUACLLAN</t>
  </si>
  <si>
    <t>LA MERCED</t>
  </si>
  <si>
    <t>SUCCHA</t>
  </si>
  <si>
    <t>ANTONIO RAYMONDI</t>
  </si>
  <si>
    <t>LLAMELLIN</t>
  </si>
  <si>
    <t>ACZO</t>
  </si>
  <si>
    <t>CHACCHO</t>
  </si>
  <si>
    <t>CHINGAS</t>
  </si>
  <si>
    <t>MIRGAS</t>
  </si>
  <si>
    <t>SAN JUAN DE RONTOY</t>
  </si>
  <si>
    <t>CHACAS</t>
  </si>
  <si>
    <t>ACOCHACA</t>
  </si>
  <si>
    <t>BOLOGNESI</t>
  </si>
  <si>
    <t>CHIQUIAN</t>
  </si>
  <si>
    <t>ABELARDO PARDO LEZAMETA</t>
  </si>
  <si>
    <t>AQUIA</t>
  </si>
  <si>
    <t>CAJACAY</t>
  </si>
  <si>
    <t>CANIS</t>
  </si>
  <si>
    <t>COLQUIOC</t>
  </si>
  <si>
    <t>HUALLANCA</t>
  </si>
  <si>
    <t>HUASTA</t>
  </si>
  <si>
    <t>HUAYLLACAYAN</t>
  </si>
  <si>
    <t>LA PRIMAVERA</t>
  </si>
  <si>
    <t>MANGAS</t>
  </si>
  <si>
    <t>PACLLON</t>
  </si>
  <si>
    <t>SAN MIGUEL DE CORPANQUI</t>
  </si>
  <si>
    <t>TICLLOS</t>
  </si>
  <si>
    <t>CARHUAZ</t>
  </si>
  <si>
    <t>ACOPAMPA</t>
  </si>
  <si>
    <t>AMASHCA</t>
  </si>
  <si>
    <t>ANTA</t>
  </si>
  <si>
    <t>ATAQUERO</t>
  </si>
  <si>
    <t>MARCARA</t>
  </si>
  <si>
    <t>PARIAHUANCA</t>
  </si>
  <si>
    <t>SAN MIGUEL DE ACO</t>
  </si>
  <si>
    <t>SHILLA</t>
  </si>
  <si>
    <t>TINCO</t>
  </si>
  <si>
    <t>YUNGAR</t>
  </si>
  <si>
    <t>CARLOS F. FITZCARRALD</t>
  </si>
  <si>
    <t>SAN LUIS</t>
  </si>
  <si>
    <t>YAUYA</t>
  </si>
  <si>
    <t>CASMA</t>
  </si>
  <si>
    <t>BUENA VISTA ALTA</t>
  </si>
  <si>
    <t>COMANDANTE NOEL</t>
  </si>
  <si>
    <t>YAUTAN</t>
  </si>
  <si>
    <t>CORONGO</t>
  </si>
  <si>
    <t>ACO</t>
  </si>
  <si>
    <t>BAMBAS</t>
  </si>
  <si>
    <t>CUSCA</t>
  </si>
  <si>
    <t>LA PAMPA</t>
  </si>
  <si>
    <t>YANAC</t>
  </si>
  <si>
    <t>YUPAN</t>
  </si>
  <si>
    <t>HUARI</t>
  </si>
  <si>
    <t>ANRA</t>
  </si>
  <si>
    <t>CAJAY</t>
  </si>
  <si>
    <t>CHAVIN DE HUANTAR</t>
  </si>
  <si>
    <t>HUACACHI</t>
  </si>
  <si>
    <t>HUACCHIS</t>
  </si>
  <si>
    <t>HUACHIS</t>
  </si>
  <si>
    <t>HUANTAR</t>
  </si>
  <si>
    <t>MASIN</t>
  </si>
  <si>
    <t>PAUCAS</t>
  </si>
  <si>
    <t>PONTO</t>
  </si>
  <si>
    <t>RAHUAPAMPA</t>
  </si>
  <si>
    <t>RAPAYAN</t>
  </si>
  <si>
    <t>SAN MARCOS</t>
  </si>
  <si>
    <t>SAN PEDRO DE CHANA</t>
  </si>
  <si>
    <t>UCO</t>
  </si>
  <si>
    <t>HUARMEY</t>
  </si>
  <si>
    <t>COCHAPETI</t>
  </si>
  <si>
    <t>CULEBRAS</t>
  </si>
  <si>
    <t>HUAYAN</t>
  </si>
  <si>
    <t>MALVAS</t>
  </si>
  <si>
    <t>HUAYLAS</t>
  </si>
  <si>
    <t>CARAZ</t>
  </si>
  <si>
    <t>HUATA</t>
  </si>
  <si>
    <t>MATO</t>
  </si>
  <si>
    <t>PAMPAROMAS</t>
  </si>
  <si>
    <t>PUEBLO LIBRE</t>
  </si>
  <si>
    <t>SANTA CRUZ</t>
  </si>
  <si>
    <t>SANTO TORIBIO</t>
  </si>
  <si>
    <t>YURACMARCA</t>
  </si>
  <si>
    <t>MARISCAL LUZURIAGA</t>
  </si>
  <si>
    <t>PISCOBAMBA</t>
  </si>
  <si>
    <t>CASCA</t>
  </si>
  <si>
    <t>ELEAZAR GUZMAN BARRON</t>
  </si>
  <si>
    <t>FIDEL OLIVAS ESCUDERO</t>
  </si>
  <si>
    <t>LLAMA</t>
  </si>
  <si>
    <t>LLUMPA</t>
  </si>
  <si>
    <t>LUCMA</t>
  </si>
  <si>
    <t>MUSGA</t>
  </si>
  <si>
    <t>OCROS</t>
  </si>
  <si>
    <t>ACAS</t>
  </si>
  <si>
    <t>CAJAMARQUILLA</t>
  </si>
  <si>
    <t>CARHUAPAMPA</t>
  </si>
  <si>
    <t>COCHAS</t>
  </si>
  <si>
    <t>CONGAS</t>
  </si>
  <si>
    <t>LLIPA</t>
  </si>
  <si>
    <t>SAN CRISTOBAL DE RAJAN</t>
  </si>
  <si>
    <t>SAN PEDRO</t>
  </si>
  <si>
    <t>SANTIAGO DE CHILCAS</t>
  </si>
  <si>
    <t>PALLASCA</t>
  </si>
  <si>
    <t>CABANA</t>
  </si>
  <si>
    <t>CONCHUCOS</t>
  </si>
  <si>
    <t>HUACASCHUQUE</t>
  </si>
  <si>
    <t>HUANDOVAL</t>
  </si>
  <si>
    <t>LACABAMBA</t>
  </si>
  <si>
    <t>LLAPO</t>
  </si>
  <si>
    <t>TAUCA</t>
  </si>
  <si>
    <t>POMABAMBA</t>
  </si>
  <si>
    <t>HUAYLLAN</t>
  </si>
  <si>
    <t>PAROBAMBA</t>
  </si>
  <si>
    <t>QUINUABAMBA</t>
  </si>
  <si>
    <t>RECUAY</t>
  </si>
  <si>
    <t>CATAC</t>
  </si>
  <si>
    <t>COTAPARACO</t>
  </si>
  <si>
    <t>HUAYLLAPAMPA</t>
  </si>
  <si>
    <t>LLACLLIN</t>
  </si>
  <si>
    <t>MARCA</t>
  </si>
  <si>
    <t>PAMPAS CHICO</t>
  </si>
  <si>
    <t>PARARIN</t>
  </si>
  <si>
    <t>TAPACOCHA</t>
  </si>
  <si>
    <t>TICAPAMPA</t>
  </si>
  <si>
    <t>SANTA</t>
  </si>
  <si>
    <t>CHIMBOTE</t>
  </si>
  <si>
    <t>CACERES DEL PERU</t>
  </si>
  <si>
    <t>COISHCO</t>
  </si>
  <si>
    <t>MACATE</t>
  </si>
  <si>
    <t>MORO</t>
  </si>
  <si>
    <t>NEPEÑA</t>
  </si>
  <si>
    <t>SAMANCO</t>
  </si>
  <si>
    <t>NUEVO CHIMBOTE</t>
  </si>
  <si>
    <t>SIHUAS</t>
  </si>
  <si>
    <t>ACOBAMBA</t>
  </si>
  <si>
    <t>ALFONSO UGARTE</t>
  </si>
  <si>
    <t>CASHAPAMPA</t>
  </si>
  <si>
    <t>CHINGALPO</t>
  </si>
  <si>
    <t>HUAYLLABAMBA</t>
  </si>
  <si>
    <t>QUICHES</t>
  </si>
  <si>
    <t>RAGASH</t>
  </si>
  <si>
    <t>SAN JUAN</t>
  </si>
  <si>
    <t>POBLACIÓN TOTAL</t>
  </si>
  <si>
    <t>SICSIBAMBA</t>
  </si>
  <si>
    <t>YUNGAY</t>
  </si>
  <si>
    <t>CASCAPARA</t>
  </si>
  <si>
    <t>MANCOS</t>
  </si>
  <si>
    <t>MATACOTO</t>
  </si>
  <si>
    <t>QUILLO</t>
  </si>
  <si>
    <t>RANRAHIRCA</t>
  </si>
  <si>
    <t>SHUPLUY</t>
  </si>
  <si>
    <t>YANAMA</t>
  </si>
  <si>
    <t>ABANCAY</t>
  </si>
  <si>
    <t>CHACOCHE</t>
  </si>
  <si>
    <t>CIRCA</t>
  </si>
  <si>
    <t>CURAHUASI</t>
  </si>
  <si>
    <t>HUANIPACA</t>
  </si>
  <si>
    <t>LAMBRAMA</t>
  </si>
  <si>
    <t>PICHIRHUA</t>
  </si>
  <si>
    <t>SAN PEDRO DE CACHORA</t>
  </si>
  <si>
    <t>TAMBURCO</t>
  </si>
  <si>
    <t>ANDAHUAYLAS</t>
  </si>
  <si>
    <t>ANDARAPA</t>
  </si>
  <si>
    <t>CHIARA</t>
  </si>
  <si>
    <t>HUANCARAMA</t>
  </si>
  <si>
    <t>HUANCARAY</t>
  </si>
  <si>
    <t>HUAYANA</t>
  </si>
  <si>
    <t>KISHUARA</t>
  </si>
  <si>
    <t>PACOBAMBA</t>
  </si>
  <si>
    <t>PACUCHA</t>
  </si>
  <si>
    <t>PAMPACHIRI</t>
  </si>
  <si>
    <t>POMACOCHA</t>
  </si>
  <si>
    <t>SAN ANTONIO DE CACHI</t>
  </si>
  <si>
    <t>SAN MIGUEL DE CHACCRAMPA</t>
  </si>
  <si>
    <t>SANTA MARIA DE CHICMO</t>
  </si>
  <si>
    <t>TALAVERA</t>
  </si>
  <si>
    <t>TUMAY HUARACA</t>
  </si>
  <si>
    <t>TURPO</t>
  </si>
  <si>
    <t>KAQUIABAMBA</t>
  </si>
  <si>
    <t>ANTABAMBA</t>
  </si>
  <si>
    <t>EL ORO</t>
  </si>
  <si>
    <t>HUAQUIRCA</t>
  </si>
  <si>
    <t>JUAN ESPINOZA MEDRANO</t>
  </si>
  <si>
    <t>OROPESA</t>
  </si>
  <si>
    <t>PACHACONAS</t>
  </si>
  <si>
    <t>SABAINO</t>
  </si>
  <si>
    <t>AYMARAES</t>
  </si>
  <si>
    <t>CHALHUANCA</t>
  </si>
  <si>
    <t>CAPAYA</t>
  </si>
  <si>
    <t>CARAYBAMBA</t>
  </si>
  <si>
    <t>CHAPIMARCA</t>
  </si>
  <si>
    <t>COTARUSE</t>
  </si>
  <si>
    <t>HUAYLLO</t>
  </si>
  <si>
    <t>JUSTO APU SAHUARAURA</t>
  </si>
  <si>
    <t>LUCRE</t>
  </si>
  <si>
    <t>POCOHUANCA</t>
  </si>
  <si>
    <t>SAN JUAN DE CHACÑA</t>
  </si>
  <si>
    <t>SAÑAYCA</t>
  </si>
  <si>
    <t>SORAYA</t>
  </si>
  <si>
    <t>TAPAIRIHUA</t>
  </si>
  <si>
    <t>TINTAY</t>
  </si>
  <si>
    <t>TORAYA</t>
  </si>
  <si>
    <t>YANACA</t>
  </si>
  <si>
    <t>COTABAMBAS</t>
  </si>
  <si>
    <t>TAMBOBAMBA</t>
  </si>
  <si>
    <t>COYLLURQUI</t>
  </si>
  <si>
    <t>HAQUIRA</t>
  </si>
  <si>
    <t>MARA</t>
  </si>
  <si>
    <t>CHALLHUAHUACHO</t>
  </si>
  <si>
    <t>CHINCHEROS</t>
  </si>
  <si>
    <t>ANCO-HUALLO</t>
  </si>
  <si>
    <t>COCHARCAS</t>
  </si>
  <si>
    <t>HUACCANA</t>
  </si>
  <si>
    <t>OCOBAMBA</t>
  </si>
  <si>
    <t>ONGOY</t>
  </si>
  <si>
    <t>URANMARCA</t>
  </si>
  <si>
    <t>RANRACANCHA</t>
  </si>
  <si>
    <t>GRAU</t>
  </si>
  <si>
    <t>CHUQUIBAMBILLA</t>
  </si>
  <si>
    <t>CURPAHUASI</t>
  </si>
  <si>
    <t>GAMARRA</t>
  </si>
  <si>
    <t>HUAYLLATI</t>
  </si>
  <si>
    <t>MAMARA</t>
  </si>
  <si>
    <t>MICAELA BASTIDAS</t>
  </si>
  <si>
    <t>PATAYPAMPA</t>
  </si>
  <si>
    <t>PROGRESO</t>
  </si>
  <si>
    <t>SAN ANTONIO</t>
  </si>
  <si>
    <t>TURPAY</t>
  </si>
  <si>
    <t>VILCABAMBA</t>
  </si>
  <si>
    <t>VIRUNDO</t>
  </si>
  <si>
    <t>CURASCO</t>
  </si>
  <si>
    <t>ALTO SELVA ALEGRE</t>
  </si>
  <si>
    <t>CAYMA</t>
  </si>
  <si>
    <t xml:space="preserve">CERRO COLORADO </t>
  </si>
  <si>
    <t>CHARACATO</t>
  </si>
  <si>
    <t>CHIGUATA</t>
  </si>
  <si>
    <t>JACOBO HUNTER</t>
  </si>
  <si>
    <t>LA JOYA</t>
  </si>
  <si>
    <t>MARIANO MELGAR</t>
  </si>
  <si>
    <t>MIRAFLORES</t>
  </si>
  <si>
    <t>MOLLEBAYA</t>
  </si>
  <si>
    <t>PAUCARPATA</t>
  </si>
  <si>
    <t>POCSI</t>
  </si>
  <si>
    <t>POLOBAYA</t>
  </si>
  <si>
    <t>QUEQUEÑA</t>
  </si>
  <si>
    <t>SABANDIA</t>
  </si>
  <si>
    <t>SACHACA</t>
  </si>
  <si>
    <t>SAN JUAN DE SIGUAS</t>
  </si>
  <si>
    <t>SAN JUAN DE TARUCANI</t>
  </si>
  <si>
    <t>SANTA ISABEL DE SIGUAS</t>
  </si>
  <si>
    <t>SANTA RITA DE SIGUAS</t>
  </si>
  <si>
    <t>SOCABAYA</t>
  </si>
  <si>
    <t>TIABAYA</t>
  </si>
  <si>
    <t>UCHUMAYO</t>
  </si>
  <si>
    <t xml:space="preserve">VITOR  </t>
  </si>
  <si>
    <t>YANAHUARA</t>
  </si>
  <si>
    <t>YARABAMBA</t>
  </si>
  <si>
    <t>YURA</t>
  </si>
  <si>
    <t>JOSE LUIS BUSTAMANTE Y RIVERO</t>
  </si>
  <si>
    <t>CAMANA</t>
  </si>
  <si>
    <t>JOSE MARIA QUIMPER</t>
  </si>
  <si>
    <t>MARIANO NICOLAS VALCARCEL</t>
  </si>
  <si>
    <t>MARISCAL CACERES</t>
  </si>
  <si>
    <t>NICOLAS DE PIEROLA</t>
  </si>
  <si>
    <t>OCOÑA</t>
  </si>
  <si>
    <t>QUILCA</t>
  </si>
  <si>
    <t>SAMUEL PASTOR</t>
  </si>
  <si>
    <t>CARAVELI</t>
  </si>
  <si>
    <t>ACARI</t>
  </si>
  <si>
    <t>ATICO</t>
  </si>
  <si>
    <t>ATIQUIPA</t>
  </si>
  <si>
    <t>BELLA UNION</t>
  </si>
  <si>
    <t>CAHUACHO</t>
  </si>
  <si>
    <t>CHALA</t>
  </si>
  <si>
    <t>CHAPARRA</t>
  </si>
  <si>
    <t>HUANUHUANU</t>
  </si>
  <si>
    <t>JAQUI</t>
  </si>
  <si>
    <t>LOMAS</t>
  </si>
  <si>
    <t>QUICACHA</t>
  </si>
  <si>
    <t>YAUCA</t>
  </si>
  <si>
    <t>CASTILLA</t>
  </si>
  <si>
    <t>APLAO</t>
  </si>
  <si>
    <t>ANDAGUA</t>
  </si>
  <si>
    <t>AYO</t>
  </si>
  <si>
    <t>CHACHAS</t>
  </si>
  <si>
    <t>CHILCAYMARCA</t>
  </si>
  <si>
    <t>CHOCO</t>
  </si>
  <si>
    <t>HUANCARQUI</t>
  </si>
  <si>
    <t>MACHAGUAY</t>
  </si>
  <si>
    <t>ORCOPAMPA</t>
  </si>
  <si>
    <t>PAMPACOLCA</t>
  </si>
  <si>
    <t>TIPAN</t>
  </si>
  <si>
    <t>UÑON</t>
  </si>
  <si>
    <t>URACA</t>
  </si>
  <si>
    <t>VIRACO</t>
  </si>
  <si>
    <t>CAYLLOMA</t>
  </si>
  <si>
    <t>CHIVAY</t>
  </si>
  <si>
    <t>ACHOMA</t>
  </si>
  <si>
    <t>CABANACONDE</t>
  </si>
  <si>
    <t>CALLALLI</t>
  </si>
  <si>
    <t>COPORAQUE</t>
  </si>
  <si>
    <t>HUANCA</t>
  </si>
  <si>
    <t>ICHUPAMPA</t>
  </si>
  <si>
    <t>LARI</t>
  </si>
  <si>
    <t>LLUTA</t>
  </si>
  <si>
    <t>MACA</t>
  </si>
  <si>
    <t>MADRIGAL</t>
  </si>
  <si>
    <t xml:space="preserve">SAN ANTONIO DE CHUCA </t>
  </si>
  <si>
    <t>SIBAYO</t>
  </si>
  <si>
    <t>TAPAY</t>
  </si>
  <si>
    <t>TISCO</t>
  </si>
  <si>
    <t>TUTI</t>
  </si>
  <si>
    <t>YANQUE</t>
  </si>
  <si>
    <t>MAJES</t>
  </si>
  <si>
    <t>CONDESUYOS</t>
  </si>
  <si>
    <t>ANDARAY</t>
  </si>
  <si>
    <t>CAYARANI</t>
  </si>
  <si>
    <t>CHICHAS</t>
  </si>
  <si>
    <t>IRAY</t>
  </si>
  <si>
    <t>RIO GRANDE</t>
  </si>
  <si>
    <t>SALAMANCA</t>
  </si>
  <si>
    <t>YANAQUIHUA</t>
  </si>
  <si>
    <t>ISLAY</t>
  </si>
  <si>
    <t>MOLLENDO</t>
  </si>
  <si>
    <t>COCACHACRA</t>
  </si>
  <si>
    <t>DEAN VALDIVIA</t>
  </si>
  <si>
    <t>MEJIA</t>
  </si>
  <si>
    <t>PUNTA DE BOMBON</t>
  </si>
  <si>
    <t>LA UNION</t>
  </si>
  <si>
    <t>COTAHUASI</t>
  </si>
  <si>
    <t>ALCA</t>
  </si>
  <si>
    <t>CHARCANA</t>
  </si>
  <si>
    <t>HUAYNACOTAS</t>
  </si>
  <si>
    <t>PAMPAMARCA</t>
  </si>
  <si>
    <t>PUYCA</t>
  </si>
  <si>
    <t>QUECHUALLA</t>
  </si>
  <si>
    <t>SAYLA</t>
  </si>
  <si>
    <t>TAURIA</t>
  </si>
  <si>
    <t>TOMEPAMPA</t>
  </si>
  <si>
    <t>TORO</t>
  </si>
  <si>
    <t>HUAMANGA</t>
  </si>
  <si>
    <t>ACOCRO</t>
  </si>
  <si>
    <t>ACOS VINCHOS</t>
  </si>
  <si>
    <t>CARMEN ALTO 8/</t>
  </si>
  <si>
    <t>PACAYCASA</t>
  </si>
  <si>
    <t>QUINUA</t>
  </si>
  <si>
    <t>SAN JOSE DE TICLLAS</t>
  </si>
  <si>
    <t>SAN JUAN BAUTISTA</t>
  </si>
  <si>
    <t>SANTIAGO DE PISCHA</t>
  </si>
  <si>
    <t>SOCOS</t>
  </si>
  <si>
    <t>TAMBILLO</t>
  </si>
  <si>
    <t>VINCHOS</t>
  </si>
  <si>
    <t>JESUS NAZARENO</t>
  </si>
  <si>
    <t>CANGALLO</t>
  </si>
  <si>
    <t>CHUSCHI</t>
  </si>
  <si>
    <t>LOS MOROCHUCOS</t>
  </si>
  <si>
    <t>MARIA PARADO DE BELLIDO</t>
  </si>
  <si>
    <t>PARAS</t>
  </si>
  <si>
    <t>TOTOS</t>
  </si>
  <si>
    <t>HUANCA SANCOS</t>
  </si>
  <si>
    <t>SANCOS</t>
  </si>
  <si>
    <t>CARAPO</t>
  </si>
  <si>
    <t>SACSAMARCA</t>
  </si>
  <si>
    <t>SANTIAGO DE LUCANAMARCA</t>
  </si>
  <si>
    <t>HUANTA</t>
  </si>
  <si>
    <t>AYAHUANCO</t>
  </si>
  <si>
    <t>HUAMANGUILLA</t>
  </si>
  <si>
    <t>IGUAIN</t>
  </si>
  <si>
    <t>LURICOCHA</t>
  </si>
  <si>
    <t>SANTILLANA</t>
  </si>
  <si>
    <t>SIVIA</t>
  </si>
  <si>
    <t>LLOCHEGUA</t>
  </si>
  <si>
    <t>LA MAR</t>
  </si>
  <si>
    <t>SAN MIGUEL</t>
  </si>
  <si>
    <t>ANCO</t>
  </si>
  <si>
    <t>AYNA</t>
  </si>
  <si>
    <t>CHILCAS</t>
  </si>
  <si>
    <t>CHUNGUI</t>
  </si>
  <si>
    <t>LUIS CARRANZA</t>
  </si>
  <si>
    <t>TAMBO</t>
  </si>
  <si>
    <t>LUCANAS</t>
  </si>
  <si>
    <t>PUQUIO</t>
  </si>
  <si>
    <t>AUCARA</t>
  </si>
  <si>
    <t>CARMEN SALCEDO</t>
  </si>
  <si>
    <t>CHAVIÑA</t>
  </si>
  <si>
    <t>CHIPAO</t>
  </si>
  <si>
    <t>HUAC-HUAS</t>
  </si>
  <si>
    <t>LARAMATE</t>
  </si>
  <si>
    <t>LEONCIO PRADO</t>
  </si>
  <si>
    <t>LLAUTA</t>
  </si>
  <si>
    <t>OCAÑA</t>
  </si>
  <si>
    <t>OTOCA</t>
  </si>
  <si>
    <t>SAISA</t>
  </si>
  <si>
    <t>SAN PEDRO DE PALCO</t>
  </si>
  <si>
    <t>SANTA ANA DE HUAYCAHUACHO</t>
  </si>
  <si>
    <t>SANTA LUCIA</t>
  </si>
  <si>
    <t>PARINACOCHAS</t>
  </si>
  <si>
    <t>CORACORA</t>
  </si>
  <si>
    <t>CHUMPI</t>
  </si>
  <si>
    <t>CORONEL CASTAÑEDA</t>
  </si>
  <si>
    <t>PACAPAUSA</t>
  </si>
  <si>
    <t>PULLO</t>
  </si>
  <si>
    <t>PUYUSCA</t>
  </si>
  <si>
    <t>SAN FRANCISCO DE RAVACAYCO</t>
  </si>
  <si>
    <t>UPAHUACHO</t>
  </si>
  <si>
    <t>PAUCAR DEL SARA SARA</t>
  </si>
  <si>
    <t>PAUSA</t>
  </si>
  <si>
    <t>COLTA</t>
  </si>
  <si>
    <t>CORCULLA</t>
  </si>
  <si>
    <t>LAMPA</t>
  </si>
  <si>
    <t>MARCABAMBA</t>
  </si>
  <si>
    <t>OYOLO</t>
  </si>
  <si>
    <t>PARARCA</t>
  </si>
  <si>
    <t>SAN JAVIER DE ALPABAMBA</t>
  </si>
  <si>
    <t>SAN JOSE DE USHUA</t>
  </si>
  <si>
    <t>SARA SARA</t>
  </si>
  <si>
    <t>SUCRE</t>
  </si>
  <si>
    <t>QUEROBAMBA</t>
  </si>
  <si>
    <t>BELEN</t>
  </si>
  <si>
    <t>CHALCOS</t>
  </si>
  <si>
    <t>CHILCAYOC</t>
  </si>
  <si>
    <t>HUACAÑA</t>
  </si>
  <si>
    <t>MORCOLLA</t>
  </si>
  <si>
    <t>PAICO</t>
  </si>
  <si>
    <t>SAN PEDRO DE LARCAY</t>
  </si>
  <si>
    <t>SAN SALVADOR DE QUIJE</t>
  </si>
  <si>
    <t>SANTIAGO DE PAUCARAY</t>
  </si>
  <si>
    <t>SORAS</t>
  </si>
  <si>
    <t>VICTOR FAJARDO</t>
  </si>
  <si>
    <t>HUANCAPI</t>
  </si>
  <si>
    <t>ALCAMENCA</t>
  </si>
  <si>
    <t>APONGO</t>
  </si>
  <si>
    <t>ASQUIPATA</t>
  </si>
  <si>
    <t>CANARIA</t>
  </si>
  <si>
    <t>CAYARA</t>
  </si>
  <si>
    <t>COLCA</t>
  </si>
  <si>
    <t>HUAMANQUIQUIA</t>
  </si>
  <si>
    <t>HUANCARAYLLA</t>
  </si>
  <si>
    <t>HUAYA</t>
  </si>
  <si>
    <t>SARHUA</t>
  </si>
  <si>
    <t>VILCANCHOS</t>
  </si>
  <si>
    <t>VILCAS HUAMAN</t>
  </si>
  <si>
    <t>ACCOMARCA</t>
  </si>
  <si>
    <t>CARHUANCA</t>
  </si>
  <si>
    <t>CONCEPCION</t>
  </si>
  <si>
    <t>HUAMBALPA</t>
  </si>
  <si>
    <t>SAURAMA</t>
  </si>
  <si>
    <t>VISCHONGO</t>
  </si>
  <si>
    <t>CHETILLA</t>
  </si>
  <si>
    <t>COSPAN</t>
  </si>
  <si>
    <t>ENCAÑADA</t>
  </si>
  <si>
    <t>JESUS</t>
  </si>
  <si>
    <t>LLACANORA</t>
  </si>
  <si>
    <t>LOS BAÑOS DEL INCA</t>
  </si>
  <si>
    <t>MATARA</t>
  </si>
  <si>
    <t>NAMORA</t>
  </si>
  <si>
    <t>CAJABAMBA</t>
  </si>
  <si>
    <t>CACHACHI</t>
  </si>
  <si>
    <t>CONDEBAMBA</t>
  </si>
  <si>
    <t>SITACOCHA</t>
  </si>
  <si>
    <t>CELENDIN</t>
  </si>
  <si>
    <t>CHUMUCH</t>
  </si>
  <si>
    <t>CORTEGANA</t>
  </si>
  <si>
    <t>HUASMIN</t>
  </si>
  <si>
    <t>JORGE CHAVEZ</t>
  </si>
  <si>
    <t>JOSE GALVEZ</t>
  </si>
  <si>
    <t>MIGUEL IGLESIAS</t>
  </si>
  <si>
    <t>OXAMARCA</t>
  </si>
  <si>
    <t>SOROCHUCO</t>
  </si>
  <si>
    <t>UTCO</t>
  </si>
  <si>
    <t>LA LIBERTAD DE PALLAN</t>
  </si>
  <si>
    <t>CHOTA</t>
  </si>
  <si>
    <t>ANGUIA</t>
  </si>
  <si>
    <t>CHADIN</t>
  </si>
  <si>
    <t>CHIGUIRIP</t>
  </si>
  <si>
    <t>CHIMBAN</t>
  </si>
  <si>
    <t>CHOROPAMPA</t>
  </si>
  <si>
    <t>CONCHAN</t>
  </si>
  <si>
    <t>HUAMBOS</t>
  </si>
  <si>
    <t>LAJAS</t>
  </si>
  <si>
    <t>MIRACOSTA</t>
  </si>
  <si>
    <t>PACCHA</t>
  </si>
  <si>
    <t>PION</t>
  </si>
  <si>
    <t>QUEROCOTO</t>
  </si>
  <si>
    <t>SAN JUAN DE LICUPIS</t>
  </si>
  <si>
    <t>TACABAMBA</t>
  </si>
  <si>
    <t>TOCMOCHE</t>
  </si>
  <si>
    <t>CHALAMARCA</t>
  </si>
  <si>
    <t>CONTUMAZA</t>
  </si>
  <si>
    <t>CHILETE</t>
  </si>
  <si>
    <t>CUPISNIQUE</t>
  </si>
  <si>
    <t>GUZMANGO</t>
  </si>
  <si>
    <t>SAN BENITO</t>
  </si>
  <si>
    <t>SANTA CRUZ DE TOLED</t>
  </si>
  <si>
    <t>TANTARICA</t>
  </si>
  <si>
    <t>YONAN</t>
  </si>
  <si>
    <t>CUTERVO</t>
  </si>
  <si>
    <t>CALLAYUC</t>
  </si>
  <si>
    <t>CHOROS</t>
  </si>
  <si>
    <t>CUJILLO</t>
  </si>
  <si>
    <t>LA RAMADA</t>
  </si>
  <si>
    <t>PIMPINGOS</t>
  </si>
  <si>
    <t>QUEROCOTILLO</t>
  </si>
  <si>
    <t>SAN ANDRES DE CUTERVO</t>
  </si>
  <si>
    <t>SAN JUAN DE CUTERVO</t>
  </si>
  <si>
    <t>SAN LUIS DE LUCMA</t>
  </si>
  <si>
    <t>SANTO DOMINGO DE LA CAPILLA</t>
  </si>
  <si>
    <t>SOCOTA</t>
  </si>
  <si>
    <t>TORIBIO CASANOVA</t>
  </si>
  <si>
    <t>HUALGAYOC</t>
  </si>
  <si>
    <t>BAMBAMARCA</t>
  </si>
  <si>
    <t>CHUGUR</t>
  </si>
  <si>
    <t>JAEN</t>
  </si>
  <si>
    <t>BELLAVISTA</t>
  </si>
  <si>
    <t>CHONTALI</t>
  </si>
  <si>
    <t>COLASAY</t>
  </si>
  <si>
    <t>HUABAL</t>
  </si>
  <si>
    <t>LAS PIRIAS</t>
  </si>
  <si>
    <t>POMAHUACA</t>
  </si>
  <si>
    <t>PUCARA</t>
  </si>
  <si>
    <t>SALLIQUE</t>
  </si>
  <si>
    <t>SAN FELIPE</t>
  </si>
  <si>
    <t>SAN JOSE DEL ALTO</t>
  </si>
  <si>
    <t>SAN IGNACIO</t>
  </si>
  <si>
    <t>CHIRINOS</t>
  </si>
  <si>
    <t>HUARANGO</t>
  </si>
  <si>
    <t>LA COIPA</t>
  </si>
  <si>
    <t>NAMBALLE</t>
  </si>
  <si>
    <t>SAN JOSE DE LOURDES</t>
  </si>
  <si>
    <t>TABACONAS</t>
  </si>
  <si>
    <t>PEDRO GALVEZ</t>
  </si>
  <si>
    <t>CHANCAY</t>
  </si>
  <si>
    <t>EDUARDO VILLANUEVA</t>
  </si>
  <si>
    <t>GREGORIO PITA</t>
  </si>
  <si>
    <t>ICHOCAN</t>
  </si>
  <si>
    <t>JOSE MANUEL QUIROZ</t>
  </si>
  <si>
    <t>JOSE SABOGAL</t>
  </si>
  <si>
    <t>BOLIVAR</t>
  </si>
  <si>
    <t>CALQUIS</t>
  </si>
  <si>
    <t>CATILLUC</t>
  </si>
  <si>
    <t>EL PRADO</t>
  </si>
  <si>
    <t>LA FLORIDA</t>
  </si>
  <si>
    <t>LLAPA</t>
  </si>
  <si>
    <t>NANCHOC</t>
  </si>
  <si>
    <t>NIEPOS</t>
  </si>
  <si>
    <t>SAN GREGORIO</t>
  </si>
  <si>
    <t>SAN SILVESTRE DE COCHAN</t>
  </si>
  <si>
    <t>TONGOD</t>
  </si>
  <si>
    <t>UNION AGUA BLANCA</t>
  </si>
  <si>
    <t>SAN PABLO</t>
  </si>
  <si>
    <t>SAN BERNARDINO</t>
  </si>
  <si>
    <t>TUMBADEN</t>
  </si>
  <si>
    <t>ANDABAMBA</t>
  </si>
  <si>
    <t>CATACHE</t>
  </si>
  <si>
    <t>CHANCAYBAÑOS</t>
  </si>
  <si>
    <t>LA ESPERANZA</t>
  </si>
  <si>
    <t>NINABAMBA</t>
  </si>
  <si>
    <t>PULAN</t>
  </si>
  <si>
    <t>SAUCEPAMPA</t>
  </si>
  <si>
    <t>SEXI</t>
  </si>
  <si>
    <t>UTICYACU</t>
  </si>
  <si>
    <t>YAUYUCAN</t>
  </si>
  <si>
    <t>CARMEN DE LA LEGUA REYNOSO</t>
  </si>
  <si>
    <t>LA PERLA</t>
  </si>
  <si>
    <t>LA PUNTA</t>
  </si>
  <si>
    <t>VENTANILLA</t>
  </si>
  <si>
    <t>CCORCA</t>
  </si>
  <si>
    <t>POROY</t>
  </si>
  <si>
    <t>SAN SEBASTIAN</t>
  </si>
  <si>
    <t>SANTIAGO</t>
  </si>
  <si>
    <t>SAYLLA</t>
  </si>
  <si>
    <t>WANCHAQ</t>
  </si>
  <si>
    <t>ACOMAYO</t>
  </si>
  <si>
    <t>ACOPIA</t>
  </si>
  <si>
    <t>ACOS</t>
  </si>
  <si>
    <t>MOSOC LLACTA</t>
  </si>
  <si>
    <t>POMACANCHI</t>
  </si>
  <si>
    <t>RONDOCAN</t>
  </si>
  <si>
    <t>SANGARARA</t>
  </si>
  <si>
    <t>ANCAHUASI</t>
  </si>
  <si>
    <t>CACHIMAYO</t>
  </si>
  <si>
    <t>CHINCHAYPUJIO</t>
  </si>
  <si>
    <t>HUAROCONDO</t>
  </si>
  <si>
    <t>LIMATAMBO</t>
  </si>
  <si>
    <t>MOLLEPATA</t>
  </si>
  <si>
    <t>PUCYURA</t>
  </si>
  <si>
    <t>ZURITE</t>
  </si>
  <si>
    <t>CALCA</t>
  </si>
  <si>
    <t>COYA</t>
  </si>
  <si>
    <t>LAMAY</t>
  </si>
  <si>
    <t>LARES</t>
  </si>
  <si>
    <t>PISAC</t>
  </si>
  <si>
    <t>SAN SALVADOR</t>
  </si>
  <si>
    <t>TARAY</t>
  </si>
  <si>
    <t>YANATILE</t>
  </si>
  <si>
    <t>CANAS</t>
  </si>
  <si>
    <t>YANAOCA</t>
  </si>
  <si>
    <t>CHECCA</t>
  </si>
  <si>
    <t>KUNTURKANKI</t>
  </si>
  <si>
    <t>LANGUI</t>
  </si>
  <si>
    <t>LAYO</t>
  </si>
  <si>
    <t>QUEHUE</t>
  </si>
  <si>
    <t>TUPAC AMARU</t>
  </si>
  <si>
    <t>CANCHIS</t>
  </si>
  <si>
    <t>SICUANI</t>
  </si>
  <si>
    <t>CHECACUPE</t>
  </si>
  <si>
    <t>COMBAPATA</t>
  </si>
  <si>
    <t>MARANGANI</t>
  </si>
  <si>
    <t>PITUMARCA</t>
  </si>
  <si>
    <t>TINTA</t>
  </si>
  <si>
    <t>CHUMBIVILCAS</t>
  </si>
  <si>
    <t>CAPACMARCA</t>
  </si>
  <si>
    <t>CHAMACA</t>
  </si>
  <si>
    <t>COLQUEMARCA</t>
  </si>
  <si>
    <t>LIVITACA</t>
  </si>
  <si>
    <t>LLUSCO</t>
  </si>
  <si>
    <t>QUIÑOTA</t>
  </si>
  <si>
    <t>VELILLE</t>
  </si>
  <si>
    <t>ESPINAR</t>
  </si>
  <si>
    <t>CONDOROMA</t>
  </si>
  <si>
    <t>OCORURO</t>
  </si>
  <si>
    <t>PALLPATA</t>
  </si>
  <si>
    <t>PICHIGUA</t>
  </si>
  <si>
    <t>SUYCKUTAMBO</t>
  </si>
  <si>
    <t>ALTO PICHIGUA</t>
  </si>
  <si>
    <t>LA CONVENCION</t>
  </si>
  <si>
    <t>SANTA ANA</t>
  </si>
  <si>
    <t>ECHARATE</t>
  </si>
  <si>
    <t>HUAYOPATA</t>
  </si>
  <si>
    <t>MARANURA</t>
  </si>
  <si>
    <t>QUELLOUNO</t>
  </si>
  <si>
    <t>KIMBIRI</t>
  </si>
  <si>
    <t>SANTA TERESA</t>
  </si>
  <si>
    <t>PICHARI</t>
  </si>
  <si>
    <t>PARURO</t>
  </si>
  <si>
    <t>ACCHA</t>
  </si>
  <si>
    <t>CCAPI</t>
  </si>
  <si>
    <t>COLCHA</t>
  </si>
  <si>
    <t>HUANOQUITE</t>
  </si>
  <si>
    <t>OMACHA</t>
  </si>
  <si>
    <t>PACCARITAMBO</t>
  </si>
  <si>
    <t>PILLPINTO</t>
  </si>
  <si>
    <t>YAURISQUE</t>
  </si>
  <si>
    <t>PAUCARTAMBO</t>
  </si>
  <si>
    <t>CAICAY</t>
  </si>
  <si>
    <t>CHALLABAMBA</t>
  </si>
  <si>
    <t>COLQUEPATA</t>
  </si>
  <si>
    <t>HUANCARANI</t>
  </si>
  <si>
    <t>KOSÑIPATA</t>
  </si>
  <si>
    <t>QUISPICANCHI</t>
  </si>
  <si>
    <t>URCOS</t>
  </si>
  <si>
    <t>ANDAHUAYLILLAS</t>
  </si>
  <si>
    <t>CAMANTI</t>
  </si>
  <si>
    <t>CCARHUAYO</t>
  </si>
  <si>
    <t>CCATCA</t>
  </si>
  <si>
    <t>CUSIPATA</t>
  </si>
  <si>
    <t>HUARO</t>
  </si>
  <si>
    <t>MARCAPATA</t>
  </si>
  <si>
    <t>OCONGATE</t>
  </si>
  <si>
    <t>QUIQUIJANA</t>
  </si>
  <si>
    <t>URUBAMBA</t>
  </si>
  <si>
    <t>CHINCHERO</t>
  </si>
  <si>
    <t>MACHUPICCHU</t>
  </si>
  <si>
    <t>MARAS</t>
  </si>
  <si>
    <t>OLLANTAYTAMBO</t>
  </si>
  <si>
    <t>YUCAY</t>
  </si>
  <si>
    <t>HUANCAVELICA</t>
  </si>
  <si>
    <t>ACOBAMBILLA</t>
  </si>
  <si>
    <t>ACORIA</t>
  </si>
  <si>
    <t>CONAYCA</t>
  </si>
  <si>
    <t>CUENCA</t>
  </si>
  <si>
    <t>HUACHOCOLPA</t>
  </si>
  <si>
    <t>HUAYLLAHUARA</t>
  </si>
  <si>
    <t>IZCUCHACA</t>
  </si>
  <si>
    <t>LARIA</t>
  </si>
  <si>
    <t>MANTA</t>
  </si>
  <si>
    <t>MOYA</t>
  </si>
  <si>
    <t>NUEVO OCCORO</t>
  </si>
  <si>
    <t>PALCA</t>
  </si>
  <si>
    <t>PILCHACA</t>
  </si>
  <si>
    <t>VILCA</t>
  </si>
  <si>
    <t>YAULI 9/</t>
  </si>
  <si>
    <t>ASCENSION</t>
  </si>
  <si>
    <t>HUANDO</t>
  </si>
  <si>
    <t xml:space="preserve">ACOBAMBA </t>
  </si>
  <si>
    <t>CAJA</t>
  </si>
  <si>
    <t>MARCAS</t>
  </si>
  <si>
    <t>ROSARIO</t>
  </si>
  <si>
    <t>ANGARAES</t>
  </si>
  <si>
    <t>LIRCAY</t>
  </si>
  <si>
    <t>ANCHONGA</t>
  </si>
  <si>
    <t>CALLANMARCA</t>
  </si>
  <si>
    <t>CCOCHACCASA</t>
  </si>
  <si>
    <t>CHINCHO</t>
  </si>
  <si>
    <t>CONGALLA</t>
  </si>
  <si>
    <t>HUANCA-HUANCA</t>
  </si>
  <si>
    <t>HUAYLLAY GRANDE</t>
  </si>
  <si>
    <t>JULCAMARCA</t>
  </si>
  <si>
    <t>SAN ANTONIO DE ANTAPARCO</t>
  </si>
  <si>
    <t>SANTO TOMAS DE PATA</t>
  </si>
  <si>
    <t>SECCLLA</t>
  </si>
  <si>
    <t>CASTROVIRREYNA</t>
  </si>
  <si>
    <t>ARMA</t>
  </si>
  <si>
    <t>AURAHUA</t>
  </si>
  <si>
    <t>CAPILLAS</t>
  </si>
  <si>
    <t>CHUPAMARCA</t>
  </si>
  <si>
    <t>COCAS</t>
  </si>
  <si>
    <t>HUACHOS</t>
  </si>
  <si>
    <t>HUAMATAMBO</t>
  </si>
  <si>
    <t>MOLLEPAMPA</t>
  </si>
  <si>
    <t>TANTARA</t>
  </si>
  <si>
    <t>TICRAPO</t>
  </si>
  <si>
    <t>CHURCAMPA</t>
  </si>
  <si>
    <t>CHINCHIHUASI</t>
  </si>
  <si>
    <t>EL CARMEN</t>
  </si>
  <si>
    <t>LOCROJA</t>
  </si>
  <si>
    <t>PAUCARBAMBA</t>
  </si>
  <si>
    <t>SAN MIGUEL DE MAYOCC</t>
  </si>
  <si>
    <t>SAN PEDRO DE CORIS</t>
  </si>
  <si>
    <t>PACHAMARCA</t>
  </si>
  <si>
    <t>HUAYTARA</t>
  </si>
  <si>
    <t>AYAVI</t>
  </si>
  <si>
    <t>CORDOVA</t>
  </si>
  <si>
    <t>HUAYACUNDO ARMA</t>
  </si>
  <si>
    <t>LARAMARCA</t>
  </si>
  <si>
    <t>OCOYO</t>
  </si>
  <si>
    <t>PILPICHACA</t>
  </si>
  <si>
    <t>QUERCO</t>
  </si>
  <si>
    <t>QUITO-ARMA</t>
  </si>
  <si>
    <t>SAN ANTONIO DE CUSICANCHA</t>
  </si>
  <si>
    <t>SAN FRANCISCO DE SANGAYAICO</t>
  </si>
  <si>
    <t>SAN ISIDRO</t>
  </si>
  <si>
    <t>SANTIAGO DE CHOCORVOS</t>
  </si>
  <si>
    <t>SANTIAGO DE QUIRAHUARA</t>
  </si>
  <si>
    <t>SANTO DOMINGO DE CAPILLAS</t>
  </si>
  <si>
    <t>TAYACAJA</t>
  </si>
  <si>
    <t>ACOSTAMBO</t>
  </si>
  <si>
    <t>ACRAQUIA</t>
  </si>
  <si>
    <t>AHUAYCHA</t>
  </si>
  <si>
    <t>DANIEL HERNANDEZ</t>
  </si>
  <si>
    <t>HUARIBAMBA</t>
  </si>
  <si>
    <t>ÑAHUIMPUQUIO</t>
  </si>
  <si>
    <t>PAZOS</t>
  </si>
  <si>
    <t>QUISHUAR</t>
  </si>
  <si>
    <t>SALCABAMBA</t>
  </si>
  <si>
    <t>SALCAHUASI</t>
  </si>
  <si>
    <t>SAN MARCOS DE ROCCHAC</t>
  </si>
  <si>
    <t>SURCUBAMBA</t>
  </si>
  <si>
    <t>TINTAY PUNCU</t>
  </si>
  <si>
    <t>AMARILIS</t>
  </si>
  <si>
    <t>CHINCHAO</t>
  </si>
  <si>
    <t>CHURUBAMBA</t>
  </si>
  <si>
    <t>MARGOS</t>
  </si>
  <si>
    <t>QUISQUI</t>
  </si>
  <si>
    <t>SAN FRANCISCO DE CAYRAN</t>
  </si>
  <si>
    <t>SAN PEDRO DE CHAULAN</t>
  </si>
  <si>
    <t>SANTA MARIA DEL VALLE</t>
  </si>
  <si>
    <t>YARUMAYO</t>
  </si>
  <si>
    <t>PILLCO MARCA</t>
  </si>
  <si>
    <t>AMBO</t>
  </si>
  <si>
    <t>CAYNA</t>
  </si>
  <si>
    <t>COLPAS</t>
  </si>
  <si>
    <t>CONCHAMARCA</t>
  </si>
  <si>
    <t>HUACAR</t>
  </si>
  <si>
    <t>SAN FRANCISCO</t>
  </si>
  <si>
    <t>SAN RAFAEL</t>
  </si>
  <si>
    <t>TOMAY KICHWA</t>
  </si>
  <si>
    <t>DOS DE MAYO</t>
  </si>
  <si>
    <t>CHUQUIS</t>
  </si>
  <si>
    <t>MARIAS</t>
  </si>
  <si>
    <t>PACHAS</t>
  </si>
  <si>
    <t>QUIVILLA</t>
  </si>
  <si>
    <t>RIPAN</t>
  </si>
  <si>
    <t>SHUNQUI</t>
  </si>
  <si>
    <t>SILLAPATA</t>
  </si>
  <si>
    <t>YANAS</t>
  </si>
  <si>
    <t>HUACAYBAMBA</t>
  </si>
  <si>
    <t>CANCHABAMBA</t>
  </si>
  <si>
    <t>PINRA</t>
  </si>
  <si>
    <t>HUAMALIES</t>
  </si>
  <si>
    <t>LLATA</t>
  </si>
  <si>
    <t>ARANCAY</t>
  </si>
  <si>
    <t>CHAVIN DE PARIARCA</t>
  </si>
  <si>
    <t>JACAS GRANDE</t>
  </si>
  <si>
    <t>JIRCAN</t>
  </si>
  <si>
    <t>MONZON</t>
  </si>
  <si>
    <t>PUNCHAO</t>
  </si>
  <si>
    <t>PUÑOS</t>
  </si>
  <si>
    <t>SINGA</t>
  </si>
  <si>
    <t>TANTAMAYO</t>
  </si>
  <si>
    <t>RUPA-RUPA</t>
  </si>
  <si>
    <t>DANIEL ALOMIA ROBLES</t>
  </si>
  <si>
    <t>HERMILIO VALDIZAN</t>
  </si>
  <si>
    <t>JOSE CRESPO Y CASTILLO</t>
  </si>
  <si>
    <t>LUYANDO</t>
  </si>
  <si>
    <t>MARIANO DAMASO BERAUN</t>
  </si>
  <si>
    <t>MARAÑON</t>
  </si>
  <si>
    <t>HUACRACHUCO</t>
  </si>
  <si>
    <t>CHOLON</t>
  </si>
  <si>
    <t>SAN BUENAVENTURA</t>
  </si>
  <si>
    <t>PACHITEA</t>
  </si>
  <si>
    <t>PANAO</t>
  </si>
  <si>
    <t>CHAGLLA</t>
  </si>
  <si>
    <t>MOLINO</t>
  </si>
  <si>
    <t xml:space="preserve">UMARI  </t>
  </si>
  <si>
    <t>PUERTO INCA</t>
  </si>
  <si>
    <t>CODO DEL POZUZO</t>
  </si>
  <si>
    <t>HONORIA</t>
  </si>
  <si>
    <t>TOURNAVISTA</t>
  </si>
  <si>
    <t>YUYAPICHIS</t>
  </si>
  <si>
    <t>LAURICOCHA</t>
  </si>
  <si>
    <t>BAÑOS</t>
  </si>
  <si>
    <t>JIVIA</t>
  </si>
  <si>
    <t>QUEROPALCA</t>
  </si>
  <si>
    <t>RONDOS</t>
  </si>
  <si>
    <t>SAN FRANCISCO DE ASIS</t>
  </si>
  <si>
    <t>SAN MIGUEL DE CAURI</t>
  </si>
  <si>
    <t>YAROWILCA</t>
  </si>
  <si>
    <t>CHAVINILLO</t>
  </si>
  <si>
    <t>CAHUAC</t>
  </si>
  <si>
    <t>CHACABAMBA</t>
  </si>
  <si>
    <t>APARICIO POMARES</t>
  </si>
  <si>
    <t>JACAS CHICO</t>
  </si>
  <si>
    <t>OBAS</t>
  </si>
  <si>
    <t>CHORAS</t>
  </si>
  <si>
    <t>LA TINGUIÑA</t>
  </si>
  <si>
    <t>LOS AQUIJES</t>
  </si>
  <si>
    <t>OCUCAJE</t>
  </si>
  <si>
    <t>PACHACUTEC</t>
  </si>
  <si>
    <t>PARCONA</t>
  </si>
  <si>
    <t>PUEBLO NUEVO</t>
  </si>
  <si>
    <t>SALAS</t>
  </si>
  <si>
    <t>SAN JOSE DE LOS MOLINOS</t>
  </si>
  <si>
    <t>SUBTANJALLA</t>
  </si>
  <si>
    <t>TATE</t>
  </si>
  <si>
    <t xml:space="preserve">YAUCA DEL ROSARIO </t>
  </si>
  <si>
    <t>CHINCHA</t>
  </si>
  <si>
    <t>CHINCHA ALTA</t>
  </si>
  <si>
    <t>ALTO LARAN</t>
  </si>
  <si>
    <t>CHAVIN</t>
  </si>
  <si>
    <t>CHINCHA BAJA</t>
  </si>
  <si>
    <t>GROCIO PRADO</t>
  </si>
  <si>
    <t>SAN JUAN DE YANAC</t>
  </si>
  <si>
    <t>SAN PEDRO DE HUACARPANA</t>
  </si>
  <si>
    <t>SUNAMPE</t>
  </si>
  <si>
    <t>TAMBO DE MORA</t>
  </si>
  <si>
    <t>NAZCA</t>
  </si>
  <si>
    <t>CHANGUILLO</t>
  </si>
  <si>
    <t>EL INGENIO</t>
  </si>
  <si>
    <t>MARCONA</t>
  </si>
  <si>
    <t>PALPA</t>
  </si>
  <si>
    <t>LLIPATA</t>
  </si>
  <si>
    <t>TIBILLO</t>
  </si>
  <si>
    <t>PISCO</t>
  </si>
  <si>
    <t>HUANCANO</t>
  </si>
  <si>
    <t>HUMAY</t>
  </si>
  <si>
    <t>PARACAS</t>
  </si>
  <si>
    <t>SAN ANDRES</t>
  </si>
  <si>
    <t>SAN CLEMENTE</t>
  </si>
  <si>
    <t>TUPAC AMARU INCA</t>
  </si>
  <si>
    <t>HUANCAYO</t>
  </si>
  <si>
    <t>CARHUACALLANGA</t>
  </si>
  <si>
    <t>CHACAPAMPA</t>
  </si>
  <si>
    <t>CHICCHE</t>
  </si>
  <si>
    <t>CHILCA</t>
  </si>
  <si>
    <t>CHONGOS ALTO</t>
  </si>
  <si>
    <t>CHUPURO</t>
  </si>
  <si>
    <t>CULLHUAS</t>
  </si>
  <si>
    <t>EL TAMBO</t>
  </si>
  <si>
    <t>HUACRAPUQUIO</t>
  </si>
  <si>
    <t>HUALHUAS</t>
  </si>
  <si>
    <t>HUANCAN</t>
  </si>
  <si>
    <t>HUASICANCHA</t>
  </si>
  <si>
    <t>HUAYUCACHI</t>
  </si>
  <si>
    <t>INGENIO</t>
  </si>
  <si>
    <t xml:space="preserve">PARIAHUANCA   </t>
  </si>
  <si>
    <t>PILCOMAYO</t>
  </si>
  <si>
    <t>QUICHUAY</t>
  </si>
  <si>
    <t>QUILCAS</t>
  </si>
  <si>
    <t>SAN AGUSTIN</t>
  </si>
  <si>
    <t>SAN JERONIMO DE TUNAN</t>
  </si>
  <si>
    <t>SAÑO</t>
  </si>
  <si>
    <t>SAPALLANGA</t>
  </si>
  <si>
    <t>SICAYA</t>
  </si>
  <si>
    <t>SANTO DOMINGO DE ACOBAMBA</t>
  </si>
  <si>
    <t>VIQUES</t>
  </si>
  <si>
    <t>ANDAMARCA</t>
  </si>
  <si>
    <t>CHAMBARA</t>
  </si>
  <si>
    <t>COMAS</t>
  </si>
  <si>
    <t>HEROINAS TOLEDO</t>
  </si>
  <si>
    <t>MANZANARES</t>
  </si>
  <si>
    <t>MATAHUASI</t>
  </si>
  <si>
    <t>MITO</t>
  </si>
  <si>
    <t>NUEVE DE JULIO</t>
  </si>
  <si>
    <t>ORCOTUNA</t>
  </si>
  <si>
    <t>SAN JOSE DE QUERO</t>
  </si>
  <si>
    <t>SANTA ROSA DE OCOPA</t>
  </si>
  <si>
    <t>CHANCHAMAYO</t>
  </si>
  <si>
    <t>PERENE</t>
  </si>
  <si>
    <t>PICHANAQUI</t>
  </si>
  <si>
    <t>SAN LUIS DE SHUARO</t>
  </si>
  <si>
    <t>SAN RAMON</t>
  </si>
  <si>
    <t>VITOC</t>
  </si>
  <si>
    <t>JAUJA</t>
  </si>
  <si>
    <t>ACOLLA</t>
  </si>
  <si>
    <t>APATA</t>
  </si>
  <si>
    <t>ATAURA</t>
  </si>
  <si>
    <t>CANCHAYLLO</t>
  </si>
  <si>
    <t>CURICACA</t>
  </si>
  <si>
    <t>EL MANTARO</t>
  </si>
  <si>
    <t>HUAMALI</t>
  </si>
  <si>
    <t>HUARIPAMPA</t>
  </si>
  <si>
    <t>HUERTAS</t>
  </si>
  <si>
    <t>JANJAILLO</t>
  </si>
  <si>
    <t>JULCAN</t>
  </si>
  <si>
    <t>LEONOR ORDOÑEZ</t>
  </si>
  <si>
    <t>LLOCLLAPAMPA</t>
  </si>
  <si>
    <t>MARCO</t>
  </si>
  <si>
    <t>MASMA</t>
  </si>
  <si>
    <t>MASMA CHICCHE</t>
  </si>
  <si>
    <t>MOLINOS</t>
  </si>
  <si>
    <t>MONOBAMBA</t>
  </si>
  <si>
    <t>MUQUI</t>
  </si>
  <si>
    <t>MUQUIYAUYO</t>
  </si>
  <si>
    <t>PACA</t>
  </si>
  <si>
    <t>PANCAN</t>
  </si>
  <si>
    <t>PARCO</t>
  </si>
  <si>
    <t>POMACANCHA</t>
  </si>
  <si>
    <t>RICRAN</t>
  </si>
  <si>
    <t>SAN LORENZO</t>
  </si>
  <si>
    <t>SAN PEDRO DE CHUNAN</t>
  </si>
  <si>
    <t>SAUSA</t>
  </si>
  <si>
    <t>SINCOS</t>
  </si>
  <si>
    <t>TUNAN MARCA</t>
  </si>
  <si>
    <t>YAULI</t>
  </si>
  <si>
    <t>YAUYOS</t>
  </si>
  <si>
    <t>CARHUAMAYO</t>
  </si>
  <si>
    <t>ONDORES</t>
  </si>
  <si>
    <t>ULCUMAYO</t>
  </si>
  <si>
    <t>SATIPO</t>
  </si>
  <si>
    <t>COVIRIALI</t>
  </si>
  <si>
    <t>LLAYLLA</t>
  </si>
  <si>
    <t xml:space="preserve">MAZAMARI </t>
  </si>
  <si>
    <t>PAMPA HERMOSA</t>
  </si>
  <si>
    <t>PANGOA</t>
  </si>
  <si>
    <t xml:space="preserve">RIO NEGRO </t>
  </si>
  <si>
    <t>RIO TAMBO</t>
  </si>
  <si>
    <t>TARMA</t>
  </si>
  <si>
    <t>HUARICOLCA</t>
  </si>
  <si>
    <t>HUASAHUASI</t>
  </si>
  <si>
    <t>PALCAMAYO</t>
  </si>
  <si>
    <t>SAN PEDRO DE CAJAS</t>
  </si>
  <si>
    <t>TAPO</t>
  </si>
  <si>
    <t>LA OROYA</t>
  </si>
  <si>
    <t>CHACAPALPA</t>
  </si>
  <si>
    <t>HUAY-HUAY</t>
  </si>
  <si>
    <t>MARCAPOMACOCHA</t>
  </si>
  <si>
    <t>MOROCOCHA</t>
  </si>
  <si>
    <t>SANTA BARBARA DE CARHUACAYA</t>
  </si>
  <si>
    <t>SANTA ROSA DE SACCO</t>
  </si>
  <si>
    <t>SUITUCANCHA</t>
  </si>
  <si>
    <t>CHUPACA</t>
  </si>
  <si>
    <t>AHUAC</t>
  </si>
  <si>
    <t>CHONGOS BAJO</t>
  </si>
  <si>
    <t>HUACHAC</t>
  </si>
  <si>
    <t>HUAMANCACA CHICO</t>
  </si>
  <si>
    <t>SAN JUAN DE ISCOS</t>
  </si>
  <si>
    <t>SAN JUAN DE JARPA</t>
  </si>
  <si>
    <t>TRES DE DICIEMBRE</t>
  </si>
  <si>
    <t>YANACANCHA</t>
  </si>
  <si>
    <t>TRUJILLO</t>
  </si>
  <si>
    <t>EL PORVENIR</t>
  </si>
  <si>
    <t>FLORENCIA DE MORA</t>
  </si>
  <si>
    <t>HUANCHACO</t>
  </si>
  <si>
    <t>LAREDO</t>
  </si>
  <si>
    <t>MOCHE</t>
  </si>
  <si>
    <t>POROTO</t>
  </si>
  <si>
    <t>SALAVERRY</t>
  </si>
  <si>
    <t>SIMBAL</t>
  </si>
  <si>
    <t>VICTOR LARCO HERRERA</t>
  </si>
  <si>
    <t>ASCOPE</t>
  </si>
  <si>
    <t>CHICAMA</t>
  </si>
  <si>
    <t>CHOCOPE</t>
  </si>
  <si>
    <t>MAGDALENA DE CAO</t>
  </si>
  <si>
    <t>PAIJAN</t>
  </si>
  <si>
    <t>RAZURI</t>
  </si>
  <si>
    <t>SANTIAGO DE CAO</t>
  </si>
  <si>
    <t>CASA GRANDE</t>
  </si>
  <si>
    <t>CONDORMARCA</t>
  </si>
  <si>
    <t>LONGOTEA</t>
  </si>
  <si>
    <t>UCHUMARCA</t>
  </si>
  <si>
    <t>UCUNCHA</t>
  </si>
  <si>
    <t>CHEPEN</t>
  </si>
  <si>
    <t>PACANGA</t>
  </si>
  <si>
    <t>CALAMARCA</t>
  </si>
  <si>
    <t>CARABAMBA</t>
  </si>
  <si>
    <t>HUASO</t>
  </si>
  <si>
    <t>OTUZCO</t>
  </si>
  <si>
    <t>AGALLPAMPA</t>
  </si>
  <si>
    <t>CHARAT</t>
  </si>
  <si>
    <t>HUARANCHAL</t>
  </si>
  <si>
    <t>LA CUESTA</t>
  </si>
  <si>
    <t>MACHE</t>
  </si>
  <si>
    <t>PARANDAY</t>
  </si>
  <si>
    <t>SALPO</t>
  </si>
  <si>
    <t>SINSICAP</t>
  </si>
  <si>
    <t>USQUIL</t>
  </si>
  <si>
    <t>PACASMAYO</t>
  </si>
  <si>
    <t>SAN PEDRO DE LLOC</t>
  </si>
  <si>
    <t>GUADALUPE</t>
  </si>
  <si>
    <t>JEQUETEPEQUE</t>
  </si>
  <si>
    <t>SAN JOSE</t>
  </si>
  <si>
    <t>PATAZ</t>
  </si>
  <si>
    <t>TAYABAMBA</t>
  </si>
  <si>
    <t>BULDIBUYO</t>
  </si>
  <si>
    <t>CHILLIA</t>
  </si>
  <si>
    <t>HUANCASPATA</t>
  </si>
  <si>
    <t>HUAYLILLAS</t>
  </si>
  <si>
    <t>HUAYO</t>
  </si>
  <si>
    <t>ONGON</t>
  </si>
  <si>
    <t>PARCOY</t>
  </si>
  <si>
    <t>PIAS</t>
  </si>
  <si>
    <t>SANTIAGO DE CHALLAS</t>
  </si>
  <si>
    <t>TAURIJA</t>
  </si>
  <si>
    <t>URPAY</t>
  </si>
  <si>
    <t>SANCHEZ CARRION</t>
  </si>
  <si>
    <t>HUAMACHUCO</t>
  </si>
  <si>
    <t>CHUGAY</t>
  </si>
  <si>
    <t>COCHORCO</t>
  </si>
  <si>
    <t>CURGOS</t>
  </si>
  <si>
    <t>MARCABAL</t>
  </si>
  <si>
    <t>SANAGORAN</t>
  </si>
  <si>
    <t>SARIN</t>
  </si>
  <si>
    <t>SARTIMBAMBA</t>
  </si>
  <si>
    <t>SANTIAGO DE CHUCO</t>
  </si>
  <si>
    <t>ANGASMARCA</t>
  </si>
  <si>
    <t>CACHICADAN</t>
  </si>
  <si>
    <t>MOLLEBAMBA</t>
  </si>
  <si>
    <t>QUIRUVILCA</t>
  </si>
  <si>
    <t>SANTA CRUZ DE CHUCA</t>
  </si>
  <si>
    <t>SITABAMBA</t>
  </si>
  <si>
    <t>GRAN CHIMU</t>
  </si>
  <si>
    <t>CASCAS</t>
  </si>
  <si>
    <t xml:space="preserve">MARMOT </t>
  </si>
  <si>
    <t>SAYAPULLO</t>
  </si>
  <si>
    <t>VIRU</t>
  </si>
  <si>
    <t>CHAO</t>
  </si>
  <si>
    <t>GUADALUPITO</t>
  </si>
  <si>
    <t>CHICLAYO</t>
  </si>
  <si>
    <t>CHONGOYAPE</t>
  </si>
  <si>
    <t>ETEN</t>
  </si>
  <si>
    <t>ETEN PUERTO</t>
  </si>
  <si>
    <t>JOSE LEONARDO ORTIZ</t>
  </si>
  <si>
    <t>LA VICTORIA</t>
  </si>
  <si>
    <t>LAGUNAS</t>
  </si>
  <si>
    <t>MONSEFU</t>
  </si>
  <si>
    <t>NUEVA ARICA</t>
  </si>
  <si>
    <t>OYOTUN</t>
  </si>
  <si>
    <t>PICSI</t>
  </si>
  <si>
    <t>PIMENTEL</t>
  </si>
  <si>
    <t>REQUE</t>
  </si>
  <si>
    <t>SAÑA</t>
  </si>
  <si>
    <t>CAYALTI</t>
  </si>
  <si>
    <t>PATAPO</t>
  </si>
  <si>
    <t>POMALCA</t>
  </si>
  <si>
    <t>PUCALA</t>
  </si>
  <si>
    <t>TUMAN</t>
  </si>
  <si>
    <t>FERREÑAFE</t>
  </si>
  <si>
    <t>CAÑARIS</t>
  </si>
  <si>
    <t>INCAHUASI</t>
  </si>
  <si>
    <t>MANUEL ANTONIO MESONES MURO</t>
  </si>
  <si>
    <t>PITIPO</t>
  </si>
  <si>
    <t>CHOCHOPE</t>
  </si>
  <si>
    <t>ILLIMO</t>
  </si>
  <si>
    <t>JAYANCA</t>
  </si>
  <si>
    <t>MOCHUMI</t>
  </si>
  <si>
    <t>MORROPE</t>
  </si>
  <si>
    <t>MOTUPE</t>
  </si>
  <si>
    <t>OLMOS</t>
  </si>
  <si>
    <t>PACORA</t>
  </si>
  <si>
    <t>TUCUME</t>
  </si>
  <si>
    <t xml:space="preserve">LIMA </t>
  </si>
  <si>
    <t>ANCON</t>
  </si>
  <si>
    <t>ATE</t>
  </si>
  <si>
    <t>BARRANCO</t>
  </si>
  <si>
    <t>BREÑA</t>
  </si>
  <si>
    <t>CARABAYLLO</t>
  </si>
  <si>
    <t>CHACLACAYO</t>
  </si>
  <si>
    <t>CHORRILLOS</t>
  </si>
  <si>
    <t>CIENEGUILLA</t>
  </si>
  <si>
    <t>EL AGUSTINO</t>
  </si>
  <si>
    <t>JESUS MARIA</t>
  </si>
  <si>
    <t>LA MOLINA</t>
  </si>
  <si>
    <t>LINCE</t>
  </si>
  <si>
    <t>LOS OLIVOS</t>
  </si>
  <si>
    <t>LURIGANCHO</t>
  </si>
  <si>
    <t>LURIN</t>
  </si>
  <si>
    <t>MAGDALENA DEL MAR</t>
  </si>
  <si>
    <t>MAGDALENA VIEJA</t>
  </si>
  <si>
    <t>PACHACAMAC</t>
  </si>
  <si>
    <t>PUCUSANA</t>
  </si>
  <si>
    <t>PUENTE PIEDRA</t>
  </si>
  <si>
    <t>PUNTA HERMOSA</t>
  </si>
  <si>
    <t>PUNTA NEGRA</t>
  </si>
  <si>
    <t>RIMAC</t>
  </si>
  <si>
    <t>SAN BARTOLO</t>
  </si>
  <si>
    <t>SAN BORJA</t>
  </si>
  <si>
    <t>SAN JUAN DE LURIGANCHO</t>
  </si>
  <si>
    <t>SAN JUAN DE MIRAFLORES</t>
  </si>
  <si>
    <t>SAN MARTIN DE PORRES</t>
  </si>
  <si>
    <t>SANTA ANITA</t>
  </si>
  <si>
    <t>SANTA MARIA DEL MAR</t>
  </si>
  <si>
    <t>SANTIAGO DE SURCO</t>
  </si>
  <si>
    <t>SURQUILLO</t>
  </si>
  <si>
    <t>VILLA EL SALVADOR</t>
  </si>
  <si>
    <t>VILLA MARIA DEL TRIUNFO</t>
  </si>
  <si>
    <t>BARRANCA</t>
  </si>
  <si>
    <t>PARAMONGA</t>
  </si>
  <si>
    <t>PATIVILCA</t>
  </si>
  <si>
    <t>SUPE</t>
  </si>
  <si>
    <t>SUPE PUERTO</t>
  </si>
  <si>
    <t>CAJATAMBO</t>
  </si>
  <si>
    <t>COPA</t>
  </si>
  <si>
    <t>GORGOR</t>
  </si>
  <si>
    <t>HUANCAPON</t>
  </si>
  <si>
    <t>MANAS</t>
  </si>
  <si>
    <t>CANTA</t>
  </si>
  <si>
    <t>ARAHUAY</t>
  </si>
  <si>
    <t>HUAMANTANGA</t>
  </si>
  <si>
    <t>HUAROS</t>
  </si>
  <si>
    <t>LACHAQUI</t>
  </si>
  <si>
    <t>SANTA ROSA DE QUIVES</t>
  </si>
  <si>
    <t>CAÑETE</t>
  </si>
  <si>
    <t>SAN VICENTE DE CAÑETE</t>
  </si>
  <si>
    <t>ASIA</t>
  </si>
  <si>
    <t>CALANGO</t>
  </si>
  <si>
    <t>CERRO AZUL</t>
  </si>
  <si>
    <t>COAYLLO</t>
  </si>
  <si>
    <t>IMPERIAL</t>
  </si>
  <si>
    <t>LUNAHUANA</t>
  </si>
  <si>
    <t>MALA</t>
  </si>
  <si>
    <t>NUEVO IMPERIAL</t>
  </si>
  <si>
    <t>PACARAN</t>
  </si>
  <si>
    <t>QUILMANA</t>
  </si>
  <si>
    <t>SANTA CRUZ DE FLORES</t>
  </si>
  <si>
    <t>ZUÑIGA</t>
  </si>
  <si>
    <t>HUARAL</t>
  </si>
  <si>
    <t>ATAVILLOS ALTO</t>
  </si>
  <si>
    <t>ATAVILLOS BAJO</t>
  </si>
  <si>
    <t>AUCALLAMA</t>
  </si>
  <si>
    <t>IHUARI</t>
  </si>
  <si>
    <t>LAMPIAN</t>
  </si>
  <si>
    <t>PACARAOS</t>
  </si>
  <si>
    <t>SAN MIGUEL DE ACOS</t>
  </si>
  <si>
    <t>SANTA CRUZ DE ANDAMARCA</t>
  </si>
  <si>
    <t>SUMBILCA</t>
  </si>
  <si>
    <t>VEINTISIETE DE NOVIEMBRE</t>
  </si>
  <si>
    <t>HUAROCHIRI</t>
  </si>
  <si>
    <t>MATUCANA</t>
  </si>
  <si>
    <t>ANTIOQUIA</t>
  </si>
  <si>
    <t>CALLAHUANCA</t>
  </si>
  <si>
    <t>CARAMPOMA</t>
  </si>
  <si>
    <t>CHICLA</t>
  </si>
  <si>
    <t>HUACHUPAMPA</t>
  </si>
  <si>
    <t>HUANZA</t>
  </si>
  <si>
    <t>LAHUAYTAMBO</t>
  </si>
  <si>
    <t>LANGA</t>
  </si>
  <si>
    <t>LARAOS</t>
  </si>
  <si>
    <t>MARIATANA</t>
  </si>
  <si>
    <t>RICARDO PALMA</t>
  </si>
  <si>
    <t>SAN ANDRES DE TUPICOCHA</t>
  </si>
  <si>
    <t>SAN BARTOLOME</t>
  </si>
  <si>
    <t>SAN DAMIAN</t>
  </si>
  <si>
    <t>SAN JUAN DE IRIS</t>
  </si>
  <si>
    <t>SAN JUAN DE TANTARANCHE</t>
  </si>
  <si>
    <t>SAN LORENZO DE QUINTI</t>
  </si>
  <si>
    <t>SAN MATEO</t>
  </si>
  <si>
    <t>SAN MATEO DE OTAO</t>
  </si>
  <si>
    <t>SAN PEDRO DE CASTA</t>
  </si>
  <si>
    <t>SAN PEDRO DE HUANCAYRE</t>
  </si>
  <si>
    <t>SANGALLAYA</t>
  </si>
  <si>
    <t>SANTA CRUZ DE COCACHACRA</t>
  </si>
  <si>
    <t>SANTA EULALIA</t>
  </si>
  <si>
    <t>SANTIAGO DE ANCHUCAYA</t>
  </si>
  <si>
    <t>SANTIAGO DE TUNA</t>
  </si>
  <si>
    <t>SANTO DOMINGO DE LOS OLLERO</t>
  </si>
  <si>
    <t>SURCO</t>
  </si>
  <si>
    <t>HUAURA</t>
  </si>
  <si>
    <t>HUACHO</t>
  </si>
  <si>
    <t>AMBAR</t>
  </si>
  <si>
    <t>CALETA DE CARQUIN</t>
  </si>
  <si>
    <t>CHECRAS</t>
  </si>
  <si>
    <t>HUALMAY</t>
  </si>
  <si>
    <t>PACCHO</t>
  </si>
  <si>
    <t>SANTA LEONOR</t>
  </si>
  <si>
    <t>SANTA MARIA</t>
  </si>
  <si>
    <t>SAYAN</t>
  </si>
  <si>
    <t>VEGUETA</t>
  </si>
  <si>
    <t>OYON</t>
  </si>
  <si>
    <t>ANDAJES</t>
  </si>
  <si>
    <t>CAUJUL</t>
  </si>
  <si>
    <t>COCHAMARCA</t>
  </si>
  <si>
    <t>NAVAN</t>
  </si>
  <si>
    <t>PACHANGARA</t>
  </si>
  <si>
    <t>ALIS</t>
  </si>
  <si>
    <t>AYAUCA</t>
  </si>
  <si>
    <t>AYAVIRI</t>
  </si>
  <si>
    <t>AZANGARO</t>
  </si>
  <si>
    <t>CACRA</t>
  </si>
  <si>
    <t>CARANIA</t>
  </si>
  <si>
    <t>CATAHUASI</t>
  </si>
  <si>
    <t>CHOCOS</t>
  </si>
  <si>
    <t>COLONIA</t>
  </si>
  <si>
    <t>HONGOS</t>
  </si>
  <si>
    <t>HUAMPARA</t>
  </si>
  <si>
    <t>HUANCAYA</t>
  </si>
  <si>
    <t>HUANGASCAR</t>
  </si>
  <si>
    <t>HUANTAN</t>
  </si>
  <si>
    <t>HUAÑEC</t>
  </si>
  <si>
    <t>LINCHA</t>
  </si>
  <si>
    <t>MADEAN</t>
  </si>
  <si>
    <t>OMAS</t>
  </si>
  <si>
    <t>PUTINZA</t>
  </si>
  <si>
    <t>QUINCHES</t>
  </si>
  <si>
    <t>QUINOCAY</t>
  </si>
  <si>
    <t>SAN JOAQUIN</t>
  </si>
  <si>
    <t>SAN PEDRO DE PILAS</t>
  </si>
  <si>
    <t>TANTA</t>
  </si>
  <si>
    <t>TAURIPAMPA</t>
  </si>
  <si>
    <t>TOMAS</t>
  </si>
  <si>
    <t>TUPE</t>
  </si>
  <si>
    <t>VIÑAC</t>
  </si>
  <si>
    <t>VITIS</t>
  </si>
  <si>
    <t>MAYNAS</t>
  </si>
  <si>
    <t>IQUITOS</t>
  </si>
  <si>
    <t>ALTO NANAY</t>
  </si>
  <si>
    <t>FERNANDO LORES</t>
  </si>
  <si>
    <t>INDIANA</t>
  </si>
  <si>
    <t>LAS AMAZONAS</t>
  </si>
  <si>
    <t>MAZAN</t>
  </si>
  <si>
    <t>NAPO</t>
  </si>
  <si>
    <t>PUNCHANA</t>
  </si>
  <si>
    <t xml:space="preserve">PUTUMAYO    </t>
  </si>
  <si>
    <t>TORRES CAUSANA</t>
  </si>
  <si>
    <t xml:space="preserve">TENIENTE MANUEL CLAVERO </t>
  </si>
  <si>
    <t>ALTO AMAZONAS</t>
  </si>
  <si>
    <t>YURIMAGUAS</t>
  </si>
  <si>
    <t>BALSAPUERTO</t>
  </si>
  <si>
    <t>JEBEROS</t>
  </si>
  <si>
    <t>TENIENTE CESAR LOPEZ ROJAS</t>
  </si>
  <si>
    <t>NAUTA</t>
  </si>
  <si>
    <t xml:space="preserve">PARINARI  </t>
  </si>
  <si>
    <t>TIGRE</t>
  </si>
  <si>
    <t>TROMPETEROS</t>
  </si>
  <si>
    <t xml:space="preserve">URARINAS   </t>
  </si>
  <si>
    <t>MARISCAL RAMON CASTILLA</t>
  </si>
  <si>
    <t>RAMON CASTILLA</t>
  </si>
  <si>
    <t>PEBAS</t>
  </si>
  <si>
    <t>YAVARI</t>
  </si>
  <si>
    <t>REQUENA</t>
  </si>
  <si>
    <t>ALTO TAPICHE</t>
  </si>
  <si>
    <t>CAPELO</t>
  </si>
  <si>
    <t>EMILIO SAN MARTIN</t>
  </si>
  <si>
    <t>MAQUIA</t>
  </si>
  <si>
    <t>PUINAHUA</t>
  </si>
  <si>
    <t>SAQUENA</t>
  </si>
  <si>
    <t xml:space="preserve">SOPLIN   </t>
  </si>
  <si>
    <t>TAPICHE</t>
  </si>
  <si>
    <t>JENARO HERRERA</t>
  </si>
  <si>
    <t xml:space="preserve">YAQUERANA   </t>
  </si>
  <si>
    <t>CONTAMANA</t>
  </si>
  <si>
    <t>INAHUAYA</t>
  </si>
  <si>
    <t>PADRE MARQUEZ</t>
  </si>
  <si>
    <t>SARAYACU</t>
  </si>
  <si>
    <t>VARGAS GUERRA</t>
  </si>
  <si>
    <t xml:space="preserve">DATEM DEL MARAÑON </t>
  </si>
  <si>
    <t>CAHUAPANAS</t>
  </si>
  <si>
    <t>MANSERICHE</t>
  </si>
  <si>
    <t>MORONA</t>
  </si>
  <si>
    <t>PASTAZA</t>
  </si>
  <si>
    <t xml:space="preserve">ANDOAS </t>
  </si>
  <si>
    <t>TAMBOPATA</t>
  </si>
  <si>
    <t xml:space="preserve">INAMBARI   </t>
  </si>
  <si>
    <t xml:space="preserve">LAS PIEDRAS  </t>
  </si>
  <si>
    <t>LABERINTO</t>
  </si>
  <si>
    <t>MANU</t>
  </si>
  <si>
    <t xml:space="preserve">MANU   </t>
  </si>
  <si>
    <t xml:space="preserve">FITZCARRALD   </t>
  </si>
  <si>
    <t xml:space="preserve">MADRE DE DIOS   </t>
  </si>
  <si>
    <t>HUEPETUHE</t>
  </si>
  <si>
    <t>TAHUAMANU</t>
  </si>
  <si>
    <t>IÑAPARI</t>
  </si>
  <si>
    <t>IBERIA</t>
  </si>
  <si>
    <t>MARISCAL NIETO</t>
  </si>
  <si>
    <t>CARUMAS</t>
  </si>
  <si>
    <t>CUCHUMBAYA</t>
  </si>
  <si>
    <t>SAMEGUA</t>
  </si>
  <si>
    <t>TORATA</t>
  </si>
  <si>
    <t>GENERAL SANCHEZ CERRO</t>
  </si>
  <si>
    <t>OMATE</t>
  </si>
  <si>
    <t>CHOJATA</t>
  </si>
  <si>
    <t>COALAQUE</t>
  </si>
  <si>
    <t>ICHUÑA</t>
  </si>
  <si>
    <t>LA CAPILLA</t>
  </si>
  <si>
    <t>LLOQUE</t>
  </si>
  <si>
    <t>MATALAQUE</t>
  </si>
  <si>
    <t>PUQUINA</t>
  </si>
  <si>
    <t>QUINISTAQUILLAS</t>
  </si>
  <si>
    <t>UBINAS</t>
  </si>
  <si>
    <t>YUNGA</t>
  </si>
  <si>
    <t>ILO</t>
  </si>
  <si>
    <t>EL ALGARROBAL</t>
  </si>
  <si>
    <t>PACOCHA</t>
  </si>
  <si>
    <t>CHAUPIMARCA</t>
  </si>
  <si>
    <t>HUACHON</t>
  </si>
  <si>
    <t>HUARIACA</t>
  </si>
  <si>
    <t>HUAYLLAY</t>
  </si>
  <si>
    <t>NINACACA</t>
  </si>
  <si>
    <t>PALLANCHACRA</t>
  </si>
  <si>
    <t>SAN FCO.DE ASIS DE YARUSYAC</t>
  </si>
  <si>
    <t>SIMON BOLIVAR</t>
  </si>
  <si>
    <t>TICLACAYAN</t>
  </si>
  <si>
    <t>TINYAHUARCO</t>
  </si>
  <si>
    <t>VICCO</t>
  </si>
  <si>
    <t>DANIEL ALCIDES CARRION</t>
  </si>
  <si>
    <t>YANAHUANCA</t>
  </si>
  <si>
    <t>CHACAYAN</t>
  </si>
  <si>
    <t>GOYLLARISQUIZGA</t>
  </si>
  <si>
    <t>PAUCAR</t>
  </si>
  <si>
    <t>SAN PEDRO DE PILLAO</t>
  </si>
  <si>
    <t>SANTA ANA DE TUSI</t>
  </si>
  <si>
    <t>TAPUC</t>
  </si>
  <si>
    <t>OXAPAMPA</t>
  </si>
  <si>
    <t>CHONTABAMBA</t>
  </si>
  <si>
    <t>HUANCABAMBA</t>
  </si>
  <si>
    <t>PALCAZU</t>
  </si>
  <si>
    <t>POZUZO</t>
  </si>
  <si>
    <t>PUERTO BERMUDEZ</t>
  </si>
  <si>
    <t>VILLA RICA</t>
  </si>
  <si>
    <t>CATACAOS</t>
  </si>
  <si>
    <t>CURA MORI</t>
  </si>
  <si>
    <t>EL TALLAN</t>
  </si>
  <si>
    <t>LA ARENA</t>
  </si>
  <si>
    <t>LAS LOMAS</t>
  </si>
  <si>
    <t>TAMBO GRANDE</t>
  </si>
  <si>
    <t>AYABACA</t>
  </si>
  <si>
    <t>FRIAS</t>
  </si>
  <si>
    <t>JILILI</t>
  </si>
  <si>
    <t>MONTERO</t>
  </si>
  <si>
    <t>PACAIPAMPA</t>
  </si>
  <si>
    <t>PAIMAS</t>
  </si>
  <si>
    <t>SAPILLICA</t>
  </si>
  <si>
    <t>SICCHEZ</t>
  </si>
  <si>
    <t>SUYO</t>
  </si>
  <si>
    <t>CANCHAQUE</t>
  </si>
  <si>
    <t>EL CARMEN DE LA FRONTERA</t>
  </si>
  <si>
    <t>HUARMACA</t>
  </si>
  <si>
    <t>LALAQUIZ</t>
  </si>
  <si>
    <t>SAN MIGUEL DE EL FAIQUE</t>
  </si>
  <si>
    <t>SONDOR</t>
  </si>
  <si>
    <t>SONDORILLO</t>
  </si>
  <si>
    <t>MORROPON</t>
  </si>
  <si>
    <t>CHULUCANAS</t>
  </si>
  <si>
    <t>BUENOS AIRES</t>
  </si>
  <si>
    <t>CHALACO</t>
  </si>
  <si>
    <t>LA MATANZA</t>
  </si>
  <si>
    <t>SALITRAL</t>
  </si>
  <si>
    <t>SAN JUAN DE BIGOTE</t>
  </si>
  <si>
    <t>SANTA CATALINA DE MOSSA</t>
  </si>
  <si>
    <t>SANTO DOMINGO</t>
  </si>
  <si>
    <t>YAMANGO</t>
  </si>
  <si>
    <t>PAITA</t>
  </si>
  <si>
    <t>AMOTAPE</t>
  </si>
  <si>
    <t>ARENAL</t>
  </si>
  <si>
    <t>COLAN</t>
  </si>
  <si>
    <t>LA HUACA</t>
  </si>
  <si>
    <t>TAMARINDO</t>
  </si>
  <si>
    <t>VICHAYAL</t>
  </si>
  <si>
    <t>SULLANA</t>
  </si>
  <si>
    <t>IGNACIO ESCUDERO</t>
  </si>
  <si>
    <t>LANCONES</t>
  </si>
  <si>
    <t>MARCAVELICA</t>
  </si>
  <si>
    <t>MIGUEL CHECA</t>
  </si>
  <si>
    <t>QUERECOTILLO</t>
  </si>
  <si>
    <t>TALARA</t>
  </si>
  <si>
    <t>PARIÑAS</t>
  </si>
  <si>
    <t>EL ALTO</t>
  </si>
  <si>
    <t>LA BREA</t>
  </si>
  <si>
    <t>LOBITOS</t>
  </si>
  <si>
    <t>LOS ORGANOS</t>
  </si>
  <si>
    <t>MANCORA</t>
  </si>
  <si>
    <t>SECHURA</t>
  </si>
  <si>
    <t>BELLAVISTA DE LA UNION</t>
  </si>
  <si>
    <t>BERNAL</t>
  </si>
  <si>
    <t>CRISTO NOS VALGA</t>
  </si>
  <si>
    <t>VICE</t>
  </si>
  <si>
    <t>RINCONADA LLICUAR</t>
  </si>
  <si>
    <t>ACORA</t>
  </si>
  <si>
    <t>AMANTANI</t>
  </si>
  <si>
    <t>ATUNCOLLA</t>
  </si>
  <si>
    <t>CAPACHICA</t>
  </si>
  <si>
    <t>CHUCUITO</t>
  </si>
  <si>
    <t>COATA</t>
  </si>
  <si>
    <t>MAÑAZO</t>
  </si>
  <si>
    <t>PAUCARCOLLA</t>
  </si>
  <si>
    <t>PICHACANI</t>
  </si>
  <si>
    <t>PLATERIA</t>
  </si>
  <si>
    <t>TIQUILLACA</t>
  </si>
  <si>
    <t>VILQUE</t>
  </si>
  <si>
    <t>ACHAYA</t>
  </si>
  <si>
    <t>ARAPA</t>
  </si>
  <si>
    <t>ASILLO</t>
  </si>
  <si>
    <t>CAMINACA</t>
  </si>
  <si>
    <t>CHUPA</t>
  </si>
  <si>
    <t>JOSE DOMINGO CHOQUEHUANCA</t>
  </si>
  <si>
    <t>MUÑANI</t>
  </si>
  <si>
    <t>POTONI</t>
  </si>
  <si>
    <t>SAMAN</t>
  </si>
  <si>
    <t>SAN ANTON</t>
  </si>
  <si>
    <t>SAN JUAN DE SALINAS</t>
  </si>
  <si>
    <t>SANTIAGO DE PUPUJA</t>
  </si>
  <si>
    <t>TIRAPATA</t>
  </si>
  <si>
    <t>CARABAYA</t>
  </si>
  <si>
    <t>MACUSANI</t>
  </si>
  <si>
    <t>AJOYANI</t>
  </si>
  <si>
    <t>AYAPATA</t>
  </si>
  <si>
    <t>COASA</t>
  </si>
  <si>
    <t>CORANI</t>
  </si>
  <si>
    <t>CRUCERO</t>
  </si>
  <si>
    <t xml:space="preserve">ITUATA  </t>
  </si>
  <si>
    <t>OLLACHEA</t>
  </si>
  <si>
    <t>SAN GABAN</t>
  </si>
  <si>
    <t>USICAYOS</t>
  </si>
  <si>
    <t>JULI</t>
  </si>
  <si>
    <t>DESAGUADERO</t>
  </si>
  <si>
    <t>HUACULLANI</t>
  </si>
  <si>
    <t>KELLUYO</t>
  </si>
  <si>
    <t>PISACOMA</t>
  </si>
  <si>
    <t>POMATA</t>
  </si>
  <si>
    <t>ZEPITA</t>
  </si>
  <si>
    <t>EL COLLAO</t>
  </si>
  <si>
    <t>ILAVE</t>
  </si>
  <si>
    <t>CAPAZO</t>
  </si>
  <si>
    <t>PILCUYO</t>
  </si>
  <si>
    <t>CONDURIRI</t>
  </si>
  <si>
    <t>HUANCANE</t>
  </si>
  <si>
    <t>COJATA</t>
  </si>
  <si>
    <t>HUATASANI</t>
  </si>
  <si>
    <t>INCHUPALLA</t>
  </si>
  <si>
    <t>PUSI</t>
  </si>
  <si>
    <t>ROSASPATA</t>
  </si>
  <si>
    <t>TARACO</t>
  </si>
  <si>
    <t>VILQUE CHICO</t>
  </si>
  <si>
    <t>CABANILLA</t>
  </si>
  <si>
    <t>CALAPUJA</t>
  </si>
  <si>
    <t>NICASIO</t>
  </si>
  <si>
    <t>OCUVIRI</t>
  </si>
  <si>
    <t>PARATIA</t>
  </si>
  <si>
    <t>VILAVILA</t>
  </si>
  <si>
    <t>MELGAR</t>
  </si>
  <si>
    <t>ANTAUTA</t>
  </si>
  <si>
    <t>CUPI</t>
  </si>
  <si>
    <t>LLALLI</t>
  </si>
  <si>
    <t>MACARI</t>
  </si>
  <si>
    <t>NUÑOA</t>
  </si>
  <si>
    <t>ORURILLO</t>
  </si>
  <si>
    <t>UMACHIRI</t>
  </si>
  <si>
    <t>MOHO</t>
  </si>
  <si>
    <t>CONIMA</t>
  </si>
  <si>
    <t>HUAYRAPATA</t>
  </si>
  <si>
    <t>TILALI</t>
  </si>
  <si>
    <t>SAN ANTONIO DE PUTINA</t>
  </si>
  <si>
    <t>PUTINA</t>
  </si>
  <si>
    <t>ANANEA</t>
  </si>
  <si>
    <t>PEDRO VILCA APAZA</t>
  </si>
  <si>
    <t>QUILCAPUNCU</t>
  </si>
  <si>
    <t>SINA</t>
  </si>
  <si>
    <t>SAN ROMAN</t>
  </si>
  <si>
    <t>JULIACA</t>
  </si>
  <si>
    <t>CABANILLAS</t>
  </si>
  <si>
    <t>CARACOTO</t>
  </si>
  <si>
    <t>SANDIA</t>
  </si>
  <si>
    <t>CUYOCUYO</t>
  </si>
  <si>
    <t>LIMBANI</t>
  </si>
  <si>
    <t>PATAMBUCO</t>
  </si>
  <si>
    <t>PHARA</t>
  </si>
  <si>
    <t>QUIACA</t>
  </si>
  <si>
    <t>SAN JUAN DEL ORO</t>
  </si>
  <si>
    <t>YANAHUAYA</t>
  </si>
  <si>
    <t>ALTO INAMBARI</t>
  </si>
  <si>
    <t>SAN PEDRO DE PUTINA PUNCU</t>
  </si>
  <si>
    <t>YUNGUYO</t>
  </si>
  <si>
    <t>ANAPIA</t>
  </si>
  <si>
    <t>COPANI</t>
  </si>
  <si>
    <t>CUTURAPI</t>
  </si>
  <si>
    <t>OLLARAYA</t>
  </si>
  <si>
    <t>TINICACHI</t>
  </si>
  <si>
    <t>UNICACHI</t>
  </si>
  <si>
    <t>MOYOBAMBA</t>
  </si>
  <si>
    <t>CALZADA</t>
  </si>
  <si>
    <t>HABANA</t>
  </si>
  <si>
    <t>JEPELACIO</t>
  </si>
  <si>
    <t>SORITOR</t>
  </si>
  <si>
    <t>YANTALO</t>
  </si>
  <si>
    <t>ALTO BIAVO</t>
  </si>
  <si>
    <t>BAJO BIAVO</t>
  </si>
  <si>
    <t>HUALLAGA</t>
  </si>
  <si>
    <t>EL DORADO</t>
  </si>
  <si>
    <t>SAN JOSE DE SISA</t>
  </si>
  <si>
    <t>AGUA BLANCA</t>
  </si>
  <si>
    <t>SHATOJA</t>
  </si>
  <si>
    <t>SAPOSOA</t>
  </si>
  <si>
    <t>ALTO SAPOSOA</t>
  </si>
  <si>
    <t>EL ESLABON</t>
  </si>
  <si>
    <t>PISCOYACU</t>
  </si>
  <si>
    <t>SACANCHE</t>
  </si>
  <si>
    <t>TINGO DE SAPOSOA</t>
  </si>
  <si>
    <t>LAMAS</t>
  </si>
  <si>
    <t>ALONSO DE ALVARADO</t>
  </si>
  <si>
    <t>BARRANQUITA</t>
  </si>
  <si>
    <t xml:space="preserve">CAYNARACHI   </t>
  </si>
  <si>
    <t>CUÑUMBUQUI</t>
  </si>
  <si>
    <t>PINTO RECODO</t>
  </si>
  <si>
    <t>RUMISAPA</t>
  </si>
  <si>
    <t>SAN ROQUE DE CUMBAZA</t>
  </si>
  <si>
    <t>SHANAO</t>
  </si>
  <si>
    <t>TABALOSOS</t>
  </si>
  <si>
    <t>ZAPATERO</t>
  </si>
  <si>
    <t>JUANJUI</t>
  </si>
  <si>
    <t>CAMPANILLA</t>
  </si>
  <si>
    <t>HUICUNGO</t>
  </si>
  <si>
    <t>PACHIZA</t>
  </si>
  <si>
    <t>PAJARILLO</t>
  </si>
  <si>
    <t>PICOTA</t>
  </si>
  <si>
    <t>CASPISAPA</t>
  </si>
  <si>
    <t>PILLUANA</t>
  </si>
  <si>
    <t>PUCACACA</t>
  </si>
  <si>
    <t>SAN HILARION</t>
  </si>
  <si>
    <t>SHAMBOYACU</t>
  </si>
  <si>
    <t>TINGO DE PONASA</t>
  </si>
  <si>
    <t>TRES UNIDOS</t>
  </si>
  <si>
    <t>RIOJA</t>
  </si>
  <si>
    <t>AWAJUN</t>
  </si>
  <si>
    <t>ELIAS SOPLIN VARGAS</t>
  </si>
  <si>
    <t>NUEVA CAJAMARCA</t>
  </si>
  <si>
    <t>PARDO MIGUEL</t>
  </si>
  <si>
    <t>POSIC</t>
  </si>
  <si>
    <t>SAN FERNANDO</t>
  </si>
  <si>
    <t>YORONGOS</t>
  </si>
  <si>
    <t>YURACYACU</t>
  </si>
  <si>
    <t>TARAPOTO</t>
  </si>
  <si>
    <t>ALBERTO LEVEAU</t>
  </si>
  <si>
    <t>CACATACHI</t>
  </si>
  <si>
    <t>CHAZUTA</t>
  </si>
  <si>
    <t>CHIPURANA</t>
  </si>
  <si>
    <t>HUIMBAYOC</t>
  </si>
  <si>
    <t>JUAN GUERRA</t>
  </si>
  <si>
    <t>LA BANDA DE SHILCAYO</t>
  </si>
  <si>
    <t>MORALES</t>
  </si>
  <si>
    <t>PAPAPLAYA</t>
  </si>
  <si>
    <t>SAUCE</t>
  </si>
  <si>
    <t>SHAPAJA</t>
  </si>
  <si>
    <t>TOCACHE</t>
  </si>
  <si>
    <t>NUEVO PROGRESO</t>
  </si>
  <si>
    <t>POLVORA</t>
  </si>
  <si>
    <t>SHUNTE</t>
  </si>
  <si>
    <t>UCHIZA</t>
  </si>
  <si>
    <t>ALTO DE LA ALIANZA</t>
  </si>
  <si>
    <t>CALANA</t>
  </si>
  <si>
    <t>CIUDAD NUEVA</t>
  </si>
  <si>
    <t>INCLAN</t>
  </si>
  <si>
    <t>PACHIA</t>
  </si>
  <si>
    <t>POCOLLAY</t>
  </si>
  <si>
    <t>SAMA</t>
  </si>
  <si>
    <t>CRNEL.GREGORIO ALBARRACIN LANCHIPA</t>
  </si>
  <si>
    <t>CANDARAVE</t>
  </si>
  <si>
    <t>CAIRANI</t>
  </si>
  <si>
    <t>CAMILACA</t>
  </si>
  <si>
    <t>CURIBAYA</t>
  </si>
  <si>
    <t>HUANUARA</t>
  </si>
  <si>
    <t>QUILAHUANI</t>
  </si>
  <si>
    <t>JORGE BASADRE</t>
  </si>
  <si>
    <t>LOCUMBA</t>
  </si>
  <si>
    <t>ILABAYA</t>
  </si>
  <si>
    <t>ITE</t>
  </si>
  <si>
    <t>TARATA</t>
  </si>
  <si>
    <t>HÉROES ALBARRACÍN</t>
  </si>
  <si>
    <t>ESTIQUE</t>
  </si>
  <si>
    <t>ESTIQUE-PAMPA</t>
  </si>
  <si>
    <t>SITAJARA</t>
  </si>
  <si>
    <t>SUSAPAYA</t>
  </si>
  <si>
    <t>TARUCACHI</t>
  </si>
  <si>
    <t>TICACO</t>
  </si>
  <si>
    <t>CORRALES</t>
  </si>
  <si>
    <t>LA CRUZ</t>
  </si>
  <si>
    <t>PAMPAS DE HOSPITAL</t>
  </si>
  <si>
    <t>SAN JACINTO</t>
  </si>
  <si>
    <t>SAN JUAN DE LA VIRGEN</t>
  </si>
  <si>
    <t>CONTRALMIRANTE VILLAR</t>
  </si>
  <si>
    <t>ZORRITOS</t>
  </si>
  <si>
    <t>CASITAS</t>
  </si>
  <si>
    <t xml:space="preserve">CANOAS DE PUNTA SAL </t>
  </si>
  <si>
    <t>ZARUMILLA</t>
  </si>
  <si>
    <t>AGUAS VERDES</t>
  </si>
  <si>
    <t>MATAPALO</t>
  </si>
  <si>
    <t>PAPAYAL</t>
  </si>
  <si>
    <t>CORONEL PORTILLO</t>
  </si>
  <si>
    <t>CALLERIA</t>
  </si>
  <si>
    <t>CAMPOVERDE</t>
  </si>
  <si>
    <t>IPARIA</t>
  </si>
  <si>
    <t>MASISEA</t>
  </si>
  <si>
    <t>YARINACOCHA</t>
  </si>
  <si>
    <t>NUEVA REQUENA</t>
  </si>
  <si>
    <t>MANANTAY</t>
  </si>
  <si>
    <t>ATALAYA</t>
  </si>
  <si>
    <t>RAYMONDI</t>
  </si>
  <si>
    <t>SEPAHUA</t>
  </si>
  <si>
    <t>TAHUANIA</t>
  </si>
  <si>
    <t>YURUA</t>
  </si>
  <si>
    <t>PADRE ABAD</t>
  </si>
  <si>
    <t>IRAZOLA</t>
  </si>
  <si>
    <t>CURIMANA</t>
  </si>
  <si>
    <t>PURUS</t>
  </si>
  <si>
    <t>LA PECA</t>
  </si>
  <si>
    <t>NIEVA</t>
  </si>
  <si>
    <t>EL CENEPA</t>
  </si>
  <si>
    <t>CAJARURO</t>
  </si>
  <si>
    <t>PAUCARA</t>
  </si>
  <si>
    <t>EN GESTIÓN</t>
  </si>
  <si>
    <t>Espacios y ambientes inadecuados e insuficientes para realizar la funicón policial</t>
  </si>
  <si>
    <t xml:space="preserve">Los equipos y/o unidades vehiculares son inadecuados e insuficientes </t>
  </si>
  <si>
    <t>Baja contribución al Orden Interno y Seguridad Ciudadana</t>
  </si>
  <si>
    <t>Objetivo Princial</t>
  </si>
  <si>
    <t xml:space="preserve">Los equipos y/o unidades vehiculares son adecuados y suficientes </t>
  </si>
  <si>
    <t>Edificación realizada con criterio técnico</t>
  </si>
  <si>
    <t>Edificación  cumple con la norma técnica de la PNP</t>
  </si>
  <si>
    <t>Edificación con suficientes ambientes para realizar la función policial</t>
  </si>
  <si>
    <t>Edificación con suficientes ambientes para labores complementarias</t>
  </si>
  <si>
    <t>Suficientes equipos y mobiliario para la labor de prevención</t>
  </si>
  <si>
    <t>Suficientes equipos y mobiliario para la labor de investigación</t>
  </si>
  <si>
    <t xml:space="preserve">Equipos y mobiliario en buen estado </t>
  </si>
  <si>
    <t>Equipos y mobiliario  adecuado para la función policial</t>
  </si>
  <si>
    <t>Unidades vehículares con vida útil adecuada</t>
  </si>
  <si>
    <t>Suficientes unidades vehículares para la jurisdicción policial</t>
  </si>
  <si>
    <t>Equipos de comunicación en buen estado de conservación</t>
  </si>
  <si>
    <t>Disminución de incidencias delictivas</t>
  </si>
  <si>
    <t>Mayor presencia policial en la jurisdicción</t>
  </si>
  <si>
    <t>Mayor participación de la población en seguridad ciudadana</t>
  </si>
  <si>
    <t>Disminución de delitos contra el patrimonio</t>
  </si>
  <si>
    <t>Disminución de la percepción de inseguridad</t>
  </si>
  <si>
    <t>población organizada ante la presencia delictiva</t>
  </si>
  <si>
    <t>Incremento de la contribución al Orden Interno y Seguridad Ciudadana</t>
  </si>
  <si>
    <t xml:space="preserve">La población de la jurisdicción de la Comisaría PNP </t>
  </si>
  <si>
    <t xml:space="preserve"> accede a servicios policiales que no cumplen estándares establecidos</t>
  </si>
  <si>
    <t xml:space="preserve">  tiene limitado acceso a los servicios policiales</t>
  </si>
  <si>
    <t xml:space="preserve"> tiene adecuado acceso a los servicios policiales</t>
  </si>
  <si>
    <t xml:space="preserve"> accede a servicios policiales que cumplen estándares establecidos</t>
  </si>
  <si>
    <t>INTERIOR</t>
  </si>
  <si>
    <t>GOBIERNO LOCAL</t>
  </si>
  <si>
    <t>GOBIERNOS REGIONALES</t>
  </si>
  <si>
    <t>GOBIERNOS LOCALES</t>
  </si>
  <si>
    <t>Divsión Funcional</t>
  </si>
  <si>
    <t>Grupo Funcional</t>
  </si>
  <si>
    <t>Responsable Funcional</t>
  </si>
  <si>
    <t>COMPONENTES:</t>
  </si>
  <si>
    <t>MINISTERIO DEL INTERIOR</t>
  </si>
  <si>
    <t>COMITÉ DE SEGURIDAD CIUDADANA</t>
  </si>
  <si>
    <t>POBLACION BENEFICIARIA</t>
  </si>
  <si>
    <t>POLICIA NACIONAL DEL PERÚ</t>
  </si>
  <si>
    <t>GOBIERNO REGIONAL</t>
  </si>
  <si>
    <t>URBANO</t>
  </si>
  <si>
    <t>RURAL</t>
  </si>
  <si>
    <t>Velocidad promedio de patrullaje Km/h (b)</t>
  </si>
  <si>
    <t>Tiempo de recorrido horas (c)</t>
  </si>
  <si>
    <t>% Efectivo de patrullaje (d)</t>
  </si>
  <si>
    <t>Tiempo de recorrido de patrullaje horas (e) =(c/d)</t>
  </si>
  <si>
    <t>Duracion del servicio Horas (f)</t>
  </si>
  <si>
    <t>N° de Recorridos de Patrullaje (g)=(f/e)</t>
  </si>
  <si>
    <t>Recorrido Total a Patrullar Km/dia (h)=(a*g)</t>
  </si>
  <si>
    <t>Actividad</t>
  </si>
  <si>
    <t>Producto</t>
  </si>
  <si>
    <t>Descripción</t>
  </si>
  <si>
    <t>Unid</t>
  </si>
  <si>
    <t>Cant.</t>
  </si>
  <si>
    <t>Costo</t>
  </si>
  <si>
    <t>Atencion al público</t>
  </si>
  <si>
    <t>ESTUDIOS</t>
  </si>
  <si>
    <t>Elaboracion de Expediente Tecnico de Obra</t>
  </si>
  <si>
    <t>ESTUDIO</t>
  </si>
  <si>
    <t>Elaboracion de Estudio Definitivo de Equipamiento</t>
  </si>
  <si>
    <t>CONSTRUCCION DE INFRAESTRUCTURA</t>
  </si>
  <si>
    <t>Ejecucion de Obras Preliminares</t>
  </si>
  <si>
    <t>M2</t>
  </si>
  <si>
    <t>Construccion de Area Techada</t>
  </si>
  <si>
    <t>Construccion de ambientes de Prevencion y Seguridad</t>
  </si>
  <si>
    <t>Construccion de ambientes de Administracion</t>
  </si>
  <si>
    <t>Construccion de ambientes de funcion policial</t>
  </si>
  <si>
    <t>Construccion de ambientes de funcion de apoyo juridico</t>
  </si>
  <si>
    <t>Construccion de ambientes de descanzo y alimentacion</t>
  </si>
  <si>
    <t>Construccion de ambientes de funcion de contencion</t>
  </si>
  <si>
    <t>Construccion de ambientes de servicios y mantenimiento</t>
  </si>
  <si>
    <t>Area de Circulacion y Muros</t>
  </si>
  <si>
    <t>Construccion de Obras Exteriores</t>
  </si>
  <si>
    <t>Construccion de Obras de Mitigacion de Riesgos</t>
  </si>
  <si>
    <t>ADQUISICION DE EQUIPAMIENTO</t>
  </si>
  <si>
    <t>Adquisicion de Equipamiento Mobiliario</t>
  </si>
  <si>
    <t>Adquisicion de Mobiliario de Oficina</t>
  </si>
  <si>
    <t>Adquisicion de Mobiliario Oficina Comisario</t>
  </si>
  <si>
    <t>KIT</t>
  </si>
  <si>
    <t>Adquisicion de Mobiliario de oficina de Atencion al Publico</t>
  </si>
  <si>
    <t xml:space="preserve">Adquisicion de Mobiliario Comun </t>
  </si>
  <si>
    <t>Adquisicion de Mobiliario Modulo NCPP</t>
  </si>
  <si>
    <t>Adquisicion de Mobiliario Sala de Espera</t>
  </si>
  <si>
    <t>Adquisicion de Mobiliario en Oficinas de Apoyo</t>
  </si>
  <si>
    <t>Adquisicion de Mobiliario en Topico</t>
  </si>
  <si>
    <t>Adquisicion de Mobiliario Sala de Usos Multiples</t>
  </si>
  <si>
    <t>Adquisicion de Mobiliario de Dormitorio</t>
  </si>
  <si>
    <t>Adquisicion de Mobiliario Dormitorio Comisario</t>
  </si>
  <si>
    <t>Adquisicion de Mobiliario Dormitorio Oficiales</t>
  </si>
  <si>
    <t>Adquisicion de Mobiliario Dormitorio SubOficiales</t>
  </si>
  <si>
    <t>Adquisicion de Mobiliario de Cocina, Comedor y Otros</t>
  </si>
  <si>
    <t>Adquisicion de Mobiliario Comedor y Cocina</t>
  </si>
  <si>
    <t>Adquisicion de Otros Equipamientos</t>
  </si>
  <si>
    <t>Adquisicion de Equipamiento Informatico y Electronicos</t>
  </si>
  <si>
    <t>Adquisicion de Equipamiento Informatico de Oficina</t>
  </si>
  <si>
    <t>Adquisicion de Equipamiento Informatico Oficina del Comisario</t>
  </si>
  <si>
    <t>Adquisicion de Equipamiento Informatico en Oficina de Atencion al Publico</t>
  </si>
  <si>
    <t>Adquisicion de Equipamiento Informatico de Uso Comun</t>
  </si>
  <si>
    <t>Adquisicion de Equipamiento Informatico en Sala de Espera</t>
  </si>
  <si>
    <t>Adquisicion de Equipamiento Informatico en Sala de Videovigilancia</t>
  </si>
  <si>
    <t>Adquisicion de Equipamiento Informatico de Proyeccion Visual</t>
  </si>
  <si>
    <t>Adquisicion de Equipamiento Informatico de Apoyo al Servicio Policial</t>
  </si>
  <si>
    <t>Adquisicion de Equipamiento Electronico en Comedor y Cocina</t>
  </si>
  <si>
    <t>Adquisicion de Equipamiento Electronico Comedor y Cocina</t>
  </si>
  <si>
    <t>Adquisicion de Equipamiento Especializado</t>
  </si>
  <si>
    <t>Adquisicion de Equipamiento Especializado de Investigacion</t>
  </si>
  <si>
    <t>Adquisicion de Equipamiento Especializado en Camioneta</t>
  </si>
  <si>
    <t>Adquisicion de Equipamiento Especializado de Uso Personal</t>
  </si>
  <si>
    <t>Adquisicion de Equipamiento Especializado de Proteccion de la Comisaria</t>
  </si>
  <si>
    <t>Adquisicion de Equipos de Comunicación</t>
  </si>
  <si>
    <t>Adquisicion de Equipos de Telefonia IP</t>
  </si>
  <si>
    <t>Adquisicion de Equipos de Comunicación Fijo</t>
  </si>
  <si>
    <t>Adquisicion de Equipos de Comunicación Movil</t>
  </si>
  <si>
    <t>Adquisicion de Vehiculos Motorizados</t>
  </si>
  <si>
    <t>Adquisicion de Auto</t>
  </si>
  <si>
    <t>UNIDAD</t>
  </si>
  <si>
    <t>Adquisicion de Camioneta</t>
  </si>
  <si>
    <t>Adquisicion de Motocicletas</t>
  </si>
  <si>
    <t>Adquisicion de Cuatrimoto</t>
  </si>
  <si>
    <t>Adquisicion de Bote Deslizador</t>
  </si>
  <si>
    <t>DOTACION DE PERSONAL</t>
  </si>
  <si>
    <t>Selección y asignacion de personal</t>
  </si>
  <si>
    <t>ADECUADA INFRAESTRUCTURA CONSTRUIDA</t>
  </si>
  <si>
    <t xml:space="preserve">COMISARIA IMPLEMENTADA CON INFRAESTRUCTURA, EQUIPOS Y PERSONAL SUFICIENTES
</t>
  </si>
  <si>
    <t>EXPEDIENTE TECNICO DE OBRA (ESTUDIO)</t>
  </si>
  <si>
    <t>OBRAS PRELIMINARES</t>
  </si>
  <si>
    <t>CONSTRUCCION DE AREA TECHADA</t>
  </si>
  <si>
    <t>OBRAS COMPLEMENTARIAS (FORMACION, INSTRUCCIÓN Y ESTACIONAMIENTO) (M2)</t>
  </si>
  <si>
    <t>OBRAS DE MITIGACION DE RIESGOS</t>
  </si>
  <si>
    <t>ADECUADO EQUIPAMIENTO ADQUIRIDO</t>
  </si>
  <si>
    <t>EXPEDIENTE TECNICO DE EQUIPAMIENTO</t>
  </si>
  <si>
    <t>PERSONAL POLICIAL ASIGNADO</t>
  </si>
  <si>
    <t>OTROS</t>
  </si>
  <si>
    <t>TOTAL COSTOS DE O&amp;M A PRECIOS PRIVADOS</t>
  </si>
  <si>
    <t>TOTAL COSTOS DE O&amp;M A PRECIOS SOCIALES</t>
  </si>
  <si>
    <t>COSTOS DE INVERSION</t>
  </si>
  <si>
    <t>COSTOS O&amp;M INCREMENTALES</t>
  </si>
  <si>
    <t>COSTOS DE REPOSICION</t>
  </si>
  <si>
    <t>TOTAL COSTOS</t>
  </si>
  <si>
    <t>Km. De vias a recorrrer por sector (a)</t>
  </si>
  <si>
    <t>a</t>
  </si>
  <si>
    <t>b</t>
  </si>
  <si>
    <t>c</t>
  </si>
  <si>
    <t>Escasos  mobiliario para la labor de prevención</t>
  </si>
  <si>
    <t>Escasos mobiliario para la labor de investigación</t>
  </si>
  <si>
    <t>Equipos en estado de obsolecencia</t>
  </si>
  <si>
    <t>Equipos no adecuado para la función policial</t>
  </si>
  <si>
    <t>Equipos de comunicación insuficientes para la función policial</t>
  </si>
  <si>
    <t>Espacios y ambientes adecuados y suficientes para realizar la funicón policial</t>
  </si>
  <si>
    <t>Las comunicaciones en la función policial son adecuadas y suficientes</t>
  </si>
  <si>
    <t>Equipos de comunicación suficientes para la función policial</t>
  </si>
  <si>
    <t>INFORME TECNICO</t>
  </si>
  <si>
    <t xml:space="preserve">Recorridos de Patrullaje </t>
  </si>
  <si>
    <t xml:space="preserve">Sector Responsable </t>
  </si>
  <si>
    <t>Sector / Entidad</t>
  </si>
  <si>
    <t>Datos estimados por el PROYECTO DE INVERSION</t>
  </si>
  <si>
    <t>Region Policial</t>
  </si>
  <si>
    <t>CAUSAS DIRECTAS (Descripción)</t>
  </si>
  <si>
    <t>CAUSAS INDIRECTAS (Descripción)</t>
  </si>
  <si>
    <t>EFECTOS DIRECTOS (Descripción)</t>
  </si>
  <si>
    <t>EFECTOS INDIRECTOS (Descripción)</t>
  </si>
  <si>
    <t>EFECTO FINAL (Descripción)</t>
  </si>
  <si>
    <t>MEDIOS DE PRIMER NIVEL(Descripción)</t>
  </si>
  <si>
    <t xml:space="preserve">MEDIOS FUNDAMENTALES </t>
  </si>
  <si>
    <t>FINES DIRECTOS(Descripción)</t>
  </si>
  <si>
    <t>FINES INDIRECTOS (Descripción)</t>
  </si>
  <si>
    <t>FIN ULTIMO</t>
  </si>
  <si>
    <t>TASA ANUAL DE CRECIMIENTO POBLACIONAL</t>
  </si>
  <si>
    <t>TRIM1</t>
  </si>
  <si>
    <t>TRIM2</t>
  </si>
  <si>
    <t>TRIM3</t>
  </si>
  <si>
    <t>TRIM4</t>
  </si>
  <si>
    <t>AÑO 1</t>
  </si>
  <si>
    <t>AÑO 2</t>
  </si>
  <si>
    <t>2.1 TIPO DE COMISARÍA</t>
  </si>
  <si>
    <t>2.2 NOMBRE DE LA COMISARÍA</t>
  </si>
  <si>
    <t>1.2     INDICADOR DE PRODUCTO ASOCIADO A LA BRECHA DE SERVICIOS:</t>
  </si>
  <si>
    <t>División Funcional</t>
  </si>
  <si>
    <t>I. DATOS GENERALES</t>
  </si>
  <si>
    <t>1 ARTICULACIÓN CON EL PROGRAMA MULTIANUAL DE INVERSIONES (PMI)</t>
  </si>
  <si>
    <t>II. IDENTIFICACIÓN</t>
  </si>
  <si>
    <t>7. CARACTERÍSTICAS Y SITUACIÓN DEL SERVICIO POLICIAL</t>
  </si>
  <si>
    <t>7.1.1. EL TERRENO ES LIBRE O POSEE EDIFICACIONES</t>
  </si>
  <si>
    <t>7.1.3. EL TERRENO CUENTA CON</t>
  </si>
  <si>
    <t>7.2. CARACTERÍSTICAS Y SITUACIÓN  DE LA INFRAESTRUCTURA</t>
  </si>
  <si>
    <t>7.3. CARACTERÍSTICAS Y SITUACIÓN  DEL EQUIPAMIENTO</t>
  </si>
  <si>
    <t>7.4. CARACTERÍSTICAS Y SITUACIÓN  DE LOS RECURSOS HUMANOS</t>
  </si>
  <si>
    <t>8.  PROBLEMA CENTRAL, CAUSAS Y EFECTOS</t>
  </si>
  <si>
    <t>9. INVOLUCRADOS</t>
  </si>
  <si>
    <t>10. POBLACIÓN AFECTADA Y POBLACIÓN OBJETIVO</t>
  </si>
  <si>
    <t>Población afectada</t>
  </si>
  <si>
    <t>Tipo de Población</t>
  </si>
  <si>
    <t>Fuente de Información</t>
  </si>
  <si>
    <t>Población Objetivo</t>
  </si>
  <si>
    <t>Características de la Población Objetivo</t>
  </si>
  <si>
    <t>Tipo de Clasificación</t>
  </si>
  <si>
    <t>Numero de personas</t>
  </si>
  <si>
    <t>11. DEFINICIÓN DE LOS OBJETIVOS DEL PROYECTO</t>
  </si>
  <si>
    <t>PROBLEMA CENTRAL</t>
  </si>
  <si>
    <t>OBJETIVO CENTRAL</t>
  </si>
  <si>
    <t>III. FORMULACIÓN Y EVALUACIÓN</t>
  </si>
  <si>
    <t>Número de años de horizonte de evaluación</t>
  </si>
  <si>
    <t>15. ESTUDIO DE MERCADO DEL SERVICIO PÚBLCIO</t>
  </si>
  <si>
    <t>15.2.1 SERVICIO DE INVESTIGACION</t>
  </si>
  <si>
    <t>15.2.2 SERVICIOS DE PREVENCION</t>
  </si>
  <si>
    <t>PERSONAL POLICIAL EN LA COMISARÍA</t>
  </si>
  <si>
    <t>16. ANÁLISIS TÉCNICO</t>
  </si>
  <si>
    <t>COSTO POR M2 DE AREA TECHADA (no incluye obras exteriores, ni preliminares)</t>
  </si>
  <si>
    <t>COSTO POR M2 DE AREA EXTERIOR (no incluye obras preliminares)</t>
  </si>
  <si>
    <t>17. COSTOS DEL PROYECTO</t>
  </si>
  <si>
    <t>SUBPRODUCTO</t>
  </si>
  <si>
    <t>Fecha de
 Incio</t>
  </si>
  <si>
    <t>Fecha de 
Termino</t>
  </si>
  <si>
    <t>Unidad de Medida</t>
  </si>
  <si>
    <t>Meta</t>
  </si>
  <si>
    <t xml:space="preserve">Fecha de
 Incio
</t>
  </si>
  <si>
    <t>FLUJO A PRECIOS PRIVADOS</t>
  </si>
  <si>
    <t>FLUJO A PRECIOS SOCIALES</t>
  </si>
  <si>
    <t>18. FLUJO DE INVERSIONES</t>
  </si>
  <si>
    <t>19. CRITERIO DE DECISION DE INVERSIÓN</t>
  </si>
  <si>
    <t>VALOR ACTUAL DE LOS COSTOS</t>
  </si>
  <si>
    <t>INDICADOR DE EFECTIVIDAD</t>
  </si>
  <si>
    <t>INDICE COSTO /EFECTIVIDAD</t>
  </si>
  <si>
    <t>23. MATRIZ DE MARCO LOGICO</t>
  </si>
  <si>
    <t>POBLACIÓN</t>
  </si>
  <si>
    <t>20. SOSTENIBILIDAD</t>
  </si>
  <si>
    <t>20.1 ORGANO RESPONSABLE DE LA OPERACIÓN Y MANTENIMIENTO DEL SERVICIO POLICIAL</t>
  </si>
  <si>
    <t>Parcialmente</t>
  </si>
  <si>
    <t>Documento que sustenta los acuerdos institucionales u otras que garantizan el financiamiento de los gastos de operación y mantenimiento</t>
  </si>
  <si>
    <t>Documento</t>
  </si>
  <si>
    <t>Entidad/Organización</t>
  </si>
  <si>
    <t>Compromiso</t>
  </si>
  <si>
    <t>21. MODALIDAD DE EJECUCIÓN</t>
  </si>
  <si>
    <t>Administración Directa</t>
  </si>
  <si>
    <t>Administración Indirecta-Por Contrata</t>
  </si>
  <si>
    <t>Aministración Indirecta-Asociación Público Privada</t>
  </si>
  <si>
    <t>Administración Indirecta-Nucleo Ejecutor</t>
  </si>
  <si>
    <t>Administración Indirecta Ley 29230 (Obras por Impuestos)</t>
  </si>
  <si>
    <t>22. IMPACTO AMBIENTAL</t>
  </si>
  <si>
    <t>IMPACTOS NEGATIVOS</t>
  </si>
  <si>
    <t>MEDIDAS DE MITIGACIÓN</t>
  </si>
  <si>
    <t>COSTOS (S/)</t>
  </si>
  <si>
    <t>Durante la Ejecución</t>
  </si>
  <si>
    <t>Durante el Funcionamiento</t>
  </si>
  <si>
    <t>24. CONCLUSIONES Y RECOMENDACIONES</t>
  </si>
  <si>
    <t>25. FOTOS DE LA INFRAESTRUCTURA ACTUAL</t>
  </si>
  <si>
    <t>27. INFORMACIÓN Y RELACIÓN DE DOCUMENTOS SUSTENTATORIOS QUE SE ADJUNTAN A LA PRESENTE FICHA TÉCNICA</t>
  </si>
  <si>
    <t xml:space="preserve">RESPONSABLE DE LA UNIDAD FORMULADORA </t>
  </si>
  <si>
    <t>RESPONSABLE DE LA FORMULACIÓN</t>
  </si>
  <si>
    <t>29. FECHA DEL REPORTE</t>
  </si>
  <si>
    <t xml:space="preserve">1.1     SERVICIO PÚBLICO CON BRECHA IDENTIFICADA Y PRIORIZADA: </t>
  </si>
  <si>
    <t>Directiva N° 002-2017-EF/63.01</t>
  </si>
  <si>
    <t>Cantidad de personal fijo</t>
  </si>
  <si>
    <t>Ubigeo</t>
  </si>
  <si>
    <t>15 INTERIOR</t>
  </si>
  <si>
    <t>05 ORDEN PÚBLICO Y SEGURIDAD</t>
  </si>
  <si>
    <t>014 ORDEN INTERNO</t>
  </si>
  <si>
    <t>0028 OPERACIONES POLICIALES</t>
  </si>
  <si>
    <t>Anexo 1.- Informe Técnico de Opinión de la Oficina General de  Infraestructura</t>
  </si>
  <si>
    <t>Anexo 2.- Informe Técnico de Opinión o Acta de conformidad de la PNP</t>
  </si>
  <si>
    <t>Documentos a solicitar a la Municipalidad Distrital</t>
  </si>
  <si>
    <t>Anexo 4.-Certificado de Parámetros Urbanísticos y Edificatorios en el terreno destinado al Proyecto.</t>
  </si>
  <si>
    <t>Visita de campo a Comisaría PNP y requerimiento de la siguiente documentación:</t>
  </si>
  <si>
    <t>Anexo 7.-Documento de creación de la Unidad Policial</t>
  </si>
  <si>
    <t>SE CUENTA CON OPINIÓN TÉCNICA DEL MINISTERIO DEL INTERIOR (anexo 1)</t>
  </si>
  <si>
    <t>SE CUENTA CON OPINIÓN TÉCNICA DE LA POLICIA NACIONAL DEL PERÚ (anexo 2)</t>
  </si>
  <si>
    <t>7.1.2. EL TERRENO CON EDIFICACION POSEE (anexo 3)</t>
  </si>
  <si>
    <t>CERTIFICADO DE PARAMETROS URBANISTICOS (anexos 4,5,6)</t>
  </si>
  <si>
    <r>
      <t xml:space="preserve">DEPENDENCIA POLICIAL </t>
    </r>
    <r>
      <rPr>
        <sz val="12"/>
        <rFont val="Arial"/>
        <family val="2"/>
      </rPr>
      <t>(anexo 8)</t>
    </r>
  </si>
  <si>
    <t>13. REQUERIMIENTOS INSTITUCIONALES Y/O NORMATIVOS</t>
  </si>
  <si>
    <t>EDIFICACION NUEVA Y ADQUISICION DE EQUIPAMIENTO DE LA COMISARIA</t>
  </si>
  <si>
    <t>REMODELACIÓN Y AMPLIACIÓN DE EDIFICACIÓN Y ADQUISICION DE EQUIPAMIENTO DE LA COMISARIA</t>
  </si>
  <si>
    <t>Km. de recorrido por sector (a)</t>
  </si>
  <si>
    <t>Operativos (Servicio)</t>
  </si>
  <si>
    <t>PORCENTAJE DE COMISARIAS QUE NO CUENTAN CON CAPACIDAD DE OPERACIÓN ADECUADA</t>
  </si>
  <si>
    <t>NATURALEZA DE INTERVENCIÓN</t>
  </si>
  <si>
    <t>OBJETO</t>
  </si>
  <si>
    <t>LOCALIZACIÓN</t>
  </si>
  <si>
    <t>Mejoramiento</t>
  </si>
  <si>
    <t>Ampliación</t>
  </si>
  <si>
    <t>Mejoramiento y Ampliación</t>
  </si>
  <si>
    <t xml:space="preserve">Distrito de </t>
  </si>
  <si>
    <t>NOMBRE</t>
  </si>
  <si>
    <t xml:space="preserve">, Provincia de </t>
  </si>
  <si>
    <t xml:space="preserve">, Departamento de </t>
  </si>
  <si>
    <t xml:space="preserve">del Servicio Policial de la Comisaría PNP </t>
  </si>
  <si>
    <t>Número de Equipos</t>
  </si>
  <si>
    <t>Beneficiario</t>
  </si>
  <si>
    <t>Cooperante</t>
  </si>
  <si>
    <t>Perjudicado</t>
  </si>
  <si>
    <t>Oponente</t>
  </si>
  <si>
    <t>Población de la Jurisdición Policial</t>
  </si>
  <si>
    <t>Población de la Jurisdicción Policial</t>
  </si>
  <si>
    <t>I Macro Región Policial Piura-Tumbes</t>
  </si>
  <si>
    <t>III Macro Región Policial La Libertad-Ancash</t>
  </si>
  <si>
    <t>VI Macro Región Policial Junin-Pasco-Huancavelica</t>
  </si>
  <si>
    <t>IX Macro Región Policial Arequipa-Moquegua-Tacna</t>
  </si>
  <si>
    <t>X Macro Región Policial Puno-Madre de Dios</t>
  </si>
  <si>
    <t>VII Macro Región Policial Cusco-Apurimac</t>
  </si>
  <si>
    <t>V Macro Región Policial Huanuco -San Martín- Ucayali</t>
  </si>
  <si>
    <t>II Macro Región Policial Lambayeque-Cajamarca</t>
  </si>
  <si>
    <t>VIII Macro Región Policial Ayacucho- Ica</t>
  </si>
  <si>
    <t>IV Macro Región Policial Loreto-Amazonas</t>
  </si>
  <si>
    <t>Tumbes</t>
  </si>
  <si>
    <t>Piura</t>
  </si>
  <si>
    <t>Cajamarca</t>
  </si>
  <si>
    <t>Lambayeque</t>
  </si>
  <si>
    <t>Ancash</t>
  </si>
  <si>
    <t>La Libertad</t>
  </si>
  <si>
    <t>Amazonas</t>
  </si>
  <si>
    <t>Loreto</t>
  </si>
  <si>
    <t>Ucayali</t>
  </si>
  <si>
    <t>San Martín</t>
  </si>
  <si>
    <t>Huancavelica</t>
  </si>
  <si>
    <t>Pasco</t>
  </si>
  <si>
    <t>Junin</t>
  </si>
  <si>
    <t>Apurimac</t>
  </si>
  <si>
    <t>Cusco</t>
  </si>
  <si>
    <t xml:space="preserve"> Ica</t>
  </si>
  <si>
    <t>Ayacucho</t>
  </si>
  <si>
    <t>Tacna</t>
  </si>
  <si>
    <t>Moquegua</t>
  </si>
  <si>
    <t>Madre de Dios</t>
  </si>
  <si>
    <t>Puno</t>
  </si>
  <si>
    <t>2. NOMBRE DEL POYECTO</t>
  </si>
  <si>
    <t>3.  RESPONSABILIDAD FUNCIONAL</t>
  </si>
  <si>
    <t>6. UBICACIÓN DEL PROYECTO DE INVERSION</t>
  </si>
  <si>
    <t>17.4 INVERSION POR REPOSICION</t>
  </si>
  <si>
    <t>4.1 NOMBRE DE LA UF</t>
  </si>
  <si>
    <t>4.2 PERSONA RESPONSABLE DE LA UNIDAD FORMULADORA</t>
  </si>
  <si>
    <t>5.1 PERSONA RESPONSABLE DE LA UEI</t>
  </si>
  <si>
    <t>5.2 ÓRGANO TÉCNICO RESPONSABLE</t>
  </si>
  <si>
    <t>15.1 DEFINICIÓN DEL SERVICIO PÚBLICO</t>
  </si>
  <si>
    <t>15.2 ANÁLISIS DE LA DEMANDA</t>
  </si>
  <si>
    <t>15.3 ANÁLISIS DE LA OFERTA</t>
  </si>
  <si>
    <t>17.1. COSTOS DE INVERSIÓN (RESUMEN DE LA CADENA DE VALOR)</t>
  </si>
  <si>
    <t>17.2 CRONOGRAMA DE EJECUCIÓN FÍSICA</t>
  </si>
  <si>
    <t>17.3 CRONOGRAMA DE EJECUCIÓN FINANCIERA</t>
  </si>
  <si>
    <t>17.5 COSTOS DE OPERACIÓN Y MANTENIMIENTO</t>
  </si>
  <si>
    <t>20.2 ES LA UNIDAD EJECUTORA PRESUPUESTAL LA RESPONSABLE DE LA OPERACIÓN Y MANTENIMIENTO DEL PIP CON CARGO A SU PRESUPUESTO INSTITUCIONAL?</t>
  </si>
  <si>
    <t>20.3 GESTIÓN INTEGRAL DE LOS RIESGOS</t>
  </si>
  <si>
    <t>4.3 LA UNIDAD FORMULADORA COMPETENTE</t>
  </si>
  <si>
    <t>Anexo 8.-Informe de Estudio de Estado Mayor Actualizado al Año 2016 - 2017</t>
  </si>
  <si>
    <t>Anexo 9.-Organigrama Funcional de la Comisaria PNP Actualizado.</t>
  </si>
  <si>
    <t>Anexo 10.-Mapa de Jurisdicción de la Comisaria PNP.</t>
  </si>
  <si>
    <t>Anexo11.-Número de efectivos policiales designados, considerar Grado y Cargos o responsabilidades. (Adjuntar Copia de Parte Policial)</t>
  </si>
  <si>
    <t>Anexo 12.-Cuadros Estadísticos de delitos y faltas por lo menos de 3 últimos años</t>
  </si>
  <si>
    <t>Anexo 13.- Descripción de otras Intervenciones, el tipo y  la Institución estuvo a cargo</t>
  </si>
  <si>
    <t>Anexo 15.-Mapa de Sectorización y Puntos Críticos de la Comisaría.</t>
  </si>
  <si>
    <t>Anexo 16.-Describir la modalidad de servicios, el Sistema de Rotación que realizan (Ejemplo; 24x24, 7x7, Etc.).</t>
  </si>
  <si>
    <t>Anexo 17.-Tarjeta de Propiedad de Vehículos.</t>
  </si>
  <si>
    <t>Anexo 18-Saneamiento Físico Legal (Partida Electrónica/Ficha Registral/Tomo).</t>
  </si>
  <si>
    <t>Anexo 19.- Formato N° 1: Infraestructura Policial</t>
  </si>
  <si>
    <t>Anexo 20: Formato N° 2: Situación Socioeconomica</t>
  </si>
  <si>
    <t>Anexo 5.-Certificado de Compatibilidad de Uso (compatible con uso de Comisaria). De corresponder</t>
  </si>
  <si>
    <t>Anexo 6.-Declaratoria de Fábrica (Inscripción de construcción en Registros Públicos). De corresponder</t>
  </si>
  <si>
    <t>Anexo 3.-Acta visita de inspección de seguridad en edificaciones –VISE, de detalle. De corresponder</t>
  </si>
  <si>
    <t>5.3. SUSTENTO DE LA CAPACIDAD TÉCNICA Y OPERATIVA DE LA UNIDAD EJECUTORA EN RELACIÓN A LA INVERSIÓN</t>
  </si>
  <si>
    <t>12. DESCRIPCIÓN DE LA ALTERNATIVA DE SOLUCIÓN</t>
  </si>
  <si>
    <t>14. HORIZONTE DE EVALUACIÓN</t>
  </si>
  <si>
    <t>SIN INTERVENCIÓN</t>
  </si>
  <si>
    <t>CON INTERVENCIÓN</t>
  </si>
  <si>
    <t>26.  PLANO O CROQUIS DE UBICACIÓN DE LA INTERVENCIÓN</t>
  </si>
  <si>
    <t>28. FIRMAS DE LOS  RESPONSABLES</t>
  </si>
  <si>
    <t>4.  UNIDAD FORMULADORA-UF</t>
  </si>
  <si>
    <t>5.  UNIDAD EJECUTORA DE INVERSIONES -UEI</t>
  </si>
  <si>
    <t>7.1. ESTADO DEL SANEAMIENTO FISICO LEGAL DEL TERRENO</t>
  </si>
  <si>
    <t>Número de Efectivos del servicio de Investigación año 05</t>
  </si>
  <si>
    <t>16.1 ANALISIS DE DISEÑO</t>
  </si>
  <si>
    <t>16.2 ANALISIS DE LOCALIZACIÓN</t>
  </si>
  <si>
    <t>16.3 ANALISIS DE TECNOLOGÍA</t>
  </si>
  <si>
    <t>15.3 BALANCE OFERTA-DEMANDA</t>
  </si>
  <si>
    <t>Servicios con brecha</t>
  </si>
  <si>
    <t>Año 1</t>
  </si>
  <si>
    <t>Año 2</t>
  </si>
  <si>
    <t>Año 3</t>
  </si>
  <si>
    <t>Año 10</t>
  </si>
  <si>
    <t>Servicio de Investigación</t>
  </si>
  <si>
    <t>Servicio de Prevención</t>
  </si>
  <si>
    <t>Año 4</t>
  </si>
  <si>
    <t>Año 5</t>
  </si>
  <si>
    <t>Año 6</t>
  </si>
  <si>
    <t>Año 7</t>
  </si>
  <si>
    <t>Año 8</t>
  </si>
  <si>
    <t>Año 9</t>
  </si>
  <si>
    <t>Recorrdios al año</t>
  </si>
  <si>
    <t>Delitos y faltas al año</t>
  </si>
  <si>
    <t>UNIDAD DE PRODUCCION</t>
  </si>
  <si>
    <t>CAPACIDAD DE PRODUCCION</t>
  </si>
  <si>
    <t>COSTOS</t>
  </si>
  <si>
    <t>INFRAESTRUCTURA</t>
  </si>
  <si>
    <t>Número de obras preliminares</t>
  </si>
  <si>
    <t>Número de obras exteriores</t>
  </si>
  <si>
    <t>Número de obras de mitigación de riesgos</t>
  </si>
  <si>
    <t>MOBILIARIO</t>
  </si>
  <si>
    <t>EQUIPAMIENTO</t>
  </si>
  <si>
    <t>SUBTOTAL DE COSTOS</t>
  </si>
  <si>
    <t>SUB TOTAL DEL PERIODO</t>
  </si>
  <si>
    <t>COSTO DE INVERSIÓN TOTAL</t>
  </si>
  <si>
    <t>Costo estimado de inversión a precios de mercado (Soles)</t>
  </si>
  <si>
    <t>ITEM</t>
  </si>
  <si>
    <t xml:space="preserve">Fecha de 
Termino
</t>
  </si>
  <si>
    <r>
      <t>Operativos</t>
    </r>
    <r>
      <rPr>
        <sz val="10"/>
        <color indexed="10"/>
        <rFont val="Arial"/>
        <family val="2"/>
      </rPr>
      <t xml:space="preserve"> (En Servicio)</t>
    </r>
  </si>
  <si>
    <t>GESTIÓN DEL PROYECTO</t>
  </si>
  <si>
    <t>FICHA TÉCNICA DE PROYECTOS DE INVERSION ESTÁNDAR PARA MEJORAMIENTO Y/O AMPLIACION DEL SERVICIO POLICIAL EN COMISARÍAS</t>
  </si>
  <si>
    <t>(*) Las fichas técnicas, que se formulen y evalúen en el marco del Sistema Nacional de Programación Multianual y Gestión de Inversiones tienen carácter de Declaración Jurada, y su veracidad constituye estricta responsabilidad de la UF, siendo aplicables las responsabilidades que determine la Contraloría General de la República y la legislación vigente. El órgano que declaró la viabilidad del proyecto de inversión es el responsable de la custodia de dichos documentos conforme al marco legal vigente.</t>
  </si>
  <si>
    <t>4.4 SI LA UNIDAD FORMULADORA PERTENECE A UN GOBIERNO REGIONAL O LOCAL</t>
  </si>
  <si>
    <t>Anexo 14.-Inventario de bienes (Equipos de cómputo, de video, audio, equipos motorizados, Mobiliarios, Etc.), describir el año de adquisición y el estado de conservación (Bueno, Regular, Malo).</t>
  </si>
  <si>
    <t>Documento a la Municipalidad Provincial</t>
  </si>
  <si>
    <t>Documentos a presentar cuando laUnidad Fromuladora corresponda a Gobierno Regional o Local</t>
  </si>
  <si>
    <t>Las personas que firmamos líneas abajo, damos fe de la veracidad de la información consignada, la misma que corresponde a una Declaración Jurada, por la que visamos y suscribimos todas sus partes. Asimismo indicamos que conocemos y nos sujetamos a las normas y procedimientos que se aplican.</t>
  </si>
  <si>
    <t>Subproducto</t>
  </si>
  <si>
    <t>EQUIPAMIENTO MOBILIARIO (KIT)</t>
  </si>
  <si>
    <t>EQUIPAMIENTO INFORMATICO Y ELECTRONICO (KIT)</t>
  </si>
  <si>
    <t>EQUIPAMIENTO ESPECIALIZADO (KIT)</t>
  </si>
  <si>
    <t>EQUIPOS DE COMUNICACIÓN (KIT)</t>
  </si>
  <si>
    <t>VEHICULOS MOTORIZADOS (UNIDADES)</t>
  </si>
  <si>
    <t>Ambientes adecuados</t>
  </si>
  <si>
    <t>Estado de conservación</t>
  </si>
  <si>
    <t>Equipos adecuados</t>
  </si>
  <si>
    <t>VRAEM</t>
  </si>
  <si>
    <t>Población victima de un hecho delictivo o falta que denuncia</t>
  </si>
  <si>
    <t>Población victima de un hecho delictivo o falta que no denuncia</t>
  </si>
  <si>
    <t>Población con cobertura por el servicio de prevención</t>
  </si>
  <si>
    <t>Estimación en base a ENAPRES</t>
  </si>
  <si>
    <t xml:space="preserve">DOCUMENTO: </t>
  </si>
  <si>
    <t>AREQUIPA_</t>
  </si>
  <si>
    <t>CAJAMARCA_</t>
  </si>
  <si>
    <t>CUSCO_</t>
  </si>
  <si>
    <t>HUANCAVELICA_</t>
  </si>
  <si>
    <t>HUANUCO_</t>
  </si>
  <si>
    <t>ICA_</t>
  </si>
  <si>
    <t>LAMBAYEQUE_</t>
  </si>
  <si>
    <t>LIMA_</t>
  </si>
  <si>
    <t>PIURA_</t>
  </si>
  <si>
    <t>PUNO_</t>
  </si>
  <si>
    <t>TACNA_</t>
  </si>
  <si>
    <t>TUMBES_</t>
  </si>
  <si>
    <t>SECTOR 7</t>
  </si>
  <si>
    <t>SECTOR 6</t>
  </si>
  <si>
    <t>SECTOR 8</t>
  </si>
  <si>
    <t xml:space="preserve">OTRO: </t>
  </si>
  <si>
    <t>LALIBERTAD</t>
  </si>
  <si>
    <t>TRUJILLO_</t>
  </si>
  <si>
    <t>SANTACRUZ</t>
  </si>
  <si>
    <t>SANMIGUEL</t>
  </si>
  <si>
    <t>SANPABLO</t>
  </si>
  <si>
    <t>SANIGNACIO</t>
  </si>
  <si>
    <t>SANMARCOS</t>
  </si>
  <si>
    <t>LACONVENCION</t>
  </si>
  <si>
    <t>ANTONIORAYMONDI</t>
  </si>
  <si>
    <t>CARLOSFITZCARRALD</t>
  </si>
  <si>
    <t>MARISCALLUZURIAGA</t>
  </si>
  <si>
    <t>PAUCARDELSARASARA</t>
  </si>
  <si>
    <t>SANCHEZCARRION</t>
  </si>
  <si>
    <t>SANTIAGODECHUCO</t>
  </si>
  <si>
    <t>GRANCHIMU</t>
  </si>
  <si>
    <t>MARISCALRAMONCASTILLA</t>
  </si>
  <si>
    <t>GENERALSANCHEZCERRO</t>
  </si>
  <si>
    <t>DANIELALCIDESCARRION</t>
  </si>
  <si>
    <t>SANANTONIODEPUTINA</t>
  </si>
  <si>
    <t>SANROMAN</t>
  </si>
  <si>
    <t>MARISCALCACERES</t>
  </si>
  <si>
    <t>SANMARTIN_</t>
  </si>
  <si>
    <t>JORGEBASADRE</t>
  </si>
  <si>
    <t>CONTRALMIRANTEVILLAR</t>
  </si>
  <si>
    <t>CORONELPORTILLO</t>
  </si>
  <si>
    <t>PADREABAD</t>
  </si>
  <si>
    <t>Lima</t>
  </si>
  <si>
    <t>Callao</t>
  </si>
  <si>
    <t>Huánuco</t>
  </si>
  <si>
    <t>Arequipa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</si>
</sst>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5" formatCode="&quot;S/.&quot;\ #,##0;&quot;S/.&quot;\ \-#,##0"/>
    <numFmt numFmtId="7" formatCode="&quot;S/.&quot;\ #,##0.00;&quot;S/.&quot;\ \-#,##0.00"/>
    <numFmt numFmtId="8" formatCode="&quot;S/.&quot;\ #,##0.00;[Red]&quot;S/.&quot;\ \-#,##0.00"/>
    <numFmt numFmtId="43" formatCode="_ * #,##0.00_ ;_ * \-#,##0.00_ ;_ * &quot;-&quot;??_ ;_ @_ "/>
    <numFmt numFmtId="164" formatCode="_(* #,##0.00_);_(* \(#,##0.00\);_(* &quot;-&quot;??_);_(@_)"/>
    <numFmt numFmtId="165" formatCode="_([$€]* #,##0.00_);_([$€]* \(#,##0.00\);_([$€]* &quot;-&quot;??_);_(@_)"/>
    <numFmt numFmtId="166" formatCode="_ * #,##0_ ;_ * \-#,##0_ ;_ * &quot;-&quot;??_ ;_ @_ "/>
    <numFmt numFmtId="167" formatCode="_ * #,##0.0_ ;_ * \-#,##0.0_ ;_ * &quot;-&quot;??_ ;_ @_ "/>
    <numFmt numFmtId="168" formatCode="_(* #,##0.0_);_(* \(#,##0.0\);_(* &quot;-&quot;??_);_(@_)"/>
    <numFmt numFmtId="169" formatCode="_(* #,##0_);_(* \(#,##0\);_(* &quot;-&quot;??_);_(@_)"/>
    <numFmt numFmtId="170" formatCode="_(* #,##0.000_);_(* \(#,##0.000\);_(* &quot;-&quot;??_);_(@_)"/>
  </numFmts>
  <fonts count="5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Arial"/>
      <family val="2"/>
    </font>
    <font>
      <u/>
      <sz val="12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7"/>
      <name val="Arial"/>
      <family val="2"/>
    </font>
    <font>
      <sz val="10"/>
      <color indexed="10"/>
      <name val="Arial"/>
      <family val="2"/>
    </font>
    <font>
      <sz val="9"/>
      <name val="Century Schoolbook"/>
      <family val="1"/>
    </font>
    <font>
      <b/>
      <sz val="8"/>
      <color indexed="9"/>
      <name val="Century Schoolbook"/>
      <family val="1"/>
    </font>
    <font>
      <sz val="8"/>
      <name val="Arial Narrow"/>
      <family val="2"/>
    </font>
    <font>
      <b/>
      <sz val="8"/>
      <name val="Century Schoolbook"/>
      <family val="1"/>
    </font>
    <font>
      <sz val="8"/>
      <name val="Century Schoolbook"/>
      <family val="1"/>
    </font>
    <font>
      <sz val="7"/>
      <name val="Century Schoolbook"/>
      <family val="1"/>
    </font>
    <font>
      <sz val="7"/>
      <name val="Arial"/>
      <family val="2"/>
    </font>
    <font>
      <b/>
      <sz val="12"/>
      <color rgb="FF000000"/>
      <name val="Arial"/>
      <family val="2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sz val="10"/>
      <color indexed="9"/>
      <name val="Arial"/>
      <family val="2"/>
    </font>
    <font>
      <b/>
      <sz val="11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"/>
      <family val="2"/>
    </font>
    <font>
      <b/>
      <sz val="13"/>
      <color theme="0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3"/>
      <color theme="0"/>
      <name val="Arial"/>
      <family val="2"/>
    </font>
    <font>
      <b/>
      <sz val="10"/>
      <color theme="0"/>
      <name val="Arial"/>
      <family val="2"/>
    </font>
    <font>
      <sz val="11"/>
      <color theme="0"/>
      <name val="Arial"/>
      <family val="2"/>
    </font>
    <font>
      <u/>
      <sz val="12"/>
      <color theme="0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b/>
      <sz val="7"/>
      <color theme="0"/>
      <name val="Arial"/>
      <family val="2"/>
    </font>
    <font>
      <b/>
      <sz val="11"/>
      <color theme="0"/>
      <name val="Arial"/>
      <family val="2"/>
    </font>
    <font>
      <sz val="9"/>
      <color theme="0"/>
      <name val="Arial"/>
      <family val="2"/>
    </font>
    <font>
      <b/>
      <sz val="16"/>
      <name val="Arial"/>
      <family val="2"/>
    </font>
    <font>
      <b/>
      <u/>
      <sz val="12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name val="Arial"/>
      <family val="2"/>
    </font>
    <font>
      <sz val="7.5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5" fillId="0" borderId="0"/>
    <xf numFmtId="0" fontId="1" fillId="0" borderId="0"/>
    <xf numFmtId="9" fontId="1" fillId="0" borderId="0" applyFont="0" applyFill="0" applyBorder="0" applyAlignment="0" applyProtection="0"/>
  </cellStyleXfs>
  <cellXfs count="1177">
    <xf numFmtId="0" fontId="0" fillId="0" borderId="0" xfId="0"/>
    <xf numFmtId="0" fontId="4" fillId="0" borderId="0" xfId="0" applyFont="1"/>
    <xf numFmtId="0" fontId="3" fillId="0" borderId="0" xfId="0" applyFont="1"/>
    <xf numFmtId="0" fontId="3" fillId="0" borderId="0" xfId="0" applyFont="1" applyFill="1" applyBorder="1"/>
    <xf numFmtId="0" fontId="4" fillId="0" borderId="0" xfId="0" applyFont="1" applyAlignment="1"/>
    <xf numFmtId="0" fontId="4" fillId="0" borderId="0" xfId="0" applyFont="1" applyBorder="1"/>
    <xf numFmtId="0" fontId="3" fillId="0" borderId="0" xfId="0" applyFont="1" applyFill="1" applyBorder="1" applyAlignment="1"/>
    <xf numFmtId="0" fontId="4" fillId="0" borderId="1" xfId="0" applyFont="1" applyBorder="1" applyAlignment="1">
      <alignment horizontal="center" vertical="top" wrapText="1"/>
    </xf>
    <xf numFmtId="0" fontId="3" fillId="0" borderId="0" xfId="0" applyFont="1" applyFill="1"/>
    <xf numFmtId="0" fontId="4" fillId="0" borderId="0" xfId="0" applyFont="1" applyFill="1"/>
    <xf numFmtId="0" fontId="4" fillId="0" borderId="0" xfId="0" applyFont="1" applyFill="1" applyBorder="1" applyAlignment="1">
      <alignment horizontal="left" indent="3"/>
    </xf>
    <xf numFmtId="0" fontId="4" fillId="0" borderId="1" xfId="0" applyFont="1" applyFill="1" applyBorder="1" applyAlignment="1">
      <alignment horizontal="left" indent="1"/>
    </xf>
    <xf numFmtId="0" fontId="4" fillId="0" borderId="0" xfId="0" applyFont="1" applyBorder="1" applyAlignment="1">
      <alignment horizontal="center"/>
    </xf>
    <xf numFmtId="0" fontId="4" fillId="0" borderId="3" xfId="0" applyFont="1" applyFill="1" applyBorder="1" applyAlignment="1">
      <alignment wrapText="1"/>
    </xf>
    <xf numFmtId="0" fontId="4" fillId="0" borderId="5" xfId="0" applyFont="1" applyFill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4" fillId="0" borderId="6" xfId="0" applyFont="1" applyFill="1" applyBorder="1" applyAlignment="1">
      <alignment wrapText="1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/>
    <xf numFmtId="0" fontId="4" fillId="0" borderId="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justify" vertical="center" wrapText="1"/>
    </xf>
    <xf numFmtId="0" fontId="4" fillId="0" borderId="0" xfId="0" applyFont="1" applyBorder="1" applyAlignment="1">
      <alignment horizontal="justify" vertical="center" wrapText="1"/>
    </xf>
    <xf numFmtId="0" fontId="4" fillId="0" borderId="1" xfId="0" applyFont="1" applyBorder="1"/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0" borderId="0" xfId="0" applyFont="1" applyBorder="1" applyAlignment="1">
      <alignment horizontal="left" vertical="center" wrapText="1" indent="2"/>
    </xf>
    <xf numFmtId="4" fontId="4" fillId="0" borderId="0" xfId="0" applyNumberFormat="1" applyFont="1" applyBorder="1" applyAlignment="1">
      <alignment horizontal="center" vertical="center" wrapText="1"/>
    </xf>
    <xf numFmtId="49" fontId="4" fillId="0" borderId="0" xfId="0" applyNumberFormat="1" applyFont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justify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justify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right"/>
    </xf>
    <xf numFmtId="1" fontId="4" fillId="0" borderId="0" xfId="0" applyNumberFormat="1" applyFont="1" applyBorder="1" applyAlignment="1">
      <alignment horizontal="center"/>
    </xf>
    <xf numFmtId="1" fontId="4" fillId="0" borderId="0" xfId="0" applyNumberFormat="1" applyFont="1" applyBorder="1" applyAlignment="1"/>
    <xf numFmtId="0" fontId="4" fillId="0" borderId="0" xfId="0" applyFont="1" applyBorder="1" applyAlignment="1">
      <alignment vertical="center"/>
    </xf>
    <xf numFmtId="1" fontId="4" fillId="0" borderId="1" xfId="0" applyNumberFormat="1" applyFont="1" applyBorder="1" applyAlignment="1"/>
    <xf numFmtId="0" fontId="3" fillId="0" borderId="0" xfId="0" applyFont="1" applyBorder="1" applyAlignment="1"/>
    <xf numFmtId="0" fontId="4" fillId="0" borderId="0" xfId="0" applyFont="1" applyFill="1" applyBorder="1" applyAlignment="1">
      <alignment horizontal="right"/>
    </xf>
    <xf numFmtId="0" fontId="4" fillId="0" borderId="0" xfId="0" applyFont="1" applyBorder="1" applyAlignment="1">
      <alignment vertical="center" wrapText="1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justify"/>
    </xf>
    <xf numFmtId="0" fontId="7" fillId="0" borderId="0" xfId="0" applyFont="1" applyFill="1" applyAlignment="1">
      <alignment horizontal="left"/>
    </xf>
    <xf numFmtId="0" fontId="3" fillId="0" borderId="0" xfId="0" applyFont="1" applyBorder="1"/>
    <xf numFmtId="0" fontId="4" fillId="0" borderId="0" xfId="0" applyFont="1" applyAlignment="1">
      <alignment horizontal="left" indent="1"/>
    </xf>
    <xf numFmtId="0" fontId="4" fillId="0" borderId="0" xfId="0" applyFont="1" applyAlignment="1">
      <alignment horizontal="left" vertical="justify" indent="1"/>
    </xf>
    <xf numFmtId="0" fontId="3" fillId="0" borderId="0" xfId="0" applyFont="1" applyAlignment="1"/>
    <xf numFmtId="0" fontId="4" fillId="0" borderId="0" xfId="0" applyFont="1" applyAlignment="1">
      <alignment horizontal="left"/>
    </xf>
    <xf numFmtId="0" fontId="4" fillId="0" borderId="1" xfId="0" applyFont="1" applyBorder="1" applyAlignment="1">
      <alignment horizontal="left" indent="1"/>
    </xf>
    <xf numFmtId="0" fontId="4" fillId="0" borderId="0" xfId="0" applyFont="1" applyFill="1" applyBorder="1" applyAlignment="1">
      <alignment vertical="center" wrapText="1"/>
    </xf>
    <xf numFmtId="0" fontId="3" fillId="0" borderId="0" xfId="0" applyFont="1" applyAlignment="1">
      <alignment horizontal="left" indent="1"/>
    </xf>
    <xf numFmtId="0" fontId="3" fillId="0" borderId="0" xfId="0" applyFont="1" applyAlignment="1">
      <alignment horizontal="left"/>
    </xf>
    <xf numFmtId="0" fontId="3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3" xfId="0" applyFont="1" applyFill="1" applyBorder="1" applyAlignment="1">
      <alignment horizontal="center" wrapText="1"/>
    </xf>
    <xf numFmtId="0" fontId="3" fillId="0" borderId="0" xfId="0" applyFont="1" applyFill="1" applyBorder="1" applyAlignment="1">
      <alignment horizontal="center" wrapText="1"/>
    </xf>
    <xf numFmtId="0" fontId="3" fillId="0" borderId="34" xfId="0" applyFont="1" applyFill="1" applyBorder="1" applyAlignment="1">
      <alignment horizontal="center" wrapText="1"/>
    </xf>
    <xf numFmtId="0" fontId="4" fillId="0" borderId="5" xfId="0" applyFont="1" applyFill="1" applyBorder="1" applyAlignment="1"/>
    <xf numFmtId="0" fontId="4" fillId="0" borderId="10" xfId="0" applyFont="1" applyFill="1" applyBorder="1" applyAlignment="1">
      <alignment horizontal="left"/>
    </xf>
    <xf numFmtId="0" fontId="4" fillId="0" borderId="5" xfId="0" applyFont="1" applyBorder="1" applyAlignment="1"/>
    <xf numFmtId="0" fontId="4" fillId="0" borderId="5" xfId="0" applyFont="1" applyBorder="1" applyAlignment="1">
      <alignment vertical="center" wrapText="1"/>
    </xf>
    <xf numFmtId="49" fontId="4" fillId="0" borderId="5" xfId="0" applyNumberFormat="1" applyFont="1" applyBorder="1" applyAlignment="1">
      <alignment vertical="center" wrapText="1"/>
    </xf>
    <xf numFmtId="0" fontId="4" fillId="0" borderId="5" xfId="0" applyFont="1" applyBorder="1"/>
    <xf numFmtId="0" fontId="5" fillId="0" borderId="1" xfId="0" applyFont="1" applyFill="1" applyBorder="1" applyAlignment="1">
      <alignment horizontal="center"/>
    </xf>
    <xf numFmtId="0" fontId="4" fillId="0" borderId="33" xfId="0" applyFont="1" applyBorder="1" applyAlignment="1">
      <alignment horizontal="left"/>
    </xf>
    <xf numFmtId="2" fontId="4" fillId="0" borderId="0" xfId="4" applyNumberFormat="1" applyFont="1" applyBorder="1" applyAlignment="1">
      <alignment vertical="center"/>
    </xf>
    <xf numFmtId="2" fontId="4" fillId="0" borderId="0" xfId="0" applyNumberFormat="1" applyFont="1" applyFill="1" applyBorder="1" applyAlignment="1"/>
    <xf numFmtId="0" fontId="21" fillId="5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8" fillId="0" borderId="0" xfId="0" applyFont="1" applyBorder="1" applyAlignment="1"/>
    <xf numFmtId="0" fontId="2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22" fillId="0" borderId="0" xfId="0" applyFont="1"/>
    <xf numFmtId="0" fontId="22" fillId="0" borderId="0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justify" vertical="center" wrapText="1"/>
    </xf>
    <xf numFmtId="0" fontId="11" fillId="0" borderId="0" xfId="0" applyFont="1"/>
    <xf numFmtId="0" fontId="11" fillId="0" borderId="0" xfId="0" applyFont="1" applyFill="1" applyBorder="1" applyAlignment="1">
      <alignment horizontal="justify" vertical="center" wrapText="1"/>
    </xf>
    <xf numFmtId="0" fontId="23" fillId="0" borderId="0" xfId="0" applyFont="1" applyFill="1" applyBorder="1" applyAlignment="1">
      <alignment horizontal="justify" vertical="center" wrapText="1"/>
    </xf>
    <xf numFmtId="0" fontId="23" fillId="0" borderId="0" xfId="0" applyFont="1" applyBorder="1" applyAlignment="1">
      <alignment horizontal="left"/>
    </xf>
    <xf numFmtId="1" fontId="4" fillId="0" borderId="1" xfId="0" applyNumberFormat="1" applyFont="1" applyBorder="1" applyAlignment="1">
      <alignment horizontal="center"/>
    </xf>
    <xf numFmtId="1" fontId="22" fillId="0" borderId="1" xfId="0" applyNumberFormat="1" applyFont="1" applyBorder="1" applyAlignment="1">
      <alignment horizontal="left"/>
    </xf>
    <xf numFmtId="0" fontId="4" fillId="0" borderId="3" xfId="0" applyFont="1" applyBorder="1"/>
    <xf numFmtId="0" fontId="4" fillId="0" borderId="0" xfId="0" applyFont="1" applyBorder="1" applyAlignment="1">
      <alignment horizontal="left" vertical="justify"/>
    </xf>
    <xf numFmtId="0" fontId="5" fillId="2" borderId="0" xfId="3" applyFill="1"/>
    <xf numFmtId="1" fontId="5" fillId="2" borderId="0" xfId="3" applyNumberFormat="1" applyFill="1"/>
    <xf numFmtId="0" fontId="5" fillId="0" borderId="0" xfId="3"/>
    <xf numFmtId="1" fontId="14" fillId="2" borderId="0" xfId="3" applyNumberFormat="1" applyFont="1" applyFill="1"/>
    <xf numFmtId="0" fontId="5" fillId="0" borderId="0" xfId="3" applyFont="1"/>
    <xf numFmtId="1" fontId="15" fillId="3" borderId="0" xfId="3" applyNumberFormat="1" applyFont="1" applyFill="1" applyBorder="1"/>
    <xf numFmtId="0" fontId="16" fillId="2" borderId="0" xfId="3" applyFont="1" applyFill="1"/>
    <xf numFmtId="0" fontId="5" fillId="2" borderId="0" xfId="3" applyFont="1" applyFill="1"/>
    <xf numFmtId="1" fontId="17" fillId="4" borderId="0" xfId="3" applyNumberFormat="1" applyFont="1" applyFill="1" applyBorder="1"/>
    <xf numFmtId="1" fontId="18" fillId="2" borderId="0" xfId="3" quotePrefix="1" applyNumberFormat="1" applyFont="1" applyFill="1" applyBorder="1" applyAlignment="1">
      <alignment horizontal="left"/>
    </xf>
    <xf numFmtId="1" fontId="18" fillId="2" borderId="0" xfId="3" applyNumberFormat="1" applyFont="1" applyFill="1" applyBorder="1"/>
    <xf numFmtId="1" fontId="18" fillId="2" borderId="8" xfId="3" quotePrefix="1" applyNumberFormat="1" applyFont="1" applyFill="1" applyBorder="1" applyAlignment="1">
      <alignment horizontal="left"/>
    </xf>
    <xf numFmtId="1" fontId="18" fillId="2" borderId="8" xfId="3" applyNumberFormat="1" applyFont="1" applyFill="1" applyBorder="1"/>
    <xf numFmtId="1" fontId="17" fillId="4" borderId="8" xfId="3" applyNumberFormat="1" applyFont="1" applyFill="1" applyBorder="1"/>
    <xf numFmtId="1" fontId="18" fillId="2" borderId="3" xfId="3" quotePrefix="1" applyNumberFormat="1" applyFont="1" applyFill="1" applyBorder="1" applyAlignment="1">
      <alignment horizontal="left"/>
    </xf>
    <xf numFmtId="1" fontId="15" fillId="3" borderId="0" xfId="3" quotePrefix="1" applyNumberFormat="1" applyFont="1" applyFill="1" applyBorder="1" applyAlignment="1">
      <alignment horizontal="left"/>
    </xf>
    <xf numFmtId="1" fontId="19" fillId="2" borderId="0" xfId="3" applyNumberFormat="1" applyFont="1" applyFill="1" applyAlignment="1">
      <alignment vertical="center"/>
    </xf>
    <xf numFmtId="1" fontId="20" fillId="2" borderId="0" xfId="3" applyNumberFormat="1" applyFont="1" applyFill="1" applyAlignment="1">
      <alignment vertical="center"/>
    </xf>
    <xf numFmtId="1" fontId="5" fillId="0" borderId="0" xfId="3" applyNumberFormat="1"/>
    <xf numFmtId="1" fontId="19" fillId="2" borderId="0" xfId="3" applyNumberFormat="1" applyFont="1" applyFill="1" applyAlignment="1">
      <alignment horizontal="left" vertical="center" wrapText="1"/>
    </xf>
    <xf numFmtId="1" fontId="19" fillId="2" borderId="0" xfId="3" quotePrefix="1" applyNumberFormat="1" applyFont="1" applyFill="1" applyAlignment="1">
      <alignment horizontal="left" vertical="center" wrapText="1"/>
    </xf>
    <xf numFmtId="0" fontId="4" fillId="0" borderId="0" xfId="0" applyFont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 wrapText="1"/>
    </xf>
    <xf numFmtId="4" fontId="4" fillId="0" borderId="5" xfId="0" applyNumberFormat="1" applyFont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5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9" borderId="1" xfId="0" applyFont="1" applyFill="1" applyBorder="1" applyAlignment="1">
      <alignment horizontal="left" indent="1"/>
    </xf>
    <xf numFmtId="0" fontId="4" fillId="9" borderId="1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left" indent="1"/>
    </xf>
    <xf numFmtId="0" fontId="24" fillId="9" borderId="1" xfId="0" applyFont="1" applyFill="1" applyBorder="1" applyAlignment="1">
      <alignment horizontal="left" vertical="center" indent="3"/>
    </xf>
    <xf numFmtId="0" fontId="21" fillId="5" borderId="10" xfId="0" applyFont="1" applyFill="1" applyBorder="1" applyAlignment="1">
      <alignment vertical="center" wrapText="1"/>
    </xf>
    <xf numFmtId="164" fontId="4" fillId="10" borderId="1" xfId="2" applyNumberFormat="1" applyFont="1" applyFill="1" applyBorder="1" applyAlignment="1">
      <alignment horizontal="center" vertical="center" wrapText="1"/>
    </xf>
    <xf numFmtId="9" fontId="4" fillId="9" borderId="1" xfId="0" applyNumberFormat="1" applyFont="1" applyFill="1" applyBorder="1" applyAlignment="1">
      <alignment horizontal="center" vertical="center" wrapText="1"/>
    </xf>
    <xf numFmtId="166" fontId="4" fillId="10" borderId="1" xfId="0" applyNumberFormat="1" applyFont="1" applyFill="1" applyBorder="1" applyAlignment="1">
      <alignment horizontal="center" vertical="center" wrapText="1"/>
    </xf>
    <xf numFmtId="164" fontId="4" fillId="10" borderId="1" xfId="2" applyFont="1" applyFill="1" applyBorder="1" applyAlignment="1">
      <alignment horizontal="center" vertical="center" wrapText="1"/>
    </xf>
    <xf numFmtId="10" fontId="4" fillId="0" borderId="0" xfId="0" applyNumberFormat="1" applyFont="1"/>
    <xf numFmtId="10" fontId="23" fillId="0" borderId="0" xfId="5" applyNumberFormat="1" applyFont="1" applyBorder="1" applyAlignment="1">
      <alignment horizontal="center" vertical="center"/>
    </xf>
    <xf numFmtId="164" fontId="4" fillId="11" borderId="1" xfId="2" applyFont="1" applyFill="1" applyBorder="1" applyAlignment="1">
      <alignment horizontal="center" vertical="center" wrapText="1"/>
    </xf>
    <xf numFmtId="3" fontId="3" fillId="5" borderId="1" xfId="2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vertical="center"/>
    </xf>
    <xf numFmtId="0" fontId="10" fillId="0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vertical="center" wrapText="1"/>
    </xf>
    <xf numFmtId="2" fontId="11" fillId="0" borderId="1" xfId="0" applyNumberFormat="1" applyFont="1" applyFill="1" applyBorder="1" applyAlignment="1">
      <alignment horizontal="center" vertical="center" wrapText="1"/>
    </xf>
    <xf numFmtId="1" fontId="11" fillId="0" borderId="1" xfId="5" applyNumberFormat="1" applyFont="1" applyBorder="1" applyAlignment="1">
      <alignment horizontal="center"/>
    </xf>
    <xf numFmtId="164" fontId="11" fillId="7" borderId="1" xfId="2" applyFont="1" applyFill="1" applyBorder="1" applyAlignment="1">
      <alignment horizontal="center" vertical="center" wrapText="1"/>
    </xf>
    <xf numFmtId="164" fontId="10" fillId="7" borderId="1" xfId="2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indent="1" shrinkToFit="1"/>
    </xf>
    <xf numFmtId="4" fontId="11" fillId="7" borderId="1" xfId="2" applyNumberFormat="1" applyFont="1" applyFill="1" applyBorder="1" applyAlignment="1">
      <alignment horizontal="center" vertical="center" wrapText="1"/>
    </xf>
    <xf numFmtId="4" fontId="10" fillId="7" borderId="1" xfId="2" applyNumberFormat="1" applyFont="1" applyFill="1" applyBorder="1" applyAlignment="1">
      <alignment horizontal="center" vertical="center" wrapText="1"/>
    </xf>
    <xf numFmtId="2" fontId="11" fillId="7" borderId="1" xfId="0" applyNumberFormat="1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/>
    </xf>
    <xf numFmtId="0" fontId="1" fillId="2" borderId="0" xfId="3" applyFont="1" applyFill="1"/>
    <xf numFmtId="10" fontId="10" fillId="11" borderId="1" xfId="2" applyNumberFormat="1" applyFont="1" applyFill="1" applyBorder="1" applyAlignment="1">
      <alignment horizontal="right" vertical="center" wrapText="1"/>
    </xf>
    <xf numFmtId="0" fontId="1" fillId="0" borderId="0" xfId="0" applyFont="1"/>
    <xf numFmtId="0" fontId="1" fillId="9" borderId="1" xfId="0" applyFont="1" applyFill="1" applyBorder="1" applyAlignment="1">
      <alignment horizontal="left" indent="1"/>
    </xf>
    <xf numFmtId="0" fontId="1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/>
    </xf>
    <xf numFmtId="4" fontId="4" fillId="9" borderId="1" xfId="0" applyNumberFormat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justify" vertical="center" wrapText="1"/>
    </xf>
    <xf numFmtId="0" fontId="2" fillId="0" borderId="1" xfId="0" applyFont="1" applyFill="1" applyBorder="1" applyAlignment="1">
      <alignment horizontal="center" vertical="center" wrapText="1"/>
    </xf>
    <xf numFmtId="166" fontId="1" fillId="9" borderId="1" xfId="0" applyNumberFormat="1" applyFont="1" applyFill="1" applyBorder="1" applyAlignment="1">
      <alignment horizontal="justify" vertical="center" wrapText="1"/>
    </xf>
    <xf numFmtId="0" fontId="11" fillId="0" borderId="0" xfId="0" applyFont="1" applyFill="1" applyBorder="1" applyAlignment="1">
      <alignment horizontal="left" vertical="center" wrapText="1" indent="2"/>
    </xf>
    <xf numFmtId="0" fontId="11" fillId="0" borderId="0" xfId="0" applyFont="1" applyFill="1" applyBorder="1" applyAlignment="1">
      <alignment horizontal="center" vertical="center" wrapText="1"/>
    </xf>
    <xf numFmtId="2" fontId="29" fillId="0" borderId="0" xfId="0" applyNumberFormat="1" applyFont="1" applyFill="1" applyBorder="1" applyAlignment="1">
      <alignment horizontal="center" vertical="center" wrapText="1"/>
    </xf>
    <xf numFmtId="164" fontId="29" fillId="0" borderId="0" xfId="2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0" xfId="0" applyFont="1" applyAlignment="1">
      <alignment horizontal="left" vertical="justify"/>
    </xf>
    <xf numFmtId="0" fontId="8" fillId="0" borderId="0" xfId="0" applyFont="1" applyBorder="1" applyAlignment="1">
      <alignment horizontal="center"/>
    </xf>
    <xf numFmtId="0" fontId="6" fillId="0" borderId="1" xfId="0" applyFont="1" applyFill="1" applyBorder="1" applyAlignment="1">
      <alignment horizontal="justify" vertical="center" wrapText="1"/>
    </xf>
    <xf numFmtId="0" fontId="26" fillId="0" borderId="1" xfId="0" applyFont="1" applyFill="1" applyBorder="1" applyAlignment="1">
      <alignment horizontal="justify" vertical="center" wrapText="1"/>
    </xf>
    <xf numFmtId="1" fontId="1" fillId="0" borderId="0" xfId="0" applyNumberFormat="1" applyFont="1" applyBorder="1" applyAlignment="1">
      <alignment horizontal="center"/>
    </xf>
    <xf numFmtId="0" fontId="30" fillId="0" borderId="0" xfId="0" applyFont="1" applyAlignment="1">
      <alignment vertical="center"/>
    </xf>
    <xf numFmtId="0" fontId="31" fillId="2" borderId="0" xfId="0" applyFont="1" applyFill="1" applyAlignment="1">
      <alignment horizontal="left"/>
    </xf>
    <xf numFmtId="0" fontId="1" fillId="0" borderId="0" xfId="0" applyFont="1" applyBorder="1"/>
    <xf numFmtId="0" fontId="1" fillId="0" borderId="0" xfId="0" applyFont="1" applyAlignment="1">
      <alignment horizontal="left"/>
    </xf>
    <xf numFmtId="0" fontId="1" fillId="0" borderId="0" xfId="0" applyFont="1" applyBorder="1" applyAlignment="1">
      <alignment horizontal="left"/>
    </xf>
    <xf numFmtId="0" fontId="1" fillId="5" borderId="0" xfId="0" applyFont="1" applyFill="1"/>
    <xf numFmtId="0" fontId="6" fillId="0" borderId="0" xfId="0" applyFont="1"/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Border="1"/>
    <xf numFmtId="0" fontId="6" fillId="0" borderId="0" xfId="0" applyFont="1" applyAlignment="1">
      <alignment horizontal="left" vertical="justify" indent="1"/>
    </xf>
    <xf numFmtId="0" fontId="6" fillId="0" borderId="0" xfId="0" applyFont="1" applyBorder="1" applyAlignment="1"/>
    <xf numFmtId="0" fontId="6" fillId="9" borderId="1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4" fillId="0" borderId="1" xfId="0" applyFont="1" applyFill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wrapText="1"/>
    </xf>
    <xf numFmtId="0" fontId="4" fillId="0" borderId="0" xfId="0" applyFont="1" applyFill="1" applyBorder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4" fillId="7" borderId="12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0" fontId="4" fillId="0" borderId="1" xfId="0" applyFont="1" applyFill="1" applyBorder="1" applyAlignment="1">
      <alignment wrapText="1"/>
    </xf>
    <xf numFmtId="0" fontId="8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 indent="2"/>
    </xf>
    <xf numFmtId="0" fontId="4" fillId="7" borderId="1" xfId="0" applyFont="1" applyFill="1" applyBorder="1" applyAlignment="1">
      <alignment horizontal="left" wrapText="1"/>
    </xf>
    <xf numFmtId="43" fontId="3" fillId="0" borderId="0" xfId="0" applyNumberFormat="1" applyFont="1" applyBorder="1" applyAlignment="1"/>
    <xf numFmtId="0" fontId="1" fillId="0" borderId="0" xfId="0" applyFont="1" applyAlignment="1">
      <alignment horizontal="left" indent="1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left"/>
    </xf>
    <xf numFmtId="0" fontId="4" fillId="0" borderId="49" xfId="0" applyFont="1" applyFill="1" applyBorder="1" applyAlignment="1">
      <alignment horizontal="left" indent="1"/>
    </xf>
    <xf numFmtId="0" fontId="3" fillId="0" borderId="50" xfId="0" applyFont="1" applyFill="1" applyBorder="1"/>
    <xf numFmtId="0" fontId="3" fillId="0" borderId="51" xfId="0" applyFont="1" applyFill="1" applyBorder="1"/>
    <xf numFmtId="0" fontId="4" fillId="0" borderId="42" xfId="0" applyFont="1" applyBorder="1"/>
    <xf numFmtId="0" fontId="4" fillId="0" borderId="43" xfId="0" applyFont="1" applyBorder="1"/>
    <xf numFmtId="0" fontId="4" fillId="0" borderId="31" xfId="0" applyFont="1" applyBorder="1"/>
    <xf numFmtId="0" fontId="4" fillId="0" borderId="0" xfId="0" applyFont="1" applyFill="1" applyBorder="1" applyAlignment="1">
      <alignment horizontal="center"/>
    </xf>
    <xf numFmtId="0" fontId="4" fillId="0" borderId="0" xfId="0" applyFont="1"/>
    <xf numFmtId="0" fontId="31" fillId="0" borderId="0" xfId="0" applyFont="1" applyFill="1" applyBorder="1" applyAlignment="1"/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4" fillId="0" borderId="26" xfId="0" applyFont="1" applyFill="1" applyBorder="1" applyAlignment="1">
      <alignment horizontal="left" indent="1"/>
    </xf>
    <xf numFmtId="0" fontId="4" fillId="0" borderId="0" xfId="0" applyFont="1"/>
    <xf numFmtId="0" fontId="4" fillId="0" borderId="49" xfId="0" applyFont="1" applyFill="1" applyBorder="1"/>
    <xf numFmtId="0" fontId="6" fillId="0" borderId="0" xfId="0" applyFont="1" applyFill="1"/>
    <xf numFmtId="0" fontId="36" fillId="0" borderId="0" xfId="0" applyFont="1"/>
    <xf numFmtId="0" fontId="37" fillId="0" borderId="0" xfId="0" applyFont="1" applyBorder="1" applyAlignment="1"/>
    <xf numFmtId="0" fontId="35" fillId="0" borderId="0" xfId="0" applyFont="1" applyBorder="1" applyAlignment="1"/>
    <xf numFmtId="0" fontId="35" fillId="0" borderId="0" xfId="0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36" fillId="7" borderId="0" xfId="0" applyFont="1" applyFill="1" applyAlignment="1">
      <alignment horizontal="center"/>
    </xf>
    <xf numFmtId="0" fontId="37" fillId="0" borderId="0" xfId="0" applyFont="1"/>
    <xf numFmtId="0" fontId="36" fillId="0" borderId="0" xfId="0" applyFont="1" applyBorder="1"/>
    <xf numFmtId="0" fontId="36" fillId="0" borderId="0" xfId="0" applyFont="1" applyBorder="1" applyAlignment="1"/>
    <xf numFmtId="0" fontId="37" fillId="0" borderId="0" xfId="0" applyFont="1" applyFill="1" applyBorder="1"/>
    <xf numFmtId="0" fontId="37" fillId="0" borderId="0" xfId="0" applyFont="1" applyBorder="1"/>
    <xf numFmtId="0" fontId="36" fillId="0" borderId="0" xfId="0" applyFont="1" applyBorder="1" applyAlignment="1">
      <alignment vertical="top"/>
    </xf>
    <xf numFmtId="0" fontId="36" fillId="0" borderId="0" xfId="0" applyFont="1" applyAlignment="1"/>
    <xf numFmtId="0" fontId="37" fillId="0" borderId="10" xfId="0" applyFont="1" applyFill="1" applyBorder="1" applyAlignment="1">
      <alignment vertical="center" wrapText="1"/>
    </xf>
    <xf numFmtId="0" fontId="37" fillId="0" borderId="11" xfId="0" applyFont="1" applyFill="1" applyBorder="1" applyAlignment="1">
      <alignment vertical="center" wrapText="1"/>
    </xf>
    <xf numFmtId="0" fontId="37" fillId="0" borderId="12" xfId="0" applyFont="1" applyFill="1" applyBorder="1" applyAlignment="1">
      <alignment vertical="center" wrapText="1"/>
    </xf>
    <xf numFmtId="0" fontId="36" fillId="0" borderId="0" xfId="0" applyFont="1" applyBorder="1" applyAlignment="1">
      <alignment horizontal="center" vertical="top" wrapText="1"/>
    </xf>
    <xf numFmtId="0" fontId="36" fillId="0" borderId="0" xfId="0" applyFont="1" applyAlignment="1">
      <alignment horizontal="left" indent="1"/>
    </xf>
    <xf numFmtId="0" fontId="36" fillId="0" borderId="5" xfId="0" applyFont="1" applyBorder="1" applyAlignment="1"/>
    <xf numFmtId="0" fontId="36" fillId="0" borderId="10" xfId="0" applyFont="1" applyBorder="1" applyAlignment="1"/>
    <xf numFmtId="0" fontId="36" fillId="0" borderId="11" xfId="0" applyFont="1" applyBorder="1" applyAlignment="1"/>
    <xf numFmtId="0" fontId="36" fillId="0" borderId="12" xfId="0" applyFont="1" applyBorder="1" applyAlignment="1"/>
    <xf numFmtId="0" fontId="36" fillId="0" borderId="10" xfId="0" applyFont="1" applyBorder="1" applyAlignment="1">
      <alignment horizontal="left" indent="3"/>
    </xf>
    <xf numFmtId="0" fontId="36" fillId="0" borderId="10" xfId="0" applyFont="1" applyBorder="1" applyAlignment="1">
      <alignment horizontal="left"/>
    </xf>
    <xf numFmtId="0" fontId="36" fillId="0" borderId="11" xfId="0" applyFont="1" applyBorder="1" applyAlignment="1">
      <alignment horizontal="center"/>
    </xf>
    <xf numFmtId="0" fontId="36" fillId="0" borderId="12" xfId="0" applyFont="1" applyBorder="1" applyAlignment="1">
      <alignment horizontal="center"/>
    </xf>
    <xf numFmtId="0" fontId="36" fillId="0" borderId="0" xfId="0" applyFont="1" applyBorder="1" applyAlignment="1">
      <alignment horizontal="left" indent="3"/>
    </xf>
    <xf numFmtId="0" fontId="36" fillId="0" borderId="3" xfId="0" applyFont="1" applyBorder="1" applyAlignment="1"/>
    <xf numFmtId="0" fontId="36" fillId="0" borderId="3" xfId="0" applyFont="1" applyBorder="1"/>
    <xf numFmtId="0" fontId="36" fillId="0" borderId="10" xfId="0" applyFont="1" applyBorder="1" applyAlignment="1">
      <alignment vertical="center" wrapText="1"/>
    </xf>
    <xf numFmtId="0" fontId="36" fillId="0" borderId="11" xfId="0" applyFont="1" applyBorder="1" applyAlignment="1">
      <alignment vertical="center" wrapText="1"/>
    </xf>
    <xf numFmtId="0" fontId="36" fillId="0" borderId="12" xfId="0" applyFont="1" applyBorder="1" applyAlignment="1">
      <alignment vertical="center" wrapText="1"/>
    </xf>
    <xf numFmtId="0" fontId="36" fillId="0" borderId="0" xfId="0" applyFont="1" applyBorder="1" applyAlignment="1">
      <alignment vertical="center" wrapText="1"/>
    </xf>
    <xf numFmtId="0" fontId="36" fillId="0" borderId="0" xfId="0" applyFont="1" applyAlignment="1">
      <alignment horizontal="left" vertical="justify"/>
    </xf>
    <xf numFmtId="0" fontId="36" fillId="0" borderId="0" xfId="0" applyFont="1" applyBorder="1" applyAlignment="1">
      <alignment horizontal="left" vertical="justify"/>
    </xf>
    <xf numFmtId="0" fontId="36" fillId="0" borderId="0" xfId="0" applyFont="1" applyAlignment="1">
      <alignment horizontal="left" vertical="justify" indent="1"/>
    </xf>
    <xf numFmtId="0" fontId="36" fillId="0" borderId="0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left" vertical="justify" indent="1"/>
    </xf>
    <xf numFmtId="0" fontId="36" fillId="0" borderId="1" xfId="0" applyFont="1" applyBorder="1" applyAlignment="1">
      <alignment horizontal="center" vertical="center" wrapText="1"/>
    </xf>
    <xf numFmtId="0" fontId="36" fillId="0" borderId="0" xfId="0" applyFont="1" applyAlignment="1">
      <alignment horizontal="center" vertical="justify"/>
    </xf>
    <xf numFmtId="0" fontId="36" fillId="0" borderId="10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6" fillId="0" borderId="6" xfId="0" applyFont="1" applyBorder="1" applyAlignment="1">
      <alignment horizontal="left" vertical="justify"/>
    </xf>
    <xf numFmtId="0" fontId="36" fillId="0" borderId="5" xfId="0" applyFont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left" indent="1"/>
    </xf>
    <xf numFmtId="0" fontId="36" fillId="0" borderId="0" xfId="0" applyFont="1" applyFill="1" applyBorder="1" applyAlignment="1">
      <alignment horizontal="left" indent="3"/>
    </xf>
    <xf numFmtId="0" fontId="37" fillId="0" borderId="0" xfId="0" applyFont="1" applyAlignment="1"/>
    <xf numFmtId="0" fontId="37" fillId="0" borderId="0" xfId="0" applyFont="1" applyFill="1" applyBorder="1" applyAlignment="1"/>
    <xf numFmtId="0" fontId="36" fillId="0" borderId="0" xfId="0" applyFont="1" applyAlignment="1">
      <alignment horizontal="left"/>
    </xf>
    <xf numFmtId="0" fontId="36" fillId="0" borderId="1" xfId="0" applyFont="1" applyBorder="1" applyAlignment="1">
      <alignment horizontal="left" indent="1"/>
    </xf>
    <xf numFmtId="0" fontId="36" fillId="0" borderId="0" xfId="0" applyFont="1" applyBorder="1" applyAlignment="1">
      <alignment horizontal="left" indent="1"/>
    </xf>
    <xf numFmtId="0" fontId="36" fillId="0" borderId="0" xfId="0" applyFont="1" applyBorder="1" applyAlignment="1">
      <alignment horizontal="justify" vertical="center" wrapText="1"/>
    </xf>
    <xf numFmtId="0" fontId="36" fillId="0" borderId="11" xfId="0" applyFont="1" applyBorder="1" applyAlignment="1">
      <alignment horizontal="justify" vertical="center" wrapText="1"/>
    </xf>
    <xf numFmtId="0" fontId="36" fillId="0" borderId="11" xfId="0" applyFont="1" applyBorder="1" applyAlignment="1">
      <alignment horizontal="left" indent="1"/>
    </xf>
    <xf numFmtId="0" fontId="36" fillId="0" borderId="1" xfId="0" applyFont="1" applyBorder="1" applyAlignment="1">
      <alignment horizontal="center"/>
    </xf>
    <xf numFmtId="0" fontId="36" fillId="0" borderId="1" xfId="0" applyFont="1" applyFill="1" applyBorder="1" applyAlignment="1">
      <alignment horizontal="center"/>
    </xf>
    <xf numFmtId="0" fontId="36" fillId="0" borderId="1" xfId="0" applyFont="1" applyBorder="1"/>
    <xf numFmtId="0" fontId="36" fillId="0" borderId="0" xfId="0" applyFont="1" applyBorder="1" applyAlignment="1">
      <alignment vertical="center"/>
    </xf>
    <xf numFmtId="0" fontId="36" fillId="0" borderId="5" xfId="0" applyFont="1" applyBorder="1" applyAlignment="1">
      <alignment vertical="center" wrapText="1"/>
    </xf>
    <xf numFmtId="0" fontId="36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center" wrapText="1"/>
    </xf>
    <xf numFmtId="0" fontId="36" fillId="0" borderId="0" xfId="0" applyFont="1" applyFill="1" applyBorder="1"/>
    <xf numFmtId="0" fontId="36" fillId="0" borderId="0" xfId="0" applyFont="1" applyFill="1" applyBorder="1" applyAlignment="1"/>
    <xf numFmtId="0" fontId="36" fillId="0" borderId="0" xfId="0" applyFont="1" applyFill="1"/>
    <xf numFmtId="0" fontId="36" fillId="0" borderId="2" xfId="0" applyFont="1" applyBorder="1" applyAlignment="1">
      <alignment horizontal="justify" vertical="center" wrapText="1"/>
    </xf>
    <xf numFmtId="0" fontId="36" fillId="0" borderId="3" xfId="0" applyFont="1" applyBorder="1" applyAlignment="1">
      <alignment horizontal="justify" vertical="center" wrapText="1"/>
    </xf>
    <xf numFmtId="0" fontId="36" fillId="0" borderId="4" xfId="0" applyFont="1" applyBorder="1" applyAlignment="1">
      <alignment horizontal="justify" vertical="center" wrapText="1"/>
    </xf>
    <xf numFmtId="0" fontId="36" fillId="0" borderId="7" xfId="0" applyFont="1" applyBorder="1" applyAlignment="1">
      <alignment horizontal="left" vertical="center"/>
    </xf>
    <xf numFmtId="0" fontId="36" fillId="0" borderId="8" xfId="0" applyFont="1" applyBorder="1" applyAlignment="1">
      <alignment vertical="center" wrapText="1"/>
    </xf>
    <xf numFmtId="0" fontId="36" fillId="0" borderId="8" xfId="0" applyFont="1" applyBorder="1"/>
    <xf numFmtId="0" fontId="36" fillId="0" borderId="8" xfId="0" applyFont="1" applyBorder="1" applyAlignment="1"/>
    <xf numFmtId="0" fontId="36" fillId="0" borderId="9" xfId="0" applyFont="1" applyBorder="1" applyAlignment="1"/>
    <xf numFmtId="0" fontId="36" fillId="0" borderId="0" xfId="0" applyFont="1" applyBorder="1" applyAlignment="1">
      <alignment horizontal="left" vertical="center" wrapText="1" indent="2"/>
    </xf>
    <xf numFmtId="4" fontId="36" fillId="0" borderId="0" xfId="0" applyNumberFormat="1" applyFont="1" applyBorder="1" applyAlignment="1">
      <alignment horizontal="center" vertical="center" wrapText="1"/>
    </xf>
    <xf numFmtId="49" fontId="36" fillId="0" borderId="0" xfId="0" applyNumberFormat="1" applyFont="1" applyBorder="1" applyAlignment="1">
      <alignment horizontal="center" vertical="center" wrapText="1"/>
    </xf>
    <xf numFmtId="0" fontId="36" fillId="5" borderId="0" xfId="0" applyFont="1" applyFill="1" applyAlignment="1">
      <alignment horizontal="left"/>
    </xf>
    <xf numFmtId="49" fontId="36" fillId="0" borderId="5" xfId="0" applyNumberFormat="1" applyFont="1" applyBorder="1" applyAlignment="1">
      <alignment vertical="center" wrapText="1"/>
    </xf>
    <xf numFmtId="49" fontId="36" fillId="0" borderId="0" xfId="0" applyNumberFormat="1" applyFont="1" applyBorder="1" applyAlignment="1">
      <alignment vertical="center" wrapText="1"/>
    </xf>
    <xf numFmtId="4" fontId="36" fillId="0" borderId="1" xfId="0" applyNumberFormat="1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0" fontId="36" fillId="6" borderId="1" xfId="0" applyFont="1" applyFill="1" applyBorder="1" applyAlignment="1">
      <alignment horizontal="left" vertical="center" indent="3"/>
    </xf>
    <xf numFmtId="0" fontId="41" fillId="0" borderId="0" xfId="0" applyFont="1" applyBorder="1" applyAlignment="1">
      <alignment horizontal="justify" vertical="center" wrapText="1"/>
    </xf>
    <xf numFmtId="0" fontId="36" fillId="0" borderId="1" xfId="0" applyFont="1" applyFill="1" applyBorder="1" applyAlignment="1"/>
    <xf numFmtId="0" fontId="36" fillId="0" borderId="1" xfId="0" applyFont="1" applyBorder="1" applyAlignment="1"/>
    <xf numFmtId="0" fontId="36" fillId="0" borderId="3" xfId="0" applyFont="1" applyFill="1" applyBorder="1" applyAlignment="1">
      <alignment horizontal="left" wrapText="1"/>
    </xf>
    <xf numFmtId="0" fontId="36" fillId="0" borderId="3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left" wrapText="1"/>
    </xf>
    <xf numFmtId="0" fontId="36" fillId="0" borderId="0" xfId="0" applyFont="1" applyFill="1" applyBorder="1" applyAlignment="1">
      <alignment horizontal="center"/>
    </xf>
    <xf numFmtId="0" fontId="36" fillId="0" borderId="5" xfId="0" applyFont="1" applyBorder="1"/>
    <xf numFmtId="0" fontId="36" fillId="0" borderId="10" xfId="0" applyFont="1" applyFill="1" applyBorder="1" applyAlignment="1">
      <alignment vertical="center" wrapText="1"/>
    </xf>
    <xf numFmtId="0" fontId="36" fillId="0" borderId="11" xfId="0" applyFont="1" applyFill="1" applyBorder="1" applyAlignment="1">
      <alignment vertical="center" wrapText="1"/>
    </xf>
    <xf numFmtId="0" fontId="36" fillId="0" borderId="12" xfId="0" applyFont="1" applyFill="1" applyBorder="1" applyAlignment="1">
      <alignment vertical="center" wrapText="1"/>
    </xf>
    <xf numFmtId="0" fontId="36" fillId="0" borderId="10" xfId="0" applyFont="1" applyFill="1" applyBorder="1" applyAlignment="1"/>
    <xf numFmtId="0" fontId="36" fillId="0" borderId="11" xfId="0" applyFont="1" applyFill="1" applyBorder="1" applyAlignment="1"/>
    <xf numFmtId="0" fontId="36" fillId="0" borderId="12" xfId="0" applyFont="1" applyFill="1" applyBorder="1" applyAlignment="1"/>
    <xf numFmtId="0" fontId="36" fillId="0" borderId="10" xfId="0" applyFont="1" applyFill="1" applyBorder="1" applyAlignment="1">
      <alignment horizontal="center" vertical="center" wrapText="1"/>
    </xf>
    <xf numFmtId="0" fontId="36" fillId="0" borderId="11" xfId="0" applyFont="1" applyFill="1" applyBorder="1" applyAlignment="1">
      <alignment horizontal="left" vertical="center" wrapText="1"/>
    </xf>
    <xf numFmtId="0" fontId="36" fillId="0" borderId="12" xfId="0" applyFont="1" applyFill="1" applyBorder="1" applyAlignment="1">
      <alignment horizontal="left" vertical="center" wrapText="1"/>
    </xf>
    <xf numFmtId="0" fontId="36" fillId="0" borderId="0" xfId="0" applyFont="1" applyFill="1" applyBorder="1" applyAlignment="1">
      <alignment horizontal="center" wrapText="1"/>
    </xf>
    <xf numFmtId="0" fontId="36" fillId="0" borderId="0" xfId="0" applyFont="1" applyFill="1" applyBorder="1" applyAlignment="1">
      <alignment horizontal="left"/>
    </xf>
    <xf numFmtId="0" fontId="36" fillId="0" borderId="5" xfId="0" applyFont="1" applyFill="1" applyBorder="1" applyAlignment="1"/>
    <xf numFmtId="0" fontId="36" fillId="0" borderId="10" xfId="0" applyFont="1" applyFill="1" applyBorder="1" applyAlignment="1">
      <alignment horizontal="left"/>
    </xf>
    <xf numFmtId="0" fontId="36" fillId="0" borderId="11" xfId="0" applyFont="1" applyFill="1" applyBorder="1" applyAlignment="1">
      <alignment horizontal="left"/>
    </xf>
    <xf numFmtId="0" fontId="34" fillId="0" borderId="1" xfId="0" applyFont="1" applyFill="1" applyBorder="1" applyAlignment="1">
      <alignment horizontal="center"/>
    </xf>
    <xf numFmtId="0" fontId="41" fillId="0" borderId="0" xfId="0" applyFont="1" applyFill="1" applyBorder="1" applyAlignment="1">
      <alignment horizontal="left" wrapText="1"/>
    </xf>
    <xf numFmtId="0" fontId="36" fillId="0" borderId="0" xfId="0" applyNumberFormat="1" applyFont="1" applyFill="1" applyBorder="1" applyAlignment="1">
      <alignment horizontal="left"/>
    </xf>
    <xf numFmtId="0" fontId="36" fillId="0" borderId="1" xfId="0" applyFont="1" applyFill="1" applyBorder="1" applyAlignment="1">
      <alignment horizontal="left" wrapText="1"/>
    </xf>
    <xf numFmtId="0" fontId="36" fillId="0" borderId="10" xfId="0" applyNumberFormat="1" applyFont="1" applyFill="1" applyBorder="1" applyAlignment="1">
      <alignment horizontal="left"/>
    </xf>
    <xf numFmtId="0" fontId="36" fillId="0" borderId="11" xfId="0" applyFont="1" applyFill="1" applyBorder="1" applyAlignment="1">
      <alignment horizontal="left" wrapText="1"/>
    </xf>
    <xf numFmtId="0" fontId="36" fillId="0" borderId="12" xfId="0" applyFont="1" applyFill="1" applyBorder="1" applyAlignment="1">
      <alignment horizontal="left" wrapText="1"/>
    </xf>
    <xf numFmtId="0" fontId="36" fillId="7" borderId="1" xfId="0" applyFont="1" applyFill="1" applyBorder="1" applyAlignment="1">
      <alignment horizontal="left" wrapText="1"/>
    </xf>
    <xf numFmtId="0" fontId="36" fillId="0" borderId="0" xfId="0" applyFont="1" applyFill="1" applyBorder="1" applyAlignment="1">
      <alignment horizontal="justify" vertical="center" wrapText="1"/>
    </xf>
    <xf numFmtId="0" fontId="34" fillId="0" borderId="0" xfId="0" applyFont="1" applyFill="1" applyBorder="1" applyAlignment="1">
      <alignment horizontal="justify" vertical="center" wrapText="1"/>
    </xf>
    <xf numFmtId="0" fontId="37" fillId="0" borderId="0" xfId="0" applyFont="1" applyAlignment="1">
      <alignment horizontal="left" indent="1"/>
    </xf>
    <xf numFmtId="10" fontId="34" fillId="0" borderId="37" xfId="5" applyNumberFormat="1" applyFont="1" applyBorder="1" applyAlignment="1">
      <alignment horizontal="center" vertical="center"/>
    </xf>
    <xf numFmtId="10" fontId="34" fillId="0" borderId="38" xfId="5" applyNumberFormat="1" applyFont="1" applyBorder="1" applyAlignment="1">
      <alignment horizontal="center" vertical="center"/>
    </xf>
    <xf numFmtId="10" fontId="34" fillId="0" borderId="39" xfId="5" applyNumberFormat="1" applyFont="1" applyBorder="1" applyAlignment="1">
      <alignment horizontal="center" vertical="center"/>
    </xf>
    <xf numFmtId="10" fontId="34" fillId="0" borderId="40" xfId="5" applyNumberFormat="1" applyFont="1" applyBorder="1" applyAlignment="1">
      <alignment horizontal="center" vertical="center"/>
    </xf>
    <xf numFmtId="0" fontId="36" fillId="0" borderId="3" xfId="0" applyFont="1" applyFill="1" applyBorder="1" applyAlignment="1">
      <alignment horizontal="center" vertical="center" wrapText="1"/>
    </xf>
    <xf numFmtId="0" fontId="36" fillId="0" borderId="11" xfId="0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vertical="center" wrapText="1"/>
    </xf>
    <xf numFmtId="0" fontId="36" fillId="0" borderId="1" xfId="0" applyFont="1" applyFill="1" applyBorder="1" applyAlignment="1">
      <alignment horizontal="justify" vertical="center" wrapText="1"/>
    </xf>
    <xf numFmtId="169" fontId="34" fillId="0" borderId="1" xfId="2" applyNumberFormat="1" applyFont="1" applyFill="1" applyBorder="1" applyAlignment="1">
      <alignment horizontal="right" vertical="center" wrapText="1"/>
    </xf>
    <xf numFmtId="169" fontId="34" fillId="0" borderId="1" xfId="2" applyNumberFormat="1" applyFont="1" applyFill="1" applyBorder="1" applyAlignment="1">
      <alignment horizontal="justify" vertical="center" wrapText="1"/>
    </xf>
    <xf numFmtId="0" fontId="34" fillId="0" borderId="1" xfId="0" applyFont="1" applyFill="1" applyBorder="1" applyAlignment="1">
      <alignment horizontal="right" vertical="center" wrapText="1"/>
    </xf>
    <xf numFmtId="169" fontId="34" fillId="0" borderId="1" xfId="0" applyNumberFormat="1" applyFont="1" applyFill="1" applyBorder="1" applyAlignment="1">
      <alignment horizontal="right" vertical="center" wrapText="1"/>
    </xf>
    <xf numFmtId="1" fontId="36" fillId="0" borderId="1" xfId="0" applyNumberFormat="1" applyFont="1" applyFill="1" applyBorder="1" applyAlignment="1">
      <alignment horizontal="center" vertical="center" wrapText="1"/>
    </xf>
    <xf numFmtId="0" fontId="37" fillId="0" borderId="1" xfId="0" applyFont="1" applyFill="1" applyBorder="1" applyAlignment="1">
      <alignment horizontal="center" vertical="center" wrapText="1"/>
    </xf>
    <xf numFmtId="164" fontId="36" fillId="0" borderId="1" xfId="2" applyFont="1" applyFill="1" applyBorder="1" applyAlignment="1">
      <alignment horizontal="justify" vertical="center" wrapText="1"/>
    </xf>
    <xf numFmtId="0" fontId="36" fillId="5" borderId="1" xfId="0" applyFont="1" applyFill="1" applyBorder="1" applyAlignment="1">
      <alignment horizontal="center"/>
    </xf>
    <xf numFmtId="0" fontId="36" fillId="7" borderId="1" xfId="0" applyFont="1" applyFill="1" applyBorder="1" applyAlignment="1">
      <alignment horizontal="center" vertical="center" wrapText="1"/>
    </xf>
    <xf numFmtId="164" fontId="36" fillId="5" borderId="1" xfId="2" applyNumberFormat="1" applyFont="1" applyFill="1" applyBorder="1" applyAlignment="1">
      <alignment horizontal="center" vertical="center" wrapText="1"/>
    </xf>
    <xf numFmtId="9" fontId="36" fillId="7" borderId="1" xfId="0" applyNumberFormat="1" applyFont="1" applyFill="1" applyBorder="1" applyAlignment="1">
      <alignment horizontal="center" vertical="center" wrapText="1"/>
    </xf>
    <xf numFmtId="166" fontId="36" fillId="5" borderId="1" xfId="0" applyNumberFormat="1" applyFont="1" applyFill="1" applyBorder="1" applyAlignment="1">
      <alignment horizontal="center" vertical="center" wrapText="1"/>
    </xf>
    <xf numFmtId="164" fontId="36" fillId="5" borderId="1" xfId="2" applyFont="1" applyFill="1" applyBorder="1" applyAlignment="1">
      <alignment horizontal="center" vertical="center" wrapText="1"/>
    </xf>
    <xf numFmtId="43" fontId="36" fillId="0" borderId="1" xfId="0" applyNumberFormat="1" applyFont="1" applyBorder="1"/>
    <xf numFmtId="0" fontId="36" fillId="0" borderId="1" xfId="0" applyFont="1" applyFill="1" applyBorder="1" applyAlignment="1">
      <alignment horizontal="center" vertical="center" wrapText="1"/>
    </xf>
    <xf numFmtId="9" fontId="36" fillId="0" borderId="1" xfId="0" applyNumberFormat="1" applyFont="1" applyFill="1" applyBorder="1" applyAlignment="1">
      <alignment horizontal="center" vertical="center" wrapText="1"/>
    </xf>
    <xf numFmtId="164" fontId="36" fillId="0" borderId="3" xfId="2" applyFont="1" applyFill="1" applyBorder="1" applyAlignment="1">
      <alignment horizontal="justify" vertical="center" wrapText="1"/>
    </xf>
    <xf numFmtId="164" fontId="37" fillId="5" borderId="1" xfId="2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center"/>
    </xf>
    <xf numFmtId="0" fontId="37" fillId="0" borderId="0" xfId="0" applyFont="1" applyFill="1" applyBorder="1" applyAlignment="1">
      <alignment horizontal="justify" vertical="center" wrapText="1"/>
    </xf>
    <xf numFmtId="0" fontId="37" fillId="0" borderId="1" xfId="0" applyFont="1" applyFill="1" applyBorder="1" applyAlignment="1">
      <alignment horizontal="justify" vertical="center" wrapText="1"/>
    </xf>
    <xf numFmtId="0" fontId="36" fillId="0" borderId="1" xfId="0" applyFont="1" applyFill="1" applyBorder="1" applyAlignment="1">
      <alignment horizontal="left" vertical="center" wrapText="1"/>
    </xf>
    <xf numFmtId="167" fontId="42" fillId="0" borderId="1" xfId="0" applyNumberFormat="1" applyFont="1" applyFill="1" applyBorder="1" applyAlignment="1">
      <alignment horizontal="justify" vertical="center" wrapText="1"/>
    </xf>
    <xf numFmtId="164" fontId="42" fillId="0" borderId="1" xfId="0" applyNumberFormat="1" applyFont="1" applyFill="1" applyBorder="1" applyAlignment="1">
      <alignment horizontal="justify" vertical="center" wrapText="1"/>
    </xf>
    <xf numFmtId="164" fontId="42" fillId="0" borderId="1" xfId="0" applyNumberFormat="1" applyFont="1" applyFill="1" applyBorder="1" applyAlignment="1">
      <alignment horizontal="center" vertical="center" wrapText="1"/>
    </xf>
    <xf numFmtId="166" fontId="42" fillId="0" borderId="1" xfId="0" applyNumberFormat="1" applyFont="1" applyBorder="1"/>
    <xf numFmtId="168" fontId="42" fillId="0" borderId="1" xfId="0" applyNumberFormat="1" applyFont="1" applyFill="1" applyBorder="1" applyAlignment="1">
      <alignment horizontal="center" vertical="center" wrapText="1"/>
    </xf>
    <xf numFmtId="43" fontId="43" fillId="0" borderId="1" xfId="0" applyNumberFormat="1" applyFont="1" applyFill="1" applyBorder="1" applyAlignment="1">
      <alignment horizontal="justify" vertical="center" wrapText="1"/>
    </xf>
    <xf numFmtId="168" fontId="44" fillId="0" borderId="1" xfId="0" applyNumberFormat="1" applyFont="1" applyFill="1" applyBorder="1" applyAlignment="1">
      <alignment horizontal="justify" vertical="center" wrapText="1"/>
    </xf>
    <xf numFmtId="166" fontId="43" fillId="0" borderId="1" xfId="0" applyNumberFormat="1" applyFont="1" applyBorder="1"/>
    <xf numFmtId="10" fontId="42" fillId="0" borderId="1" xfId="5" applyNumberFormat="1" applyFont="1" applyFill="1" applyBorder="1" applyAlignment="1">
      <alignment horizontal="right" vertical="center" wrapText="1"/>
    </xf>
    <xf numFmtId="170" fontId="44" fillId="0" borderId="1" xfId="5" applyNumberFormat="1" applyFont="1" applyFill="1" applyBorder="1" applyAlignment="1">
      <alignment horizontal="right" vertical="center" wrapText="1"/>
    </xf>
    <xf numFmtId="10" fontId="43" fillId="0" borderId="1" xfId="5" applyNumberFormat="1" applyFont="1" applyFill="1" applyBorder="1" applyAlignment="1">
      <alignment horizontal="right" vertical="center" wrapText="1"/>
    </xf>
    <xf numFmtId="0" fontId="42" fillId="0" borderId="0" xfId="0" applyFont="1"/>
    <xf numFmtId="0" fontId="42" fillId="0" borderId="0" xfId="0" applyFont="1" applyFill="1" applyBorder="1" applyAlignment="1">
      <alignment horizontal="justify" vertical="center" wrapText="1"/>
    </xf>
    <xf numFmtId="169" fontId="36" fillId="0" borderId="1" xfId="0" applyNumberFormat="1" applyFont="1" applyFill="1" applyBorder="1" applyAlignment="1">
      <alignment horizontal="center" vertical="center" wrapText="1"/>
    </xf>
    <xf numFmtId="168" fontId="40" fillId="0" borderId="1" xfId="0" applyNumberFormat="1" applyFont="1" applyFill="1" applyBorder="1" applyAlignment="1">
      <alignment horizontal="center" vertical="center" wrapText="1"/>
    </xf>
    <xf numFmtId="43" fontId="36" fillId="0" borderId="1" xfId="0" applyNumberFormat="1" applyFont="1" applyFill="1" applyBorder="1" applyAlignment="1">
      <alignment horizontal="justify" vertical="center" wrapText="1"/>
    </xf>
    <xf numFmtId="166" fontId="36" fillId="0" borderId="1" xfId="0" applyNumberFormat="1" applyFont="1" applyFill="1" applyBorder="1" applyAlignment="1">
      <alignment horizontal="justify" vertical="center" wrapText="1"/>
    </xf>
    <xf numFmtId="43" fontId="37" fillId="0" borderId="1" xfId="0" applyNumberFormat="1" applyFont="1" applyFill="1" applyBorder="1" applyAlignment="1">
      <alignment horizontal="justify" vertical="center" wrapText="1"/>
    </xf>
    <xf numFmtId="168" fontId="45" fillId="0" borderId="1" xfId="0" applyNumberFormat="1" applyFont="1" applyFill="1" applyBorder="1" applyAlignment="1">
      <alignment horizontal="justify" vertical="center" wrapText="1"/>
    </xf>
    <xf numFmtId="0" fontId="36" fillId="0" borderId="0" xfId="0" applyFont="1" applyBorder="1" applyAlignment="1">
      <alignment horizontal="right"/>
    </xf>
    <xf numFmtId="1" fontId="36" fillId="0" borderId="10" xfId="0" applyNumberFormat="1" applyFont="1" applyBorder="1" applyAlignment="1">
      <alignment horizontal="left"/>
    </xf>
    <xf numFmtId="1" fontId="36" fillId="0" borderId="11" xfId="0" applyNumberFormat="1" applyFont="1" applyBorder="1" applyAlignment="1">
      <alignment horizontal="center"/>
    </xf>
    <xf numFmtId="1" fontId="36" fillId="0" borderId="12" xfId="0" applyNumberFormat="1" applyFont="1" applyBorder="1" applyAlignment="1">
      <alignment horizontal="left"/>
    </xf>
    <xf numFmtId="1" fontId="36" fillId="0" borderId="12" xfId="0" applyNumberFormat="1" applyFont="1" applyBorder="1" applyAlignment="1">
      <alignment horizontal="center"/>
    </xf>
    <xf numFmtId="4" fontId="36" fillId="0" borderId="0" xfId="0" applyNumberFormat="1" applyFont="1" applyBorder="1" applyAlignment="1">
      <alignment horizontal="right"/>
    </xf>
    <xf numFmtId="1" fontId="36" fillId="0" borderId="10" xfId="0" applyNumberFormat="1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1" fontId="36" fillId="0" borderId="0" xfId="0" applyNumberFormat="1" applyFont="1" applyBorder="1" applyAlignment="1">
      <alignment horizontal="center"/>
    </xf>
    <xf numFmtId="1" fontId="36" fillId="0" borderId="1" xfId="0" applyNumberFormat="1" applyFont="1" applyBorder="1" applyAlignment="1"/>
    <xf numFmtId="1" fontId="36" fillId="0" borderId="1" xfId="0" applyNumberFormat="1" applyFont="1" applyBorder="1" applyAlignment="1">
      <alignment horizontal="left"/>
    </xf>
    <xf numFmtId="1" fontId="36" fillId="0" borderId="1" xfId="0" applyNumberFormat="1" applyFont="1" applyBorder="1" applyAlignment="1">
      <alignment horizontal="center"/>
    </xf>
    <xf numFmtId="1" fontId="36" fillId="0" borderId="0" xfId="0" applyNumberFormat="1" applyFont="1" applyBorder="1" applyAlignment="1"/>
    <xf numFmtId="0" fontId="36" fillId="0" borderId="1" xfId="0" applyFont="1" applyBorder="1" applyAlignment="1">
      <alignment horizontal="center" vertical="top" wrapText="1"/>
    </xf>
    <xf numFmtId="0" fontId="36" fillId="0" borderId="10" xfId="0" applyFont="1" applyBorder="1" applyAlignment="1">
      <alignment vertical="top"/>
    </xf>
    <xf numFmtId="0" fontId="36" fillId="0" borderId="11" xfId="0" applyFont="1" applyBorder="1" applyAlignment="1">
      <alignment vertical="top" wrapText="1"/>
    </xf>
    <xf numFmtId="0" fontId="36" fillId="0" borderId="12" xfId="0" applyFont="1" applyBorder="1" applyAlignment="1">
      <alignment vertical="top" wrapText="1"/>
    </xf>
    <xf numFmtId="1" fontId="36" fillId="0" borderId="0" xfId="0" applyNumberFormat="1" applyFont="1" applyBorder="1" applyAlignment="1">
      <alignment wrapText="1"/>
    </xf>
    <xf numFmtId="4" fontId="36" fillId="0" borderId="0" xfId="0" applyNumberFormat="1" applyFont="1" applyBorder="1" applyAlignment="1">
      <alignment horizontal="center"/>
    </xf>
    <xf numFmtId="0" fontId="37" fillId="0" borderId="0" xfId="0" applyFont="1" applyBorder="1" applyAlignment="1">
      <alignment horizontal="center"/>
    </xf>
    <xf numFmtId="0" fontId="36" fillId="0" borderId="10" xfId="0" applyFont="1" applyBorder="1" applyAlignment="1">
      <alignment vertical="center"/>
    </xf>
    <xf numFmtId="0" fontId="36" fillId="0" borderId="11" xfId="0" applyFont="1" applyBorder="1" applyAlignment="1">
      <alignment vertical="center"/>
    </xf>
    <xf numFmtId="0" fontId="36" fillId="0" borderId="1" xfId="0" applyFont="1" applyBorder="1" applyAlignment="1">
      <alignment vertical="center"/>
    </xf>
    <xf numFmtId="0" fontId="36" fillId="0" borderId="2" xfId="0" applyFont="1" applyBorder="1" applyAlignment="1">
      <alignment vertical="center"/>
    </xf>
    <xf numFmtId="0" fontId="36" fillId="0" borderId="3" xfId="0" applyFont="1" applyBorder="1" applyAlignment="1">
      <alignment vertical="center"/>
    </xf>
    <xf numFmtId="0" fontId="36" fillId="0" borderId="0" xfId="0" applyFont="1" applyBorder="1" applyAlignment="1">
      <alignment horizontal="left" vertical="center"/>
    </xf>
    <xf numFmtId="0" fontId="37" fillId="0" borderId="0" xfId="0" applyFont="1" applyAlignment="1">
      <alignment horizontal="left"/>
    </xf>
    <xf numFmtId="0" fontId="37" fillId="0" borderId="0" xfId="0" applyFont="1" applyFill="1"/>
    <xf numFmtId="0" fontId="36" fillId="0" borderId="14" xfId="0" applyFont="1" applyBorder="1" applyAlignment="1"/>
    <xf numFmtId="0" fontId="36" fillId="0" borderId="8" xfId="0" applyFont="1" applyBorder="1" applyAlignment="1">
      <alignment horizontal="left"/>
    </xf>
    <xf numFmtId="0" fontId="36" fillId="0" borderId="15" xfId="0" applyFont="1" applyBorder="1"/>
    <xf numFmtId="1" fontId="36" fillId="0" borderId="15" xfId="0" applyNumberFormat="1" applyFont="1" applyBorder="1" applyAlignment="1"/>
    <xf numFmtId="4" fontId="36" fillId="0" borderId="1" xfId="0" applyNumberFormat="1" applyFont="1" applyBorder="1" applyAlignment="1"/>
    <xf numFmtId="4" fontId="36" fillId="0" borderId="5" xfId="0" applyNumberFormat="1" applyFont="1" applyBorder="1" applyAlignment="1"/>
    <xf numFmtId="4" fontId="36" fillId="0" borderId="0" xfId="0" applyNumberFormat="1" applyFont="1" applyBorder="1" applyAlignment="1"/>
    <xf numFmtId="0" fontId="36" fillId="0" borderId="13" xfId="0" applyFont="1" applyBorder="1" applyAlignment="1">
      <alignment horizontal="left" indent="1"/>
    </xf>
    <xf numFmtId="0" fontId="36" fillId="0" borderId="11" xfId="0" applyFont="1" applyBorder="1" applyAlignment="1">
      <alignment wrapText="1"/>
    </xf>
    <xf numFmtId="0" fontId="36" fillId="0" borderId="10" xfId="0" applyFont="1" applyBorder="1" applyAlignment="1">
      <alignment horizontal="center"/>
    </xf>
    <xf numFmtId="0" fontId="36" fillId="0" borderId="16" xfId="0" applyFont="1" applyBorder="1" applyAlignment="1">
      <alignment horizontal="left" indent="1"/>
    </xf>
    <xf numFmtId="0" fontId="36" fillId="0" borderId="17" xfId="0" applyFont="1" applyBorder="1" applyAlignment="1">
      <alignment horizontal="left" indent="1"/>
    </xf>
    <xf numFmtId="0" fontId="36" fillId="0" borderId="17" xfId="0" applyFont="1" applyBorder="1" applyAlignment="1"/>
    <xf numFmtId="0" fontId="36" fillId="0" borderId="18" xfId="0" applyFont="1" applyBorder="1"/>
    <xf numFmtId="1" fontId="36" fillId="0" borderId="18" xfId="0" applyNumberFormat="1" applyFont="1" applyBorder="1" applyAlignment="1"/>
    <xf numFmtId="0" fontId="36" fillId="0" borderId="0" xfId="0" applyFont="1" applyFill="1" applyBorder="1" applyAlignment="1">
      <alignment horizontal="right"/>
    </xf>
    <xf numFmtId="49" fontId="36" fillId="0" borderId="10" xfId="0" applyNumberFormat="1" applyFont="1" applyFill="1" applyBorder="1" applyAlignment="1"/>
    <xf numFmtId="49" fontId="36" fillId="0" borderId="11" xfId="0" applyNumberFormat="1" applyFont="1" applyFill="1" applyBorder="1" applyAlignment="1"/>
    <xf numFmtId="49" fontId="36" fillId="0" borderId="12" xfId="0" applyNumberFormat="1" applyFont="1" applyFill="1" applyBorder="1" applyAlignment="1"/>
    <xf numFmtId="49" fontId="36" fillId="0" borderId="5" xfId="0" applyNumberFormat="1" applyFont="1" applyFill="1" applyBorder="1" applyAlignment="1"/>
    <xf numFmtId="49" fontId="36" fillId="0" borderId="0" xfId="0" applyNumberFormat="1" applyFont="1" applyFill="1" applyBorder="1" applyAlignment="1"/>
    <xf numFmtId="49" fontId="36" fillId="0" borderId="0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left"/>
    </xf>
    <xf numFmtId="0" fontId="39" fillId="0" borderId="1" xfId="0" applyFont="1" applyFill="1" applyBorder="1" applyAlignment="1">
      <alignment horizontal="center"/>
    </xf>
    <xf numFmtId="0" fontId="36" fillId="0" borderId="19" xfId="0" applyFont="1" applyBorder="1" applyAlignment="1">
      <alignment horizontal="left" vertical="center" wrapText="1"/>
    </xf>
    <xf numFmtId="3" fontId="36" fillId="0" borderId="35" xfId="4" applyNumberFormat="1" applyFont="1" applyBorder="1" applyAlignment="1">
      <alignment horizontal="center" vertical="center"/>
    </xf>
    <xf numFmtId="0" fontId="36" fillId="0" borderId="20" xfId="0" applyFont="1" applyBorder="1" applyAlignment="1">
      <alignment vertical="center" wrapText="1"/>
    </xf>
    <xf numFmtId="0" fontId="36" fillId="0" borderId="21" xfId="0" applyFont="1" applyBorder="1" applyAlignment="1">
      <alignment vertical="center" wrapText="1"/>
    </xf>
    <xf numFmtId="0" fontId="36" fillId="0" borderId="22" xfId="0" applyFont="1" applyFill="1" applyBorder="1" applyAlignment="1"/>
    <xf numFmtId="0" fontId="36" fillId="0" borderId="14" xfId="0" applyFont="1" applyBorder="1" applyAlignment="1">
      <alignment horizontal="left"/>
    </xf>
    <xf numFmtId="0" fontId="36" fillId="0" borderId="36" xfId="0" applyFont="1" applyBorder="1" applyAlignment="1"/>
    <xf numFmtId="0" fontId="36" fillId="0" borderId="23" xfId="0" applyFont="1" applyBorder="1" applyAlignment="1"/>
    <xf numFmtId="0" fontId="36" fillId="0" borderId="15" xfId="0" applyFont="1" applyBorder="1" applyAlignment="1"/>
    <xf numFmtId="0" fontId="36" fillId="0" borderId="7" xfId="0" applyFont="1" applyBorder="1" applyAlignment="1"/>
    <xf numFmtId="0" fontId="36" fillId="0" borderId="24" xfId="0" applyFont="1" applyFill="1" applyBorder="1" applyAlignment="1"/>
    <xf numFmtId="0" fontId="36" fillId="0" borderId="13" xfId="0" applyFont="1" applyBorder="1" applyAlignment="1">
      <alignment horizontal="left"/>
    </xf>
    <xf numFmtId="0" fontId="36" fillId="0" borderId="25" xfId="0" applyFont="1" applyFill="1" applyBorder="1" applyAlignment="1"/>
    <xf numFmtId="0" fontId="36" fillId="0" borderId="13" xfId="0" applyFont="1" applyBorder="1" applyAlignment="1">
      <alignment horizontal="left" wrapText="1"/>
    </xf>
    <xf numFmtId="2" fontId="36" fillId="0" borderId="1" xfId="4" applyNumberFormat="1" applyFont="1" applyBorder="1" applyAlignment="1">
      <alignment vertical="center"/>
    </xf>
    <xf numFmtId="0" fontId="36" fillId="0" borderId="1" xfId="0" applyFont="1" applyBorder="1" applyAlignment="1">
      <alignment horizontal="left"/>
    </xf>
    <xf numFmtId="2" fontId="36" fillId="0" borderId="0" xfId="0" applyNumberFormat="1" applyFont="1" applyFill="1" applyBorder="1" applyAlignment="1"/>
    <xf numFmtId="0" fontId="36" fillId="0" borderId="33" xfId="0" applyFont="1" applyBorder="1" applyAlignment="1">
      <alignment horizontal="left"/>
    </xf>
    <xf numFmtId="2" fontId="36" fillId="0" borderId="0" xfId="4" applyNumberFormat="1" applyFont="1" applyBorder="1" applyAlignment="1">
      <alignment vertical="center"/>
    </xf>
    <xf numFmtId="0" fontId="36" fillId="0" borderId="21" xfId="0" applyFont="1" applyFill="1" applyBorder="1" applyAlignment="1"/>
    <xf numFmtId="0" fontId="36" fillId="0" borderId="1" xfId="0" applyFont="1" applyFill="1" applyBorder="1"/>
    <xf numFmtId="0" fontId="36" fillId="0" borderId="7" xfId="0" applyFont="1" applyFill="1" applyBorder="1" applyAlignment="1"/>
    <xf numFmtId="0" fontId="36" fillId="0" borderId="26" xfId="0" applyFont="1" applyBorder="1" applyAlignment="1"/>
    <xf numFmtId="2" fontId="36" fillId="0" borderId="10" xfId="0" applyNumberFormat="1" applyFont="1" applyFill="1" applyBorder="1" applyAlignment="1"/>
    <xf numFmtId="0" fontId="36" fillId="0" borderId="10" xfId="0" applyFont="1" applyFill="1" applyBorder="1"/>
    <xf numFmtId="0" fontId="36" fillId="0" borderId="3" xfId="0" applyFont="1" applyFill="1" applyBorder="1" applyAlignment="1"/>
    <xf numFmtId="0" fontId="37" fillId="0" borderId="1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left"/>
    </xf>
    <xf numFmtId="0" fontId="36" fillId="0" borderId="1" xfId="0" applyFont="1" applyFill="1" applyBorder="1" applyAlignment="1">
      <alignment horizontal="left"/>
    </xf>
    <xf numFmtId="0" fontId="36" fillId="0" borderId="1" xfId="0" applyFont="1" applyFill="1" applyBorder="1" applyAlignment="1">
      <alignment horizontal="right"/>
    </xf>
    <xf numFmtId="0" fontId="36" fillId="0" borderId="12" xfId="0" applyFont="1" applyFill="1" applyBorder="1" applyAlignment="1">
      <alignment horizontal="center"/>
    </xf>
    <xf numFmtId="0" fontId="46" fillId="0" borderId="0" xfId="0" applyFont="1" applyFill="1" applyBorder="1" applyAlignment="1">
      <alignment horizontal="left"/>
    </xf>
    <xf numFmtId="0" fontId="37" fillId="5" borderId="1" xfId="0" applyFont="1" applyFill="1" applyBorder="1" applyAlignment="1">
      <alignment vertical="center" wrapText="1"/>
    </xf>
    <xf numFmtId="0" fontId="37" fillId="5" borderId="5" xfId="0" applyFont="1" applyFill="1" applyBorder="1" applyAlignment="1">
      <alignment vertical="center" wrapText="1"/>
    </xf>
    <xf numFmtId="0" fontId="37" fillId="5" borderId="0" xfId="0" applyFont="1" applyFill="1" applyBorder="1" applyAlignment="1">
      <alignment vertical="center" wrapText="1"/>
    </xf>
    <xf numFmtId="0" fontId="37" fillId="0" borderId="0" xfId="0" applyFont="1" applyBorder="1" applyAlignment="1">
      <alignment wrapText="1"/>
    </xf>
    <xf numFmtId="0" fontId="37" fillId="0" borderId="11" xfId="0" applyFont="1" applyFill="1" applyBorder="1"/>
    <xf numFmtId="0" fontId="37" fillId="0" borderId="12" xfId="0" applyFont="1" applyFill="1" applyBorder="1"/>
    <xf numFmtId="0" fontId="37" fillId="0" borderId="5" xfId="0" applyFont="1" applyFill="1" applyBorder="1"/>
    <xf numFmtId="0" fontId="37" fillId="0" borderId="0" xfId="0" applyFont="1" applyFill="1" applyBorder="1" applyAlignment="1">
      <alignment vertical="center" wrapText="1"/>
    </xf>
    <xf numFmtId="0" fontId="36" fillId="0" borderId="2" xfId="0" applyFont="1" applyFill="1" applyBorder="1" applyAlignment="1">
      <alignment wrapText="1"/>
    </xf>
    <xf numFmtId="0" fontId="36" fillId="0" borderId="3" xfId="0" applyFont="1" applyFill="1" applyBorder="1" applyAlignment="1">
      <alignment wrapText="1"/>
    </xf>
    <xf numFmtId="0" fontId="36" fillId="0" borderId="4" xfId="0" applyFont="1" applyFill="1" applyBorder="1" applyAlignment="1">
      <alignment wrapText="1"/>
    </xf>
    <xf numFmtId="0" fontId="36" fillId="0" borderId="0" xfId="0" applyFont="1" applyFill="1" applyBorder="1" applyAlignment="1">
      <alignment wrapText="1"/>
    </xf>
    <xf numFmtId="0" fontId="36" fillId="0" borderId="5" xfId="0" applyFont="1" applyFill="1" applyBorder="1" applyAlignment="1">
      <alignment wrapText="1"/>
    </xf>
    <xf numFmtId="0" fontId="36" fillId="0" borderId="6" xfId="0" applyFont="1" applyFill="1" applyBorder="1" applyAlignment="1">
      <alignment wrapText="1"/>
    </xf>
    <xf numFmtId="0" fontId="36" fillId="0" borderId="7" xfId="0" applyFont="1" applyFill="1" applyBorder="1" applyAlignment="1">
      <alignment wrapText="1"/>
    </xf>
    <xf numFmtId="0" fontId="36" fillId="0" borderId="8" xfId="0" applyFont="1" applyFill="1" applyBorder="1" applyAlignment="1">
      <alignment wrapText="1"/>
    </xf>
    <xf numFmtId="0" fontId="36" fillId="0" borderId="9" xfId="0" applyFont="1" applyFill="1" applyBorder="1" applyAlignment="1">
      <alignment wrapText="1"/>
    </xf>
    <xf numFmtId="0" fontId="37" fillId="0" borderId="0" xfId="0" applyFont="1" applyFill="1" applyBorder="1" applyAlignment="1">
      <alignment horizontal="center" vertical="center" wrapText="1"/>
    </xf>
    <xf numFmtId="0" fontId="37" fillId="0" borderId="33" xfId="0" applyFont="1" applyFill="1" applyBorder="1" applyAlignment="1">
      <alignment horizontal="center" wrapText="1"/>
    </xf>
    <xf numFmtId="0" fontId="37" fillId="0" borderId="0" xfId="0" applyFont="1" applyFill="1" applyBorder="1" applyAlignment="1">
      <alignment horizontal="center" wrapText="1"/>
    </xf>
    <xf numFmtId="0" fontId="37" fillId="0" borderId="34" xfId="0" applyFont="1" applyFill="1" applyBorder="1" applyAlignment="1">
      <alignment horizontal="center" wrapText="1"/>
    </xf>
    <xf numFmtId="0" fontId="36" fillId="0" borderId="27" xfId="0" applyFont="1" applyFill="1" applyBorder="1" applyAlignment="1">
      <alignment horizontal="left" indent="1"/>
    </xf>
    <xf numFmtId="0" fontId="37" fillId="0" borderId="28" xfId="0" applyFont="1" applyFill="1" applyBorder="1"/>
    <xf numFmtId="0" fontId="37" fillId="0" borderId="29" xfId="0" applyFont="1" applyFill="1" applyBorder="1"/>
    <xf numFmtId="0" fontId="36" fillId="0" borderId="30" xfId="0" applyFont="1" applyFill="1" applyBorder="1" applyAlignment="1">
      <alignment horizontal="left" indent="1"/>
    </xf>
    <xf numFmtId="0" fontId="37" fillId="0" borderId="31" xfId="0" applyFont="1" applyFill="1" applyBorder="1"/>
    <xf numFmtId="0" fontId="37" fillId="0" borderId="32" xfId="0" applyFont="1" applyFill="1" applyBorder="1"/>
    <xf numFmtId="0" fontId="41" fillId="0" borderId="0" xfId="0" applyFont="1" applyFill="1" applyAlignment="1">
      <alignment horizontal="left"/>
    </xf>
    <xf numFmtId="0" fontId="36" fillId="0" borderId="0" xfId="0" applyFont="1" applyAlignment="1">
      <alignment horizontal="justify"/>
    </xf>
    <xf numFmtId="1" fontId="22" fillId="0" borderId="10" xfId="0" applyNumberFormat="1" applyFont="1" applyBorder="1" applyAlignment="1">
      <alignment horizontal="left"/>
    </xf>
    <xf numFmtId="1" fontId="4" fillId="0" borderId="12" xfId="0" applyNumberFormat="1" applyFont="1" applyBorder="1" applyAlignment="1">
      <alignment horizontal="center"/>
    </xf>
    <xf numFmtId="0" fontId="6" fillId="9" borderId="1" xfId="0" applyFont="1" applyFill="1" applyBorder="1" applyAlignment="1">
      <alignment horizontal="center" vertical="justify"/>
    </xf>
    <xf numFmtId="0" fontId="3" fillId="0" borderId="0" xfId="0" applyFont="1"/>
    <xf numFmtId="0" fontId="1" fillId="0" borderId="0" xfId="0" applyFont="1" applyBorder="1" applyAlignment="1">
      <alignment horizontal="left" vertical="center"/>
    </xf>
    <xf numFmtId="0" fontId="4" fillId="0" borderId="0" xfId="0" applyFont="1"/>
    <xf numFmtId="0" fontId="6" fillId="0" borderId="0" xfId="0" applyFont="1" applyAlignment="1">
      <alignment horizontal="left" vertical="justify"/>
    </xf>
    <xf numFmtId="0" fontId="6" fillId="0" borderId="0" xfId="0" applyFont="1" applyBorder="1" applyAlignment="1">
      <alignment horizontal="left" vertical="justify"/>
    </xf>
    <xf numFmtId="0" fontId="3" fillId="0" borderId="0" xfId="0" applyFont="1"/>
    <xf numFmtId="0" fontId="4" fillId="0" borderId="0" xfId="0" applyFont="1" applyFill="1" applyBorder="1" applyAlignment="1">
      <alignment horizontal="center" vertical="top" wrapText="1"/>
    </xf>
    <xf numFmtId="4" fontId="4" fillId="0" borderId="0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center" vertical="top" wrapText="1"/>
    </xf>
    <xf numFmtId="1" fontId="1" fillId="0" borderId="1" xfId="2" applyNumberFormat="1" applyFont="1" applyBorder="1" applyAlignment="1">
      <alignment horizontal="center"/>
    </xf>
    <xf numFmtId="0" fontId="4" fillId="15" borderId="0" xfId="0" applyFont="1" applyFill="1" applyBorder="1" applyAlignment="1"/>
    <xf numFmtId="0" fontId="4" fillId="15" borderId="0" xfId="0" applyFont="1" applyFill="1"/>
    <xf numFmtId="0" fontId="4" fillId="15" borderId="0" xfId="0" applyFont="1" applyFill="1" applyBorder="1" applyAlignment="1">
      <alignment horizontal="left" indent="2"/>
    </xf>
    <xf numFmtId="0" fontId="4" fillId="15" borderId="0" xfId="0" applyFont="1" applyFill="1" applyBorder="1" applyAlignment="1">
      <alignment horizontal="center"/>
    </xf>
    <xf numFmtId="0" fontId="27" fillId="15" borderId="0" xfId="0" applyFont="1" applyFill="1" applyBorder="1" applyAlignment="1">
      <alignment horizontal="left"/>
    </xf>
    <xf numFmtId="0" fontId="27" fillId="15" borderId="0" xfId="0" applyFont="1" applyFill="1" applyBorder="1" applyAlignment="1">
      <alignment horizontal="center"/>
    </xf>
    <xf numFmtId="0" fontId="48" fillId="0" borderId="0" xfId="0" applyFont="1" applyFill="1" applyBorder="1" applyAlignment="1">
      <alignment horizontal="left" wrapText="1"/>
    </xf>
    <xf numFmtId="0" fontId="3" fillId="0" borderId="0" xfId="0" applyNumberFormat="1" applyFont="1" applyFill="1" applyBorder="1" applyAlignment="1">
      <alignment horizontal="left"/>
    </xf>
    <xf numFmtId="0" fontId="25" fillId="15" borderId="0" xfId="0" applyFont="1" applyFill="1" applyBorder="1" applyAlignment="1">
      <alignment horizontal="left" wrapText="1"/>
    </xf>
    <xf numFmtId="0" fontId="25" fillId="15" borderId="0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 wrapText="1"/>
    </xf>
    <xf numFmtId="166" fontId="4" fillId="0" borderId="5" xfId="0" applyNumberFormat="1" applyFont="1" applyFill="1" applyBorder="1" applyAlignment="1">
      <alignment horizontal="justify" vertical="center" wrapText="1"/>
    </xf>
    <xf numFmtId="0" fontId="1" fillId="0" borderId="0" xfId="0" applyFont="1" applyBorder="1" applyAlignment="1">
      <alignment horizontal="left" vertical="top" wrapText="1" indent="1"/>
    </xf>
    <xf numFmtId="0" fontId="1" fillId="0" borderId="0" xfId="0" applyFont="1" applyFill="1" applyBorder="1" applyAlignment="1">
      <alignment horizontal="left"/>
    </xf>
    <xf numFmtId="0" fontId="49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10" xfId="0" applyFont="1" applyFill="1" applyBorder="1" applyAlignment="1">
      <alignment vertical="center" wrapText="1"/>
    </xf>
    <xf numFmtId="0" fontId="1" fillId="0" borderId="11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justify" vertical="center" wrapText="1"/>
    </xf>
    <xf numFmtId="0" fontId="1" fillId="0" borderId="33" xfId="0" applyFont="1" applyBorder="1" applyAlignment="1">
      <alignment horizontal="left"/>
    </xf>
    <xf numFmtId="0" fontId="26" fillId="0" borderId="0" xfId="0" applyFont="1" applyAlignment="1">
      <alignment horizontal="left"/>
    </xf>
    <xf numFmtId="0" fontId="9" fillId="0" borderId="0" xfId="0" applyFont="1" applyFill="1"/>
    <xf numFmtId="0" fontId="9" fillId="0" borderId="0" xfId="0" applyFont="1" applyFill="1" applyBorder="1" applyAlignment="1">
      <alignment horizontal="left"/>
    </xf>
    <xf numFmtId="0" fontId="3" fillId="0" borderId="26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4" fillId="0" borderId="0" xfId="0" applyFont="1"/>
    <xf numFmtId="0" fontId="3" fillId="0" borderId="0" xfId="0" applyFont="1"/>
    <xf numFmtId="0" fontId="4" fillId="0" borderId="1" xfId="0" applyFont="1" applyFill="1" applyBorder="1" applyAlignment="1">
      <alignment horizontal="center" wrapText="1"/>
    </xf>
    <xf numFmtId="0" fontId="4" fillId="0" borderId="10" xfId="0" applyFont="1" applyFill="1" applyBorder="1" applyAlignment="1">
      <alignment horizontal="left" indent="1"/>
    </xf>
    <xf numFmtId="0" fontId="4" fillId="0" borderId="0" xfId="0" applyFont="1" applyFill="1" applyBorder="1" applyAlignment="1">
      <alignment horizontal="center"/>
    </xf>
    <xf numFmtId="0" fontId="4" fillId="0" borderId="0" xfId="0" applyFont="1"/>
    <xf numFmtId="0" fontId="1" fillId="0" borderId="0" xfId="0" applyFont="1"/>
    <xf numFmtId="0" fontId="2" fillId="0" borderId="10" xfId="0" applyFont="1" applyFill="1" applyBorder="1" applyAlignment="1">
      <alignment vertical="center"/>
    </xf>
    <xf numFmtId="169" fontId="5" fillId="9" borderId="1" xfId="2" applyNumberFormat="1" applyFont="1" applyFill="1" applyBorder="1" applyAlignment="1">
      <alignment vertical="center" wrapText="1"/>
    </xf>
    <xf numFmtId="164" fontId="11" fillId="0" borderId="1" xfId="2" applyFont="1" applyFill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164" fontId="11" fillId="0" borderId="10" xfId="2" applyFont="1" applyBorder="1" applyAlignment="1">
      <alignment horizontal="center"/>
    </xf>
    <xf numFmtId="164" fontId="11" fillId="0" borderId="11" xfId="2" applyFont="1" applyBorder="1" applyAlignment="1">
      <alignment horizontal="center"/>
    </xf>
    <xf numFmtId="164" fontId="11" fillId="0" borderId="10" xfId="0" applyNumberFormat="1" applyFont="1" applyBorder="1"/>
    <xf numFmtId="0" fontId="0" fillId="0" borderId="2" xfId="0" applyBorder="1"/>
    <xf numFmtId="0" fontId="0" fillId="0" borderId="3" xfId="0" applyBorder="1"/>
    <xf numFmtId="1" fontId="11" fillId="0" borderId="3" xfId="5" applyNumberFormat="1" applyFont="1" applyBorder="1" applyAlignment="1">
      <alignment horizontal="center"/>
    </xf>
    <xf numFmtId="164" fontId="11" fillId="0" borderId="3" xfId="2" applyFont="1" applyBorder="1" applyAlignment="1">
      <alignment horizontal="center"/>
    </xf>
    <xf numFmtId="0" fontId="10" fillId="0" borderId="3" xfId="0" applyFont="1" applyBorder="1" applyAlignment="1">
      <alignment vertical="center" textRotation="90" wrapText="1"/>
    </xf>
    <xf numFmtId="169" fontId="2" fillId="0" borderId="3" xfId="0" applyNumberFormat="1" applyFont="1" applyBorder="1" applyAlignment="1">
      <alignment vertical="center"/>
    </xf>
    <xf numFmtId="0" fontId="0" fillId="0" borderId="5" xfId="0" applyNumberFormat="1" applyBorder="1"/>
    <xf numFmtId="0" fontId="0" fillId="0" borderId="0" xfId="0" applyNumberFormat="1" applyBorder="1"/>
    <xf numFmtId="0" fontId="11" fillId="0" borderId="0" xfId="5" applyNumberFormat="1" applyFont="1" applyBorder="1" applyAlignment="1">
      <alignment horizontal="center"/>
    </xf>
    <xf numFmtId="0" fontId="11" fillId="0" borderId="0" xfId="2" applyNumberFormat="1" applyFont="1" applyBorder="1" applyAlignment="1">
      <alignment horizontal="center"/>
    </xf>
    <xf numFmtId="0" fontId="10" fillId="0" borderId="0" xfId="0" applyFont="1" applyBorder="1" applyAlignment="1">
      <alignment vertical="center" textRotation="90" wrapText="1"/>
    </xf>
    <xf numFmtId="169" fontId="2" fillId="0" borderId="0" xfId="0" applyNumberFormat="1" applyFont="1" applyBorder="1" applyAlignment="1">
      <alignment vertical="center"/>
    </xf>
    <xf numFmtId="0" fontId="11" fillId="0" borderId="26" xfId="0" applyFont="1" applyFill="1" applyBorder="1" applyAlignment="1">
      <alignment horizontal="center" vertical="center" wrapText="1"/>
    </xf>
    <xf numFmtId="2" fontId="11" fillId="7" borderId="26" xfId="0" applyNumberFormat="1" applyFont="1" applyFill="1" applyBorder="1" applyAlignment="1">
      <alignment horizontal="center" vertical="center" wrapText="1"/>
    </xf>
    <xf numFmtId="164" fontId="43" fillId="0" borderId="1" xfId="2" applyFont="1" applyFill="1" applyBorder="1" applyAlignment="1">
      <alignment horizontal="center" vertical="center" wrapText="1"/>
    </xf>
    <xf numFmtId="164" fontId="26" fillId="0" borderId="1" xfId="0" applyNumberFormat="1" applyFont="1" applyBorder="1" applyAlignment="1">
      <alignment horizontal="left"/>
    </xf>
    <xf numFmtId="0" fontId="1" fillId="0" borderId="0" xfId="0" applyFont="1" applyAlignment="1"/>
    <xf numFmtId="0" fontId="4" fillId="0" borderId="0" xfId="0" applyFont="1"/>
    <xf numFmtId="0" fontId="53" fillId="0" borderId="1" xfId="0" applyFont="1" applyBorder="1" applyAlignment="1">
      <alignment horizontal="center" vertical="center" wrapText="1"/>
    </xf>
    <xf numFmtId="0" fontId="11" fillId="0" borderId="10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left" indent="4"/>
    </xf>
    <xf numFmtId="0" fontId="4" fillId="0" borderId="7" xfId="0" applyFont="1" applyFill="1" applyBorder="1"/>
    <xf numFmtId="0" fontId="4" fillId="0" borderId="8" xfId="0" applyFont="1" applyFill="1" applyBorder="1" applyAlignment="1">
      <alignment wrapText="1"/>
    </xf>
    <xf numFmtId="0" fontId="4" fillId="0" borderId="9" xfId="0" applyFont="1" applyFill="1" applyBorder="1" applyAlignment="1">
      <alignment wrapText="1"/>
    </xf>
    <xf numFmtId="0" fontId="4" fillId="0" borderId="5" xfId="0" applyFont="1" applyBorder="1" applyAlignment="1">
      <alignment horizontal="justify" vertical="center"/>
    </xf>
    <xf numFmtId="0" fontId="4" fillId="0" borderId="5" xfId="0" applyFont="1" applyFill="1" applyBorder="1" applyAlignment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/>
    <xf numFmtId="2" fontId="11" fillId="0" borderId="1" xfId="0" applyNumberFormat="1" applyFont="1" applyFill="1" applyBorder="1" applyAlignment="1">
      <alignment horizontal="right" vertical="center" wrapText="1"/>
    </xf>
    <xf numFmtId="3" fontId="1" fillId="7" borderId="12" xfId="0" applyNumberFormat="1" applyFont="1" applyFill="1" applyBorder="1" applyAlignment="1">
      <alignment horizontal="right"/>
    </xf>
    <xf numFmtId="0" fontId="1" fillId="0" borderId="1" xfId="0" applyFont="1" applyFill="1" applyBorder="1" applyAlignment="1"/>
    <xf numFmtId="164" fontId="1" fillId="0" borderId="12" xfId="2" applyFont="1" applyFill="1" applyBorder="1" applyAlignment="1"/>
    <xf numFmtId="169" fontId="1" fillId="0" borderId="12" xfId="2" applyNumberFormat="1" applyFont="1" applyFill="1" applyBorder="1" applyAlignment="1"/>
    <xf numFmtId="0" fontId="10" fillId="0" borderId="0" xfId="0" applyFont="1" applyAlignment="1">
      <alignment horizontal="left" indent="1"/>
    </xf>
    <xf numFmtId="0" fontId="6" fillId="0" borderId="1" xfId="0" applyFont="1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 wrapText="1"/>
    </xf>
    <xf numFmtId="0" fontId="1" fillId="7" borderId="1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1" xfId="0" applyFont="1" applyFill="1" applyBorder="1" applyAlignment="1"/>
    <xf numFmtId="164" fontId="26" fillId="7" borderId="1" xfId="0" applyNumberFormat="1" applyFont="1" applyFill="1" applyBorder="1" applyAlignment="1">
      <alignment horizontal="justify" vertical="center" wrapText="1"/>
    </xf>
    <xf numFmtId="43" fontId="28" fillId="7" borderId="1" xfId="0" applyNumberFormat="1" applyFont="1" applyFill="1" applyBorder="1" applyAlignment="1">
      <alignment horizontal="justify" vertical="center" wrapText="1"/>
    </xf>
    <xf numFmtId="10" fontId="26" fillId="7" borderId="1" xfId="5" applyNumberFormat="1" applyFont="1" applyFill="1" applyBorder="1" applyAlignment="1">
      <alignment horizontal="right" vertical="center" wrapText="1"/>
    </xf>
    <xf numFmtId="169" fontId="1" fillId="7" borderId="1" xfId="0" applyNumberFormat="1" applyFont="1" applyFill="1" applyBorder="1" applyAlignment="1">
      <alignment horizontal="center" vertical="center" wrapText="1"/>
    </xf>
    <xf numFmtId="1" fontId="1" fillId="7" borderId="1" xfId="0" applyNumberFormat="1" applyFont="1" applyFill="1" applyBorder="1" applyAlignment="1"/>
    <xf numFmtId="168" fontId="1" fillId="9" borderId="1" xfId="0" applyNumberFormat="1" applyFont="1" applyFill="1" applyBorder="1" applyAlignment="1">
      <alignment horizontal="center" vertical="center" wrapText="1"/>
    </xf>
    <xf numFmtId="168" fontId="1" fillId="14" borderId="1" xfId="0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justify" vertical="center" wrapText="1"/>
    </xf>
    <xf numFmtId="43" fontId="2" fillId="0" borderId="1" xfId="0" applyNumberFormat="1" applyFont="1" applyFill="1" applyBorder="1" applyAlignment="1">
      <alignment horizontal="justify" vertical="center" wrapText="1"/>
    </xf>
    <xf numFmtId="168" fontId="2" fillId="14" borderId="1" xfId="0" applyNumberFormat="1" applyFont="1" applyFill="1" applyBorder="1" applyAlignment="1">
      <alignment horizontal="justify" vertical="center" wrapText="1"/>
    </xf>
    <xf numFmtId="0" fontId="6" fillId="0" borderId="1" xfId="0" applyFont="1" applyBorder="1" applyAlignment="1">
      <alignment horizontal="left" indent="1" shrinkToFit="1"/>
    </xf>
    <xf numFmtId="0" fontId="6" fillId="0" borderId="1" xfId="0" applyFont="1" applyBorder="1" applyAlignment="1">
      <alignment horizontal="left" inden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1" xfId="0" applyFont="1" applyFill="1" applyBorder="1"/>
    <xf numFmtId="1" fontId="1" fillId="0" borderId="1" xfId="0" applyNumberFormat="1" applyFont="1" applyFill="1" applyBorder="1"/>
    <xf numFmtId="14" fontId="1" fillId="7" borderId="1" xfId="0" applyNumberFormat="1" applyFont="1" applyFill="1" applyBorder="1"/>
    <xf numFmtId="0" fontId="1" fillId="0" borderId="1" xfId="0" applyFont="1" applyFill="1" applyBorder="1"/>
    <xf numFmtId="0" fontId="1" fillId="0" borderId="12" xfId="0" applyFont="1" applyFill="1" applyBorder="1" applyAlignment="1"/>
    <xf numFmtId="2" fontId="1" fillId="0" borderId="1" xfId="4" applyNumberFormat="1" applyFont="1" applyFill="1" applyBorder="1" applyAlignment="1">
      <alignment vertical="center"/>
    </xf>
    <xf numFmtId="0" fontId="1" fillId="8" borderId="1" xfId="0" applyFont="1" applyFill="1" applyBorder="1" applyAlignment="1">
      <alignment horizontal="left" wrapText="1"/>
    </xf>
    <xf numFmtId="0" fontId="34" fillId="7" borderId="1" xfId="0" applyFont="1" applyFill="1" applyBorder="1" applyAlignment="1">
      <alignment horizontal="left" wrapText="1"/>
    </xf>
    <xf numFmtId="0" fontId="36" fillId="7" borderId="10" xfId="0" applyFont="1" applyFill="1" applyBorder="1" applyAlignment="1">
      <alignment wrapText="1"/>
    </xf>
    <xf numFmtId="0" fontId="36" fillId="7" borderId="11" xfId="0" applyFont="1" applyFill="1" applyBorder="1" applyAlignment="1">
      <alignment wrapText="1"/>
    </xf>
    <xf numFmtId="0" fontId="36" fillId="7" borderId="12" xfId="0" applyFont="1" applyFill="1" applyBorder="1" applyAlignment="1">
      <alignment wrapText="1"/>
    </xf>
    <xf numFmtId="0" fontId="1" fillId="7" borderId="1" xfId="0" applyFont="1" applyFill="1" applyBorder="1" applyAlignment="1" applyProtection="1">
      <alignment horizontal="center"/>
    </xf>
    <xf numFmtId="0" fontId="4" fillId="9" borderId="1" xfId="0" applyFont="1" applyFill="1" applyBorder="1" applyAlignment="1" applyProtection="1">
      <alignment horizontal="center" vertical="center" wrapText="1"/>
    </xf>
    <xf numFmtId="164" fontId="4" fillId="10" borderId="1" xfId="2" applyNumberFormat="1" applyFont="1" applyFill="1" applyBorder="1" applyAlignment="1" applyProtection="1">
      <alignment horizontal="center" vertical="center" wrapText="1"/>
    </xf>
    <xf numFmtId="9" fontId="4" fillId="9" borderId="1" xfId="0" applyNumberFormat="1" applyFont="1" applyFill="1" applyBorder="1" applyAlignment="1" applyProtection="1">
      <alignment horizontal="center" vertical="center" wrapText="1"/>
    </xf>
    <xf numFmtId="166" fontId="4" fillId="10" borderId="1" xfId="0" applyNumberFormat="1" applyFont="1" applyFill="1" applyBorder="1" applyAlignment="1" applyProtection="1">
      <alignment horizontal="center" vertical="center" wrapText="1"/>
    </xf>
    <xf numFmtId="164" fontId="4" fillId="10" borderId="1" xfId="2" applyFont="1" applyFill="1" applyBorder="1" applyAlignment="1" applyProtection="1">
      <alignment horizontal="center" vertical="center" wrapText="1"/>
    </xf>
    <xf numFmtId="0" fontId="4" fillId="0" borderId="0" xfId="0" applyFont="1" applyProtection="1"/>
    <xf numFmtId="17" fontId="1" fillId="7" borderId="1" xfId="0" applyNumberFormat="1" applyFont="1" applyFill="1" applyBorder="1"/>
    <xf numFmtId="17" fontId="1" fillId="7" borderId="1" xfId="0" applyNumberFormat="1" applyFont="1" applyFill="1" applyBorder="1" applyProtection="1"/>
    <xf numFmtId="3" fontId="11" fillId="7" borderId="7" xfId="0" applyNumberFormat="1" applyFont="1" applyFill="1" applyBorder="1" applyAlignment="1" applyProtection="1"/>
    <xf numFmtId="3" fontId="26" fillId="0" borderId="1" xfId="0" applyNumberFormat="1" applyFont="1" applyFill="1" applyBorder="1" applyAlignment="1"/>
    <xf numFmtId="3" fontId="1" fillId="0" borderId="1" xfId="0" applyNumberFormat="1" applyFont="1" applyFill="1" applyBorder="1" applyAlignment="1"/>
    <xf numFmtId="3" fontId="11" fillId="7" borderId="1" xfId="0" applyNumberFormat="1" applyFont="1" applyFill="1" applyBorder="1" applyAlignment="1" applyProtection="1"/>
    <xf numFmtId="4" fontId="1" fillId="7" borderId="12" xfId="0" applyNumberFormat="1" applyFont="1" applyFill="1" applyBorder="1" applyAlignment="1" applyProtection="1"/>
    <xf numFmtId="4" fontId="1" fillId="7" borderId="1" xfId="0" applyNumberFormat="1" applyFont="1" applyFill="1" applyBorder="1" applyAlignment="1"/>
    <xf numFmtId="4" fontId="1" fillId="7" borderId="26" xfId="0" applyNumberFormat="1" applyFont="1" applyFill="1" applyBorder="1" applyAlignment="1"/>
    <xf numFmtId="4" fontId="1" fillId="7" borderId="1" xfId="0" applyNumberFormat="1" applyFont="1" applyFill="1" applyBorder="1"/>
    <xf numFmtId="4" fontId="1" fillId="7" borderId="10" xfId="0" applyNumberFormat="1" applyFont="1" applyFill="1" applyBorder="1" applyAlignment="1"/>
    <xf numFmtId="3" fontId="11" fillId="7" borderId="12" xfId="0" applyNumberFormat="1" applyFont="1" applyFill="1" applyBorder="1" applyAlignment="1">
      <alignment horizontal="right"/>
    </xf>
    <xf numFmtId="3" fontId="11" fillId="7" borderId="12" xfId="0" applyNumberFormat="1" applyFont="1" applyFill="1" applyBorder="1" applyAlignment="1" applyProtection="1">
      <alignment horizontal="right"/>
    </xf>
    <xf numFmtId="3" fontId="11" fillId="0" borderId="12" xfId="0" applyNumberFormat="1" applyFont="1" applyFill="1" applyBorder="1" applyAlignment="1">
      <alignment horizontal="right"/>
    </xf>
    <xf numFmtId="3" fontId="11" fillId="7" borderId="1" xfId="0" applyNumberFormat="1" applyFont="1" applyFill="1" applyBorder="1" applyAlignment="1">
      <alignment horizontal="right"/>
    </xf>
    <xf numFmtId="3" fontId="11" fillId="7" borderId="12" xfId="2" applyNumberFormat="1" applyFont="1" applyFill="1" applyBorder="1" applyAlignment="1">
      <alignment horizontal="right"/>
    </xf>
    <xf numFmtId="3" fontId="11" fillId="7" borderId="12" xfId="2" applyNumberFormat="1" applyFont="1" applyFill="1" applyBorder="1" applyAlignment="1" applyProtection="1">
      <alignment horizontal="right"/>
    </xf>
    <xf numFmtId="1" fontId="1" fillId="0" borderId="1" xfId="2" applyNumberFormat="1" applyFont="1" applyBorder="1" applyAlignment="1">
      <alignment horizontal="right"/>
    </xf>
    <xf numFmtId="1" fontId="11" fillId="0" borderId="1" xfId="5" applyNumberFormat="1" applyFont="1" applyBorder="1" applyAlignment="1">
      <alignment horizontal="right"/>
    </xf>
    <xf numFmtId="3" fontId="1" fillId="7" borderId="1" xfId="0" applyNumberFormat="1" applyFont="1" applyFill="1" applyBorder="1" applyAlignment="1">
      <alignment vertical="center" wrapText="1"/>
    </xf>
    <xf numFmtId="169" fontId="5" fillId="8" borderId="1" xfId="2" applyNumberFormat="1" applyFont="1" applyFill="1" applyBorder="1" applyAlignment="1">
      <alignment horizontal="right" vertical="center" wrapText="1"/>
    </xf>
    <xf numFmtId="169" fontId="1" fillId="0" borderId="1" xfId="0" applyNumberFormat="1" applyFont="1" applyFill="1" applyBorder="1" applyAlignment="1">
      <alignment horizontal="right" vertical="center" wrapText="1"/>
    </xf>
    <xf numFmtId="164" fontId="11" fillId="11" borderId="1" xfId="0" applyNumberFormat="1" applyFont="1" applyFill="1" applyBorder="1" applyAlignment="1">
      <alignment horizontal="right" vertical="center" wrapText="1"/>
    </xf>
    <xf numFmtId="166" fontId="11" fillId="11" borderId="1" xfId="0" applyNumberFormat="1" applyFont="1" applyFill="1" applyBorder="1" applyAlignment="1">
      <alignment horizontal="right"/>
    </xf>
    <xf numFmtId="168" fontId="11" fillId="11" borderId="1" xfId="0" applyNumberFormat="1" applyFont="1" applyFill="1" applyBorder="1" applyAlignment="1">
      <alignment horizontal="right" vertical="center" wrapText="1"/>
    </xf>
    <xf numFmtId="168" fontId="12" fillId="11" borderId="1" xfId="0" applyNumberFormat="1" applyFont="1" applyFill="1" applyBorder="1" applyAlignment="1">
      <alignment horizontal="right" vertical="center" wrapText="1"/>
    </xf>
    <xf numFmtId="43" fontId="10" fillId="11" borderId="1" xfId="0" applyNumberFormat="1" applyFont="1" applyFill="1" applyBorder="1" applyAlignment="1">
      <alignment horizontal="right" vertical="center" wrapText="1"/>
    </xf>
    <xf numFmtId="166" fontId="10" fillId="11" borderId="1" xfId="0" applyNumberFormat="1" applyFont="1" applyFill="1" applyBorder="1" applyAlignment="1">
      <alignment horizontal="right"/>
    </xf>
    <xf numFmtId="0" fontId="11" fillId="0" borderId="0" xfId="0" applyFont="1" applyAlignment="1">
      <alignment horizontal="right"/>
    </xf>
    <xf numFmtId="169" fontId="26" fillId="7" borderId="1" xfId="0" applyNumberFormat="1" applyFont="1" applyFill="1" applyBorder="1" applyAlignment="1">
      <alignment horizontal="justify" vertical="center" wrapText="1"/>
    </xf>
    <xf numFmtId="166" fontId="26" fillId="7" borderId="1" xfId="0" applyNumberFormat="1" applyFont="1" applyFill="1" applyBorder="1" applyAlignment="1">
      <alignment horizontal="justify" vertical="center" wrapText="1"/>
    </xf>
    <xf numFmtId="169" fontId="1" fillId="7" borderId="1" xfId="0" applyNumberFormat="1" applyFont="1" applyFill="1" applyBorder="1" applyAlignment="1">
      <alignment horizontal="justify" vertical="center" wrapText="1"/>
    </xf>
    <xf numFmtId="166" fontId="1" fillId="9" borderId="1" xfId="0" applyNumberFormat="1" applyFont="1" applyFill="1" applyBorder="1" applyAlignment="1">
      <alignment horizontal="right" vertical="center" wrapText="1"/>
    </xf>
    <xf numFmtId="0" fontId="4" fillId="0" borderId="1" xfId="0" applyFont="1" applyFill="1" applyBorder="1" applyAlignment="1">
      <alignment horizontal="right" vertical="center" wrapText="1"/>
    </xf>
    <xf numFmtId="166" fontId="6" fillId="0" borderId="1" xfId="0" applyNumberFormat="1" applyFont="1" applyFill="1" applyBorder="1" applyAlignment="1">
      <alignment horizontal="right" vertical="center" wrapText="1"/>
    </xf>
    <xf numFmtId="169" fontId="1" fillId="11" borderId="1" xfId="2" applyNumberFormat="1" applyFont="1" applyFill="1" applyBorder="1" applyAlignment="1"/>
    <xf numFmtId="1" fontId="11" fillId="0" borderId="1" xfId="0" applyNumberFormat="1" applyFont="1" applyFill="1" applyBorder="1" applyAlignment="1">
      <alignment horizontal="center" vertical="center" wrapText="1"/>
    </xf>
    <xf numFmtId="3" fontId="11" fillId="0" borderId="1" xfId="0" applyNumberFormat="1" applyFont="1" applyFill="1" applyBorder="1" applyAlignment="1">
      <alignment horizontal="right" vertical="center" wrapText="1"/>
    </xf>
    <xf numFmtId="4" fontId="11" fillId="0" borderId="1" xfId="0" applyNumberFormat="1" applyFont="1" applyFill="1" applyBorder="1" applyAlignment="1">
      <alignment horizontal="right" vertical="center" wrapText="1"/>
    </xf>
    <xf numFmtId="3" fontId="0" fillId="0" borderId="1" xfId="0" applyNumberFormat="1" applyBorder="1"/>
    <xf numFmtId="3" fontId="0" fillId="7" borderId="1" xfId="0" applyNumberFormat="1" applyFill="1" applyBorder="1"/>
    <xf numFmtId="0" fontId="24" fillId="7" borderId="10" xfId="0" applyFont="1" applyFill="1" applyBorder="1" applyAlignment="1" applyProtection="1">
      <alignment horizontal="center" vertical="center" wrapText="1"/>
    </xf>
    <xf numFmtId="0" fontId="24" fillId="7" borderId="11" xfId="0" applyFont="1" applyFill="1" applyBorder="1" applyAlignment="1" applyProtection="1">
      <alignment horizontal="center" vertical="center" wrapText="1"/>
    </xf>
    <xf numFmtId="0" fontId="24" fillId="7" borderId="12" xfId="0" applyFont="1" applyFill="1" applyBorder="1" applyAlignment="1" applyProtection="1">
      <alignment horizontal="center" vertical="center" wrapText="1"/>
    </xf>
    <xf numFmtId="0" fontId="11" fillId="0" borderId="0" xfId="0" applyFont="1" applyBorder="1" applyAlignment="1">
      <alignment horizontal="left" vertical="top" wrapText="1"/>
    </xf>
    <xf numFmtId="2" fontId="11" fillId="0" borderId="1" xfId="0" applyNumberFormat="1" applyFont="1" applyBorder="1" applyAlignment="1">
      <alignment horizontal="right"/>
    </xf>
    <xf numFmtId="3" fontId="3" fillId="5" borderId="1" xfId="2" applyNumberFormat="1" applyFont="1" applyFill="1" applyBorder="1" applyAlignment="1">
      <alignment horizontal="right" vertical="center" wrapText="1"/>
    </xf>
    <xf numFmtId="164" fontId="11" fillId="11" borderId="12" xfId="2" applyFont="1" applyFill="1" applyBorder="1" applyAlignment="1"/>
    <xf numFmtId="164" fontId="11" fillId="11" borderId="12" xfId="2" applyFont="1" applyFill="1" applyBorder="1" applyAlignment="1">
      <alignment horizontal="right"/>
    </xf>
    <xf numFmtId="164" fontId="11" fillId="0" borderId="12" xfId="2" applyFont="1" applyFill="1" applyBorder="1" applyAlignment="1">
      <alignment horizontal="right"/>
    </xf>
    <xf numFmtId="0" fontId="34" fillId="5" borderId="0" xfId="0" applyFont="1" applyFill="1"/>
    <xf numFmtId="0" fontId="35" fillId="5" borderId="0" xfId="0" applyFont="1" applyFill="1" applyBorder="1" applyAlignment="1"/>
    <xf numFmtId="0" fontId="36" fillId="5" borderId="0" xfId="0" applyFont="1" applyFill="1" applyBorder="1" applyAlignment="1">
      <alignment horizontal="left"/>
    </xf>
    <xf numFmtId="0" fontId="36" fillId="5" borderId="0" xfId="0" applyFont="1" applyFill="1" applyBorder="1" applyAlignment="1">
      <alignment horizontal="center"/>
    </xf>
    <xf numFmtId="0" fontId="36" fillId="5" borderId="0" xfId="0" applyFont="1" applyFill="1" applyBorder="1" applyAlignment="1"/>
    <xf numFmtId="0" fontId="36" fillId="5" borderId="0" xfId="0" applyFont="1" applyFill="1" applyBorder="1" applyAlignment="1">
      <alignment vertical="top"/>
    </xf>
    <xf numFmtId="0" fontId="36" fillId="5" borderId="0" xfId="0" applyFont="1" applyFill="1"/>
    <xf numFmtId="0" fontId="36" fillId="5" borderId="0" xfId="0" applyFont="1" applyFill="1" applyBorder="1"/>
    <xf numFmtId="0" fontId="36" fillId="5" borderId="0" xfId="0" applyFont="1" applyFill="1" applyBorder="1" applyAlignment="1">
      <alignment vertical="center" wrapText="1"/>
    </xf>
    <xf numFmtId="0" fontId="36" fillId="5" borderId="0" xfId="0" applyFont="1" applyFill="1" applyBorder="1" applyAlignment="1">
      <alignment horizontal="center" vertical="center" wrapText="1"/>
    </xf>
    <xf numFmtId="0" fontId="2" fillId="2" borderId="0" xfId="3" applyFont="1" applyFill="1" applyAlignment="1">
      <alignment horizontal="center"/>
    </xf>
    <xf numFmtId="0" fontId="37" fillId="0" borderId="0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36" fillId="0" borderId="10" xfId="0" applyFont="1" applyBorder="1" applyAlignment="1">
      <alignment horizontal="center"/>
    </xf>
    <xf numFmtId="0" fontId="36" fillId="0" borderId="11" xfId="0" applyFont="1" applyBorder="1" applyAlignment="1">
      <alignment horizontal="center"/>
    </xf>
    <xf numFmtId="0" fontId="36" fillId="0" borderId="12" xfId="0" applyFont="1" applyBorder="1" applyAlignment="1">
      <alignment horizontal="center"/>
    </xf>
    <xf numFmtId="0" fontId="36" fillId="0" borderId="0" xfId="0" applyFont="1" applyAlignment="1">
      <alignment horizontal="left" vertical="justify"/>
    </xf>
    <xf numFmtId="0" fontId="36" fillId="0" borderId="6" xfId="0" applyFont="1" applyBorder="1" applyAlignment="1">
      <alignment horizontal="left" vertical="justify"/>
    </xf>
    <xf numFmtId="0" fontId="36" fillId="0" borderId="0" xfId="0" applyFont="1" applyAlignment="1">
      <alignment horizontal="left" vertical="justify" readingOrder="1"/>
    </xf>
    <xf numFmtId="0" fontId="36" fillId="0" borderId="0" xfId="0" applyFont="1" applyAlignment="1">
      <alignment horizontal="center" vertical="justify"/>
    </xf>
    <xf numFmtId="0" fontId="36" fillId="0" borderId="0" xfId="0" applyFont="1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 wrapText="1"/>
    </xf>
    <xf numFmtId="0" fontId="39" fillId="0" borderId="1" xfId="0" applyFont="1" applyFill="1" applyBorder="1" applyAlignment="1">
      <alignment horizontal="center" vertical="center" wrapText="1"/>
    </xf>
    <xf numFmtId="0" fontId="37" fillId="0" borderId="1" xfId="0" applyFont="1" applyFill="1" applyBorder="1" applyAlignment="1">
      <alignment horizontal="center" vertical="center" wrapText="1"/>
    </xf>
    <xf numFmtId="0" fontId="36" fillId="0" borderId="0" xfId="0" applyFont="1" applyAlignment="1">
      <alignment horizontal="center" vertical="justify" readingOrder="1"/>
    </xf>
    <xf numFmtId="0" fontId="36" fillId="0" borderId="5" xfId="0" applyFont="1" applyBorder="1" applyAlignment="1">
      <alignment horizontal="center" vertical="center" wrapText="1"/>
    </xf>
    <xf numFmtId="0" fontId="37" fillId="0" borderId="0" xfId="0" applyFont="1"/>
    <xf numFmtId="0" fontId="36" fillId="0" borderId="10" xfId="0" applyFont="1" applyFill="1" applyBorder="1" applyAlignment="1">
      <alignment horizontal="left" indent="1"/>
    </xf>
    <xf numFmtId="0" fontId="36" fillId="0" borderId="12" xfId="0" applyFont="1" applyFill="1" applyBorder="1" applyAlignment="1">
      <alignment horizontal="left" indent="1"/>
    </xf>
    <xf numFmtId="0" fontId="36" fillId="0" borderId="2" xfId="0" applyFont="1" applyBorder="1" applyAlignment="1">
      <alignment horizontal="center"/>
    </xf>
    <xf numFmtId="0" fontId="36" fillId="0" borderId="4" xfId="0" applyFont="1" applyBorder="1" applyAlignment="1">
      <alignment horizontal="center"/>
    </xf>
    <xf numFmtId="0" fontId="36" fillId="0" borderId="7" xfId="0" applyFont="1" applyBorder="1" applyAlignment="1">
      <alignment horizontal="center"/>
    </xf>
    <xf numFmtId="0" fontId="36" fillId="0" borderId="9" xfId="0" applyFont="1" applyBorder="1" applyAlignment="1">
      <alignment horizontal="center"/>
    </xf>
    <xf numFmtId="0" fontId="36" fillId="0" borderId="1" xfId="0" applyFont="1" applyFill="1" applyBorder="1" applyAlignment="1">
      <alignment horizontal="left" wrapText="1" indent="1"/>
    </xf>
    <xf numFmtId="0" fontId="36" fillId="0" borderId="3" xfId="0" applyFont="1" applyBorder="1" applyAlignment="1">
      <alignment horizontal="center"/>
    </xf>
    <xf numFmtId="0" fontId="36" fillId="0" borderId="8" xfId="0" applyFont="1" applyBorder="1" applyAlignment="1">
      <alignment horizontal="center"/>
    </xf>
    <xf numFmtId="0" fontId="36" fillId="0" borderId="10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/>
    </xf>
    <xf numFmtId="0" fontId="36" fillId="0" borderId="1" xfId="0" applyFont="1" applyFill="1" applyBorder="1" applyAlignment="1">
      <alignment horizontal="center" vertical="center" wrapText="1"/>
    </xf>
    <xf numFmtId="0" fontId="36" fillId="0" borderId="2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center" vertical="center" wrapText="1"/>
    </xf>
    <xf numFmtId="49" fontId="36" fillId="0" borderId="2" xfId="0" applyNumberFormat="1" applyFont="1" applyBorder="1" applyAlignment="1">
      <alignment horizontal="center" vertical="center" wrapText="1"/>
    </xf>
    <xf numFmtId="49" fontId="36" fillId="0" borderId="3" xfId="0" applyNumberFormat="1" applyFont="1" applyBorder="1" applyAlignment="1">
      <alignment horizontal="center" vertical="center" wrapText="1"/>
    </xf>
    <xf numFmtId="49" fontId="36" fillId="0" borderId="4" xfId="0" applyNumberFormat="1" applyFont="1" applyBorder="1" applyAlignment="1">
      <alignment horizontal="center" vertical="center" wrapText="1"/>
    </xf>
    <xf numFmtId="49" fontId="36" fillId="0" borderId="7" xfId="0" applyNumberFormat="1" applyFont="1" applyBorder="1" applyAlignment="1">
      <alignment horizontal="center" vertical="center" wrapText="1"/>
    </xf>
    <xf numFmtId="49" fontId="36" fillId="0" borderId="8" xfId="0" applyNumberFormat="1" applyFont="1" applyBorder="1" applyAlignment="1">
      <alignment horizontal="center" vertical="center" wrapText="1"/>
    </xf>
    <xf numFmtId="49" fontId="36" fillId="0" borderId="9" xfId="0" applyNumberFormat="1" applyFont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wrapText="1"/>
    </xf>
    <xf numFmtId="0" fontId="36" fillId="0" borderId="1" xfId="0" applyFont="1" applyFill="1" applyBorder="1" applyAlignment="1">
      <alignment horizontal="center"/>
    </xf>
    <xf numFmtId="0" fontId="36" fillId="0" borderId="1" xfId="0" applyFont="1" applyFill="1" applyBorder="1" applyAlignment="1">
      <alignment horizontal="left" wrapText="1"/>
    </xf>
    <xf numFmtId="0" fontId="36" fillId="0" borderId="10" xfId="0" applyFont="1" applyFill="1" applyBorder="1" applyAlignment="1">
      <alignment horizontal="center"/>
    </xf>
    <xf numFmtId="0" fontId="36" fillId="0" borderId="12" xfId="0" applyFont="1" applyFill="1" applyBorder="1" applyAlignment="1">
      <alignment horizontal="center"/>
    </xf>
    <xf numFmtId="0" fontId="36" fillId="0" borderId="11" xfId="0" applyFont="1" applyFill="1" applyBorder="1" applyAlignment="1">
      <alignment horizontal="center"/>
    </xf>
    <xf numFmtId="0" fontId="36" fillId="0" borderId="5" xfId="0" applyFont="1" applyFill="1" applyBorder="1" applyAlignment="1">
      <alignment horizontal="center" wrapText="1"/>
    </xf>
    <xf numFmtId="0" fontId="36" fillId="0" borderId="0" xfId="0" applyFont="1" applyFill="1" applyBorder="1" applyAlignment="1">
      <alignment horizontal="center" wrapText="1"/>
    </xf>
    <xf numFmtId="0" fontId="36" fillId="0" borderId="0" xfId="0" applyFont="1" applyFill="1" applyBorder="1" applyAlignment="1">
      <alignment horizontal="center"/>
    </xf>
    <xf numFmtId="0" fontId="40" fillId="0" borderId="1" xfId="0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36" fillId="0" borderId="10" xfId="0" applyFont="1" applyFill="1" applyBorder="1" applyAlignment="1">
      <alignment horizontal="left" vertical="center" wrapText="1"/>
    </xf>
    <xf numFmtId="0" fontId="36" fillId="0" borderId="11" xfId="0" applyFont="1" applyFill="1" applyBorder="1" applyAlignment="1">
      <alignment horizontal="left" vertical="center" wrapText="1"/>
    </xf>
    <xf numFmtId="0" fontId="36" fillId="0" borderId="12" xfId="0" applyFont="1" applyFill="1" applyBorder="1" applyAlignment="1">
      <alignment horizontal="left" vertical="center" wrapText="1"/>
    </xf>
    <xf numFmtId="0" fontId="36" fillId="7" borderId="10" xfId="0" applyFont="1" applyFill="1" applyBorder="1" applyAlignment="1">
      <alignment horizontal="center" wrapText="1"/>
    </xf>
    <xf numFmtId="0" fontId="36" fillId="7" borderId="11" xfId="0" applyFont="1" applyFill="1" applyBorder="1" applyAlignment="1">
      <alignment horizontal="center" wrapText="1"/>
    </xf>
    <xf numFmtId="0" fontId="36" fillId="7" borderId="12" xfId="0" applyFont="1" applyFill="1" applyBorder="1" applyAlignment="1">
      <alignment horizontal="center" wrapText="1"/>
    </xf>
    <xf numFmtId="0" fontId="36" fillId="7" borderId="1" xfId="0" applyFont="1" applyFill="1" applyBorder="1" applyAlignment="1">
      <alignment horizontal="center" wrapText="1"/>
    </xf>
    <xf numFmtId="0" fontId="34" fillId="0" borderId="0" xfId="0" applyFont="1" applyFill="1" applyBorder="1" applyAlignment="1">
      <alignment horizontal="center" vertical="center" wrapText="1"/>
    </xf>
    <xf numFmtId="0" fontId="36" fillId="0" borderId="10" xfId="0" applyFont="1" applyFill="1" applyBorder="1" applyAlignment="1">
      <alignment horizontal="center" vertical="center" wrapText="1"/>
    </xf>
    <xf numFmtId="0" fontId="36" fillId="0" borderId="12" xfId="0" applyFont="1" applyFill="1" applyBorder="1" applyAlignment="1">
      <alignment horizontal="center" vertical="center" wrapText="1"/>
    </xf>
    <xf numFmtId="10" fontId="36" fillId="0" borderId="1" xfId="5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center" vertical="center"/>
    </xf>
    <xf numFmtId="0" fontId="36" fillId="0" borderId="6" xfId="0" applyFont="1" applyFill="1" applyBorder="1" applyAlignment="1">
      <alignment horizontal="center" vertical="center"/>
    </xf>
    <xf numFmtId="0" fontId="37" fillId="0" borderId="10" xfId="0" applyFont="1" applyFill="1" applyBorder="1" applyAlignment="1">
      <alignment horizontal="center" vertical="center" wrapText="1"/>
    </xf>
    <xf numFmtId="0" fontId="37" fillId="0" borderId="12" xfId="0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left" vertical="center" wrapText="1"/>
    </xf>
    <xf numFmtId="0" fontId="37" fillId="0" borderId="2" xfId="0" applyFont="1" applyFill="1" applyBorder="1" applyAlignment="1">
      <alignment horizontal="center" vertical="center" wrapText="1"/>
    </xf>
    <xf numFmtId="0" fontId="37" fillId="0" borderId="4" xfId="0" applyFont="1" applyFill="1" applyBorder="1" applyAlignment="1">
      <alignment horizontal="center" vertical="center" wrapText="1"/>
    </xf>
    <xf numFmtId="0" fontId="37" fillId="0" borderId="7" xfId="0" applyFont="1" applyFill="1" applyBorder="1" applyAlignment="1">
      <alignment horizontal="center" vertical="center" wrapText="1"/>
    </xf>
    <xf numFmtId="0" fontId="37" fillId="0" borderId="9" xfId="0" applyFont="1" applyFill="1" applyBorder="1" applyAlignment="1">
      <alignment horizontal="center" vertical="center" wrapText="1"/>
    </xf>
    <xf numFmtId="0" fontId="37" fillId="0" borderId="26" xfId="0" applyFont="1" applyFill="1" applyBorder="1" applyAlignment="1">
      <alignment horizontal="center" vertical="center" wrapText="1"/>
    </xf>
    <xf numFmtId="0" fontId="37" fillId="0" borderId="15" xfId="0" applyFont="1" applyFill="1" applyBorder="1" applyAlignment="1">
      <alignment horizontal="center" vertical="center" wrapText="1"/>
    </xf>
    <xf numFmtId="0" fontId="37" fillId="0" borderId="26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43" fontId="37" fillId="0" borderId="10" xfId="0" applyNumberFormat="1" applyFont="1" applyBorder="1" applyAlignment="1"/>
    <xf numFmtId="0" fontId="37" fillId="0" borderId="12" xfId="0" applyFont="1" applyBorder="1" applyAlignment="1"/>
    <xf numFmtId="0" fontId="36" fillId="0" borderId="0" xfId="0" applyFont="1" applyFill="1" applyBorder="1" applyAlignment="1">
      <alignment horizontal="left" vertical="center" wrapText="1" indent="2"/>
    </xf>
    <xf numFmtId="0" fontId="36" fillId="0" borderId="8" xfId="0" applyFont="1" applyFill="1" applyBorder="1" applyAlignment="1">
      <alignment horizontal="center" vertical="center" wrapText="1"/>
    </xf>
    <xf numFmtId="9" fontId="43" fillId="0" borderId="10" xfId="0" applyNumberFormat="1" applyFont="1" applyFill="1" applyBorder="1" applyAlignment="1">
      <alignment horizontal="center" vertical="center" wrapText="1"/>
    </xf>
    <xf numFmtId="9" fontId="43" fillId="0" borderId="12" xfId="0" applyNumberFormat="1" applyFont="1" applyFill="1" applyBorder="1" applyAlignment="1">
      <alignment horizontal="center" vertical="center" wrapText="1"/>
    </xf>
    <xf numFmtId="0" fontId="39" fillId="0" borderId="3" xfId="0" applyFont="1" applyFill="1" applyBorder="1" applyAlignment="1">
      <alignment horizontal="center" vertical="center" wrapText="1"/>
    </xf>
    <xf numFmtId="0" fontId="39" fillId="0" borderId="4" xfId="0" applyFont="1" applyFill="1" applyBorder="1" applyAlignment="1">
      <alignment horizontal="center" vertical="center" wrapText="1"/>
    </xf>
    <xf numFmtId="9" fontId="37" fillId="0" borderId="1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1" fontId="36" fillId="0" borderId="10" xfId="0" applyNumberFormat="1" applyFont="1" applyBorder="1" applyAlignment="1">
      <alignment horizontal="center"/>
    </xf>
    <xf numFmtId="1" fontId="36" fillId="0" borderId="11" xfId="0" applyNumberFormat="1" applyFont="1" applyBorder="1" applyAlignment="1">
      <alignment horizontal="center"/>
    </xf>
    <xf numFmtId="1" fontId="36" fillId="0" borderId="12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" fontId="34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 wrapText="1"/>
    </xf>
    <xf numFmtId="1" fontId="36" fillId="0" borderId="1" xfId="0" applyNumberFormat="1" applyFont="1" applyBorder="1" applyAlignment="1">
      <alignment horizontal="left" vertical="center"/>
    </xf>
    <xf numFmtId="0" fontId="36" fillId="0" borderId="1" xfId="0" applyFont="1" applyBorder="1" applyAlignment="1">
      <alignment horizontal="center" vertical="top" wrapText="1"/>
    </xf>
    <xf numFmtId="4" fontId="36" fillId="0" borderId="5" xfId="0" applyNumberFormat="1" applyFont="1" applyBorder="1" applyAlignment="1">
      <alignment horizontal="center"/>
    </xf>
    <xf numFmtId="4" fontId="36" fillId="0" borderId="0" xfId="0" applyNumberFormat="1" applyFont="1" applyBorder="1" applyAlignment="1">
      <alignment horizontal="center"/>
    </xf>
    <xf numFmtId="0" fontId="37" fillId="0" borderId="11" xfId="0" applyFont="1" applyFill="1" applyBorder="1" applyAlignment="1">
      <alignment horizontal="center" vertical="center" wrapText="1"/>
    </xf>
    <xf numFmtId="0" fontId="36" fillId="0" borderId="26" xfId="0" applyFont="1" applyBorder="1" applyAlignment="1">
      <alignment horizontal="left" vertical="center"/>
    </xf>
    <xf numFmtId="0" fontId="36" fillId="0" borderId="35" xfId="0" applyFont="1" applyBorder="1" applyAlignment="1">
      <alignment horizontal="left" vertical="center"/>
    </xf>
    <xf numFmtId="0" fontId="36" fillId="0" borderId="2" xfId="0" applyFont="1" applyBorder="1" applyAlignment="1">
      <alignment horizontal="left" vertical="center"/>
    </xf>
    <xf numFmtId="0" fontId="36" fillId="0" borderId="3" xfId="0" applyFont="1" applyBorder="1" applyAlignment="1">
      <alignment horizontal="left" vertical="center"/>
    </xf>
    <xf numFmtId="0" fontId="36" fillId="0" borderId="4" xfId="0" applyFont="1" applyBorder="1" applyAlignment="1">
      <alignment horizontal="left" vertical="center"/>
    </xf>
    <xf numFmtId="0" fontId="36" fillId="0" borderId="5" xfId="0" applyFont="1" applyBorder="1" applyAlignment="1">
      <alignment horizontal="left" vertical="center"/>
    </xf>
    <xf numFmtId="0" fontId="36" fillId="0" borderId="0" xfId="0" applyFont="1" applyBorder="1" applyAlignment="1">
      <alignment horizontal="left" vertical="center"/>
    </xf>
    <xf numFmtId="0" fontId="36" fillId="0" borderId="6" xfId="0" applyFont="1" applyBorder="1" applyAlignment="1">
      <alignment horizontal="left" vertical="center"/>
    </xf>
    <xf numFmtId="0" fontId="36" fillId="0" borderId="7" xfId="0" applyFont="1" applyBorder="1" applyAlignment="1">
      <alignment horizontal="left" vertical="center"/>
    </xf>
    <xf numFmtId="0" fontId="36" fillId="0" borderId="8" xfId="0" applyFont="1" applyBorder="1" applyAlignment="1">
      <alignment horizontal="left" vertical="center"/>
    </xf>
    <xf numFmtId="0" fontId="36" fillId="0" borderId="9" xfId="0" applyFont="1" applyBorder="1" applyAlignment="1">
      <alignment horizontal="left" vertical="center"/>
    </xf>
    <xf numFmtId="0" fontId="36" fillId="0" borderId="3" xfId="0" applyFont="1" applyBorder="1" applyAlignment="1">
      <alignment horizontal="left" vertical="top" wrapText="1"/>
    </xf>
    <xf numFmtId="0" fontId="36" fillId="0" borderId="2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 wrapText="1"/>
    </xf>
    <xf numFmtId="0" fontId="37" fillId="0" borderId="31" xfId="0" applyFont="1" applyBorder="1" applyAlignment="1">
      <alignment horizontal="center" vertical="center" wrapText="1"/>
    </xf>
    <xf numFmtId="0" fontId="37" fillId="0" borderId="32" xfId="0" applyFont="1" applyBorder="1" applyAlignment="1">
      <alignment horizontal="center" vertical="center" wrapText="1"/>
    </xf>
    <xf numFmtId="0" fontId="36" fillId="0" borderId="39" xfId="0" applyFont="1" applyBorder="1" applyAlignment="1">
      <alignment horizontal="center"/>
    </xf>
    <xf numFmtId="0" fontId="36" fillId="0" borderId="41" xfId="0" applyFont="1" applyBorder="1" applyAlignment="1">
      <alignment horizontal="center"/>
    </xf>
    <xf numFmtId="0" fontId="37" fillId="0" borderId="1" xfId="0" applyFont="1" applyFill="1" applyBorder="1" applyAlignment="1">
      <alignment horizontal="center"/>
    </xf>
    <xf numFmtId="0" fontId="37" fillId="0" borderId="10" xfId="0" applyFont="1" applyFill="1" applyBorder="1" applyAlignment="1">
      <alignment horizontal="center" wrapText="1"/>
    </xf>
    <xf numFmtId="0" fontId="37" fillId="0" borderId="12" xfId="0" applyFont="1" applyFill="1" applyBorder="1" applyAlignment="1">
      <alignment horizontal="center" wrapText="1"/>
    </xf>
    <xf numFmtId="0" fontId="37" fillId="0" borderId="10" xfId="0" applyFont="1" applyFill="1" applyBorder="1" applyAlignment="1">
      <alignment horizontal="left" wrapText="1"/>
    </xf>
    <xf numFmtId="0" fontId="37" fillId="0" borderId="12" xfId="0" applyFont="1" applyFill="1" applyBorder="1" applyAlignment="1">
      <alignment horizontal="left" wrapText="1"/>
    </xf>
    <xf numFmtId="0" fontId="36" fillId="0" borderId="10" xfId="0" applyFont="1" applyFill="1" applyBorder="1" applyAlignment="1">
      <alignment horizontal="left" wrapText="1"/>
    </xf>
    <xf numFmtId="0" fontId="36" fillId="0" borderId="12" xfId="0" applyFont="1" applyFill="1" applyBorder="1" applyAlignment="1">
      <alignment horizontal="left" wrapText="1"/>
    </xf>
    <xf numFmtId="0" fontId="37" fillId="5" borderId="10" xfId="0" applyFont="1" applyFill="1" applyBorder="1" applyAlignment="1">
      <alignment horizontal="center" vertical="center" wrapText="1"/>
    </xf>
    <xf numFmtId="0" fontId="37" fillId="5" borderId="11" xfId="0" applyFont="1" applyFill="1" applyBorder="1" applyAlignment="1">
      <alignment horizontal="center" vertical="center" wrapText="1"/>
    </xf>
    <xf numFmtId="0" fontId="37" fillId="5" borderId="12" xfId="0" applyFont="1" applyFill="1" applyBorder="1" applyAlignment="1">
      <alignment horizontal="center" vertical="center" wrapText="1"/>
    </xf>
    <xf numFmtId="0" fontId="37" fillId="5" borderId="1" xfId="0" applyFont="1" applyFill="1" applyBorder="1" applyAlignment="1">
      <alignment horizontal="center" vertical="center" wrapText="1"/>
    </xf>
    <xf numFmtId="0" fontId="37" fillId="0" borderId="0" xfId="0" applyFont="1" applyFill="1" applyAlignment="1">
      <alignment horizontal="justify"/>
    </xf>
    <xf numFmtId="0" fontId="37" fillId="0" borderId="0" xfId="0" applyFont="1" applyBorder="1" applyAlignment="1">
      <alignment horizontal="left" wrapText="1"/>
    </xf>
    <xf numFmtId="0" fontId="37" fillId="0" borderId="0" xfId="0" applyFont="1" applyBorder="1" applyAlignment="1">
      <alignment horizontal="center" wrapText="1"/>
    </xf>
    <xf numFmtId="0" fontId="36" fillId="0" borderId="1" xfId="0" applyFont="1" applyFill="1" applyBorder="1" applyAlignment="1">
      <alignment horizontal="left"/>
    </xf>
    <xf numFmtId="0" fontId="37" fillId="0" borderId="45" xfId="0" applyFont="1" applyFill="1" applyBorder="1" applyAlignment="1">
      <alignment horizontal="center" wrapText="1"/>
    </xf>
    <xf numFmtId="0" fontId="37" fillId="0" borderId="46" xfId="0" applyFont="1" applyFill="1" applyBorder="1" applyAlignment="1">
      <alignment horizontal="center" wrapText="1"/>
    </xf>
    <xf numFmtId="0" fontId="37" fillId="0" borderId="47" xfId="0" applyFont="1" applyFill="1" applyBorder="1" applyAlignment="1">
      <alignment horizontal="center" wrapText="1"/>
    </xf>
    <xf numFmtId="0" fontId="36" fillId="0" borderId="0" xfId="0" applyFont="1" applyAlignment="1">
      <alignment horizontal="left" vertical="top" wrapText="1"/>
    </xf>
    <xf numFmtId="0" fontId="36" fillId="0" borderId="5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0" fontId="37" fillId="0" borderId="1" xfId="0" applyFont="1" applyFill="1" applyBorder="1" applyAlignment="1">
      <alignment horizontal="left" vertical="center" wrapText="1"/>
    </xf>
    <xf numFmtId="0" fontId="37" fillId="0" borderId="0" xfId="0" applyFont="1" applyAlignment="1">
      <alignment horizontal="justify"/>
    </xf>
    <xf numFmtId="0" fontId="36" fillId="0" borderId="10" xfId="0" applyFont="1" applyBorder="1" applyAlignment="1">
      <alignment horizontal="left" vertical="top" wrapText="1"/>
    </xf>
    <xf numFmtId="0" fontId="36" fillId="0" borderId="11" xfId="0" applyFont="1" applyBorder="1" applyAlignment="1">
      <alignment horizontal="left" vertical="top" wrapText="1"/>
    </xf>
    <xf numFmtId="0" fontId="36" fillId="0" borderId="12" xfId="0" applyFont="1" applyBorder="1" applyAlignment="1">
      <alignment horizontal="left" vertical="top" wrapText="1"/>
    </xf>
    <xf numFmtId="0" fontId="37" fillId="0" borderId="42" xfId="0" applyFont="1" applyFill="1" applyBorder="1" applyAlignment="1">
      <alignment horizontal="left" vertical="center" wrapText="1"/>
    </xf>
    <xf numFmtId="0" fontId="37" fillId="0" borderId="43" xfId="0" applyFont="1" applyFill="1" applyBorder="1" applyAlignment="1">
      <alignment horizontal="left" vertical="center" wrapText="1"/>
    </xf>
    <xf numFmtId="0" fontId="37" fillId="0" borderId="44" xfId="0" applyFont="1" applyFill="1" applyBorder="1" applyAlignment="1">
      <alignment horizontal="left" vertical="center" wrapText="1"/>
    </xf>
    <xf numFmtId="0" fontId="37" fillId="0" borderId="42" xfId="0" applyFont="1" applyFill="1" applyBorder="1" applyAlignment="1">
      <alignment horizontal="left" vertical="top" wrapText="1"/>
    </xf>
    <xf numFmtId="0" fontId="37" fillId="0" borderId="43" xfId="0" applyFont="1" applyFill="1" applyBorder="1" applyAlignment="1">
      <alignment horizontal="left" vertical="top" wrapText="1"/>
    </xf>
    <xf numFmtId="0" fontId="37" fillId="0" borderId="44" xfId="0" applyFont="1" applyFill="1" applyBorder="1" applyAlignment="1">
      <alignment horizontal="left" vertical="top" wrapText="1"/>
    </xf>
    <xf numFmtId="0" fontId="2" fillId="7" borderId="10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4" fillId="8" borderId="10" xfId="0" applyFont="1" applyFill="1" applyBorder="1" applyAlignment="1">
      <alignment horizontal="center"/>
    </xf>
    <xf numFmtId="0" fontId="4" fillId="8" borderId="12" xfId="0" applyFont="1" applyFill="1" applyBorder="1" applyAlignment="1">
      <alignment horizontal="center"/>
    </xf>
    <xf numFmtId="0" fontId="10" fillId="12" borderId="1" xfId="0" applyFont="1" applyFill="1" applyBorder="1" applyAlignment="1">
      <alignment horizontal="center" vertical="center" wrapText="1"/>
    </xf>
    <xf numFmtId="0" fontId="11" fillId="0" borderId="26" xfId="0" applyFont="1" applyFill="1" applyBorder="1" applyAlignment="1">
      <alignment horizontal="left" vertical="center" wrapText="1" indent="2"/>
    </xf>
    <xf numFmtId="0" fontId="50" fillId="0" borderId="1" xfId="0" applyFont="1" applyBorder="1" applyAlignment="1">
      <alignment horizontal="center" vertical="center"/>
    </xf>
    <xf numFmtId="0" fontId="4" fillId="0" borderId="10" xfId="0" applyFont="1" applyFill="1" applyBorder="1" applyAlignment="1">
      <alignment horizontal="left" indent="1"/>
    </xf>
    <xf numFmtId="0" fontId="4" fillId="0" borderId="12" xfId="0" applyFont="1" applyFill="1" applyBorder="1" applyAlignment="1">
      <alignment horizontal="left" indent="1"/>
    </xf>
    <xf numFmtId="0" fontId="4" fillId="0" borderId="10" xfId="0" applyFont="1" applyFill="1" applyBorder="1" applyAlignment="1">
      <alignment horizontal="left"/>
    </xf>
    <xf numFmtId="0" fontId="4" fillId="0" borderId="12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 wrapText="1"/>
    </xf>
    <xf numFmtId="0" fontId="6" fillId="7" borderId="1" xfId="0" applyFont="1" applyFill="1" applyBorder="1" applyAlignment="1">
      <alignment horizontal="center" wrapText="1"/>
    </xf>
    <xf numFmtId="0" fontId="6" fillId="0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left" wrapText="1"/>
    </xf>
    <xf numFmtId="0" fontId="4" fillId="8" borderId="1" xfId="0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11" fillId="0" borderId="12" xfId="0" applyFont="1" applyFill="1" applyBorder="1" applyAlignment="1">
      <alignment horizontal="left" vertical="center" wrapText="1" indent="4"/>
    </xf>
    <xf numFmtId="0" fontId="11" fillId="0" borderId="1" xfId="0" applyFont="1" applyFill="1" applyBorder="1" applyAlignment="1">
      <alignment horizontal="left" vertical="center" wrapText="1" indent="4"/>
    </xf>
    <xf numFmtId="0" fontId="11" fillId="0" borderId="10" xfId="0" applyFont="1" applyFill="1" applyBorder="1" applyAlignment="1">
      <alignment horizontal="left" vertical="center" wrapText="1" indent="4"/>
    </xf>
    <xf numFmtId="0" fontId="6" fillId="0" borderId="10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 wrapText="1"/>
    </xf>
    <xf numFmtId="0" fontId="4" fillId="7" borderId="11" xfId="0" applyFont="1" applyFill="1" applyBorder="1" applyAlignment="1">
      <alignment horizontal="center" vertical="center" wrapText="1"/>
    </xf>
    <xf numFmtId="0" fontId="26" fillId="0" borderId="1" xfId="0" applyFont="1" applyFill="1" applyBorder="1" applyAlignment="1">
      <alignment horizontal="left" wrapText="1" indent="1"/>
    </xf>
    <xf numFmtId="0" fontId="10" fillId="12" borderId="11" xfId="0" applyFont="1" applyFill="1" applyBorder="1" applyAlignment="1">
      <alignment horizontal="center" vertical="center" wrapText="1"/>
    </xf>
    <xf numFmtId="0" fontId="10" fillId="12" borderId="12" xfId="0" applyFont="1" applyFill="1" applyBorder="1" applyAlignment="1">
      <alignment horizontal="center" vertical="center" wrapText="1"/>
    </xf>
    <xf numFmtId="0" fontId="11" fillId="0" borderId="12" xfId="0" applyFont="1" applyFill="1" applyBorder="1" applyAlignment="1">
      <alignment horizontal="left" vertical="center" wrapText="1" indent="2"/>
    </xf>
    <xf numFmtId="0" fontId="11" fillId="0" borderId="1" xfId="0" applyFont="1" applyFill="1" applyBorder="1" applyAlignment="1">
      <alignment horizontal="left" vertical="center" wrapText="1" indent="2"/>
    </xf>
    <xf numFmtId="0" fontId="11" fillId="0" borderId="10" xfId="0" applyFont="1" applyFill="1" applyBorder="1" applyAlignment="1">
      <alignment horizontal="left" vertical="center" wrapText="1" indent="2"/>
    </xf>
    <xf numFmtId="0" fontId="11" fillId="0" borderId="1" xfId="0" applyFont="1" applyFill="1" applyBorder="1" applyAlignment="1">
      <alignment horizontal="left" vertical="center" wrapText="1" indent="6"/>
    </xf>
    <xf numFmtId="0" fontId="28" fillId="0" borderId="1" xfId="0" applyFont="1" applyFill="1" applyBorder="1" applyAlignment="1">
      <alignment horizontal="left" wrapText="1" indent="1"/>
    </xf>
    <xf numFmtId="0" fontId="26" fillId="0" borderId="1" xfId="0" applyFont="1" applyFill="1" applyBorder="1" applyAlignment="1">
      <alignment wrapText="1"/>
    </xf>
    <xf numFmtId="166" fontId="6" fillId="11" borderId="10" xfId="0" applyNumberFormat="1" applyFont="1" applyFill="1" applyBorder="1" applyAlignment="1">
      <alignment horizontal="right"/>
    </xf>
    <xf numFmtId="0" fontId="6" fillId="11" borderId="11" xfId="0" applyFont="1" applyFill="1" applyBorder="1" applyAlignment="1">
      <alignment horizontal="right"/>
    </xf>
    <xf numFmtId="0" fontId="6" fillId="11" borderId="12" xfId="0" applyFont="1" applyFill="1" applyBorder="1" applyAlignment="1">
      <alignment horizontal="right"/>
    </xf>
    <xf numFmtId="2" fontId="6" fillId="11" borderId="10" xfId="0" applyNumberFormat="1" applyFont="1" applyFill="1" applyBorder="1" applyAlignment="1">
      <alignment horizontal="right"/>
    </xf>
    <xf numFmtId="2" fontId="6" fillId="11" borderId="11" xfId="0" applyNumberFormat="1" applyFont="1" applyFill="1" applyBorder="1" applyAlignment="1">
      <alignment horizontal="right"/>
    </xf>
    <xf numFmtId="2" fontId="6" fillId="11" borderId="12" xfId="0" applyNumberFormat="1" applyFont="1" applyFill="1" applyBorder="1" applyAlignment="1">
      <alignment horizontal="right"/>
    </xf>
    <xf numFmtId="0" fontId="1" fillId="0" borderId="1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1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1" fontId="1" fillId="7" borderId="1" xfId="0" applyNumberFormat="1" applyFont="1" applyFill="1" applyBorder="1" applyAlignment="1">
      <alignment horizontal="right" wrapText="1"/>
    </xf>
    <xf numFmtId="169" fontId="1" fillId="11" borderId="10" xfId="2" applyNumberFormat="1" applyFont="1" applyFill="1" applyBorder="1" applyAlignment="1">
      <alignment horizontal="center"/>
    </xf>
    <xf numFmtId="169" fontId="1" fillId="11" borderId="12" xfId="2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 vertical="center" wrapText="1" indent="4"/>
    </xf>
    <xf numFmtId="1" fontId="1" fillId="7" borderId="1" xfId="0" applyNumberFormat="1" applyFont="1" applyFill="1" applyBorder="1" applyAlignment="1">
      <alignment horizontal="right"/>
    </xf>
    <xf numFmtId="0" fontId="10" fillId="12" borderId="10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left" vertical="center" wrapText="1" indent="2"/>
    </xf>
    <xf numFmtId="0" fontId="11" fillId="0" borderId="10" xfId="0" applyFont="1" applyFill="1" applyBorder="1" applyAlignment="1">
      <alignment horizontal="left" vertical="center" wrapText="1" indent="1"/>
    </xf>
    <xf numFmtId="0" fontId="11" fillId="0" borderId="11" xfId="0" applyFont="1" applyFill="1" applyBorder="1" applyAlignment="1">
      <alignment horizontal="left" vertical="center" wrapText="1" indent="1"/>
    </xf>
    <xf numFmtId="0" fontId="11" fillId="0" borderId="12" xfId="0" applyFont="1" applyFill="1" applyBorder="1" applyAlignment="1">
      <alignment horizontal="left" vertical="center" wrapText="1" indent="1"/>
    </xf>
    <xf numFmtId="0" fontId="1" fillId="9" borderId="11" xfId="0" applyFont="1" applyFill="1" applyBorder="1" applyAlignment="1">
      <alignment horizontal="center" vertical="top" wrapText="1"/>
    </xf>
    <xf numFmtId="0" fontId="1" fillId="9" borderId="12" xfId="0" applyFont="1" applyFill="1" applyBorder="1" applyAlignment="1">
      <alignment horizontal="center" vertical="top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1" fillId="9" borderId="10" xfId="0" applyFont="1" applyFill="1" applyBorder="1" applyAlignment="1">
      <alignment horizontal="center" vertical="center" wrapText="1"/>
    </xf>
    <xf numFmtId="0" fontId="1" fillId="9" borderId="12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left" vertical="center" wrapText="1" indent="1"/>
    </xf>
    <xf numFmtId="0" fontId="9" fillId="0" borderId="1" xfId="0" applyFont="1" applyFill="1" applyBorder="1" applyAlignment="1">
      <alignment horizontal="center" vertical="center" wrapText="1"/>
    </xf>
    <xf numFmtId="0" fontId="4" fillId="8" borderId="10" xfId="0" applyFont="1" applyFill="1" applyBorder="1" applyAlignment="1">
      <alignment horizontal="center" wrapText="1"/>
    </xf>
    <xf numFmtId="0" fontId="4" fillId="8" borderId="11" xfId="0" applyFont="1" applyFill="1" applyBorder="1" applyAlignment="1">
      <alignment horizontal="center" wrapText="1"/>
    </xf>
    <xf numFmtId="0" fontId="4" fillId="8" borderId="12" xfId="0" applyFont="1" applyFill="1" applyBorder="1" applyAlignment="1">
      <alignment horizontal="center" wrapText="1"/>
    </xf>
    <xf numFmtId="0" fontId="1" fillId="0" borderId="0" xfId="0" applyFont="1"/>
    <xf numFmtId="0" fontId="6" fillId="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2" xfId="0" applyFont="1" applyFill="1" applyBorder="1" applyAlignment="1" applyProtection="1">
      <alignment horizontal="center" vertical="center" wrapText="1"/>
    </xf>
    <xf numFmtId="0" fontId="1" fillId="7" borderId="1" xfId="0" applyFont="1" applyFill="1" applyBorder="1" applyAlignment="1" applyProtection="1">
      <alignment horizontal="center" vertical="center" wrapText="1"/>
    </xf>
    <xf numFmtId="0" fontId="1" fillId="0" borderId="10" xfId="0" applyFont="1" applyFill="1" applyBorder="1" applyAlignment="1" applyProtection="1">
      <alignment horizontal="left" vertical="center" wrapText="1"/>
    </xf>
    <xf numFmtId="0" fontId="1" fillId="0" borderId="12" xfId="0" applyFont="1" applyFill="1" applyBorder="1" applyAlignment="1" applyProtection="1">
      <alignment horizontal="left" vertical="center" wrapText="1"/>
    </xf>
    <xf numFmtId="0" fontId="4" fillId="0" borderId="1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0" fontId="9" fillId="0" borderId="9" xfId="0" applyFont="1" applyFill="1" applyBorder="1" applyAlignment="1">
      <alignment horizontal="center" vertical="center" wrapText="1"/>
    </xf>
    <xf numFmtId="10" fontId="1" fillId="7" borderId="1" xfId="5" applyNumberFormat="1" applyFont="1" applyFill="1" applyBorder="1" applyAlignment="1">
      <alignment horizontal="center" vertical="center" wrapText="1"/>
    </xf>
    <xf numFmtId="0" fontId="9" fillId="0" borderId="26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1" fontId="22" fillId="0" borderId="1" xfId="0" applyNumberFormat="1" applyFont="1" applyBorder="1" applyAlignment="1">
      <alignment horizontal="left" vertic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/>
    </xf>
    <xf numFmtId="1" fontId="1" fillId="7" borderId="10" xfId="0" applyNumberFormat="1" applyFont="1" applyFill="1" applyBorder="1" applyAlignment="1">
      <alignment horizontal="right"/>
    </xf>
    <xf numFmtId="1" fontId="1" fillId="7" borderId="12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top" wrapText="1"/>
    </xf>
    <xf numFmtId="10" fontId="2" fillId="14" borderId="1" xfId="2" applyNumberFormat="1" applyFont="1" applyFill="1" applyBorder="1" applyAlignment="1">
      <alignment horizontal="center" vertical="center" wrapText="1"/>
    </xf>
    <xf numFmtId="0" fontId="1" fillId="7" borderId="11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left" vertical="center" wrapText="1"/>
    </xf>
    <xf numFmtId="0" fontId="1" fillId="7" borderId="3" xfId="0" applyFont="1" applyFill="1" applyBorder="1" applyAlignment="1">
      <alignment horizontal="left" vertical="center" wrapText="1"/>
    </xf>
    <xf numFmtId="0" fontId="1" fillId="7" borderId="4" xfId="0" applyFont="1" applyFill="1" applyBorder="1" applyAlignment="1">
      <alignment horizontal="left" vertical="center" wrapText="1"/>
    </xf>
    <xf numFmtId="0" fontId="1" fillId="7" borderId="5" xfId="0" applyFont="1" applyFill="1" applyBorder="1" applyAlignment="1">
      <alignment horizontal="left" vertical="center" wrapText="1"/>
    </xf>
    <xf numFmtId="0" fontId="1" fillId="7" borderId="0" xfId="0" applyFont="1" applyFill="1" applyBorder="1" applyAlignment="1">
      <alignment horizontal="left" vertical="center" wrapText="1"/>
    </xf>
    <xf numFmtId="0" fontId="1" fillId="7" borderId="6" xfId="0" applyFont="1" applyFill="1" applyBorder="1" applyAlignment="1">
      <alignment horizontal="left" vertical="center" wrapText="1"/>
    </xf>
    <xf numFmtId="0" fontId="1" fillId="7" borderId="7" xfId="0" applyFont="1" applyFill="1" applyBorder="1" applyAlignment="1">
      <alignment horizontal="left" vertical="center" wrapText="1"/>
    </xf>
    <xf numFmtId="0" fontId="1" fillId="7" borderId="8" xfId="0" applyFont="1" applyFill="1" applyBorder="1" applyAlignment="1">
      <alignment horizontal="left" vertical="center" wrapText="1"/>
    </xf>
    <xf numFmtId="0" fontId="1" fillId="7" borderId="9" xfId="0" applyFont="1" applyFill="1" applyBorder="1" applyAlignment="1">
      <alignment horizontal="left" vertical="center" wrapText="1"/>
    </xf>
    <xf numFmtId="0" fontId="25" fillId="8" borderId="1" xfId="0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left" vertical="center" wrapText="1"/>
    </xf>
    <xf numFmtId="0" fontId="1" fillId="7" borderId="1" xfId="0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 wrapText="1"/>
    </xf>
    <xf numFmtId="0" fontId="3" fillId="0" borderId="53" xfId="0" applyFont="1" applyFill="1" applyBorder="1" applyAlignment="1">
      <alignment horizontal="center" wrapText="1"/>
    </xf>
    <xf numFmtId="0" fontId="3" fillId="0" borderId="10" xfId="0" applyFont="1" applyFill="1" applyBorder="1" applyAlignment="1">
      <alignment horizontal="center" wrapText="1"/>
    </xf>
    <xf numFmtId="0" fontId="3" fillId="0" borderId="12" xfId="0" applyFont="1" applyFill="1" applyBorder="1" applyAlignment="1">
      <alignment horizontal="center" wrapText="1"/>
    </xf>
    <xf numFmtId="0" fontId="4" fillId="0" borderId="0" xfId="0" applyFont="1" applyAlignment="1">
      <alignment horizontal="left" vertical="top" wrapText="1"/>
    </xf>
    <xf numFmtId="0" fontId="6" fillId="7" borderId="10" xfId="0" applyNumberFormat="1" applyFont="1" applyFill="1" applyBorder="1" applyAlignment="1">
      <alignment horizontal="center" wrapText="1"/>
    </xf>
    <xf numFmtId="0" fontId="6" fillId="7" borderId="11" xfId="0" applyNumberFormat="1" applyFont="1" applyFill="1" applyBorder="1" applyAlignment="1">
      <alignment horizontal="center" wrapText="1"/>
    </xf>
    <xf numFmtId="0" fontId="6" fillId="7" borderId="12" xfId="0" applyNumberFormat="1" applyFont="1" applyFill="1" applyBorder="1" applyAlignment="1">
      <alignment horizontal="center" wrapText="1"/>
    </xf>
    <xf numFmtId="0" fontId="6" fillId="7" borderId="1" xfId="0" applyNumberFormat="1" applyFont="1" applyFill="1" applyBorder="1" applyAlignment="1">
      <alignment horizontal="center" wrapText="1"/>
    </xf>
    <xf numFmtId="0" fontId="4" fillId="7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left" vertical="center" wrapText="1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4" fillId="0" borderId="10" xfId="0" applyFont="1" applyBorder="1" applyAlignment="1">
      <alignment horizontal="left" vertical="top" wrapText="1"/>
    </xf>
    <xf numFmtId="0" fontId="4" fillId="0" borderId="11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1" fillId="0" borderId="10" xfId="0" applyFont="1" applyFill="1" applyBorder="1" applyAlignment="1">
      <alignment horizontal="left" vertical="center" wrapText="1"/>
    </xf>
    <xf numFmtId="0" fontId="1" fillId="0" borderId="12" xfId="0" applyFont="1" applyFill="1" applyBorder="1" applyAlignment="1">
      <alignment horizontal="left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justify"/>
    </xf>
    <xf numFmtId="0" fontId="3" fillId="0" borderId="42" xfId="0" applyFont="1" applyFill="1" applyBorder="1" applyAlignment="1">
      <alignment horizontal="center" vertical="center" wrapText="1"/>
    </xf>
    <xf numFmtId="0" fontId="3" fillId="0" borderId="43" xfId="0" applyFont="1" applyFill="1" applyBorder="1" applyAlignment="1">
      <alignment horizontal="center" vertical="center" wrapText="1"/>
    </xf>
    <xf numFmtId="0" fontId="3" fillId="0" borderId="44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47" fillId="0" borderId="0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" fillId="7" borderId="10" xfId="0" applyFont="1" applyFill="1" applyBorder="1" applyAlignment="1">
      <alignment horizontal="left" vertical="center" wrapText="1"/>
    </xf>
    <xf numFmtId="0" fontId="1" fillId="7" borderId="11" xfId="0" applyFont="1" applyFill="1" applyBorder="1" applyAlignment="1">
      <alignment horizontal="left" vertical="center" wrapText="1"/>
    </xf>
    <xf numFmtId="0" fontId="1" fillId="7" borderId="12" xfId="0" applyFont="1" applyFill="1" applyBorder="1" applyAlignment="1">
      <alignment horizontal="left" vertical="center" wrapText="1"/>
    </xf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0" fontId="4" fillId="8" borderId="1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11" xfId="0" applyFont="1" applyFill="1" applyBorder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1" fillId="0" borderId="0" xfId="0" applyFont="1" applyAlignment="1">
      <alignment horizontal="left" vertical="justify"/>
    </xf>
    <xf numFmtId="0" fontId="1" fillId="0" borderId="0" xfId="0" applyFont="1" applyBorder="1" applyAlignment="1">
      <alignment horizontal="left" vertical="justify"/>
    </xf>
    <xf numFmtId="0" fontId="4" fillId="9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0" xfId="0" applyFont="1" applyAlignment="1">
      <alignment horizontal="left" vertical="justify" readingOrder="1"/>
    </xf>
    <xf numFmtId="0" fontId="1" fillId="0" borderId="6" xfId="0" applyFont="1" applyBorder="1" applyAlignment="1">
      <alignment horizontal="left" vertical="justify"/>
    </xf>
    <xf numFmtId="0" fontId="3" fillId="0" borderId="0" xfId="0" applyFont="1"/>
    <xf numFmtId="164" fontId="6" fillId="8" borderId="10" xfId="2" applyFont="1" applyFill="1" applyBorder="1" applyAlignment="1">
      <alignment horizontal="center" vertical="center" wrapText="1"/>
    </xf>
    <xf numFmtId="164" fontId="6" fillId="8" borderId="11" xfId="2" applyFont="1" applyFill="1" applyBorder="1" applyAlignment="1">
      <alignment horizontal="center" vertical="center" wrapText="1"/>
    </xf>
    <xf numFmtId="164" fontId="6" fillId="8" borderId="12" xfId="2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4" fillId="7" borderId="12" xfId="0" applyFont="1" applyFill="1" applyBorder="1" applyAlignment="1">
      <alignment horizontal="center" vertical="center" wrapText="1"/>
    </xf>
    <xf numFmtId="0" fontId="4" fillId="7" borderId="10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0" fontId="4" fillId="7" borderId="12" xfId="0" applyFont="1" applyFill="1" applyBorder="1" applyAlignment="1">
      <alignment horizontal="center"/>
    </xf>
    <xf numFmtId="0" fontId="21" fillId="5" borderId="1" xfId="0" applyFont="1" applyFill="1" applyBorder="1" applyAlignment="1">
      <alignment horizontal="center" vertical="center" wrapText="1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49" fontId="6" fillId="0" borderId="10" xfId="0" applyNumberFormat="1" applyFont="1" applyBorder="1" applyAlignment="1">
      <alignment horizontal="center" vertical="center" wrapText="1"/>
    </xf>
    <xf numFmtId="49" fontId="6" fillId="0" borderId="11" xfId="0" applyNumberFormat="1" applyFont="1" applyBorder="1" applyAlignment="1">
      <alignment horizontal="center" vertical="center" wrapText="1"/>
    </xf>
    <xf numFmtId="49" fontId="6" fillId="0" borderId="12" xfId="0" applyNumberFormat="1" applyFont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/>
    </xf>
    <xf numFmtId="0" fontId="24" fillId="7" borderId="10" xfId="0" applyFont="1" applyFill="1" applyBorder="1" applyAlignment="1">
      <alignment horizontal="center" vertical="center" wrapText="1"/>
    </xf>
    <xf numFmtId="0" fontId="24" fillId="7" borderId="11" xfId="0" applyFont="1" applyFill="1" applyBorder="1" applyAlignment="1">
      <alignment horizontal="center" vertical="center" wrapText="1"/>
    </xf>
    <xf numFmtId="0" fontId="24" fillId="7" borderId="12" xfId="0" applyFont="1" applyFill="1" applyBorder="1" applyAlignment="1">
      <alignment horizontal="center" vertical="center" wrapText="1"/>
    </xf>
    <xf numFmtId="43" fontId="3" fillId="0" borderId="10" xfId="0" applyNumberFormat="1" applyFont="1" applyBorder="1" applyAlignment="1"/>
    <xf numFmtId="0" fontId="3" fillId="0" borderId="12" xfId="0" applyFont="1" applyBorder="1" applyAlignment="1"/>
    <xf numFmtId="0" fontId="1" fillId="9" borderId="10" xfId="0" applyFont="1" applyFill="1" applyBorder="1" applyAlignment="1">
      <alignment horizontal="center"/>
    </xf>
    <xf numFmtId="0" fontId="1" fillId="9" borderId="12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4" fillId="8" borderId="10" xfId="0" applyFont="1" applyFill="1" applyBorder="1" applyAlignment="1">
      <alignment horizontal="left" wrapText="1"/>
    </xf>
    <xf numFmtId="0" fontId="4" fillId="8" borderId="11" xfId="0" applyFont="1" applyFill="1" applyBorder="1" applyAlignment="1">
      <alignment horizontal="left" wrapText="1"/>
    </xf>
    <xf numFmtId="0" fontId="4" fillId="8" borderId="12" xfId="0" applyFont="1" applyFill="1" applyBorder="1" applyAlignment="1">
      <alignment horizontal="left" wrapText="1"/>
    </xf>
    <xf numFmtId="0" fontId="4" fillId="0" borderId="10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center"/>
    </xf>
    <xf numFmtId="0" fontId="4" fillId="0" borderId="12" xfId="0" applyNumberFormat="1" applyFont="1" applyFill="1" applyBorder="1" applyAlignment="1">
      <alignment horizontal="center"/>
    </xf>
    <xf numFmtId="0" fontId="10" fillId="12" borderId="1" xfId="0" applyFont="1" applyFill="1" applyBorder="1" applyAlignment="1">
      <alignment horizontal="left" vertical="center" wrapText="1" indent="1"/>
    </xf>
    <xf numFmtId="0" fontId="1" fillId="7" borderId="10" xfId="0" applyFont="1" applyFill="1" applyBorder="1" applyAlignment="1">
      <alignment horizontal="left" vertical="top" wrapText="1"/>
    </xf>
    <xf numFmtId="0" fontId="1" fillId="7" borderId="11" xfId="0" applyFont="1" applyFill="1" applyBorder="1" applyAlignment="1">
      <alignment horizontal="left" vertical="top" wrapText="1"/>
    </xf>
    <xf numFmtId="0" fontId="1" fillId="7" borderId="12" xfId="0" applyFont="1" applyFill="1" applyBorder="1" applyAlignment="1">
      <alignment horizontal="left" vertical="top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10" fillId="12" borderId="1" xfId="0" applyFont="1" applyFill="1" applyBorder="1" applyAlignment="1">
      <alignment horizontal="left" vertical="center" wrapText="1"/>
    </xf>
    <xf numFmtId="0" fontId="10" fillId="12" borderId="26" xfId="0" applyFont="1" applyFill="1" applyBorder="1" applyAlignment="1">
      <alignment horizontal="left" vertical="center" wrapText="1"/>
    </xf>
    <xf numFmtId="0" fontId="10" fillId="0" borderId="26" xfId="0" applyFont="1" applyBorder="1" applyAlignment="1">
      <alignment horizontal="center" vertical="center" textRotation="90" wrapText="1"/>
    </xf>
    <xf numFmtId="0" fontId="10" fillId="0" borderId="35" xfId="0" applyFont="1" applyBorder="1" applyAlignment="1">
      <alignment horizontal="center" vertical="center" textRotation="90" wrapText="1"/>
    </xf>
    <xf numFmtId="3" fontId="52" fillId="0" borderId="26" xfId="0" applyNumberFormat="1" applyFont="1" applyBorder="1" applyAlignment="1">
      <alignment horizontal="center" vertical="center" textRotation="90"/>
    </xf>
    <xf numFmtId="3" fontId="52" fillId="0" borderId="35" xfId="0" applyNumberFormat="1" applyFont="1" applyBorder="1" applyAlignment="1">
      <alignment horizontal="center" vertical="center" textRotation="90"/>
    </xf>
    <xf numFmtId="3" fontId="52" fillId="0" borderId="15" xfId="0" applyNumberFormat="1" applyFont="1" applyBorder="1" applyAlignment="1">
      <alignment horizontal="center" vertical="center" textRotation="90"/>
    </xf>
    <xf numFmtId="0" fontId="10" fillId="0" borderId="12" xfId="0" applyFont="1" applyFill="1" applyBorder="1" applyAlignment="1">
      <alignment horizontal="left" vertical="center" wrapText="1" indent="2"/>
    </xf>
    <xf numFmtId="0" fontId="10" fillId="0" borderId="1" xfId="0" applyFont="1" applyFill="1" applyBorder="1" applyAlignment="1">
      <alignment horizontal="left" vertical="center" wrapText="1" indent="2"/>
    </xf>
    <xf numFmtId="0" fontId="10" fillId="0" borderId="10" xfId="0" applyFont="1" applyFill="1" applyBorder="1" applyAlignment="1">
      <alignment horizontal="left" vertical="center" wrapText="1" indent="2"/>
    </xf>
    <xf numFmtId="0" fontId="4" fillId="0" borderId="10" xfId="0" applyFont="1" applyFill="1" applyBorder="1" applyAlignment="1">
      <alignment horizontal="left" vertical="center" wrapText="1"/>
    </xf>
    <xf numFmtId="0" fontId="4" fillId="0" borderId="1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0" fontId="4" fillId="0" borderId="8" xfId="0" applyFont="1" applyBorder="1" applyAlignment="1">
      <alignment horizontal="center"/>
    </xf>
    <xf numFmtId="10" fontId="10" fillId="11" borderId="10" xfId="2" applyNumberFormat="1" applyFont="1" applyFill="1" applyBorder="1" applyAlignment="1">
      <alignment horizontal="center" vertical="center" wrapText="1"/>
    </xf>
    <xf numFmtId="10" fontId="10" fillId="11" borderId="12" xfId="2" applyNumberFormat="1" applyFont="1" applyFill="1" applyBorder="1" applyAlignment="1">
      <alignment horizontal="center" vertical="center" wrapText="1"/>
    </xf>
    <xf numFmtId="8" fontId="6" fillId="11" borderId="10" xfId="0" applyNumberFormat="1" applyFont="1" applyFill="1" applyBorder="1" applyAlignment="1">
      <alignment horizontal="right"/>
    </xf>
    <xf numFmtId="0" fontId="3" fillId="0" borderId="26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left" wrapText="1"/>
    </xf>
    <xf numFmtId="0" fontId="3" fillId="0" borderId="12" xfId="0" applyFont="1" applyFill="1" applyBorder="1" applyAlignment="1">
      <alignment horizontal="left" wrapText="1"/>
    </xf>
    <xf numFmtId="0" fontId="54" fillId="0" borderId="1" xfId="0" applyFont="1" applyBorder="1" applyAlignment="1">
      <alignment horizontal="left"/>
    </xf>
    <xf numFmtId="3" fontId="1" fillId="8" borderId="10" xfId="0" applyNumberFormat="1" applyFont="1" applyFill="1" applyBorder="1" applyAlignment="1">
      <alignment horizontal="center"/>
    </xf>
    <xf numFmtId="3" fontId="1" fillId="8" borderId="12" xfId="0" applyNumberFormat="1" applyFont="1" applyFill="1" applyBorder="1" applyAlignment="1">
      <alignment horizontal="center"/>
    </xf>
    <xf numFmtId="0" fontId="26" fillId="0" borderId="10" xfId="0" applyFont="1" applyFill="1" applyBorder="1" applyAlignment="1">
      <alignment horizontal="left" wrapText="1"/>
    </xf>
    <xf numFmtId="0" fontId="26" fillId="0" borderId="12" xfId="0" applyFont="1" applyFill="1" applyBorder="1" applyAlignment="1">
      <alignment horizontal="left" wrapText="1"/>
    </xf>
    <xf numFmtId="0" fontId="1" fillId="8" borderId="10" xfId="0" applyFont="1" applyFill="1" applyBorder="1" applyAlignment="1">
      <alignment horizontal="center"/>
    </xf>
    <xf numFmtId="0" fontId="1" fillId="8" borderId="12" xfId="0" applyFont="1" applyFill="1" applyBorder="1" applyAlignment="1">
      <alignment horizontal="center"/>
    </xf>
    <xf numFmtId="0" fontId="26" fillId="0" borderId="10" xfId="0" applyFont="1" applyFill="1" applyBorder="1" applyAlignment="1">
      <alignment wrapText="1"/>
    </xf>
    <xf numFmtId="0" fontId="26" fillId="0" borderId="12" xfId="0" applyFont="1" applyFill="1" applyBorder="1" applyAlignment="1">
      <alignment wrapText="1"/>
    </xf>
    <xf numFmtId="0" fontId="56" fillId="0" borderId="1" xfId="0" applyFont="1" applyBorder="1" applyAlignment="1">
      <alignment horizontal="center"/>
    </xf>
    <xf numFmtId="5" fontId="55" fillId="0" borderId="10" xfId="0" applyNumberFormat="1" applyFont="1" applyBorder="1" applyAlignment="1">
      <alignment horizontal="right"/>
    </xf>
    <xf numFmtId="5" fontId="55" fillId="0" borderId="12" xfId="0" applyNumberFormat="1" applyFont="1" applyBorder="1" applyAlignment="1">
      <alignment horizontal="right"/>
    </xf>
    <xf numFmtId="0" fontId="1" fillId="0" borderId="1" xfId="0" applyFont="1" applyFill="1" applyBorder="1" applyAlignment="1">
      <alignment wrapText="1"/>
    </xf>
    <xf numFmtId="0" fontId="1" fillId="0" borderId="1" xfId="0" applyFont="1" applyFill="1" applyBorder="1" applyAlignment="1">
      <alignment horizontal="left" wrapText="1" indent="1"/>
    </xf>
    <xf numFmtId="0" fontId="11" fillId="0" borderId="10" xfId="0" applyFont="1" applyBorder="1" applyAlignment="1">
      <alignment horizontal="left" indent="1"/>
    </xf>
    <xf numFmtId="0" fontId="11" fillId="0" borderId="11" xfId="0" applyFont="1" applyBorder="1" applyAlignment="1">
      <alignment horizontal="left" indent="1"/>
    </xf>
    <xf numFmtId="0" fontId="11" fillId="0" borderId="12" xfId="0" applyFont="1" applyBorder="1" applyAlignment="1">
      <alignment horizontal="left" indent="1"/>
    </xf>
    <xf numFmtId="0" fontId="5" fillId="0" borderId="1" xfId="0" applyFont="1" applyFill="1" applyBorder="1" applyAlignment="1">
      <alignment horizontal="left" wrapText="1"/>
    </xf>
    <xf numFmtId="0" fontId="6" fillId="0" borderId="1" xfId="0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7" fontId="4" fillId="8" borderId="10" xfId="0" applyNumberFormat="1" applyFont="1" applyFill="1" applyBorder="1" applyAlignment="1">
      <alignment horizontal="right"/>
    </xf>
    <xf numFmtId="7" fontId="4" fillId="8" borderId="11" xfId="0" applyNumberFormat="1" applyFont="1" applyFill="1" applyBorder="1" applyAlignment="1">
      <alignment horizontal="right"/>
    </xf>
    <xf numFmtId="7" fontId="4" fillId="8" borderId="12" xfId="0" applyNumberFormat="1" applyFont="1" applyFill="1" applyBorder="1" applyAlignment="1">
      <alignment horizontal="right"/>
    </xf>
    <xf numFmtId="0" fontId="10" fillId="12" borderId="10" xfId="0" applyFont="1" applyFill="1" applyBorder="1" applyAlignment="1">
      <alignment horizontal="left" vertical="center" wrapText="1"/>
    </xf>
    <xf numFmtId="0" fontId="10" fillId="12" borderId="11" xfId="0" applyFont="1" applyFill="1" applyBorder="1" applyAlignment="1">
      <alignment horizontal="left" vertical="center" wrapText="1"/>
    </xf>
    <xf numFmtId="0" fontId="10" fillId="12" borderId="12" xfId="0" applyFont="1" applyFill="1" applyBorder="1" applyAlignment="1">
      <alignment horizontal="left" vertical="center" wrapText="1"/>
    </xf>
    <xf numFmtId="0" fontId="1" fillId="0" borderId="0" xfId="0" applyFont="1" applyBorder="1" applyAlignment="1">
      <alignment horizontal="left" vertical="top" wrapText="1" indent="1"/>
    </xf>
    <xf numFmtId="0" fontId="6" fillId="0" borderId="1" xfId="0" applyFont="1" applyBorder="1" applyAlignment="1">
      <alignment horizontal="left"/>
    </xf>
    <xf numFmtId="0" fontId="6" fillId="7" borderId="10" xfId="0" applyFont="1" applyFill="1" applyBorder="1" applyAlignment="1">
      <alignment horizontal="left" wrapText="1"/>
    </xf>
    <xf numFmtId="0" fontId="6" fillId="7" borderId="11" xfId="0" applyFont="1" applyFill="1" applyBorder="1" applyAlignment="1">
      <alignment horizontal="left" wrapText="1"/>
    </xf>
    <xf numFmtId="0" fontId="6" fillId="7" borderId="12" xfId="0" applyFont="1" applyFill="1" applyBorder="1" applyAlignment="1">
      <alignment horizontal="left" wrapText="1"/>
    </xf>
    <xf numFmtId="0" fontId="4" fillId="0" borderId="26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3" fontId="2" fillId="8" borderId="10" xfId="0" applyNumberFormat="1" applyFont="1" applyFill="1" applyBorder="1" applyAlignment="1">
      <alignment horizontal="center"/>
    </xf>
    <xf numFmtId="3" fontId="2" fillId="8" borderId="12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left"/>
    </xf>
    <xf numFmtId="0" fontId="2" fillId="8" borderId="11" xfId="0" applyFont="1" applyFill="1" applyBorder="1" applyAlignment="1">
      <alignment horizontal="left"/>
    </xf>
    <xf numFmtId="0" fontId="2" fillId="8" borderId="12" xfId="0" applyFont="1" applyFill="1" applyBorder="1" applyAlignment="1">
      <alignment horizontal="left"/>
    </xf>
    <xf numFmtId="0" fontId="28" fillId="8" borderId="1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/>
    </xf>
    <xf numFmtId="0" fontId="3" fillId="8" borderId="11" xfId="0" applyFont="1" applyFill="1" applyBorder="1" applyAlignment="1">
      <alignment horizontal="center"/>
    </xf>
    <xf numFmtId="0" fontId="3" fillId="8" borderId="12" xfId="0" applyFont="1" applyFill="1" applyBorder="1" applyAlignment="1">
      <alignment horizontal="center"/>
    </xf>
    <xf numFmtId="0" fontId="1" fillId="0" borderId="0" xfId="0" applyFont="1" applyAlignment="1">
      <alignment horizontal="center" vertical="justify"/>
    </xf>
    <xf numFmtId="0" fontId="10" fillId="8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wrapText="1"/>
    </xf>
    <xf numFmtId="0" fontId="1" fillId="0" borderId="12" xfId="0" applyFont="1" applyFill="1" applyBorder="1" applyAlignment="1">
      <alignment wrapText="1"/>
    </xf>
    <xf numFmtId="0" fontId="4" fillId="0" borderId="5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 wrapText="1"/>
    </xf>
    <xf numFmtId="0" fontId="24" fillId="7" borderId="10" xfId="0" applyFont="1" applyFill="1" applyBorder="1" applyAlignment="1" applyProtection="1">
      <alignment horizontal="center" vertical="center" wrapText="1"/>
    </xf>
    <xf numFmtId="0" fontId="24" fillId="7" borderId="11" xfId="0" applyFont="1" applyFill="1" applyBorder="1" applyAlignment="1" applyProtection="1">
      <alignment horizontal="center" vertical="center" wrapText="1"/>
    </xf>
    <xf numFmtId="0" fontId="24" fillId="7" borderId="12" xfId="0" applyFont="1" applyFill="1" applyBorder="1" applyAlignment="1" applyProtection="1">
      <alignment horizontal="center" vertical="center" wrapText="1"/>
    </xf>
    <xf numFmtId="1" fontId="1" fillId="0" borderId="0" xfId="0" applyNumberFormat="1" applyFont="1" applyBorder="1" applyAlignment="1">
      <alignment horizontal="center"/>
    </xf>
    <xf numFmtId="0" fontId="4" fillId="7" borderId="2" xfId="0" applyFont="1" applyFill="1" applyBorder="1" applyAlignment="1">
      <alignment horizontal="center" wrapText="1"/>
    </xf>
    <xf numFmtId="0" fontId="4" fillId="7" borderId="3" xfId="0" applyFont="1" applyFill="1" applyBorder="1" applyAlignment="1">
      <alignment horizontal="center" wrapText="1"/>
    </xf>
    <xf numFmtId="0" fontId="4" fillId="7" borderId="4" xfId="0" applyFont="1" applyFill="1" applyBorder="1" applyAlignment="1">
      <alignment horizontal="center" wrapText="1"/>
    </xf>
    <xf numFmtId="0" fontId="4" fillId="7" borderId="5" xfId="0" applyFont="1" applyFill="1" applyBorder="1" applyAlignment="1">
      <alignment horizontal="center" wrapText="1"/>
    </xf>
    <xf numFmtId="0" fontId="4" fillId="7" borderId="0" xfId="0" applyFont="1" applyFill="1" applyBorder="1" applyAlignment="1">
      <alignment horizontal="center" wrapText="1"/>
    </xf>
    <xf numFmtId="0" fontId="4" fillId="7" borderId="6" xfId="0" applyFont="1" applyFill="1" applyBorder="1" applyAlignment="1">
      <alignment horizontal="center" wrapText="1"/>
    </xf>
    <xf numFmtId="0" fontId="4" fillId="7" borderId="7" xfId="0" applyFont="1" applyFill="1" applyBorder="1" applyAlignment="1">
      <alignment horizontal="center" wrapText="1"/>
    </xf>
    <xf numFmtId="0" fontId="4" fillId="7" borderId="8" xfId="0" applyFont="1" applyFill="1" applyBorder="1" applyAlignment="1">
      <alignment horizontal="center" wrapText="1"/>
    </xf>
    <xf numFmtId="0" fontId="4" fillId="7" borderId="9" xfId="0" applyFont="1" applyFill="1" applyBorder="1" applyAlignment="1">
      <alignment horizontal="center"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48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5" borderId="15" xfId="0" applyFont="1" applyFill="1" applyBorder="1" applyAlignment="1">
      <alignment horizontal="center" vertical="center" wrapText="1"/>
    </xf>
    <xf numFmtId="0" fontId="24" fillId="7" borderId="2" xfId="0" applyFont="1" applyFill="1" applyBorder="1" applyAlignment="1" applyProtection="1">
      <alignment horizontal="left" vertical="center" wrapText="1"/>
    </xf>
    <xf numFmtId="0" fontId="24" fillId="7" borderId="3" xfId="0" applyFont="1" applyFill="1" applyBorder="1" applyAlignment="1" applyProtection="1">
      <alignment horizontal="left" vertical="center" wrapText="1"/>
    </xf>
    <xf numFmtId="0" fontId="24" fillId="7" borderId="4" xfId="0" applyFont="1" applyFill="1" applyBorder="1" applyAlignment="1" applyProtection="1">
      <alignment horizontal="left" vertical="center" wrapText="1"/>
    </xf>
    <xf numFmtId="0" fontId="24" fillId="7" borderId="7" xfId="0" applyFont="1" applyFill="1" applyBorder="1" applyAlignment="1" applyProtection="1">
      <alignment horizontal="left" vertical="center" wrapText="1"/>
    </xf>
    <xf numFmtId="0" fontId="24" fillId="7" borderId="8" xfId="0" applyFont="1" applyFill="1" applyBorder="1" applyAlignment="1" applyProtection="1">
      <alignment horizontal="left" vertical="center" wrapText="1"/>
    </xf>
    <xf numFmtId="0" fontId="24" fillId="7" borderId="9" xfId="0" applyFont="1" applyFill="1" applyBorder="1" applyAlignment="1" applyProtection="1">
      <alignment horizontal="left" vertical="center" wrapText="1"/>
    </xf>
    <xf numFmtId="0" fontId="24" fillId="7" borderId="2" xfId="0" applyFont="1" applyFill="1" applyBorder="1" applyAlignment="1">
      <alignment horizontal="left" vertical="center" wrapText="1"/>
    </xf>
    <xf numFmtId="0" fontId="24" fillId="7" borderId="3" xfId="0" applyFont="1" applyFill="1" applyBorder="1" applyAlignment="1">
      <alignment horizontal="left" vertical="center" wrapText="1"/>
    </xf>
    <xf numFmtId="0" fontId="24" fillId="7" borderId="4" xfId="0" applyFont="1" applyFill="1" applyBorder="1" applyAlignment="1">
      <alignment horizontal="left" vertical="center" wrapText="1"/>
    </xf>
    <xf numFmtId="0" fontId="24" fillId="7" borderId="7" xfId="0" applyFont="1" applyFill="1" applyBorder="1" applyAlignment="1">
      <alignment horizontal="left" vertical="center" wrapText="1"/>
    </xf>
    <xf numFmtId="0" fontId="24" fillId="7" borderId="8" xfId="0" applyFont="1" applyFill="1" applyBorder="1" applyAlignment="1">
      <alignment horizontal="left" vertical="center" wrapText="1"/>
    </xf>
    <xf numFmtId="0" fontId="24" fillId="7" borderId="9" xfId="0" applyFont="1" applyFill="1" applyBorder="1" applyAlignment="1">
      <alignment horizontal="left" vertical="center" wrapText="1"/>
    </xf>
    <xf numFmtId="0" fontId="21" fillId="5" borderId="26" xfId="0" applyFont="1" applyFill="1" applyBorder="1" applyAlignment="1">
      <alignment horizontal="left" vertical="center" wrapText="1"/>
    </xf>
    <xf numFmtId="0" fontId="21" fillId="5" borderId="35" xfId="0" applyFont="1" applyFill="1" applyBorder="1" applyAlignment="1">
      <alignment horizontal="left" vertical="center" wrapText="1"/>
    </xf>
    <xf numFmtId="0" fontId="21" fillId="5" borderId="15" xfId="0" applyFont="1" applyFill="1" applyBorder="1" applyAlignment="1">
      <alignment horizontal="left" vertical="center" wrapText="1"/>
    </xf>
    <xf numFmtId="164" fontId="1" fillId="0" borderId="1" xfId="2" applyFont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3"/>
    <cellStyle name="Normal_CRONOGRAMAS_PROYECTOS" xfId="4"/>
    <cellStyle name="Porcentaje" xfId="5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2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478</xdr:row>
          <xdr:rowOff>0</xdr:rowOff>
        </xdr:from>
        <xdr:to>
          <xdr:col>17</xdr:col>
          <xdr:colOff>85725</xdr:colOff>
          <xdr:row>478</xdr:row>
          <xdr:rowOff>0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478</xdr:row>
          <xdr:rowOff>0</xdr:rowOff>
        </xdr:from>
        <xdr:to>
          <xdr:col>17</xdr:col>
          <xdr:colOff>285750</xdr:colOff>
          <xdr:row>478</xdr:row>
          <xdr:rowOff>0</xdr:rowOff>
        </xdr:to>
        <xdr:sp macro="" textlink="">
          <xdr:nvSpPr>
            <xdr:cNvPr id="4098" name="Spin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180975</xdr:colOff>
          <xdr:row>478</xdr:row>
          <xdr:rowOff>0</xdr:rowOff>
        </xdr:from>
        <xdr:to>
          <xdr:col>17</xdr:col>
          <xdr:colOff>514350</xdr:colOff>
          <xdr:row>478</xdr:row>
          <xdr:rowOff>0</xdr:rowOff>
        </xdr:to>
        <xdr:sp macro="" textlink="">
          <xdr:nvSpPr>
            <xdr:cNvPr id="4099" name="TextBox2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478</xdr:row>
          <xdr:rowOff>0</xdr:rowOff>
        </xdr:from>
        <xdr:to>
          <xdr:col>17</xdr:col>
          <xdr:colOff>533400</xdr:colOff>
          <xdr:row>478</xdr:row>
          <xdr:rowOff>0</xdr:rowOff>
        </xdr:to>
        <xdr:sp macro="" textlink="">
          <xdr:nvSpPr>
            <xdr:cNvPr id="4100" name="Spin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133350</xdr:colOff>
          <xdr:row>478</xdr:row>
          <xdr:rowOff>0</xdr:rowOff>
        </xdr:from>
        <xdr:to>
          <xdr:col>19</xdr:col>
          <xdr:colOff>228600</xdr:colOff>
          <xdr:row>478</xdr:row>
          <xdr:rowOff>0</xdr:rowOff>
        </xdr:to>
        <xdr:sp macro="" textlink="">
          <xdr:nvSpPr>
            <xdr:cNvPr id="4101" name="TextBox3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66675</xdr:colOff>
          <xdr:row>478</xdr:row>
          <xdr:rowOff>0</xdr:rowOff>
        </xdr:from>
        <xdr:to>
          <xdr:col>19</xdr:col>
          <xdr:colOff>200025</xdr:colOff>
          <xdr:row>478</xdr:row>
          <xdr:rowOff>0</xdr:rowOff>
        </xdr:to>
        <xdr:sp macro="" textlink="">
          <xdr:nvSpPr>
            <xdr:cNvPr id="4102" name="SpinButton3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478</xdr:row>
          <xdr:rowOff>0</xdr:rowOff>
        </xdr:from>
        <xdr:to>
          <xdr:col>4</xdr:col>
          <xdr:colOff>381000</xdr:colOff>
          <xdr:row>478</xdr:row>
          <xdr:rowOff>0</xdr:rowOff>
        </xdr:to>
        <xdr:sp macro="" textlink="">
          <xdr:nvSpPr>
            <xdr:cNvPr id="4103" name="TextBox4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478</xdr:row>
          <xdr:rowOff>0</xdr:rowOff>
        </xdr:from>
        <xdr:to>
          <xdr:col>5</xdr:col>
          <xdr:colOff>228600</xdr:colOff>
          <xdr:row>478</xdr:row>
          <xdr:rowOff>0</xdr:rowOff>
        </xdr:to>
        <xdr:sp macro="" textlink="">
          <xdr:nvSpPr>
            <xdr:cNvPr id="4104" name="SpinButton4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478</xdr:row>
          <xdr:rowOff>0</xdr:rowOff>
        </xdr:from>
        <xdr:to>
          <xdr:col>10</xdr:col>
          <xdr:colOff>523875</xdr:colOff>
          <xdr:row>478</xdr:row>
          <xdr:rowOff>0</xdr:rowOff>
        </xdr:to>
        <xdr:sp macro="" textlink="">
          <xdr:nvSpPr>
            <xdr:cNvPr id="4105" name="TextBox5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478</xdr:row>
          <xdr:rowOff>0</xdr:rowOff>
        </xdr:from>
        <xdr:to>
          <xdr:col>11</xdr:col>
          <xdr:colOff>314325</xdr:colOff>
          <xdr:row>478</xdr:row>
          <xdr:rowOff>0</xdr:rowOff>
        </xdr:to>
        <xdr:sp macro="" textlink="">
          <xdr:nvSpPr>
            <xdr:cNvPr id="4106" name="SpinButton5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478</xdr:row>
          <xdr:rowOff>0</xdr:rowOff>
        </xdr:from>
        <xdr:to>
          <xdr:col>16</xdr:col>
          <xdr:colOff>228600</xdr:colOff>
          <xdr:row>478</xdr:row>
          <xdr:rowOff>0</xdr:rowOff>
        </xdr:to>
        <xdr:sp macro="" textlink="">
          <xdr:nvSpPr>
            <xdr:cNvPr id="4107" name="TextBox6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478</xdr:row>
          <xdr:rowOff>0</xdr:rowOff>
        </xdr:from>
        <xdr:to>
          <xdr:col>16</xdr:col>
          <xdr:colOff>238125</xdr:colOff>
          <xdr:row>478</xdr:row>
          <xdr:rowOff>0</xdr:rowOff>
        </xdr:to>
        <xdr:sp macro="" textlink="">
          <xdr:nvSpPr>
            <xdr:cNvPr id="4108" name="SpinButton6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631</xdr:row>
          <xdr:rowOff>0</xdr:rowOff>
        </xdr:from>
        <xdr:to>
          <xdr:col>17</xdr:col>
          <xdr:colOff>0</xdr:colOff>
          <xdr:row>631</xdr:row>
          <xdr:rowOff>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631</xdr:row>
          <xdr:rowOff>0</xdr:rowOff>
        </xdr:from>
        <xdr:to>
          <xdr:col>17</xdr:col>
          <xdr:colOff>0</xdr:colOff>
          <xdr:row>631</xdr:row>
          <xdr:rowOff>0</xdr:rowOff>
        </xdr:to>
        <xdr:sp macro="" textlink="">
          <xdr:nvSpPr>
            <xdr:cNvPr id="2050" name="Spin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631</xdr:row>
          <xdr:rowOff>0</xdr:rowOff>
        </xdr:from>
        <xdr:to>
          <xdr:col>17</xdr:col>
          <xdr:colOff>0</xdr:colOff>
          <xdr:row>631</xdr:row>
          <xdr:rowOff>0</xdr:rowOff>
        </xdr:to>
        <xdr:sp macro="" textlink="">
          <xdr:nvSpPr>
            <xdr:cNvPr id="2051" name="TextBox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631</xdr:row>
          <xdr:rowOff>0</xdr:rowOff>
        </xdr:from>
        <xdr:to>
          <xdr:col>17</xdr:col>
          <xdr:colOff>0</xdr:colOff>
          <xdr:row>631</xdr:row>
          <xdr:rowOff>0</xdr:rowOff>
        </xdr:to>
        <xdr:sp macro="" textlink="">
          <xdr:nvSpPr>
            <xdr:cNvPr id="2052" name="SpinButton2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631</xdr:row>
          <xdr:rowOff>0</xdr:rowOff>
        </xdr:from>
        <xdr:to>
          <xdr:col>17</xdr:col>
          <xdr:colOff>0</xdr:colOff>
          <xdr:row>631</xdr:row>
          <xdr:rowOff>0</xdr:rowOff>
        </xdr:to>
        <xdr:sp macro="" textlink="">
          <xdr:nvSpPr>
            <xdr:cNvPr id="2053" name="TextBox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631</xdr:row>
          <xdr:rowOff>0</xdr:rowOff>
        </xdr:from>
        <xdr:to>
          <xdr:col>17</xdr:col>
          <xdr:colOff>0</xdr:colOff>
          <xdr:row>631</xdr:row>
          <xdr:rowOff>0</xdr:rowOff>
        </xdr:to>
        <xdr:sp macro="" textlink="">
          <xdr:nvSpPr>
            <xdr:cNvPr id="2054" name="SpinButton3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631</xdr:row>
          <xdr:rowOff>0</xdr:rowOff>
        </xdr:from>
        <xdr:to>
          <xdr:col>4</xdr:col>
          <xdr:colOff>381000</xdr:colOff>
          <xdr:row>631</xdr:row>
          <xdr:rowOff>0</xdr:rowOff>
        </xdr:to>
        <xdr:sp macro="" textlink="">
          <xdr:nvSpPr>
            <xdr:cNvPr id="2055" name="TextBox4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631</xdr:row>
          <xdr:rowOff>0</xdr:rowOff>
        </xdr:from>
        <xdr:to>
          <xdr:col>5</xdr:col>
          <xdr:colOff>228600</xdr:colOff>
          <xdr:row>631</xdr:row>
          <xdr:rowOff>0</xdr:rowOff>
        </xdr:to>
        <xdr:sp macro="" textlink="">
          <xdr:nvSpPr>
            <xdr:cNvPr id="2056" name="SpinButton4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631</xdr:row>
          <xdr:rowOff>0</xdr:rowOff>
        </xdr:from>
        <xdr:to>
          <xdr:col>10</xdr:col>
          <xdr:colOff>523875</xdr:colOff>
          <xdr:row>631</xdr:row>
          <xdr:rowOff>0</xdr:rowOff>
        </xdr:to>
        <xdr:sp macro="" textlink="">
          <xdr:nvSpPr>
            <xdr:cNvPr id="2057" name="TextBox5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631</xdr:row>
          <xdr:rowOff>0</xdr:rowOff>
        </xdr:from>
        <xdr:to>
          <xdr:col>11</xdr:col>
          <xdr:colOff>314325</xdr:colOff>
          <xdr:row>631</xdr:row>
          <xdr:rowOff>0</xdr:rowOff>
        </xdr:to>
        <xdr:sp macro="" textlink="">
          <xdr:nvSpPr>
            <xdr:cNvPr id="2058" name="SpinButton5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631</xdr:row>
          <xdr:rowOff>0</xdr:rowOff>
        </xdr:from>
        <xdr:to>
          <xdr:col>16</xdr:col>
          <xdr:colOff>228600</xdr:colOff>
          <xdr:row>631</xdr:row>
          <xdr:rowOff>0</xdr:rowOff>
        </xdr:to>
        <xdr:sp macro="" textlink="">
          <xdr:nvSpPr>
            <xdr:cNvPr id="2059" name="TextBox6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631</xdr:row>
          <xdr:rowOff>0</xdr:rowOff>
        </xdr:from>
        <xdr:to>
          <xdr:col>16</xdr:col>
          <xdr:colOff>238125</xdr:colOff>
          <xdr:row>631</xdr:row>
          <xdr:rowOff>0</xdr:rowOff>
        </xdr:to>
        <xdr:sp macro="" textlink="">
          <xdr:nvSpPr>
            <xdr:cNvPr id="2060" name="SpinButton6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mozombite\Configuraci&#243;n%20local\Archivos%20temporales%20de%20Internet\Content.IE5\ONBEIW01\DOCUME~1\gloza\CONFIG~1\Temp\MEF\FINAL\POB.HOGARES%20CON%201-2-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mozombite\Configuraci&#243;n%20local\Archivos%20temporales%20de%20Internet\Content.IE5\ONBEIW01\DOCUME~1\gloza\CONFIG~1\Temp\AADESNUTRIC\FECUN-FEMEN\FINAL\PFRATIO2-UL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-PROV-PASO1"/>
      <sheetName val="C-PROV-PASO 2"/>
      <sheetName val="C-2 O MAS NBI FORM"/>
      <sheetName val="1-NBI-NO VALE"/>
      <sheetName val="C-2 O MAS NBI NO VALE"/>
      <sheetName val="PASO 3 UNION DPT-PROV Y DIST"/>
      <sheetName val="final 1 NBI"/>
      <sheetName val="final 2 ó + NBI "/>
      <sheetName val="final - con 1, 2 ó mas NBI"/>
      <sheetName val="DIST-Y PROV. NUEV"/>
      <sheetName val="DISTR-NUEV-93-2001"/>
      <sheetName val="PROV. NUE 93-20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FEC"/>
      <sheetName val="PFRATIO"/>
      <sheetName val="GRAPH3"/>
      <sheetName val="GRAPH2"/>
      <sheetName val="GRAPH1"/>
      <sheetName val="Module1"/>
      <sheetName val="Módulo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9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2.xml"/><Relationship Id="rId10" Type="http://schemas.openxmlformats.org/officeDocument/2006/relationships/control" Target="../activeX/activeX4.xml"/><Relationship Id="rId19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Relationship Id="rId22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control" Target="../activeX/activeX18.xml"/><Relationship Id="rId18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2.emf"/><Relationship Id="rId12" Type="http://schemas.openxmlformats.org/officeDocument/2006/relationships/image" Target="../media/image12.emf"/><Relationship Id="rId17" Type="http://schemas.openxmlformats.org/officeDocument/2006/relationships/control" Target="../activeX/activeX21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control" Target="../activeX/activeX17.xml"/><Relationship Id="rId5" Type="http://schemas.openxmlformats.org/officeDocument/2006/relationships/image" Target="../media/image10.emf"/><Relationship Id="rId15" Type="http://schemas.openxmlformats.org/officeDocument/2006/relationships/image" Target="../media/image13.emf"/><Relationship Id="rId23" Type="http://schemas.openxmlformats.org/officeDocument/2006/relationships/image" Target="../media/image9.emf"/><Relationship Id="rId10" Type="http://schemas.openxmlformats.org/officeDocument/2006/relationships/control" Target="../activeX/activeX16.xml"/><Relationship Id="rId19" Type="http://schemas.openxmlformats.org/officeDocument/2006/relationships/control" Target="../activeX/activeX22.xml"/><Relationship Id="rId4" Type="http://schemas.openxmlformats.org/officeDocument/2006/relationships/control" Target="../activeX/activeX13.xml"/><Relationship Id="rId9" Type="http://schemas.openxmlformats.org/officeDocument/2006/relationships/image" Target="../media/image11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4339"/>
  <sheetViews>
    <sheetView zoomScaleNormal="100" workbookViewId="0">
      <pane xSplit="1" ySplit="1" topLeftCell="B2035" activePane="bottomRight" state="frozen"/>
      <selection pane="topRight" activeCell="B1" sqref="B1"/>
      <selection pane="bottomLeft" activeCell="A6" sqref="A6"/>
      <selection pane="bottomRight" activeCell="B2057" sqref="B2057:B2059"/>
    </sheetView>
  </sheetViews>
  <sheetFormatPr baseColWidth="10" defaultRowHeight="12.75" x14ac:dyDescent="0.2"/>
  <cols>
    <col min="1" max="1" width="5.7109375" style="93" hidden="1" customWidth="1"/>
    <col min="2" max="2" width="21.140625" style="94" customWidth="1"/>
    <col min="3" max="16384" width="11.42578125" style="93"/>
  </cols>
  <sheetData>
    <row r="1" spans="1:4" ht="12.75" customHeight="1" x14ac:dyDescent="0.2"/>
    <row r="2" spans="1:4" s="95" customFormat="1" ht="7.5" customHeight="1" x14ac:dyDescent="0.25">
      <c r="B2" s="96"/>
      <c r="C2" s="97"/>
      <c r="D2" s="97"/>
    </row>
    <row r="3" spans="1:4" x14ac:dyDescent="0.2">
      <c r="A3" s="95" t="s">
        <v>360</v>
      </c>
      <c r="B3" s="98" t="s">
        <v>336</v>
      </c>
      <c r="C3" s="100"/>
      <c r="D3" s="100"/>
    </row>
    <row r="4" spans="1:4" x14ac:dyDescent="0.2">
      <c r="A4" s="95" t="s">
        <v>361</v>
      </c>
      <c r="B4" s="101" t="s">
        <v>362</v>
      </c>
      <c r="C4" s="100"/>
      <c r="D4" s="100"/>
    </row>
    <row r="5" spans="1:4" ht="13.5" x14ac:dyDescent="0.25">
      <c r="A5" s="93" t="s">
        <v>363</v>
      </c>
      <c r="B5" s="102" t="s">
        <v>362</v>
      </c>
      <c r="C5" s="100"/>
      <c r="D5" s="100"/>
    </row>
    <row r="6" spans="1:4" ht="13.5" x14ac:dyDescent="0.25">
      <c r="A6" s="93" t="s">
        <v>363</v>
      </c>
      <c r="B6" s="103" t="s">
        <v>364</v>
      </c>
      <c r="C6" s="100"/>
      <c r="D6" s="100"/>
    </row>
    <row r="7" spans="1:4" ht="13.5" x14ac:dyDescent="0.25">
      <c r="A7" s="93" t="s">
        <v>363</v>
      </c>
      <c r="B7" s="103" t="s">
        <v>365</v>
      </c>
      <c r="C7" s="100"/>
      <c r="D7" s="100"/>
    </row>
    <row r="8" spans="1:4" ht="13.5" x14ac:dyDescent="0.25">
      <c r="A8" s="93" t="s">
        <v>363</v>
      </c>
      <c r="B8" s="103" t="s">
        <v>366</v>
      </c>
      <c r="C8" s="100"/>
      <c r="D8" s="100"/>
    </row>
    <row r="9" spans="1:4" ht="13.5" x14ac:dyDescent="0.25">
      <c r="A9" s="93" t="s">
        <v>363</v>
      </c>
      <c r="B9" s="103" t="s">
        <v>367</v>
      </c>
      <c r="C9" s="100"/>
      <c r="D9" s="100"/>
    </row>
    <row r="10" spans="1:4" ht="13.5" x14ac:dyDescent="0.25">
      <c r="A10" s="93" t="s">
        <v>363</v>
      </c>
      <c r="B10" s="103" t="s">
        <v>368</v>
      </c>
      <c r="C10" s="100"/>
      <c r="D10" s="100"/>
    </row>
    <row r="11" spans="1:4" ht="13.5" x14ac:dyDescent="0.25">
      <c r="A11" s="93" t="s">
        <v>363</v>
      </c>
      <c r="B11" s="103" t="s">
        <v>369</v>
      </c>
      <c r="C11" s="100"/>
      <c r="D11" s="100"/>
    </row>
    <row r="12" spans="1:4" ht="13.5" x14ac:dyDescent="0.25">
      <c r="A12" s="93" t="s">
        <v>363</v>
      </c>
      <c r="B12" s="103" t="s">
        <v>370</v>
      </c>
      <c r="C12" s="100"/>
      <c r="D12" s="100"/>
    </row>
    <row r="13" spans="1:4" ht="13.5" x14ac:dyDescent="0.25">
      <c r="A13" s="93" t="s">
        <v>363</v>
      </c>
      <c r="B13" s="103" t="s">
        <v>371</v>
      </c>
      <c r="C13" s="100"/>
      <c r="D13" s="100"/>
    </row>
    <row r="14" spans="1:4" ht="13.5" x14ac:dyDescent="0.25">
      <c r="A14" s="93" t="s">
        <v>363</v>
      </c>
      <c r="B14" s="103" t="s">
        <v>372</v>
      </c>
    </row>
    <row r="15" spans="1:4" ht="13.5" x14ac:dyDescent="0.25">
      <c r="A15" s="93" t="s">
        <v>363</v>
      </c>
      <c r="B15" s="103" t="s">
        <v>373</v>
      </c>
    </row>
    <row r="16" spans="1:4" ht="13.5" x14ac:dyDescent="0.25">
      <c r="A16" s="93" t="s">
        <v>363</v>
      </c>
      <c r="B16" s="103" t="s">
        <v>374</v>
      </c>
    </row>
    <row r="17" spans="1:2" ht="13.5" x14ac:dyDescent="0.25">
      <c r="A17" s="93" t="s">
        <v>363</v>
      </c>
      <c r="B17" s="103" t="s">
        <v>375</v>
      </c>
    </row>
    <row r="18" spans="1:2" ht="13.5" x14ac:dyDescent="0.25">
      <c r="A18" s="93" t="s">
        <v>363</v>
      </c>
      <c r="B18" s="103" t="s">
        <v>376</v>
      </c>
    </row>
    <row r="19" spans="1:2" ht="13.5" x14ac:dyDescent="0.25">
      <c r="A19" s="93" t="s">
        <v>363</v>
      </c>
      <c r="B19" s="103" t="s">
        <v>377</v>
      </c>
    </row>
    <row r="20" spans="1:2" ht="13.5" x14ac:dyDescent="0.25">
      <c r="A20" s="93" t="s">
        <v>363</v>
      </c>
      <c r="B20" s="103" t="s">
        <v>378</v>
      </c>
    </row>
    <row r="21" spans="1:2" ht="13.5" x14ac:dyDescent="0.25">
      <c r="A21" s="93" t="s">
        <v>363</v>
      </c>
      <c r="B21" s="103" t="s">
        <v>379</v>
      </c>
    </row>
    <row r="22" spans="1:2" ht="13.5" x14ac:dyDescent="0.25">
      <c r="A22" s="93" t="s">
        <v>363</v>
      </c>
      <c r="B22" s="103" t="s">
        <v>380</v>
      </c>
    </row>
    <row r="23" spans="1:2" ht="13.5" x14ac:dyDescent="0.25">
      <c r="A23" s="93" t="s">
        <v>363</v>
      </c>
      <c r="B23" s="103" t="s">
        <v>381</v>
      </c>
    </row>
    <row r="24" spans="1:2" ht="13.5" x14ac:dyDescent="0.25">
      <c r="A24" s="93" t="s">
        <v>363</v>
      </c>
      <c r="B24" s="103" t="s">
        <v>382</v>
      </c>
    </row>
    <row r="25" spans="1:2" ht="13.5" x14ac:dyDescent="0.25">
      <c r="A25" s="93" t="s">
        <v>363</v>
      </c>
      <c r="B25" s="103" t="s">
        <v>383</v>
      </c>
    </row>
    <row r="26" spans="1:2" x14ac:dyDescent="0.2">
      <c r="A26" s="93" t="s">
        <v>361</v>
      </c>
      <c r="B26" s="101" t="s">
        <v>384</v>
      </c>
    </row>
    <row r="27" spans="1:2" ht="13.5" x14ac:dyDescent="0.25">
      <c r="A27" s="93" t="s">
        <v>363</v>
      </c>
      <c r="B27" s="102" t="s">
        <v>384</v>
      </c>
    </row>
    <row r="28" spans="1:2" ht="13.5" x14ac:dyDescent="0.25">
      <c r="A28" s="93" t="s">
        <v>363</v>
      </c>
      <c r="B28" s="103" t="s">
        <v>385</v>
      </c>
    </row>
    <row r="29" spans="1:2" ht="13.5" x14ac:dyDescent="0.25">
      <c r="A29" s="93" t="s">
        <v>363</v>
      </c>
      <c r="B29" s="103" t="s">
        <v>386</v>
      </c>
    </row>
    <row r="30" spans="1:2" ht="13.5" x14ac:dyDescent="0.25">
      <c r="A30" s="93" t="s">
        <v>363</v>
      </c>
      <c r="B30" s="103" t="s">
        <v>387</v>
      </c>
    </row>
    <row r="31" spans="1:2" ht="13.5" x14ac:dyDescent="0.25">
      <c r="A31" s="93" t="s">
        <v>363</v>
      </c>
      <c r="B31" s="103" t="s">
        <v>388</v>
      </c>
    </row>
    <row r="32" spans="1:2" ht="13.5" x14ac:dyDescent="0.25">
      <c r="A32" s="93" t="s">
        <v>363</v>
      </c>
      <c r="B32" s="102" t="s">
        <v>2081</v>
      </c>
    </row>
    <row r="33" spans="1:2" x14ac:dyDescent="0.2">
      <c r="A33" s="93" t="s">
        <v>361</v>
      </c>
      <c r="B33" s="101" t="s">
        <v>389</v>
      </c>
    </row>
    <row r="34" spans="1:2" ht="13.5" x14ac:dyDescent="0.25">
      <c r="A34" s="93" t="s">
        <v>363</v>
      </c>
      <c r="B34" s="103" t="s">
        <v>390</v>
      </c>
    </row>
    <row r="35" spans="1:2" ht="13.5" x14ac:dyDescent="0.25">
      <c r="A35" s="93" t="s">
        <v>363</v>
      </c>
      <c r="B35" s="103" t="s">
        <v>391</v>
      </c>
    </row>
    <row r="36" spans="1:2" ht="13.5" x14ac:dyDescent="0.25">
      <c r="A36" s="93" t="s">
        <v>363</v>
      </c>
      <c r="B36" s="103" t="s">
        <v>392</v>
      </c>
    </row>
    <row r="37" spans="1:2" ht="13.5" x14ac:dyDescent="0.25">
      <c r="A37" s="93" t="s">
        <v>363</v>
      </c>
      <c r="B37" s="103" t="s">
        <v>393</v>
      </c>
    </row>
    <row r="38" spans="1:2" ht="13.5" x14ac:dyDescent="0.25">
      <c r="A38" s="93" t="s">
        <v>363</v>
      </c>
      <c r="B38" s="103" t="s">
        <v>394</v>
      </c>
    </row>
    <row r="39" spans="1:2" ht="13.5" x14ac:dyDescent="0.25">
      <c r="A39" s="93" t="s">
        <v>363</v>
      </c>
      <c r="B39" s="103" t="s">
        <v>395</v>
      </c>
    </row>
    <row r="40" spans="1:2" ht="13.5" x14ac:dyDescent="0.25">
      <c r="A40" s="93" t="s">
        <v>363</v>
      </c>
      <c r="B40" s="103" t="s">
        <v>396</v>
      </c>
    </row>
    <row r="41" spans="1:2" ht="13.5" x14ac:dyDescent="0.25">
      <c r="A41" s="93" t="s">
        <v>363</v>
      </c>
      <c r="B41" s="103" t="s">
        <v>397</v>
      </c>
    </row>
    <row r="42" spans="1:2" ht="13.5" x14ac:dyDescent="0.25">
      <c r="A42" s="93" t="s">
        <v>363</v>
      </c>
      <c r="B42" s="103" t="s">
        <v>398</v>
      </c>
    </row>
    <row r="43" spans="1:2" ht="13.5" x14ac:dyDescent="0.25">
      <c r="A43" s="93" t="s">
        <v>363</v>
      </c>
      <c r="B43" s="103" t="s">
        <v>399</v>
      </c>
    </row>
    <row r="44" spans="1:2" ht="13.5" x14ac:dyDescent="0.25">
      <c r="A44" s="93" t="s">
        <v>363</v>
      </c>
      <c r="B44" s="103" t="s">
        <v>400</v>
      </c>
    </row>
    <row r="45" spans="1:2" ht="13.5" x14ac:dyDescent="0.25">
      <c r="A45" s="93" t="s">
        <v>363</v>
      </c>
      <c r="B45" s="103" t="s">
        <v>401</v>
      </c>
    </row>
    <row r="46" spans="1:2" x14ac:dyDescent="0.2">
      <c r="A46" s="93" t="s">
        <v>361</v>
      </c>
      <c r="B46" s="101" t="s">
        <v>402</v>
      </c>
    </row>
    <row r="47" spans="1:2" ht="13.5" x14ac:dyDescent="0.25">
      <c r="A47" s="93" t="s">
        <v>363</v>
      </c>
      <c r="B47" s="102" t="s">
        <v>2082</v>
      </c>
    </row>
    <row r="48" spans="1:2" ht="13.5" x14ac:dyDescent="0.25">
      <c r="A48" s="93" t="s">
        <v>363</v>
      </c>
      <c r="B48" s="104" t="s">
        <v>2083</v>
      </c>
    </row>
    <row r="49" spans="1:2" ht="13.5" x14ac:dyDescent="0.25">
      <c r="A49" s="93" t="s">
        <v>363</v>
      </c>
      <c r="B49" s="103" t="s">
        <v>403</v>
      </c>
    </row>
    <row r="50" spans="1:2" x14ac:dyDescent="0.2">
      <c r="A50" s="93" t="s">
        <v>361</v>
      </c>
      <c r="B50" s="101" t="s">
        <v>404</v>
      </c>
    </row>
    <row r="51" spans="1:2" ht="13.5" x14ac:dyDescent="0.25">
      <c r="A51" s="93" t="s">
        <v>363</v>
      </c>
      <c r="B51" s="103" t="s">
        <v>405</v>
      </c>
    </row>
    <row r="52" spans="1:2" ht="13.5" x14ac:dyDescent="0.25">
      <c r="A52" s="93" t="s">
        <v>363</v>
      </c>
      <c r="B52" s="103" t="s">
        <v>406</v>
      </c>
    </row>
    <row r="53" spans="1:2" ht="13.5" x14ac:dyDescent="0.25">
      <c r="A53" s="93" t="s">
        <v>363</v>
      </c>
      <c r="B53" s="103" t="s">
        <v>407</v>
      </c>
    </row>
    <row r="54" spans="1:2" ht="13.5" x14ac:dyDescent="0.25">
      <c r="A54" s="93" t="s">
        <v>363</v>
      </c>
      <c r="B54" s="103" t="s">
        <v>408</v>
      </c>
    </row>
    <row r="55" spans="1:2" ht="13.5" x14ac:dyDescent="0.25">
      <c r="A55" s="93" t="s">
        <v>363</v>
      </c>
      <c r="B55" s="103" t="s">
        <v>409</v>
      </c>
    </row>
    <row r="56" spans="1:2" ht="13.5" x14ac:dyDescent="0.25">
      <c r="A56" s="93" t="s">
        <v>363</v>
      </c>
      <c r="B56" s="103" t="s">
        <v>410</v>
      </c>
    </row>
    <row r="57" spans="1:2" ht="13.5" x14ac:dyDescent="0.25">
      <c r="A57" s="93" t="s">
        <v>363</v>
      </c>
      <c r="B57" s="103" t="s">
        <v>411</v>
      </c>
    </row>
    <row r="58" spans="1:2" ht="13.5" x14ac:dyDescent="0.25">
      <c r="A58" s="93" t="s">
        <v>363</v>
      </c>
      <c r="B58" s="103" t="s">
        <v>412</v>
      </c>
    </row>
    <row r="59" spans="1:2" ht="13.5" x14ac:dyDescent="0.25">
      <c r="A59" s="93" t="s">
        <v>363</v>
      </c>
      <c r="B59" s="103" t="s">
        <v>404</v>
      </c>
    </row>
    <row r="60" spans="1:2" ht="13.5" x14ac:dyDescent="0.25">
      <c r="A60" s="93" t="s">
        <v>363</v>
      </c>
      <c r="B60" s="103" t="s">
        <v>413</v>
      </c>
    </row>
    <row r="61" spans="1:2" ht="13.5" x14ac:dyDescent="0.25">
      <c r="A61" s="93" t="s">
        <v>363</v>
      </c>
      <c r="B61" s="103" t="s">
        <v>414</v>
      </c>
    </row>
    <row r="62" spans="1:2" ht="13.5" x14ac:dyDescent="0.25">
      <c r="A62" s="93" t="s">
        <v>363</v>
      </c>
      <c r="B62" s="103" t="s">
        <v>415</v>
      </c>
    </row>
    <row r="63" spans="1:2" ht="13.5" x14ac:dyDescent="0.25">
      <c r="A63" s="93" t="s">
        <v>363</v>
      </c>
      <c r="B63" s="103" t="s">
        <v>416</v>
      </c>
    </row>
    <row r="64" spans="1:2" ht="13.5" x14ac:dyDescent="0.25">
      <c r="A64" s="93" t="s">
        <v>363</v>
      </c>
      <c r="B64" s="103" t="s">
        <v>417</v>
      </c>
    </row>
    <row r="65" spans="1:2" ht="13.5" x14ac:dyDescent="0.25">
      <c r="A65" s="93" t="s">
        <v>363</v>
      </c>
      <c r="B65" s="103" t="s">
        <v>418</v>
      </c>
    </row>
    <row r="66" spans="1:2" ht="13.5" x14ac:dyDescent="0.25">
      <c r="A66" s="93" t="s">
        <v>363</v>
      </c>
      <c r="B66" s="103" t="s">
        <v>419</v>
      </c>
    </row>
    <row r="67" spans="1:2" ht="13.5" x14ac:dyDescent="0.25">
      <c r="A67" s="93" t="s">
        <v>363</v>
      </c>
      <c r="B67" s="103" t="s">
        <v>420</v>
      </c>
    </row>
    <row r="68" spans="1:2" ht="13.5" x14ac:dyDescent="0.25">
      <c r="A68" s="93" t="s">
        <v>363</v>
      </c>
      <c r="B68" s="103" t="s">
        <v>421</v>
      </c>
    </row>
    <row r="69" spans="1:2" ht="13.5" x14ac:dyDescent="0.25">
      <c r="A69" s="93" t="s">
        <v>363</v>
      </c>
      <c r="B69" s="103" t="s">
        <v>422</v>
      </c>
    </row>
    <row r="70" spans="1:2" ht="13.5" x14ac:dyDescent="0.25">
      <c r="A70" s="93" t="s">
        <v>363</v>
      </c>
      <c r="B70" s="103" t="s">
        <v>423</v>
      </c>
    </row>
    <row r="71" spans="1:2" ht="13.5" x14ac:dyDescent="0.25">
      <c r="A71" s="93" t="s">
        <v>363</v>
      </c>
      <c r="B71" s="103" t="s">
        <v>424</v>
      </c>
    </row>
    <row r="72" spans="1:2" ht="13.5" x14ac:dyDescent="0.25">
      <c r="A72" s="93" t="s">
        <v>363</v>
      </c>
      <c r="B72" s="103" t="s">
        <v>425</v>
      </c>
    </row>
    <row r="73" spans="1:2" ht="13.5" x14ac:dyDescent="0.25">
      <c r="A73" s="93" t="s">
        <v>363</v>
      </c>
      <c r="B73" s="103" t="s">
        <v>426</v>
      </c>
    </row>
    <row r="74" spans="1:2" x14ac:dyDescent="0.2">
      <c r="A74" s="93" t="s">
        <v>361</v>
      </c>
      <c r="B74" s="101" t="s">
        <v>427</v>
      </c>
    </row>
    <row r="75" spans="1:2" ht="13.5" x14ac:dyDescent="0.25">
      <c r="A75" s="93" t="s">
        <v>363</v>
      </c>
      <c r="B75" s="103" t="s">
        <v>428</v>
      </c>
    </row>
    <row r="76" spans="1:2" ht="13.5" x14ac:dyDescent="0.25">
      <c r="A76" s="93" t="s">
        <v>363</v>
      </c>
      <c r="B76" s="103" t="s">
        <v>429</v>
      </c>
    </row>
    <row r="77" spans="1:2" ht="13.5" x14ac:dyDescent="0.25">
      <c r="A77" s="93" t="s">
        <v>363</v>
      </c>
      <c r="B77" s="103" t="s">
        <v>430</v>
      </c>
    </row>
    <row r="78" spans="1:2" ht="13.5" x14ac:dyDescent="0.25">
      <c r="A78" s="93" t="s">
        <v>363</v>
      </c>
      <c r="B78" s="103" t="s">
        <v>431</v>
      </c>
    </row>
    <row r="79" spans="1:2" ht="13.5" x14ac:dyDescent="0.25">
      <c r="A79" s="93" t="s">
        <v>363</v>
      </c>
      <c r="B79" s="103" t="s">
        <v>432</v>
      </c>
    </row>
    <row r="80" spans="1:2" ht="13.5" x14ac:dyDescent="0.25">
      <c r="A80" s="93" t="s">
        <v>363</v>
      </c>
      <c r="B80" s="103" t="s">
        <v>433</v>
      </c>
    </row>
    <row r="81" spans="1:2" ht="13.5" x14ac:dyDescent="0.25">
      <c r="A81" s="93" t="s">
        <v>363</v>
      </c>
      <c r="B81" s="103" t="s">
        <v>434</v>
      </c>
    </row>
    <row r="82" spans="1:2" ht="13.5" x14ac:dyDescent="0.25">
      <c r="A82" s="93" t="s">
        <v>363</v>
      </c>
      <c r="B82" s="103" t="s">
        <v>435</v>
      </c>
    </row>
    <row r="83" spans="1:2" ht="13.5" x14ac:dyDescent="0.25">
      <c r="A83" s="93" t="s">
        <v>363</v>
      </c>
      <c r="B83" s="103" t="s">
        <v>436</v>
      </c>
    </row>
    <row r="84" spans="1:2" ht="13.5" x14ac:dyDescent="0.25">
      <c r="A84" s="93" t="s">
        <v>363</v>
      </c>
      <c r="B84" s="103" t="s">
        <v>437</v>
      </c>
    </row>
    <row r="85" spans="1:2" ht="13.5" x14ac:dyDescent="0.25">
      <c r="A85" s="93" t="s">
        <v>363</v>
      </c>
      <c r="B85" s="103" t="s">
        <v>438</v>
      </c>
    </row>
    <row r="86" spans="1:2" ht="13.5" x14ac:dyDescent="0.25">
      <c r="A86" s="93" t="s">
        <v>363</v>
      </c>
      <c r="B86" s="103" t="s">
        <v>439</v>
      </c>
    </row>
    <row r="87" spans="1:2" x14ac:dyDescent="0.2">
      <c r="A87" s="93" t="s">
        <v>361</v>
      </c>
      <c r="B87" s="101" t="s">
        <v>440</v>
      </c>
    </row>
    <row r="88" spans="1:2" ht="13.5" x14ac:dyDescent="0.25">
      <c r="A88" s="93" t="s">
        <v>363</v>
      </c>
      <c r="B88" s="103" t="s">
        <v>441</v>
      </c>
    </row>
    <row r="89" spans="1:2" ht="13.5" x14ac:dyDescent="0.25">
      <c r="A89" s="93" t="s">
        <v>363</v>
      </c>
      <c r="B89" s="102" t="s">
        <v>2084</v>
      </c>
    </row>
    <row r="90" spans="1:2" ht="13.5" x14ac:dyDescent="0.25">
      <c r="A90" s="93" t="s">
        <v>363</v>
      </c>
      <c r="B90" s="103" t="s">
        <v>442</v>
      </c>
    </row>
    <row r="91" spans="1:2" ht="13.5" x14ac:dyDescent="0.25">
      <c r="A91" s="93" t="s">
        <v>363</v>
      </c>
      <c r="B91" s="103" t="s">
        <v>443</v>
      </c>
    </row>
    <row r="92" spans="1:2" ht="13.5" x14ac:dyDescent="0.25">
      <c r="A92" s="93" t="s">
        <v>363</v>
      </c>
      <c r="B92" s="103" t="s">
        <v>444</v>
      </c>
    </row>
    <row r="93" spans="1:2" ht="13.5" x14ac:dyDescent="0.25">
      <c r="A93" s="93" t="s">
        <v>363</v>
      </c>
      <c r="B93" s="103" t="s">
        <v>445</v>
      </c>
    </row>
    <row r="94" spans="1:2" ht="13.5" x14ac:dyDescent="0.25">
      <c r="A94" s="93" t="s">
        <v>363</v>
      </c>
      <c r="B94" s="105" t="s">
        <v>446</v>
      </c>
    </row>
    <row r="95" spans="1:2" x14ac:dyDescent="0.2">
      <c r="A95" s="93" t="s">
        <v>360</v>
      </c>
      <c r="B95" s="98" t="s">
        <v>337</v>
      </c>
    </row>
    <row r="96" spans="1:2" x14ac:dyDescent="0.2">
      <c r="A96" s="93" t="s">
        <v>361</v>
      </c>
      <c r="B96" s="101" t="s">
        <v>447</v>
      </c>
    </row>
    <row r="97" spans="1:2" ht="13.5" x14ac:dyDescent="0.25">
      <c r="A97" s="93" t="s">
        <v>363</v>
      </c>
      <c r="B97" s="103" t="s">
        <v>447</v>
      </c>
    </row>
    <row r="98" spans="1:2" ht="13.5" x14ac:dyDescent="0.25">
      <c r="A98" s="93" t="s">
        <v>363</v>
      </c>
      <c r="B98" s="103" t="s">
        <v>448</v>
      </c>
    </row>
    <row r="99" spans="1:2" ht="13.5" x14ac:dyDescent="0.25">
      <c r="A99" s="93" t="s">
        <v>363</v>
      </c>
      <c r="B99" s="103" t="s">
        <v>449</v>
      </c>
    </row>
    <row r="100" spans="1:2" ht="13.5" x14ac:dyDescent="0.25">
      <c r="A100" s="93" t="s">
        <v>363</v>
      </c>
      <c r="B100" s="103" t="s">
        <v>450</v>
      </c>
    </row>
    <row r="101" spans="1:2" ht="13.5" x14ac:dyDescent="0.25">
      <c r="A101" s="93" t="s">
        <v>363</v>
      </c>
      <c r="B101" s="103" t="s">
        <v>451</v>
      </c>
    </row>
    <row r="102" spans="1:2" ht="13.5" x14ac:dyDescent="0.25">
      <c r="A102" s="93" t="s">
        <v>363</v>
      </c>
      <c r="B102" s="103" t="s">
        <v>452</v>
      </c>
    </row>
    <row r="103" spans="1:2" ht="13.5" x14ac:dyDescent="0.25">
      <c r="A103" s="93" t="s">
        <v>363</v>
      </c>
      <c r="B103" s="103" t="s">
        <v>347</v>
      </c>
    </row>
    <row r="104" spans="1:2" ht="13.5" x14ac:dyDescent="0.25">
      <c r="A104" s="93" t="s">
        <v>363</v>
      </c>
      <c r="B104" s="103" t="s">
        <v>378</v>
      </c>
    </row>
    <row r="105" spans="1:2" ht="13.5" x14ac:dyDescent="0.25">
      <c r="A105" s="93" t="s">
        <v>363</v>
      </c>
      <c r="B105" s="103" t="s">
        <v>453</v>
      </c>
    </row>
    <row r="106" spans="1:2" ht="13.5" x14ac:dyDescent="0.25">
      <c r="A106" s="93" t="s">
        <v>363</v>
      </c>
      <c r="B106" s="103" t="s">
        <v>454</v>
      </c>
    </row>
    <row r="107" spans="1:2" ht="13.5" x14ac:dyDescent="0.25">
      <c r="A107" s="93" t="s">
        <v>363</v>
      </c>
      <c r="B107" s="103" t="s">
        <v>455</v>
      </c>
    </row>
    <row r="108" spans="1:2" ht="13.5" x14ac:dyDescent="0.25">
      <c r="A108" s="93" t="s">
        <v>363</v>
      </c>
      <c r="B108" s="103" t="s">
        <v>456</v>
      </c>
    </row>
    <row r="109" spans="1:2" x14ac:dyDescent="0.2">
      <c r="A109" s="93" t="s">
        <v>361</v>
      </c>
      <c r="B109" s="101" t="s">
        <v>457</v>
      </c>
    </row>
    <row r="110" spans="1:2" ht="13.5" x14ac:dyDescent="0.25">
      <c r="A110" s="93" t="s">
        <v>363</v>
      </c>
      <c r="B110" s="103" t="s">
        <v>457</v>
      </c>
    </row>
    <row r="111" spans="1:2" ht="13.5" x14ac:dyDescent="0.25">
      <c r="A111" s="93" t="s">
        <v>363</v>
      </c>
      <c r="B111" s="103" t="s">
        <v>458</v>
      </c>
    </row>
    <row r="112" spans="1:2" ht="13.5" x14ac:dyDescent="0.25">
      <c r="A112" s="93" t="s">
        <v>363</v>
      </c>
      <c r="B112" s="103" t="s">
        <v>459</v>
      </c>
    </row>
    <row r="113" spans="1:2" ht="13.5" x14ac:dyDescent="0.25">
      <c r="A113" s="93" t="s">
        <v>363</v>
      </c>
      <c r="B113" s="103" t="s">
        <v>460</v>
      </c>
    </row>
    <row r="114" spans="1:2" ht="13.5" x14ac:dyDescent="0.25">
      <c r="A114" s="93" t="s">
        <v>363</v>
      </c>
      <c r="B114" s="103" t="s">
        <v>461</v>
      </c>
    </row>
    <row r="115" spans="1:2" x14ac:dyDescent="0.2">
      <c r="A115" s="93" t="s">
        <v>361</v>
      </c>
      <c r="B115" s="101" t="s">
        <v>462</v>
      </c>
    </row>
    <row r="116" spans="1:2" ht="13.5" x14ac:dyDescent="0.25">
      <c r="A116" s="93" t="s">
        <v>363</v>
      </c>
      <c r="B116" s="103" t="s">
        <v>463</v>
      </c>
    </row>
    <row r="117" spans="1:2" ht="13.5" x14ac:dyDescent="0.25">
      <c r="A117" s="93" t="s">
        <v>363</v>
      </c>
      <c r="B117" s="103" t="s">
        <v>464</v>
      </c>
    </row>
    <row r="118" spans="1:2" ht="13.5" x14ac:dyDescent="0.25">
      <c r="A118" s="93" t="s">
        <v>363</v>
      </c>
      <c r="B118" s="103" t="s">
        <v>465</v>
      </c>
    </row>
    <row r="119" spans="1:2" ht="13.5" x14ac:dyDescent="0.25">
      <c r="A119" s="93" t="s">
        <v>363</v>
      </c>
      <c r="B119" s="103" t="s">
        <v>466</v>
      </c>
    </row>
    <row r="120" spans="1:2" ht="13.5" x14ac:dyDescent="0.25">
      <c r="A120" s="93" t="s">
        <v>363</v>
      </c>
      <c r="B120" s="103" t="s">
        <v>467</v>
      </c>
    </row>
    <row r="121" spans="1:2" ht="13.5" x14ac:dyDescent="0.25">
      <c r="A121" s="93" t="s">
        <v>363</v>
      </c>
      <c r="B121" s="103" t="s">
        <v>468</v>
      </c>
    </row>
    <row r="122" spans="1:2" x14ac:dyDescent="0.2">
      <c r="A122" s="93" t="s">
        <v>361</v>
      </c>
      <c r="B122" s="101" t="s">
        <v>364</v>
      </c>
    </row>
    <row r="123" spans="1:2" ht="13.5" x14ac:dyDescent="0.25">
      <c r="A123" s="93" t="s">
        <v>363</v>
      </c>
      <c r="B123" s="103" t="s">
        <v>469</v>
      </c>
    </row>
    <row r="124" spans="1:2" ht="13.5" x14ac:dyDescent="0.25">
      <c r="A124" s="93" t="s">
        <v>363</v>
      </c>
      <c r="B124" s="103" t="s">
        <v>470</v>
      </c>
    </row>
    <row r="125" spans="1:2" x14ac:dyDescent="0.2">
      <c r="A125" s="93" t="s">
        <v>361</v>
      </c>
      <c r="B125" s="101" t="s">
        <v>471</v>
      </c>
    </row>
    <row r="126" spans="1:2" ht="13.5" x14ac:dyDescent="0.25">
      <c r="A126" s="93" t="s">
        <v>363</v>
      </c>
      <c r="B126" s="103" t="s">
        <v>472</v>
      </c>
    </row>
    <row r="127" spans="1:2" ht="13.5" x14ac:dyDescent="0.25">
      <c r="A127" s="93" t="s">
        <v>363</v>
      </c>
      <c r="B127" s="103" t="s">
        <v>473</v>
      </c>
    </row>
    <row r="128" spans="1:2" ht="13.5" x14ac:dyDescent="0.25">
      <c r="A128" s="93" t="s">
        <v>363</v>
      </c>
      <c r="B128" s="103" t="s">
        <v>462</v>
      </c>
    </row>
    <row r="129" spans="1:2" ht="13.5" x14ac:dyDescent="0.25">
      <c r="A129" s="93" t="s">
        <v>363</v>
      </c>
      <c r="B129" s="103" t="s">
        <v>474</v>
      </c>
    </row>
    <row r="130" spans="1:2" ht="13.5" x14ac:dyDescent="0.25">
      <c r="A130" s="93" t="s">
        <v>363</v>
      </c>
      <c r="B130" s="103" t="s">
        <v>475</v>
      </c>
    </row>
    <row r="131" spans="1:2" ht="13.5" x14ac:dyDescent="0.25">
      <c r="A131" s="93" t="s">
        <v>363</v>
      </c>
      <c r="B131" s="103" t="s">
        <v>476</v>
      </c>
    </row>
    <row r="132" spans="1:2" ht="13.5" x14ac:dyDescent="0.25">
      <c r="A132" s="93" t="s">
        <v>363</v>
      </c>
      <c r="B132" s="103" t="s">
        <v>477</v>
      </c>
    </row>
    <row r="133" spans="1:2" ht="13.5" x14ac:dyDescent="0.25">
      <c r="A133" s="93" t="s">
        <v>363</v>
      </c>
      <c r="B133" s="103" t="s">
        <v>478</v>
      </c>
    </row>
    <row r="134" spans="1:2" ht="13.5" x14ac:dyDescent="0.25">
      <c r="A134" s="93" t="s">
        <v>363</v>
      </c>
      <c r="B134" s="103" t="s">
        <v>479</v>
      </c>
    </row>
    <row r="135" spans="1:2" ht="13.5" x14ac:dyDescent="0.25">
      <c r="A135" s="93" t="s">
        <v>363</v>
      </c>
      <c r="B135" s="103" t="s">
        <v>480</v>
      </c>
    </row>
    <row r="136" spans="1:2" ht="13.5" x14ac:dyDescent="0.25">
      <c r="A136" s="93" t="s">
        <v>363</v>
      </c>
      <c r="B136" s="103" t="s">
        <v>481</v>
      </c>
    </row>
    <row r="137" spans="1:2" ht="13.5" x14ac:dyDescent="0.25">
      <c r="A137" s="93" t="s">
        <v>363</v>
      </c>
      <c r="B137" s="103" t="s">
        <v>482</v>
      </c>
    </row>
    <row r="138" spans="1:2" ht="13.5" x14ac:dyDescent="0.25">
      <c r="A138" s="93" t="s">
        <v>363</v>
      </c>
      <c r="B138" s="103" t="s">
        <v>483</v>
      </c>
    </row>
    <row r="139" spans="1:2" ht="13.5" x14ac:dyDescent="0.25">
      <c r="A139" s="93" t="s">
        <v>363</v>
      </c>
      <c r="B139" s="103" t="s">
        <v>484</v>
      </c>
    </row>
    <row r="140" spans="1:2" ht="13.5" x14ac:dyDescent="0.25">
      <c r="A140" s="93" t="s">
        <v>363</v>
      </c>
      <c r="B140" s="105" t="s">
        <v>485</v>
      </c>
    </row>
    <row r="141" spans="1:2" x14ac:dyDescent="0.2">
      <c r="A141" s="93" t="s">
        <v>361</v>
      </c>
      <c r="B141" s="101" t="s">
        <v>486</v>
      </c>
    </row>
    <row r="142" spans="1:2" ht="13.5" x14ac:dyDescent="0.25">
      <c r="A142" s="93" t="s">
        <v>363</v>
      </c>
      <c r="B142" s="103" t="s">
        <v>486</v>
      </c>
    </row>
    <row r="143" spans="1:2" ht="13.5" x14ac:dyDescent="0.25">
      <c r="A143" s="93" t="s">
        <v>363</v>
      </c>
      <c r="B143" s="103" t="s">
        <v>487</v>
      </c>
    </row>
    <row r="144" spans="1:2" ht="13.5" x14ac:dyDescent="0.25">
      <c r="A144" s="93" t="s">
        <v>363</v>
      </c>
      <c r="B144" s="103" t="s">
        <v>488</v>
      </c>
    </row>
    <row r="145" spans="1:2" ht="13.5" x14ac:dyDescent="0.25">
      <c r="A145" s="93" t="s">
        <v>363</v>
      </c>
      <c r="B145" s="103" t="s">
        <v>489</v>
      </c>
    </row>
    <row r="146" spans="1:2" ht="13.5" x14ac:dyDescent="0.25">
      <c r="A146" s="93" t="s">
        <v>363</v>
      </c>
      <c r="B146" s="103" t="s">
        <v>490</v>
      </c>
    </row>
    <row r="147" spans="1:2" ht="13.5" x14ac:dyDescent="0.25">
      <c r="A147" s="93" t="s">
        <v>363</v>
      </c>
      <c r="B147" s="103" t="s">
        <v>491</v>
      </c>
    </row>
    <row r="148" spans="1:2" ht="13.5" x14ac:dyDescent="0.25">
      <c r="A148" s="93" t="s">
        <v>363</v>
      </c>
      <c r="B148" s="103" t="s">
        <v>492</v>
      </c>
    </row>
    <row r="149" spans="1:2" ht="13.5" x14ac:dyDescent="0.25">
      <c r="A149" s="93" t="s">
        <v>363</v>
      </c>
      <c r="B149" s="103" t="s">
        <v>493</v>
      </c>
    </row>
    <row r="150" spans="1:2" ht="13.5" x14ac:dyDescent="0.25">
      <c r="A150" s="93" t="s">
        <v>363</v>
      </c>
      <c r="B150" s="103" t="s">
        <v>494</v>
      </c>
    </row>
    <row r="151" spans="1:2" ht="13.5" x14ac:dyDescent="0.25">
      <c r="A151" s="93" t="s">
        <v>363</v>
      </c>
      <c r="B151" s="103" t="s">
        <v>495</v>
      </c>
    </row>
    <row r="152" spans="1:2" ht="13.5" x14ac:dyDescent="0.25">
      <c r="A152" s="93" t="s">
        <v>363</v>
      </c>
      <c r="B152" s="103" t="s">
        <v>496</v>
      </c>
    </row>
    <row r="153" spans="1:2" x14ac:dyDescent="0.2">
      <c r="A153" s="93" t="s">
        <v>361</v>
      </c>
      <c r="B153" s="101" t="s">
        <v>497</v>
      </c>
    </row>
    <row r="154" spans="1:2" ht="13.5" x14ac:dyDescent="0.25">
      <c r="A154" s="93" t="s">
        <v>363</v>
      </c>
      <c r="B154" s="103" t="s">
        <v>498</v>
      </c>
    </row>
    <row r="155" spans="1:2" ht="13.5" x14ac:dyDescent="0.25">
      <c r="A155" s="93" t="s">
        <v>363</v>
      </c>
      <c r="B155" s="103" t="s">
        <v>428</v>
      </c>
    </row>
    <row r="156" spans="1:2" ht="13.5" x14ac:dyDescent="0.25">
      <c r="A156" s="93" t="s">
        <v>363</v>
      </c>
      <c r="B156" s="103" t="s">
        <v>499</v>
      </c>
    </row>
    <row r="157" spans="1:2" x14ac:dyDescent="0.2">
      <c r="A157" s="93" t="s">
        <v>361</v>
      </c>
      <c r="B157" s="101" t="s">
        <v>500</v>
      </c>
    </row>
    <row r="158" spans="1:2" ht="13.5" x14ac:dyDescent="0.25">
      <c r="A158" s="93" t="s">
        <v>363</v>
      </c>
      <c r="B158" s="103" t="s">
        <v>500</v>
      </c>
    </row>
    <row r="159" spans="1:2" ht="13.5" x14ac:dyDescent="0.25">
      <c r="A159" s="93" t="s">
        <v>363</v>
      </c>
      <c r="B159" s="103" t="s">
        <v>501</v>
      </c>
    </row>
    <row r="160" spans="1:2" ht="13.5" x14ac:dyDescent="0.25">
      <c r="A160" s="93" t="s">
        <v>363</v>
      </c>
      <c r="B160" s="103" t="s">
        <v>502</v>
      </c>
    </row>
    <row r="161" spans="1:2" ht="13.5" x14ac:dyDescent="0.25">
      <c r="A161" s="93" t="s">
        <v>363</v>
      </c>
      <c r="B161" s="103" t="s">
        <v>503</v>
      </c>
    </row>
    <row r="162" spans="1:2" x14ac:dyDescent="0.2">
      <c r="A162" s="93" t="s">
        <v>361</v>
      </c>
      <c r="B162" s="101" t="s">
        <v>504</v>
      </c>
    </row>
    <row r="163" spans="1:2" ht="13.5" x14ac:dyDescent="0.25">
      <c r="A163" s="93" t="s">
        <v>363</v>
      </c>
      <c r="B163" s="103" t="s">
        <v>504</v>
      </c>
    </row>
    <row r="164" spans="1:2" ht="13.5" x14ac:dyDescent="0.25">
      <c r="A164" s="93" t="s">
        <v>363</v>
      </c>
      <c r="B164" s="103" t="s">
        <v>505</v>
      </c>
    </row>
    <row r="165" spans="1:2" ht="13.5" x14ac:dyDescent="0.25">
      <c r="A165" s="93" t="s">
        <v>363</v>
      </c>
      <c r="B165" s="103" t="s">
        <v>506</v>
      </c>
    </row>
    <row r="166" spans="1:2" ht="13.5" x14ac:dyDescent="0.25">
      <c r="A166" s="93" t="s">
        <v>363</v>
      </c>
      <c r="B166" s="103" t="s">
        <v>507</v>
      </c>
    </row>
    <row r="167" spans="1:2" ht="13.5" x14ac:dyDescent="0.25">
      <c r="A167" s="93" t="s">
        <v>363</v>
      </c>
      <c r="B167" s="103" t="s">
        <v>508</v>
      </c>
    </row>
    <row r="168" spans="1:2" ht="13.5" x14ac:dyDescent="0.25">
      <c r="A168" s="93" t="s">
        <v>363</v>
      </c>
      <c r="B168" s="103" t="s">
        <v>509</v>
      </c>
    </row>
    <row r="169" spans="1:2" ht="13.5" x14ac:dyDescent="0.25">
      <c r="A169" s="93" t="s">
        <v>363</v>
      </c>
      <c r="B169" s="103" t="s">
        <v>510</v>
      </c>
    </row>
    <row r="170" spans="1:2" x14ac:dyDescent="0.2">
      <c r="A170" s="93" t="s">
        <v>361</v>
      </c>
      <c r="B170" s="101" t="s">
        <v>511</v>
      </c>
    </row>
    <row r="171" spans="1:2" ht="13.5" x14ac:dyDescent="0.25">
      <c r="A171" s="93" t="s">
        <v>363</v>
      </c>
      <c r="B171" s="103" t="s">
        <v>511</v>
      </c>
    </row>
    <row r="172" spans="1:2" ht="13.5" x14ac:dyDescent="0.25">
      <c r="A172" s="93" t="s">
        <v>363</v>
      </c>
      <c r="B172" s="103" t="s">
        <v>512</v>
      </c>
    </row>
    <row r="173" spans="1:2" ht="13.5" x14ac:dyDescent="0.25">
      <c r="A173" s="93" t="s">
        <v>363</v>
      </c>
      <c r="B173" s="103" t="s">
        <v>513</v>
      </c>
    </row>
    <row r="174" spans="1:2" ht="13.5" x14ac:dyDescent="0.25">
      <c r="A174" s="93" t="s">
        <v>363</v>
      </c>
      <c r="B174" s="103" t="s">
        <v>514</v>
      </c>
    </row>
    <row r="175" spans="1:2" ht="13.5" x14ac:dyDescent="0.25">
      <c r="A175" s="93" t="s">
        <v>363</v>
      </c>
      <c r="B175" s="103" t="s">
        <v>515</v>
      </c>
    </row>
    <row r="176" spans="1:2" ht="13.5" x14ac:dyDescent="0.25">
      <c r="A176" s="93" t="s">
        <v>363</v>
      </c>
      <c r="B176" s="103" t="s">
        <v>516</v>
      </c>
    </row>
    <row r="177" spans="1:2" ht="13.5" x14ac:dyDescent="0.25">
      <c r="A177" s="93" t="s">
        <v>363</v>
      </c>
      <c r="B177" s="103" t="s">
        <v>517</v>
      </c>
    </row>
    <row r="178" spans="1:2" ht="13.5" x14ac:dyDescent="0.25">
      <c r="A178" s="93" t="s">
        <v>363</v>
      </c>
      <c r="B178" s="103" t="s">
        <v>518</v>
      </c>
    </row>
    <row r="179" spans="1:2" ht="13.5" x14ac:dyDescent="0.25">
      <c r="A179" s="93" t="s">
        <v>363</v>
      </c>
      <c r="B179" s="103" t="s">
        <v>519</v>
      </c>
    </row>
    <row r="180" spans="1:2" ht="13.5" x14ac:dyDescent="0.25">
      <c r="A180" s="93" t="s">
        <v>363</v>
      </c>
      <c r="B180" s="103" t="s">
        <v>520</v>
      </c>
    </row>
    <row r="181" spans="1:2" ht="13.5" x14ac:dyDescent="0.25">
      <c r="A181" s="93" t="s">
        <v>363</v>
      </c>
      <c r="B181" s="103" t="s">
        <v>521</v>
      </c>
    </row>
    <row r="182" spans="1:2" ht="13.5" x14ac:dyDescent="0.25">
      <c r="A182" s="93" t="s">
        <v>363</v>
      </c>
      <c r="B182" s="103" t="s">
        <v>522</v>
      </c>
    </row>
    <row r="183" spans="1:2" ht="13.5" x14ac:dyDescent="0.25">
      <c r="A183" s="93" t="s">
        <v>363</v>
      </c>
      <c r="B183" s="103" t="s">
        <v>523</v>
      </c>
    </row>
    <row r="184" spans="1:2" ht="13.5" x14ac:dyDescent="0.25">
      <c r="A184" s="93" t="s">
        <v>363</v>
      </c>
      <c r="B184" s="103" t="s">
        <v>524</v>
      </c>
    </row>
    <row r="185" spans="1:2" ht="13.5" x14ac:dyDescent="0.25">
      <c r="A185" s="93" t="s">
        <v>363</v>
      </c>
      <c r="B185" s="103" t="s">
        <v>525</v>
      </c>
    </row>
    <row r="186" spans="1:2" ht="13.5" x14ac:dyDescent="0.25">
      <c r="A186" s="93" t="s">
        <v>363</v>
      </c>
      <c r="B186" s="105" t="s">
        <v>526</v>
      </c>
    </row>
    <row r="187" spans="1:2" x14ac:dyDescent="0.2">
      <c r="A187" s="93" t="s">
        <v>361</v>
      </c>
      <c r="B187" s="101" t="s">
        <v>527</v>
      </c>
    </row>
    <row r="188" spans="1:2" ht="13.5" x14ac:dyDescent="0.25">
      <c r="A188" s="93" t="s">
        <v>363</v>
      </c>
      <c r="B188" s="103" t="s">
        <v>527</v>
      </c>
    </row>
    <row r="189" spans="1:2" ht="13.5" x14ac:dyDescent="0.25">
      <c r="A189" s="93" t="s">
        <v>363</v>
      </c>
      <c r="B189" s="103" t="s">
        <v>528</v>
      </c>
    </row>
    <row r="190" spans="1:2" ht="13.5" x14ac:dyDescent="0.25">
      <c r="A190" s="93" t="s">
        <v>363</v>
      </c>
      <c r="B190" s="103" t="s">
        <v>529</v>
      </c>
    </row>
    <row r="191" spans="1:2" ht="13.5" x14ac:dyDescent="0.25">
      <c r="A191" s="93" t="s">
        <v>363</v>
      </c>
      <c r="B191" s="103" t="s">
        <v>530</v>
      </c>
    </row>
    <row r="192" spans="1:2" ht="13.5" x14ac:dyDescent="0.25">
      <c r="A192" s="93" t="s">
        <v>363</v>
      </c>
      <c r="B192" s="103" t="s">
        <v>531</v>
      </c>
    </row>
    <row r="193" spans="1:2" x14ac:dyDescent="0.2">
      <c r="A193" s="93" t="s">
        <v>361</v>
      </c>
      <c r="B193" s="101" t="s">
        <v>532</v>
      </c>
    </row>
    <row r="194" spans="1:2" ht="13.5" x14ac:dyDescent="0.25">
      <c r="A194" s="93" t="s">
        <v>363</v>
      </c>
      <c r="B194" s="103" t="s">
        <v>533</v>
      </c>
    </row>
    <row r="195" spans="1:2" ht="13.5" x14ac:dyDescent="0.25">
      <c r="A195" s="93" t="s">
        <v>363</v>
      </c>
      <c r="B195" s="103" t="s">
        <v>478</v>
      </c>
    </row>
    <row r="196" spans="1:2" ht="13.5" x14ac:dyDescent="0.25">
      <c r="A196" s="93" t="s">
        <v>363</v>
      </c>
      <c r="B196" s="103" t="s">
        <v>534</v>
      </c>
    </row>
    <row r="197" spans="1:2" ht="13.5" x14ac:dyDescent="0.25">
      <c r="A197" s="93" t="s">
        <v>363</v>
      </c>
      <c r="B197" s="103" t="s">
        <v>532</v>
      </c>
    </row>
    <row r="198" spans="1:2" ht="13.5" x14ac:dyDescent="0.25">
      <c r="A198" s="93" t="s">
        <v>363</v>
      </c>
      <c r="B198" s="103" t="s">
        <v>535</v>
      </c>
    </row>
    <row r="199" spans="1:2" ht="13.5" x14ac:dyDescent="0.25">
      <c r="A199" s="93" t="s">
        <v>363</v>
      </c>
      <c r="B199" s="103" t="s">
        <v>536</v>
      </c>
    </row>
    <row r="200" spans="1:2" ht="13.5" x14ac:dyDescent="0.25">
      <c r="A200" s="93" t="s">
        <v>363</v>
      </c>
      <c r="B200" s="103" t="s">
        <v>537</v>
      </c>
    </row>
    <row r="201" spans="1:2" ht="13.5" x14ac:dyDescent="0.25">
      <c r="A201" s="93" t="s">
        <v>363</v>
      </c>
      <c r="B201" s="103" t="s">
        <v>538</v>
      </c>
    </row>
    <row r="202" spans="1:2" ht="13.5" x14ac:dyDescent="0.25">
      <c r="A202" s="93" t="s">
        <v>363</v>
      </c>
      <c r="B202" s="103" t="s">
        <v>539</v>
      </c>
    </row>
    <row r="203" spans="1:2" ht="13.5" x14ac:dyDescent="0.25">
      <c r="A203" s="93" t="s">
        <v>363</v>
      </c>
      <c r="B203" s="103" t="s">
        <v>540</v>
      </c>
    </row>
    <row r="204" spans="1:2" x14ac:dyDescent="0.2">
      <c r="A204" s="93" t="s">
        <v>361</v>
      </c>
      <c r="B204" s="101" t="s">
        <v>541</v>
      </c>
    </row>
    <row r="205" spans="1:2" ht="13.5" x14ac:dyDescent="0.25">
      <c r="A205" s="93" t="s">
        <v>363</v>
      </c>
      <c r="B205" s="103" t="s">
        <v>542</v>
      </c>
    </row>
    <row r="206" spans="1:2" ht="13.5" x14ac:dyDescent="0.25">
      <c r="A206" s="93" t="s">
        <v>363</v>
      </c>
      <c r="B206" s="103" t="s">
        <v>543</v>
      </c>
    </row>
    <row r="207" spans="1:2" ht="13.5" x14ac:dyDescent="0.25">
      <c r="A207" s="93" t="s">
        <v>363</v>
      </c>
      <c r="B207" s="103" t="s">
        <v>544</v>
      </c>
    </row>
    <row r="208" spans="1:2" ht="13.5" x14ac:dyDescent="0.25">
      <c r="A208" s="93" t="s">
        <v>363</v>
      </c>
      <c r="B208" s="103" t="s">
        <v>545</v>
      </c>
    </row>
    <row r="209" spans="1:2" ht="13.5" x14ac:dyDescent="0.25">
      <c r="A209" s="93" t="s">
        <v>363</v>
      </c>
      <c r="B209" s="103" t="s">
        <v>546</v>
      </c>
    </row>
    <row r="210" spans="1:2" ht="13.5" x14ac:dyDescent="0.25">
      <c r="A210" s="93" t="s">
        <v>363</v>
      </c>
      <c r="B210" s="103" t="s">
        <v>547</v>
      </c>
    </row>
    <row r="211" spans="1:2" ht="13.5" x14ac:dyDescent="0.25">
      <c r="A211" s="93" t="s">
        <v>363</v>
      </c>
      <c r="B211" s="103" t="s">
        <v>548</v>
      </c>
    </row>
    <row r="212" spans="1:2" ht="13.5" x14ac:dyDescent="0.25">
      <c r="A212" s="93" t="s">
        <v>363</v>
      </c>
      <c r="B212" s="103" t="s">
        <v>549</v>
      </c>
    </row>
    <row r="213" spans="1:2" x14ac:dyDescent="0.2">
      <c r="A213" s="93" t="s">
        <v>361</v>
      </c>
      <c r="B213" s="101" t="s">
        <v>550</v>
      </c>
    </row>
    <row r="214" spans="1:2" ht="13.5" x14ac:dyDescent="0.25">
      <c r="A214" s="93" t="s">
        <v>363</v>
      </c>
      <c r="B214" s="103" t="s">
        <v>550</v>
      </c>
    </row>
    <row r="215" spans="1:2" ht="13.5" x14ac:dyDescent="0.25">
      <c r="A215" s="93" t="s">
        <v>363</v>
      </c>
      <c r="B215" s="103" t="s">
        <v>551</v>
      </c>
    </row>
    <row r="216" spans="1:2" ht="13.5" x14ac:dyDescent="0.25">
      <c r="A216" s="93" t="s">
        <v>363</v>
      </c>
      <c r="B216" s="103" t="s">
        <v>552</v>
      </c>
    </row>
    <row r="217" spans="1:2" ht="13.5" x14ac:dyDescent="0.25">
      <c r="A217" s="93" t="s">
        <v>363</v>
      </c>
      <c r="B217" s="103" t="s">
        <v>553</v>
      </c>
    </row>
    <row r="218" spans="1:2" ht="13.5" x14ac:dyDescent="0.25">
      <c r="A218" s="93" t="s">
        <v>363</v>
      </c>
      <c r="B218" s="103" t="s">
        <v>554</v>
      </c>
    </row>
    <row r="219" spans="1:2" ht="13.5" x14ac:dyDescent="0.25">
      <c r="A219" s="93" t="s">
        <v>363</v>
      </c>
      <c r="B219" s="103" t="s">
        <v>555</v>
      </c>
    </row>
    <row r="220" spans="1:2" ht="13.5" x14ac:dyDescent="0.25">
      <c r="A220" s="93" t="s">
        <v>363</v>
      </c>
      <c r="B220" s="103" t="s">
        <v>556</v>
      </c>
    </row>
    <row r="221" spans="1:2" ht="13.5" x14ac:dyDescent="0.25">
      <c r="A221" s="93" t="s">
        <v>363</v>
      </c>
      <c r="B221" s="103" t="s">
        <v>557</v>
      </c>
    </row>
    <row r="222" spans="1:2" ht="13.5" x14ac:dyDescent="0.25">
      <c r="A222" s="93" t="s">
        <v>363</v>
      </c>
      <c r="B222" s="103" t="s">
        <v>558</v>
      </c>
    </row>
    <row r="223" spans="1:2" ht="13.5" x14ac:dyDescent="0.25">
      <c r="A223" s="93" t="s">
        <v>363</v>
      </c>
      <c r="B223" s="103" t="s">
        <v>559</v>
      </c>
    </row>
    <row r="224" spans="1:2" x14ac:dyDescent="0.2">
      <c r="A224" s="93" t="s">
        <v>361</v>
      </c>
      <c r="B224" s="101" t="s">
        <v>560</v>
      </c>
    </row>
    <row r="225" spans="1:2" ht="13.5" x14ac:dyDescent="0.25">
      <c r="A225" s="93" t="s">
        <v>363</v>
      </c>
      <c r="B225" s="103" t="s">
        <v>561</v>
      </c>
    </row>
    <row r="226" spans="1:2" ht="13.5" x14ac:dyDescent="0.25">
      <c r="A226" s="93" t="s">
        <v>363</v>
      </c>
      <c r="B226" s="103" t="s">
        <v>471</v>
      </c>
    </row>
    <row r="227" spans="1:2" ht="13.5" x14ac:dyDescent="0.25">
      <c r="A227" s="93" t="s">
        <v>363</v>
      </c>
      <c r="B227" s="103" t="s">
        <v>562</v>
      </c>
    </row>
    <row r="228" spans="1:2" ht="13.5" x14ac:dyDescent="0.25">
      <c r="A228" s="93" t="s">
        <v>363</v>
      </c>
      <c r="B228" s="103" t="s">
        <v>563</v>
      </c>
    </row>
    <row r="229" spans="1:2" ht="13.5" x14ac:dyDescent="0.25">
      <c r="A229" s="93" t="s">
        <v>363</v>
      </c>
      <c r="B229" s="103" t="s">
        <v>564</v>
      </c>
    </row>
    <row r="230" spans="1:2" ht="13.5" x14ac:dyDescent="0.25">
      <c r="A230" s="93" t="s">
        <v>363</v>
      </c>
      <c r="B230" s="103" t="s">
        <v>565</v>
      </c>
    </row>
    <row r="231" spans="1:2" ht="13.5" x14ac:dyDescent="0.25">
      <c r="A231" s="93" t="s">
        <v>363</v>
      </c>
      <c r="B231" s="103" t="s">
        <v>566</v>
      </c>
    </row>
    <row r="232" spans="1:2" ht="13.5" x14ac:dyDescent="0.25">
      <c r="A232" s="93" t="s">
        <v>363</v>
      </c>
      <c r="B232" s="103" t="s">
        <v>560</v>
      </c>
    </row>
    <row r="233" spans="1:2" ht="13.5" x14ac:dyDescent="0.25">
      <c r="A233" s="93" t="s">
        <v>363</v>
      </c>
      <c r="B233" s="105" t="s">
        <v>453</v>
      </c>
    </row>
    <row r="234" spans="1:2" ht="13.5" x14ac:dyDescent="0.25">
      <c r="A234" s="93" t="s">
        <v>363</v>
      </c>
      <c r="B234" s="103" t="s">
        <v>437</v>
      </c>
    </row>
    <row r="235" spans="1:2" ht="13.5" x14ac:dyDescent="0.25">
      <c r="A235" s="93" t="s">
        <v>363</v>
      </c>
      <c r="B235" s="103" t="s">
        <v>567</v>
      </c>
    </row>
    <row r="236" spans="1:2" x14ac:dyDescent="0.2">
      <c r="A236" s="93" t="s">
        <v>361</v>
      </c>
      <c r="B236" s="101" t="s">
        <v>568</v>
      </c>
    </row>
    <row r="237" spans="1:2" ht="13.5" x14ac:dyDescent="0.25">
      <c r="A237" s="93" t="s">
        <v>363</v>
      </c>
      <c r="B237" s="103" t="s">
        <v>568</v>
      </c>
    </row>
    <row r="238" spans="1:2" ht="13.5" x14ac:dyDescent="0.25">
      <c r="A238" s="93" t="s">
        <v>363</v>
      </c>
      <c r="B238" s="103" t="s">
        <v>569</v>
      </c>
    </row>
    <row r="239" spans="1:2" ht="13.5" x14ac:dyDescent="0.25">
      <c r="A239" s="93" t="s">
        <v>363</v>
      </c>
      <c r="B239" s="103" t="s">
        <v>570</v>
      </c>
    </row>
    <row r="240" spans="1:2" ht="13.5" x14ac:dyDescent="0.25">
      <c r="A240" s="93" t="s">
        <v>363</v>
      </c>
      <c r="B240" s="103" t="s">
        <v>571</v>
      </c>
    </row>
    <row r="241" spans="1:2" x14ac:dyDescent="0.2">
      <c r="A241" s="93" t="s">
        <v>361</v>
      </c>
      <c r="B241" s="101" t="s">
        <v>572</v>
      </c>
    </row>
    <row r="242" spans="1:2" ht="13.5" x14ac:dyDescent="0.25">
      <c r="A242" s="93" t="s">
        <v>363</v>
      </c>
      <c r="B242" s="103" t="s">
        <v>572</v>
      </c>
    </row>
    <row r="243" spans="1:2" ht="13.5" x14ac:dyDescent="0.25">
      <c r="A243" s="93" t="s">
        <v>363</v>
      </c>
      <c r="B243" s="103" t="s">
        <v>573</v>
      </c>
    </row>
    <row r="244" spans="1:2" ht="13.5" x14ac:dyDescent="0.25">
      <c r="A244" s="93" t="s">
        <v>363</v>
      </c>
      <c r="B244" s="103" t="s">
        <v>574</v>
      </c>
    </row>
    <row r="245" spans="1:2" ht="13.5" x14ac:dyDescent="0.25">
      <c r="A245" s="93" t="s">
        <v>363</v>
      </c>
      <c r="B245" s="103" t="s">
        <v>575</v>
      </c>
    </row>
    <row r="246" spans="1:2" ht="13.5" x14ac:dyDescent="0.25">
      <c r="A246" s="93" t="s">
        <v>363</v>
      </c>
      <c r="B246" s="103" t="s">
        <v>576</v>
      </c>
    </row>
    <row r="247" spans="1:2" ht="13.5" x14ac:dyDescent="0.25">
      <c r="A247" s="93" t="s">
        <v>363</v>
      </c>
      <c r="B247" s="103" t="s">
        <v>577</v>
      </c>
    </row>
    <row r="248" spans="1:2" ht="13.5" x14ac:dyDescent="0.25">
      <c r="A248" s="93" t="s">
        <v>363</v>
      </c>
      <c r="B248" s="103" t="s">
        <v>578</v>
      </c>
    </row>
    <row r="249" spans="1:2" ht="13.5" x14ac:dyDescent="0.25">
      <c r="A249" s="93" t="s">
        <v>363</v>
      </c>
      <c r="B249" s="103" t="s">
        <v>579</v>
      </c>
    </row>
    <row r="250" spans="1:2" ht="13.5" x14ac:dyDescent="0.25">
      <c r="A250" s="93" t="s">
        <v>363</v>
      </c>
      <c r="B250" s="103" t="s">
        <v>580</v>
      </c>
    </row>
    <row r="251" spans="1:2" ht="13.5" x14ac:dyDescent="0.25">
      <c r="A251" s="93" t="s">
        <v>363</v>
      </c>
      <c r="B251" s="103" t="s">
        <v>581</v>
      </c>
    </row>
    <row r="252" spans="1:2" x14ac:dyDescent="0.2">
      <c r="A252" s="93" t="s">
        <v>361</v>
      </c>
      <c r="B252" s="101" t="s">
        <v>582</v>
      </c>
    </row>
    <row r="253" spans="1:2" ht="13.5" x14ac:dyDescent="0.25">
      <c r="A253" s="93" t="s">
        <v>363</v>
      </c>
      <c r="B253" s="103" t="s">
        <v>583</v>
      </c>
    </row>
    <row r="254" spans="1:2" ht="13.5" x14ac:dyDescent="0.25">
      <c r="A254" s="93" t="s">
        <v>363</v>
      </c>
      <c r="B254" s="103" t="s">
        <v>584</v>
      </c>
    </row>
    <row r="255" spans="1:2" ht="13.5" x14ac:dyDescent="0.25">
      <c r="A255" s="93" t="s">
        <v>363</v>
      </c>
      <c r="B255" s="103" t="s">
        <v>585</v>
      </c>
    </row>
    <row r="256" spans="1:2" ht="13.5" x14ac:dyDescent="0.25">
      <c r="A256" s="93" t="s">
        <v>363</v>
      </c>
      <c r="B256" s="103" t="s">
        <v>586</v>
      </c>
    </row>
    <row r="257" spans="1:12" ht="13.5" x14ac:dyDescent="0.25">
      <c r="A257" s="93" t="s">
        <v>363</v>
      </c>
      <c r="B257" s="103" t="s">
        <v>587</v>
      </c>
    </row>
    <row r="258" spans="1:12" ht="13.5" x14ac:dyDescent="0.25">
      <c r="A258" s="93" t="s">
        <v>363</v>
      </c>
      <c r="B258" s="103" t="s">
        <v>588</v>
      </c>
    </row>
    <row r="259" spans="1:12" ht="13.5" x14ac:dyDescent="0.25">
      <c r="A259" s="93" t="s">
        <v>363</v>
      </c>
      <c r="B259" s="103" t="s">
        <v>589</v>
      </c>
    </row>
    <row r="260" spans="1:12" ht="13.5" x14ac:dyDescent="0.25">
      <c r="A260" s="93" t="s">
        <v>363</v>
      </c>
      <c r="B260" s="103" t="s">
        <v>582</v>
      </c>
    </row>
    <row r="261" spans="1:12" ht="13.5" x14ac:dyDescent="0.25">
      <c r="A261" s="93" t="s">
        <v>363</v>
      </c>
      <c r="B261" s="103" t="s">
        <v>590</v>
      </c>
    </row>
    <row r="262" spans="1:12" x14ac:dyDescent="0.2">
      <c r="A262" s="93" t="s">
        <v>361</v>
      </c>
      <c r="B262" s="101" t="s">
        <v>591</v>
      </c>
    </row>
    <row r="263" spans="1:12" ht="13.5" x14ac:dyDescent="0.25">
      <c r="A263" s="93" t="s">
        <v>363</v>
      </c>
      <c r="B263" s="103" t="s">
        <v>591</v>
      </c>
    </row>
    <row r="264" spans="1:12" ht="13.5" x14ac:dyDescent="0.25">
      <c r="A264" s="93" t="s">
        <v>363</v>
      </c>
      <c r="B264" s="103" t="s">
        <v>592</v>
      </c>
    </row>
    <row r="265" spans="1:12" ht="13.5" x14ac:dyDescent="0.25">
      <c r="A265" s="93" t="s">
        <v>363</v>
      </c>
      <c r="B265" s="103" t="s">
        <v>593</v>
      </c>
    </row>
    <row r="266" spans="1:12" ht="13.5" x14ac:dyDescent="0.25">
      <c r="A266" s="93" t="s">
        <v>363</v>
      </c>
      <c r="B266" s="103" t="s">
        <v>594</v>
      </c>
    </row>
    <row r="267" spans="1:12" ht="13.5" x14ac:dyDescent="0.25">
      <c r="A267" s="93" t="s">
        <v>363</v>
      </c>
      <c r="B267" s="103" t="s">
        <v>595</v>
      </c>
    </row>
    <row r="268" spans="1:12" ht="13.5" x14ac:dyDescent="0.25">
      <c r="A268" s="93" t="s">
        <v>363</v>
      </c>
      <c r="B268" s="103" t="s">
        <v>596</v>
      </c>
    </row>
    <row r="269" spans="1:12" ht="13.5" x14ac:dyDescent="0.25">
      <c r="A269" s="93" t="s">
        <v>363</v>
      </c>
      <c r="B269" s="103" t="s">
        <v>597</v>
      </c>
    </row>
    <row r="270" spans="1:12" ht="13.5" x14ac:dyDescent="0.25">
      <c r="A270" s="93" t="s">
        <v>363</v>
      </c>
      <c r="B270" s="103" t="s">
        <v>598</v>
      </c>
    </row>
    <row r="271" spans="1:12" ht="13.5" x14ac:dyDescent="0.25">
      <c r="A271" s="93" t="s">
        <v>363</v>
      </c>
      <c r="B271" s="103" t="s">
        <v>599</v>
      </c>
      <c r="K271" s="685" t="s">
        <v>600</v>
      </c>
      <c r="L271" s="685"/>
    </row>
    <row r="272" spans="1:12" ht="13.5" x14ac:dyDescent="0.25">
      <c r="A272" s="93" t="s">
        <v>363</v>
      </c>
      <c r="B272" s="103" t="s">
        <v>601</v>
      </c>
    </row>
    <row r="273" spans="1:2" x14ac:dyDescent="0.2">
      <c r="A273" s="93" t="s">
        <v>361</v>
      </c>
      <c r="B273" s="101" t="s">
        <v>602</v>
      </c>
    </row>
    <row r="274" spans="1:2" ht="13.5" x14ac:dyDescent="0.25">
      <c r="A274" s="93" t="s">
        <v>363</v>
      </c>
      <c r="B274" s="103" t="s">
        <v>602</v>
      </c>
    </row>
    <row r="275" spans="1:2" ht="13.5" x14ac:dyDescent="0.25">
      <c r="A275" s="93" t="s">
        <v>363</v>
      </c>
      <c r="B275" s="103" t="s">
        <v>603</v>
      </c>
    </row>
    <row r="276" spans="1:2" ht="13.5" x14ac:dyDescent="0.25">
      <c r="A276" s="93" t="s">
        <v>363</v>
      </c>
      <c r="B276" s="103" t="s">
        <v>604</v>
      </c>
    </row>
    <row r="277" spans="1:2" ht="13.5" x14ac:dyDescent="0.25">
      <c r="A277" s="93" t="s">
        <v>363</v>
      </c>
      <c r="B277" s="103" t="s">
        <v>605</v>
      </c>
    </row>
    <row r="278" spans="1:2" ht="13.5" x14ac:dyDescent="0.25">
      <c r="A278" s="93" t="s">
        <v>363</v>
      </c>
      <c r="B278" s="103" t="s">
        <v>606</v>
      </c>
    </row>
    <row r="279" spans="1:2" ht="13.5" x14ac:dyDescent="0.25">
      <c r="A279" s="93" t="s">
        <v>363</v>
      </c>
      <c r="B279" s="103" t="s">
        <v>607</v>
      </c>
    </row>
    <row r="280" spans="1:2" ht="13.5" x14ac:dyDescent="0.25">
      <c r="A280" s="93" t="s">
        <v>363</v>
      </c>
      <c r="B280" s="105" t="s">
        <v>608</v>
      </c>
    </row>
    <row r="281" spans="1:2" ht="13.5" x14ac:dyDescent="0.25">
      <c r="A281" s="93" t="s">
        <v>363</v>
      </c>
      <c r="B281" s="103" t="s">
        <v>609</v>
      </c>
    </row>
    <row r="282" spans="1:2" x14ac:dyDescent="0.2">
      <c r="A282" s="93" t="s">
        <v>360</v>
      </c>
      <c r="B282" s="98" t="s">
        <v>338</v>
      </c>
    </row>
    <row r="283" spans="1:2" x14ac:dyDescent="0.2">
      <c r="A283" s="93" t="s">
        <v>361</v>
      </c>
      <c r="B283" s="101" t="s">
        <v>610</v>
      </c>
    </row>
    <row r="284" spans="1:2" ht="13.5" x14ac:dyDescent="0.25">
      <c r="A284" s="93" t="s">
        <v>363</v>
      </c>
      <c r="B284" s="103" t="s">
        <v>610</v>
      </c>
    </row>
    <row r="285" spans="1:2" ht="13.5" x14ac:dyDescent="0.25">
      <c r="A285" s="93" t="s">
        <v>363</v>
      </c>
      <c r="B285" s="103" t="s">
        <v>611</v>
      </c>
    </row>
    <row r="286" spans="1:2" ht="13.5" x14ac:dyDescent="0.25">
      <c r="A286" s="93" t="s">
        <v>363</v>
      </c>
      <c r="B286" s="103" t="s">
        <v>612</v>
      </c>
    </row>
    <row r="287" spans="1:2" ht="13.5" x14ac:dyDescent="0.25">
      <c r="A287" s="93" t="s">
        <v>363</v>
      </c>
      <c r="B287" s="103" t="s">
        <v>613</v>
      </c>
    </row>
    <row r="288" spans="1:2" ht="13.5" x14ac:dyDescent="0.25">
      <c r="A288" s="93" t="s">
        <v>363</v>
      </c>
      <c r="B288" s="103" t="s">
        <v>614</v>
      </c>
    </row>
    <row r="289" spans="1:2" ht="13.5" x14ac:dyDescent="0.25">
      <c r="A289" s="93" t="s">
        <v>363</v>
      </c>
      <c r="B289" s="103" t="s">
        <v>615</v>
      </c>
    </row>
    <row r="290" spans="1:2" ht="13.5" x14ac:dyDescent="0.25">
      <c r="A290" s="93" t="s">
        <v>363</v>
      </c>
      <c r="B290" s="103" t="s">
        <v>616</v>
      </c>
    </row>
    <row r="291" spans="1:2" ht="13.5" x14ac:dyDescent="0.25">
      <c r="A291" s="93" t="s">
        <v>363</v>
      </c>
      <c r="B291" s="103" t="s">
        <v>617</v>
      </c>
    </row>
    <row r="292" spans="1:2" ht="13.5" x14ac:dyDescent="0.25">
      <c r="A292" s="93" t="s">
        <v>363</v>
      </c>
      <c r="B292" s="103" t="s">
        <v>618</v>
      </c>
    </row>
    <row r="293" spans="1:2" x14ac:dyDescent="0.2">
      <c r="A293" s="93" t="s">
        <v>361</v>
      </c>
      <c r="B293" s="101" t="s">
        <v>619</v>
      </c>
    </row>
    <row r="294" spans="1:2" ht="13.5" x14ac:dyDescent="0.25">
      <c r="A294" s="93" t="s">
        <v>363</v>
      </c>
      <c r="B294" s="103" t="s">
        <v>619</v>
      </c>
    </row>
    <row r="295" spans="1:2" ht="13.5" x14ac:dyDescent="0.25">
      <c r="A295" s="93" t="s">
        <v>363</v>
      </c>
      <c r="B295" s="103" t="s">
        <v>620</v>
      </c>
    </row>
    <row r="296" spans="1:2" ht="13.5" x14ac:dyDescent="0.25">
      <c r="A296" s="93" t="s">
        <v>363</v>
      </c>
      <c r="B296" s="103" t="s">
        <v>621</v>
      </c>
    </row>
    <row r="297" spans="1:2" ht="13.5" x14ac:dyDescent="0.25">
      <c r="A297" s="93" t="s">
        <v>363</v>
      </c>
      <c r="B297" s="103" t="s">
        <v>622</v>
      </c>
    </row>
    <row r="298" spans="1:2" ht="13.5" x14ac:dyDescent="0.25">
      <c r="A298" s="93" t="s">
        <v>363</v>
      </c>
      <c r="B298" s="103" t="s">
        <v>623</v>
      </c>
    </row>
    <row r="299" spans="1:2" ht="13.5" x14ac:dyDescent="0.25">
      <c r="A299" s="93" t="s">
        <v>363</v>
      </c>
      <c r="B299" s="103" t="s">
        <v>624</v>
      </c>
    </row>
    <row r="300" spans="1:2" ht="13.5" x14ac:dyDescent="0.25">
      <c r="A300" s="93" t="s">
        <v>363</v>
      </c>
      <c r="B300" s="103" t="s">
        <v>625</v>
      </c>
    </row>
    <row r="301" spans="1:2" ht="13.5" x14ac:dyDescent="0.25">
      <c r="A301" s="93" t="s">
        <v>363</v>
      </c>
      <c r="B301" s="103" t="s">
        <v>626</v>
      </c>
    </row>
    <row r="302" spans="1:2" ht="13.5" x14ac:dyDescent="0.25">
      <c r="A302" s="93" t="s">
        <v>363</v>
      </c>
      <c r="B302" s="103" t="s">
        <v>627</v>
      </c>
    </row>
    <row r="303" spans="1:2" ht="13.5" x14ac:dyDescent="0.25">
      <c r="A303" s="93" t="s">
        <v>363</v>
      </c>
      <c r="B303" s="103" t="s">
        <v>628</v>
      </c>
    </row>
    <row r="304" spans="1:2" ht="13.5" x14ac:dyDescent="0.25">
      <c r="A304" s="93" t="s">
        <v>363</v>
      </c>
      <c r="B304" s="103" t="s">
        <v>629</v>
      </c>
    </row>
    <row r="305" spans="1:2" ht="13.5" x14ac:dyDescent="0.25">
      <c r="A305" s="93" t="s">
        <v>363</v>
      </c>
      <c r="B305" s="103" t="s">
        <v>630</v>
      </c>
    </row>
    <row r="306" spans="1:2" ht="13.5" x14ac:dyDescent="0.25">
      <c r="A306" s="93" t="s">
        <v>363</v>
      </c>
      <c r="B306" s="103" t="s">
        <v>421</v>
      </c>
    </row>
    <row r="307" spans="1:2" ht="13.5" x14ac:dyDescent="0.25">
      <c r="A307" s="93" t="s">
        <v>363</v>
      </c>
      <c r="B307" s="103" t="s">
        <v>631</v>
      </c>
    </row>
    <row r="308" spans="1:2" ht="13.5" x14ac:dyDescent="0.25">
      <c r="A308" s="93" t="s">
        <v>363</v>
      </c>
      <c r="B308" s="103" t="s">
        <v>632</v>
      </c>
    </row>
    <row r="309" spans="1:2" ht="13.5" x14ac:dyDescent="0.25">
      <c r="A309" s="93" t="s">
        <v>363</v>
      </c>
      <c r="B309" s="103" t="s">
        <v>633</v>
      </c>
    </row>
    <row r="310" spans="1:2" ht="13.5" x14ac:dyDescent="0.25">
      <c r="A310" s="93" t="s">
        <v>363</v>
      </c>
      <c r="B310" s="103" t="s">
        <v>634</v>
      </c>
    </row>
    <row r="311" spans="1:2" ht="13.5" x14ac:dyDescent="0.25">
      <c r="A311" s="93" t="s">
        <v>363</v>
      </c>
      <c r="B311" s="103" t="s">
        <v>635</v>
      </c>
    </row>
    <row r="312" spans="1:2" ht="13.5" x14ac:dyDescent="0.25">
      <c r="A312" s="93" t="s">
        <v>363</v>
      </c>
      <c r="B312" s="103" t="s">
        <v>636</v>
      </c>
    </row>
    <row r="313" spans="1:2" x14ac:dyDescent="0.2">
      <c r="A313" s="93" t="s">
        <v>361</v>
      </c>
      <c r="B313" s="101" t="s">
        <v>637</v>
      </c>
    </row>
    <row r="314" spans="1:2" ht="13.5" x14ac:dyDescent="0.25">
      <c r="A314" s="93" t="s">
        <v>363</v>
      </c>
      <c r="B314" s="103" t="s">
        <v>637</v>
      </c>
    </row>
    <row r="315" spans="1:2" ht="13.5" x14ac:dyDescent="0.25">
      <c r="A315" s="93" t="s">
        <v>363</v>
      </c>
      <c r="B315" s="103" t="s">
        <v>638</v>
      </c>
    </row>
    <row r="316" spans="1:2" ht="13.5" x14ac:dyDescent="0.25">
      <c r="A316" s="93" t="s">
        <v>363</v>
      </c>
      <c r="B316" s="103" t="s">
        <v>639</v>
      </c>
    </row>
    <row r="317" spans="1:2" ht="13.5" x14ac:dyDescent="0.25">
      <c r="A317" s="93" t="s">
        <v>363</v>
      </c>
      <c r="B317" s="103" t="s">
        <v>640</v>
      </c>
    </row>
    <row r="318" spans="1:2" ht="13.5" x14ac:dyDescent="0.25">
      <c r="A318" s="93" t="s">
        <v>363</v>
      </c>
      <c r="B318" s="103" t="s">
        <v>641</v>
      </c>
    </row>
    <row r="319" spans="1:2" ht="13.5" x14ac:dyDescent="0.25">
      <c r="A319" s="93" t="s">
        <v>363</v>
      </c>
      <c r="B319" s="103" t="s">
        <v>642</v>
      </c>
    </row>
    <row r="320" spans="1:2" ht="13.5" x14ac:dyDescent="0.25">
      <c r="A320" s="93" t="s">
        <v>363</v>
      </c>
      <c r="B320" s="103" t="s">
        <v>643</v>
      </c>
    </row>
    <row r="321" spans="1:2" x14ac:dyDescent="0.2">
      <c r="A321" s="93" t="s">
        <v>361</v>
      </c>
      <c r="B321" s="101" t="s">
        <v>644</v>
      </c>
    </row>
    <row r="322" spans="1:2" ht="13.5" x14ac:dyDescent="0.25">
      <c r="A322" s="93" t="s">
        <v>363</v>
      </c>
      <c r="B322" s="103" t="s">
        <v>645</v>
      </c>
    </row>
    <row r="323" spans="1:2" ht="13.5" x14ac:dyDescent="0.25">
      <c r="A323" s="93" t="s">
        <v>363</v>
      </c>
      <c r="B323" s="103" t="s">
        <v>646</v>
      </c>
    </row>
    <row r="324" spans="1:2" ht="13.5" x14ac:dyDescent="0.25">
      <c r="A324" s="93" t="s">
        <v>363</v>
      </c>
      <c r="B324" s="103" t="s">
        <v>647</v>
      </c>
    </row>
    <row r="325" spans="1:2" ht="13.5" x14ac:dyDescent="0.25">
      <c r="A325" s="93" t="s">
        <v>363</v>
      </c>
      <c r="B325" s="103" t="s">
        <v>648</v>
      </c>
    </row>
    <row r="326" spans="1:2" ht="13.5" x14ac:dyDescent="0.25">
      <c r="A326" s="93" t="s">
        <v>363</v>
      </c>
      <c r="B326" s="103" t="s">
        <v>449</v>
      </c>
    </row>
    <row r="327" spans="1:2" ht="13.5" x14ac:dyDescent="0.25">
      <c r="A327" s="93" t="s">
        <v>363</v>
      </c>
      <c r="B327" s="105" t="s">
        <v>649</v>
      </c>
    </row>
    <row r="328" spans="1:2" ht="13.5" x14ac:dyDescent="0.25">
      <c r="A328" s="93" t="s">
        <v>363</v>
      </c>
      <c r="B328" s="103" t="s">
        <v>650</v>
      </c>
    </row>
    <row r="329" spans="1:2" ht="13.5" x14ac:dyDescent="0.25">
      <c r="A329" s="93" t="s">
        <v>363</v>
      </c>
      <c r="B329" s="103" t="s">
        <v>651</v>
      </c>
    </row>
    <row r="330" spans="1:2" ht="13.5" x14ac:dyDescent="0.25">
      <c r="A330" s="93" t="s">
        <v>363</v>
      </c>
      <c r="B330" s="103" t="s">
        <v>652</v>
      </c>
    </row>
    <row r="331" spans="1:2" ht="13.5" x14ac:dyDescent="0.25">
      <c r="A331" s="93" t="s">
        <v>363</v>
      </c>
      <c r="B331" s="103" t="s">
        <v>653</v>
      </c>
    </row>
    <row r="332" spans="1:2" ht="13.5" x14ac:dyDescent="0.25">
      <c r="A332" s="93" t="s">
        <v>363</v>
      </c>
      <c r="B332" s="103" t="s">
        <v>654</v>
      </c>
    </row>
    <row r="333" spans="1:2" ht="13.5" x14ac:dyDescent="0.25">
      <c r="A333" s="93" t="s">
        <v>363</v>
      </c>
      <c r="B333" s="103" t="s">
        <v>655</v>
      </c>
    </row>
    <row r="334" spans="1:2" ht="13.5" x14ac:dyDescent="0.25">
      <c r="A334" s="93" t="s">
        <v>363</v>
      </c>
      <c r="B334" s="103" t="s">
        <v>656</v>
      </c>
    </row>
    <row r="335" spans="1:2" ht="13.5" x14ac:dyDescent="0.25">
      <c r="A335" s="93" t="s">
        <v>363</v>
      </c>
      <c r="B335" s="103" t="s">
        <v>657</v>
      </c>
    </row>
    <row r="336" spans="1:2" ht="13.5" x14ac:dyDescent="0.25">
      <c r="A336" s="93" t="s">
        <v>363</v>
      </c>
      <c r="B336" s="103" t="s">
        <v>658</v>
      </c>
    </row>
    <row r="337" spans="1:2" ht="13.5" x14ac:dyDescent="0.25">
      <c r="A337" s="93" t="s">
        <v>363</v>
      </c>
      <c r="B337" s="103" t="s">
        <v>659</v>
      </c>
    </row>
    <row r="338" spans="1:2" ht="13.5" x14ac:dyDescent="0.25">
      <c r="A338" s="93" t="s">
        <v>363</v>
      </c>
      <c r="B338" s="103" t="s">
        <v>660</v>
      </c>
    </row>
    <row r="339" spans="1:2" x14ac:dyDescent="0.2">
      <c r="A339" s="93" t="s">
        <v>361</v>
      </c>
      <c r="B339" s="101" t="s">
        <v>661</v>
      </c>
    </row>
    <row r="340" spans="1:2" ht="13.5" x14ac:dyDescent="0.25">
      <c r="A340" s="93" t="s">
        <v>363</v>
      </c>
      <c r="B340" s="103" t="s">
        <v>662</v>
      </c>
    </row>
    <row r="341" spans="1:2" ht="13.5" x14ac:dyDescent="0.25">
      <c r="A341" s="93" t="s">
        <v>363</v>
      </c>
      <c r="B341" s="103" t="s">
        <v>661</v>
      </c>
    </row>
    <row r="342" spans="1:2" ht="13.5" x14ac:dyDescent="0.25">
      <c r="A342" s="93" t="s">
        <v>363</v>
      </c>
      <c r="B342" s="103" t="s">
        <v>663</v>
      </c>
    </row>
    <row r="343" spans="1:2" ht="13.5" x14ac:dyDescent="0.25">
      <c r="A343" s="93" t="s">
        <v>363</v>
      </c>
      <c r="B343" s="103" t="s">
        <v>664</v>
      </c>
    </row>
    <row r="344" spans="1:2" ht="13.5" x14ac:dyDescent="0.25">
      <c r="A344" s="93" t="s">
        <v>363</v>
      </c>
      <c r="B344" s="103" t="s">
        <v>665</v>
      </c>
    </row>
    <row r="345" spans="1:2" ht="13.5" x14ac:dyDescent="0.25">
      <c r="A345" s="93" t="s">
        <v>363</v>
      </c>
      <c r="B345" s="103" t="s">
        <v>666</v>
      </c>
    </row>
    <row r="346" spans="1:2" x14ac:dyDescent="0.2">
      <c r="A346" s="93" t="s">
        <v>361</v>
      </c>
      <c r="B346" s="101" t="s">
        <v>667</v>
      </c>
    </row>
    <row r="347" spans="1:2" ht="13.5" x14ac:dyDescent="0.25">
      <c r="A347" s="93" t="s">
        <v>363</v>
      </c>
      <c r="B347" s="103" t="s">
        <v>667</v>
      </c>
    </row>
    <row r="348" spans="1:2" ht="13.5" x14ac:dyDescent="0.25">
      <c r="A348" s="93" t="s">
        <v>363</v>
      </c>
      <c r="B348" s="103" t="s">
        <v>668</v>
      </c>
    </row>
    <row r="349" spans="1:2" ht="13.5" x14ac:dyDescent="0.25">
      <c r="A349" s="93" t="s">
        <v>363</v>
      </c>
      <c r="B349" s="103" t="s">
        <v>669</v>
      </c>
    </row>
    <row r="350" spans="1:2" ht="13.5" x14ac:dyDescent="0.25">
      <c r="A350" s="93" t="s">
        <v>363</v>
      </c>
      <c r="B350" s="103" t="s">
        <v>670</v>
      </c>
    </row>
    <row r="351" spans="1:2" ht="13.5" x14ac:dyDescent="0.25">
      <c r="A351" s="93" t="s">
        <v>363</v>
      </c>
      <c r="B351" s="103" t="s">
        <v>671</v>
      </c>
    </row>
    <row r="352" spans="1:2" ht="13.5" x14ac:dyDescent="0.25">
      <c r="A352" s="93" t="s">
        <v>363</v>
      </c>
      <c r="B352" s="103" t="s">
        <v>672</v>
      </c>
    </row>
    <row r="353" spans="1:2" ht="13.5" x14ac:dyDescent="0.25">
      <c r="A353" s="93" t="s">
        <v>363</v>
      </c>
      <c r="B353" s="103" t="s">
        <v>673</v>
      </c>
    </row>
    <row r="354" spans="1:2" ht="13.5" x14ac:dyDescent="0.25">
      <c r="A354" s="93" t="s">
        <v>363</v>
      </c>
      <c r="B354" s="103" t="s">
        <v>674</v>
      </c>
    </row>
    <row r="355" spans="1:2" x14ac:dyDescent="0.2">
      <c r="A355" s="93" t="s">
        <v>361</v>
      </c>
      <c r="B355" s="101" t="s">
        <v>675</v>
      </c>
    </row>
    <row r="356" spans="1:2" ht="13.5" x14ac:dyDescent="0.25">
      <c r="A356" s="93" t="s">
        <v>363</v>
      </c>
      <c r="B356" s="103" t="s">
        <v>676</v>
      </c>
    </row>
    <row r="357" spans="1:2" ht="13.5" x14ac:dyDescent="0.25">
      <c r="A357" s="93" t="s">
        <v>363</v>
      </c>
      <c r="B357" s="103" t="s">
        <v>677</v>
      </c>
    </row>
    <row r="358" spans="1:2" ht="13.5" x14ac:dyDescent="0.25">
      <c r="A358" s="93" t="s">
        <v>363</v>
      </c>
      <c r="B358" s="103" t="s">
        <v>678</v>
      </c>
    </row>
    <row r="359" spans="1:2" ht="13.5" x14ac:dyDescent="0.25">
      <c r="A359" s="93" t="s">
        <v>363</v>
      </c>
      <c r="B359" s="103" t="s">
        <v>679</v>
      </c>
    </row>
    <row r="360" spans="1:2" ht="13.5" x14ac:dyDescent="0.25">
      <c r="A360" s="93" t="s">
        <v>363</v>
      </c>
      <c r="B360" s="103" t="s">
        <v>680</v>
      </c>
    </row>
    <row r="361" spans="1:2" ht="13.5" x14ac:dyDescent="0.25">
      <c r="A361" s="93" t="s">
        <v>363</v>
      </c>
      <c r="B361" s="103" t="s">
        <v>681</v>
      </c>
    </row>
    <row r="362" spans="1:2" ht="13.5" x14ac:dyDescent="0.25">
      <c r="A362" s="93" t="s">
        <v>363</v>
      </c>
      <c r="B362" s="103" t="s">
        <v>682</v>
      </c>
    </row>
    <row r="363" spans="1:2" ht="13.5" x14ac:dyDescent="0.25">
      <c r="A363" s="93" t="s">
        <v>363</v>
      </c>
      <c r="B363" s="103" t="s">
        <v>683</v>
      </c>
    </row>
    <row r="364" spans="1:2" ht="13.5" x14ac:dyDescent="0.25">
      <c r="A364" s="93" t="s">
        <v>363</v>
      </c>
      <c r="B364" s="103" t="s">
        <v>684</v>
      </c>
    </row>
    <row r="365" spans="1:2" ht="13.5" x14ac:dyDescent="0.25">
      <c r="A365" s="93" t="s">
        <v>363</v>
      </c>
      <c r="B365" s="103" t="s">
        <v>437</v>
      </c>
    </row>
    <row r="366" spans="1:2" ht="13.5" x14ac:dyDescent="0.25">
      <c r="A366" s="93" t="s">
        <v>363</v>
      </c>
      <c r="B366" s="103" t="s">
        <v>685</v>
      </c>
    </row>
    <row r="367" spans="1:2" ht="13.5" x14ac:dyDescent="0.25">
      <c r="A367" s="93" t="s">
        <v>363</v>
      </c>
      <c r="B367" s="103" t="s">
        <v>686</v>
      </c>
    </row>
    <row r="368" spans="1:2" ht="13.5" x14ac:dyDescent="0.25">
      <c r="A368" s="93" t="s">
        <v>363</v>
      </c>
      <c r="B368" s="103" t="s">
        <v>687</v>
      </c>
    </row>
    <row r="369" spans="1:2" ht="13.5" x14ac:dyDescent="0.25">
      <c r="A369" s="93" t="s">
        <v>363</v>
      </c>
      <c r="B369" s="103" t="s">
        <v>688</v>
      </c>
    </row>
    <row r="370" spans="1:2" x14ac:dyDescent="0.2">
      <c r="A370" s="93" t="s">
        <v>360</v>
      </c>
      <c r="B370" s="98" t="s">
        <v>339</v>
      </c>
    </row>
    <row r="371" spans="1:2" x14ac:dyDescent="0.2">
      <c r="A371" s="93" t="s">
        <v>361</v>
      </c>
      <c r="B371" s="101" t="s">
        <v>339</v>
      </c>
    </row>
    <row r="372" spans="1:2" ht="13.5" x14ac:dyDescent="0.25">
      <c r="A372" s="93" t="s">
        <v>363</v>
      </c>
      <c r="B372" s="103" t="s">
        <v>339</v>
      </c>
    </row>
    <row r="373" spans="1:2" ht="13.5" x14ac:dyDescent="0.25">
      <c r="A373" s="93" t="s">
        <v>363</v>
      </c>
      <c r="B373" s="103" t="s">
        <v>689</v>
      </c>
    </row>
    <row r="374" spans="1:2" ht="13.5" x14ac:dyDescent="0.25">
      <c r="A374" s="93" t="s">
        <v>363</v>
      </c>
      <c r="B374" s="105" t="s">
        <v>690</v>
      </c>
    </row>
    <row r="375" spans="1:2" ht="13.5" x14ac:dyDescent="0.25">
      <c r="A375" s="93" t="s">
        <v>363</v>
      </c>
      <c r="B375" s="103" t="s">
        <v>691</v>
      </c>
    </row>
    <row r="376" spans="1:2" ht="13.5" x14ac:dyDescent="0.25">
      <c r="A376" s="93" t="s">
        <v>363</v>
      </c>
      <c r="B376" s="103" t="s">
        <v>692</v>
      </c>
    </row>
    <row r="377" spans="1:2" ht="13.5" x14ac:dyDescent="0.25">
      <c r="A377" s="93" t="s">
        <v>363</v>
      </c>
      <c r="B377" s="103" t="s">
        <v>693</v>
      </c>
    </row>
    <row r="378" spans="1:2" ht="13.5" x14ac:dyDescent="0.25">
      <c r="A378" s="93" t="s">
        <v>363</v>
      </c>
      <c r="B378" s="103" t="s">
        <v>694</v>
      </c>
    </row>
    <row r="379" spans="1:2" ht="13.5" x14ac:dyDescent="0.25">
      <c r="A379" s="93" t="s">
        <v>363</v>
      </c>
      <c r="B379" s="103" t="s">
        <v>695</v>
      </c>
    </row>
    <row r="380" spans="1:2" ht="13.5" x14ac:dyDescent="0.25">
      <c r="A380" s="93" t="s">
        <v>363</v>
      </c>
      <c r="B380" s="103" t="s">
        <v>696</v>
      </c>
    </row>
    <row r="381" spans="1:2" ht="13.5" x14ac:dyDescent="0.25">
      <c r="A381" s="93" t="s">
        <v>363</v>
      </c>
      <c r="B381" s="103" t="s">
        <v>697</v>
      </c>
    </row>
    <row r="382" spans="1:2" ht="13.5" x14ac:dyDescent="0.25">
      <c r="A382" s="93" t="s">
        <v>363</v>
      </c>
      <c r="B382" s="103" t="s">
        <v>698</v>
      </c>
    </row>
    <row r="383" spans="1:2" ht="13.5" x14ac:dyDescent="0.25">
      <c r="A383" s="93" t="s">
        <v>363</v>
      </c>
      <c r="B383" s="103" t="s">
        <v>699</v>
      </c>
    </row>
    <row r="384" spans="1:2" ht="13.5" x14ac:dyDescent="0.25">
      <c r="A384" s="93" t="s">
        <v>363</v>
      </c>
      <c r="B384" s="103" t="s">
        <v>700</v>
      </c>
    </row>
    <row r="385" spans="1:2" ht="13.5" x14ac:dyDescent="0.25">
      <c r="A385" s="93" t="s">
        <v>363</v>
      </c>
      <c r="B385" s="103" t="s">
        <v>701</v>
      </c>
    </row>
    <row r="386" spans="1:2" ht="13.5" x14ac:dyDescent="0.25">
      <c r="A386" s="93" t="s">
        <v>363</v>
      </c>
      <c r="B386" s="103" t="s">
        <v>702</v>
      </c>
    </row>
    <row r="387" spans="1:2" ht="13.5" x14ac:dyDescent="0.25">
      <c r="A387" s="93" t="s">
        <v>363</v>
      </c>
      <c r="B387" s="103" t="s">
        <v>703</v>
      </c>
    </row>
    <row r="388" spans="1:2" ht="13.5" x14ac:dyDescent="0.25">
      <c r="A388" s="93" t="s">
        <v>363</v>
      </c>
      <c r="B388" s="103" t="s">
        <v>704</v>
      </c>
    </row>
    <row r="389" spans="1:2" ht="13.5" x14ac:dyDescent="0.25">
      <c r="A389" s="93" t="s">
        <v>363</v>
      </c>
      <c r="B389" s="103" t="s">
        <v>705</v>
      </c>
    </row>
    <row r="390" spans="1:2" ht="13.5" x14ac:dyDescent="0.25">
      <c r="A390" s="93" t="s">
        <v>363</v>
      </c>
      <c r="B390" s="103" t="s">
        <v>706</v>
      </c>
    </row>
    <row r="391" spans="1:2" ht="13.5" x14ac:dyDescent="0.25">
      <c r="A391" s="93" t="s">
        <v>363</v>
      </c>
      <c r="B391" s="103" t="s">
        <v>707</v>
      </c>
    </row>
    <row r="392" spans="1:2" ht="13.5" x14ac:dyDescent="0.25">
      <c r="A392" s="93" t="s">
        <v>363</v>
      </c>
      <c r="B392" s="103" t="s">
        <v>708</v>
      </c>
    </row>
    <row r="393" spans="1:2" ht="13.5" x14ac:dyDescent="0.25">
      <c r="A393" s="93" t="s">
        <v>363</v>
      </c>
      <c r="B393" s="103" t="s">
        <v>709</v>
      </c>
    </row>
    <row r="394" spans="1:2" ht="13.5" x14ac:dyDescent="0.25">
      <c r="A394" s="93" t="s">
        <v>363</v>
      </c>
      <c r="B394" s="103" t="s">
        <v>710</v>
      </c>
    </row>
    <row r="395" spans="1:2" ht="13.5" x14ac:dyDescent="0.25">
      <c r="A395" s="93" t="s">
        <v>363</v>
      </c>
      <c r="B395" s="103" t="s">
        <v>711</v>
      </c>
    </row>
    <row r="396" spans="1:2" ht="13.5" x14ac:dyDescent="0.25">
      <c r="A396" s="93" t="s">
        <v>363</v>
      </c>
      <c r="B396" s="103" t="s">
        <v>712</v>
      </c>
    </row>
    <row r="397" spans="1:2" ht="13.5" x14ac:dyDescent="0.25">
      <c r="A397" s="93" t="s">
        <v>363</v>
      </c>
      <c r="B397" s="103" t="s">
        <v>713</v>
      </c>
    </row>
    <row r="398" spans="1:2" ht="13.5" x14ac:dyDescent="0.25">
      <c r="A398" s="93" t="s">
        <v>363</v>
      </c>
      <c r="B398" s="103" t="s">
        <v>714</v>
      </c>
    </row>
    <row r="399" spans="1:2" ht="13.5" x14ac:dyDescent="0.25">
      <c r="A399" s="93" t="s">
        <v>363</v>
      </c>
      <c r="B399" s="103" t="s">
        <v>715</v>
      </c>
    </row>
    <row r="400" spans="1:2" ht="13.5" x14ac:dyDescent="0.25">
      <c r="A400" s="93" t="s">
        <v>363</v>
      </c>
      <c r="B400" s="103" t="s">
        <v>716</v>
      </c>
    </row>
    <row r="401" spans="1:2" x14ac:dyDescent="0.2">
      <c r="A401" s="93" t="s">
        <v>361</v>
      </c>
      <c r="B401" s="101" t="s">
        <v>717</v>
      </c>
    </row>
    <row r="402" spans="1:2" ht="13.5" x14ac:dyDescent="0.25">
      <c r="A402" s="93" t="s">
        <v>363</v>
      </c>
      <c r="B402" s="103" t="s">
        <v>717</v>
      </c>
    </row>
    <row r="403" spans="1:2" ht="13.5" x14ac:dyDescent="0.25">
      <c r="A403" s="93" t="s">
        <v>363</v>
      </c>
      <c r="B403" s="103" t="s">
        <v>718</v>
      </c>
    </row>
    <row r="404" spans="1:2" ht="13.5" x14ac:dyDescent="0.25">
      <c r="A404" s="93" t="s">
        <v>363</v>
      </c>
      <c r="B404" s="103" t="s">
        <v>719</v>
      </c>
    </row>
    <row r="405" spans="1:2" ht="13.5" x14ac:dyDescent="0.25">
      <c r="A405" s="93" t="s">
        <v>363</v>
      </c>
      <c r="B405" s="103" t="s">
        <v>720</v>
      </c>
    </row>
    <row r="406" spans="1:2" ht="13.5" x14ac:dyDescent="0.25">
      <c r="A406" s="93" t="s">
        <v>363</v>
      </c>
      <c r="B406" s="103" t="s">
        <v>721</v>
      </c>
    </row>
    <row r="407" spans="1:2" ht="13.5" x14ac:dyDescent="0.25">
      <c r="A407" s="93" t="s">
        <v>363</v>
      </c>
      <c r="B407" s="103" t="s">
        <v>722</v>
      </c>
    </row>
    <row r="408" spans="1:2" ht="13.5" x14ac:dyDescent="0.25">
      <c r="A408" s="93" t="s">
        <v>363</v>
      </c>
      <c r="B408" s="103" t="s">
        <v>723</v>
      </c>
    </row>
    <row r="409" spans="1:2" ht="13.5" x14ac:dyDescent="0.25">
      <c r="A409" s="93" t="s">
        <v>363</v>
      </c>
      <c r="B409" s="103" t="s">
        <v>724</v>
      </c>
    </row>
    <row r="410" spans="1:2" x14ac:dyDescent="0.2">
      <c r="A410" s="93" t="s">
        <v>361</v>
      </c>
      <c r="B410" s="101" t="s">
        <v>725</v>
      </c>
    </row>
    <row r="411" spans="1:2" ht="13.5" x14ac:dyDescent="0.25">
      <c r="A411" s="93" t="s">
        <v>363</v>
      </c>
      <c r="B411" s="103" t="s">
        <v>725</v>
      </c>
    </row>
    <row r="412" spans="1:2" ht="13.5" x14ac:dyDescent="0.25">
      <c r="A412" s="93" t="s">
        <v>363</v>
      </c>
      <c r="B412" s="103" t="s">
        <v>726</v>
      </c>
    </row>
    <row r="413" spans="1:2" ht="13.5" x14ac:dyDescent="0.25">
      <c r="A413" s="93" t="s">
        <v>363</v>
      </c>
      <c r="B413" s="103" t="s">
        <v>727</v>
      </c>
    </row>
    <row r="414" spans="1:2" ht="13.5" x14ac:dyDescent="0.25">
      <c r="A414" s="93" t="s">
        <v>363</v>
      </c>
      <c r="B414" s="103" t="s">
        <v>728</v>
      </c>
    </row>
    <row r="415" spans="1:2" ht="13.5" x14ac:dyDescent="0.25">
      <c r="A415" s="93" t="s">
        <v>363</v>
      </c>
      <c r="B415" s="103" t="s">
        <v>729</v>
      </c>
    </row>
    <row r="416" spans="1:2" ht="13.5" x14ac:dyDescent="0.25">
      <c r="A416" s="93" t="s">
        <v>363</v>
      </c>
      <c r="B416" s="103" t="s">
        <v>730</v>
      </c>
    </row>
    <row r="417" spans="1:2" ht="13.5" x14ac:dyDescent="0.25">
      <c r="A417" s="93" t="s">
        <v>363</v>
      </c>
      <c r="B417" s="103" t="s">
        <v>731</v>
      </c>
    </row>
    <row r="418" spans="1:2" ht="13.5" x14ac:dyDescent="0.25">
      <c r="A418" s="93" t="s">
        <v>363</v>
      </c>
      <c r="B418" s="103" t="s">
        <v>732</v>
      </c>
    </row>
    <row r="419" spans="1:2" ht="13.5" x14ac:dyDescent="0.25">
      <c r="A419" s="93" t="s">
        <v>363</v>
      </c>
      <c r="B419" s="103" t="s">
        <v>733</v>
      </c>
    </row>
    <row r="420" spans="1:2" ht="13.5" x14ac:dyDescent="0.25">
      <c r="A420" s="93" t="s">
        <v>363</v>
      </c>
      <c r="B420" s="103" t="s">
        <v>734</v>
      </c>
    </row>
    <row r="421" spans="1:2" ht="13.5" x14ac:dyDescent="0.25">
      <c r="A421" s="93" t="s">
        <v>363</v>
      </c>
      <c r="B421" s="105" t="s">
        <v>735</v>
      </c>
    </row>
    <row r="422" spans="1:2" ht="13.5" x14ac:dyDescent="0.25">
      <c r="A422" s="93" t="s">
        <v>363</v>
      </c>
      <c r="B422" s="103" t="s">
        <v>736</v>
      </c>
    </row>
    <row r="423" spans="1:2" ht="13.5" x14ac:dyDescent="0.25">
      <c r="A423" s="93" t="s">
        <v>363</v>
      </c>
      <c r="B423" s="103" t="s">
        <v>737</v>
      </c>
    </row>
    <row r="424" spans="1:2" x14ac:dyDescent="0.2">
      <c r="A424" s="93" t="s">
        <v>361</v>
      </c>
      <c r="B424" s="101" t="s">
        <v>738</v>
      </c>
    </row>
    <row r="425" spans="1:2" ht="13.5" x14ac:dyDescent="0.25">
      <c r="A425" s="93" t="s">
        <v>363</v>
      </c>
      <c r="B425" s="103" t="s">
        <v>739</v>
      </c>
    </row>
    <row r="426" spans="1:2" ht="13.5" x14ac:dyDescent="0.25">
      <c r="A426" s="93" t="s">
        <v>363</v>
      </c>
      <c r="B426" s="103" t="s">
        <v>740</v>
      </c>
    </row>
    <row r="427" spans="1:2" ht="13.5" x14ac:dyDescent="0.25">
      <c r="A427" s="93" t="s">
        <v>363</v>
      </c>
      <c r="B427" s="103" t="s">
        <v>741</v>
      </c>
    </row>
    <row r="428" spans="1:2" ht="13.5" x14ac:dyDescent="0.25">
      <c r="A428" s="93" t="s">
        <v>363</v>
      </c>
      <c r="B428" s="103" t="s">
        <v>742</v>
      </c>
    </row>
    <row r="429" spans="1:2" ht="13.5" x14ac:dyDescent="0.25">
      <c r="A429" s="93" t="s">
        <v>363</v>
      </c>
      <c r="B429" s="103" t="s">
        <v>743</v>
      </c>
    </row>
    <row r="430" spans="1:2" ht="13.5" x14ac:dyDescent="0.25">
      <c r="A430" s="93" t="s">
        <v>363</v>
      </c>
      <c r="B430" s="103" t="s">
        <v>744</v>
      </c>
    </row>
    <row r="431" spans="1:2" ht="13.5" x14ac:dyDescent="0.25">
      <c r="A431" s="93" t="s">
        <v>363</v>
      </c>
      <c r="B431" s="103" t="s">
        <v>745</v>
      </c>
    </row>
    <row r="432" spans="1:2" ht="13.5" x14ac:dyDescent="0.25">
      <c r="A432" s="93" t="s">
        <v>363</v>
      </c>
      <c r="B432" s="103" t="s">
        <v>746</v>
      </c>
    </row>
    <row r="433" spans="1:2" ht="13.5" x14ac:dyDescent="0.25">
      <c r="A433" s="93" t="s">
        <v>363</v>
      </c>
      <c r="B433" s="103" t="s">
        <v>747</v>
      </c>
    </row>
    <row r="434" spans="1:2" ht="13.5" x14ac:dyDescent="0.25">
      <c r="A434" s="93" t="s">
        <v>363</v>
      </c>
      <c r="B434" s="103" t="s">
        <v>748</v>
      </c>
    </row>
    <row r="435" spans="1:2" ht="13.5" x14ac:dyDescent="0.25">
      <c r="A435" s="93" t="s">
        <v>363</v>
      </c>
      <c r="B435" s="103" t="s">
        <v>749</v>
      </c>
    </row>
    <row r="436" spans="1:2" ht="13.5" x14ac:dyDescent="0.25">
      <c r="A436" s="93" t="s">
        <v>363</v>
      </c>
      <c r="B436" s="103" t="s">
        <v>750</v>
      </c>
    </row>
    <row r="437" spans="1:2" ht="13.5" x14ac:dyDescent="0.25">
      <c r="A437" s="93" t="s">
        <v>363</v>
      </c>
      <c r="B437" s="103" t="s">
        <v>751</v>
      </c>
    </row>
    <row r="438" spans="1:2" ht="13.5" x14ac:dyDescent="0.25">
      <c r="A438" s="93" t="s">
        <v>363</v>
      </c>
      <c r="B438" s="103" t="s">
        <v>752</v>
      </c>
    </row>
    <row r="439" spans="1:2" x14ac:dyDescent="0.2">
      <c r="A439" s="93" t="s">
        <v>361</v>
      </c>
      <c r="B439" s="101" t="s">
        <v>753</v>
      </c>
    </row>
    <row r="440" spans="1:2" ht="13.5" x14ac:dyDescent="0.25">
      <c r="A440" s="93" t="s">
        <v>363</v>
      </c>
      <c r="B440" s="103" t="s">
        <v>754</v>
      </c>
    </row>
    <row r="441" spans="1:2" ht="13.5" x14ac:dyDescent="0.25">
      <c r="A441" s="93" t="s">
        <v>363</v>
      </c>
      <c r="B441" s="103" t="s">
        <v>755</v>
      </c>
    </row>
    <row r="442" spans="1:2" ht="13.5" x14ac:dyDescent="0.25">
      <c r="A442" s="93" t="s">
        <v>363</v>
      </c>
      <c r="B442" s="103" t="s">
        <v>756</v>
      </c>
    </row>
    <row r="443" spans="1:2" ht="13.5" x14ac:dyDescent="0.25">
      <c r="A443" s="93" t="s">
        <v>363</v>
      </c>
      <c r="B443" s="103" t="s">
        <v>757</v>
      </c>
    </row>
    <row r="444" spans="1:2" ht="13.5" x14ac:dyDescent="0.25">
      <c r="A444" s="93" t="s">
        <v>363</v>
      </c>
      <c r="B444" s="103" t="s">
        <v>753</v>
      </c>
    </row>
    <row r="445" spans="1:2" ht="13.5" x14ac:dyDescent="0.25">
      <c r="A445" s="93" t="s">
        <v>363</v>
      </c>
      <c r="B445" s="103" t="s">
        <v>758</v>
      </c>
    </row>
    <row r="446" spans="1:2" ht="13.5" x14ac:dyDescent="0.25">
      <c r="A446" s="93" t="s">
        <v>363</v>
      </c>
      <c r="B446" s="103" t="s">
        <v>431</v>
      </c>
    </row>
    <row r="447" spans="1:2" ht="13.5" x14ac:dyDescent="0.25">
      <c r="A447" s="93" t="s">
        <v>363</v>
      </c>
      <c r="B447" s="103" t="s">
        <v>759</v>
      </c>
    </row>
    <row r="448" spans="1:2" ht="13.5" x14ac:dyDescent="0.25">
      <c r="A448" s="93" t="s">
        <v>363</v>
      </c>
      <c r="B448" s="103" t="s">
        <v>760</v>
      </c>
    </row>
    <row r="449" spans="1:2" ht="13.5" x14ac:dyDescent="0.25">
      <c r="A449" s="93" t="s">
        <v>363</v>
      </c>
      <c r="B449" s="103" t="s">
        <v>761</v>
      </c>
    </row>
    <row r="450" spans="1:2" ht="13.5" x14ac:dyDescent="0.25">
      <c r="A450" s="93" t="s">
        <v>363</v>
      </c>
      <c r="B450" s="103" t="s">
        <v>762</v>
      </c>
    </row>
    <row r="451" spans="1:2" ht="13.5" x14ac:dyDescent="0.25">
      <c r="A451" s="93" t="s">
        <v>363</v>
      </c>
      <c r="B451" s="103" t="s">
        <v>763</v>
      </c>
    </row>
    <row r="452" spans="1:2" ht="13.5" x14ac:dyDescent="0.25">
      <c r="A452" s="93" t="s">
        <v>363</v>
      </c>
      <c r="B452" s="103" t="s">
        <v>764</v>
      </c>
    </row>
    <row r="453" spans="1:2" ht="13.5" x14ac:dyDescent="0.25">
      <c r="A453" s="93" t="s">
        <v>363</v>
      </c>
      <c r="B453" s="103" t="s">
        <v>765</v>
      </c>
    </row>
    <row r="454" spans="1:2" ht="13.5" x14ac:dyDescent="0.25">
      <c r="A454" s="93" t="s">
        <v>363</v>
      </c>
      <c r="B454" s="103" t="s">
        <v>766</v>
      </c>
    </row>
    <row r="455" spans="1:2" ht="13.5" x14ac:dyDescent="0.25">
      <c r="A455" s="93" t="s">
        <v>363</v>
      </c>
      <c r="B455" s="103" t="s">
        <v>767</v>
      </c>
    </row>
    <row r="456" spans="1:2" ht="13.5" x14ac:dyDescent="0.25">
      <c r="A456" s="93" t="s">
        <v>363</v>
      </c>
      <c r="B456" s="103" t="s">
        <v>768</v>
      </c>
    </row>
    <row r="457" spans="1:2" ht="13.5" x14ac:dyDescent="0.25">
      <c r="A457" s="93" t="s">
        <v>363</v>
      </c>
      <c r="B457" s="103" t="s">
        <v>769</v>
      </c>
    </row>
    <row r="458" spans="1:2" ht="13.5" x14ac:dyDescent="0.25">
      <c r="A458" s="93" t="s">
        <v>363</v>
      </c>
      <c r="B458" s="103" t="s">
        <v>770</v>
      </c>
    </row>
    <row r="459" spans="1:2" ht="13.5" x14ac:dyDescent="0.25">
      <c r="A459" s="93" t="s">
        <v>363</v>
      </c>
      <c r="B459" s="103" t="s">
        <v>771</v>
      </c>
    </row>
    <row r="460" spans="1:2" x14ac:dyDescent="0.2">
      <c r="A460" s="93" t="s">
        <v>361</v>
      </c>
      <c r="B460" s="101" t="s">
        <v>772</v>
      </c>
    </row>
    <row r="461" spans="1:2" ht="13.5" x14ac:dyDescent="0.25">
      <c r="A461" s="93" t="s">
        <v>363</v>
      </c>
      <c r="B461" s="103" t="s">
        <v>368</v>
      </c>
    </row>
    <row r="462" spans="1:2" ht="13.5" x14ac:dyDescent="0.25">
      <c r="A462" s="93" t="s">
        <v>363</v>
      </c>
      <c r="B462" s="103" t="s">
        <v>773</v>
      </c>
    </row>
    <row r="463" spans="1:2" ht="13.5" x14ac:dyDescent="0.25">
      <c r="A463" s="93" t="s">
        <v>363</v>
      </c>
      <c r="B463" s="103" t="s">
        <v>774</v>
      </c>
    </row>
    <row r="464" spans="1:2" ht="13.5" x14ac:dyDescent="0.25">
      <c r="A464" s="93" t="s">
        <v>363</v>
      </c>
      <c r="B464" s="103" t="s">
        <v>775</v>
      </c>
    </row>
    <row r="465" spans="1:2" ht="13.5" x14ac:dyDescent="0.25">
      <c r="A465" s="93" t="s">
        <v>363</v>
      </c>
      <c r="B465" s="103" t="s">
        <v>776</v>
      </c>
    </row>
    <row r="466" spans="1:2" ht="13.5" x14ac:dyDescent="0.25">
      <c r="A466" s="93" t="s">
        <v>363</v>
      </c>
      <c r="B466" s="103" t="s">
        <v>777</v>
      </c>
    </row>
    <row r="467" spans="1:2" ht="13.5" x14ac:dyDescent="0.25">
      <c r="A467" s="93" t="s">
        <v>363</v>
      </c>
      <c r="B467" s="103" t="s">
        <v>778</v>
      </c>
    </row>
    <row r="468" spans="1:2" ht="13.5" x14ac:dyDescent="0.25">
      <c r="A468" s="93" t="s">
        <v>363</v>
      </c>
      <c r="B468" s="105" t="s">
        <v>779</v>
      </c>
    </row>
    <row r="469" spans="1:2" ht="13.5" x14ac:dyDescent="0.25">
      <c r="B469" s="102"/>
    </row>
    <row r="470" spans="1:2" x14ac:dyDescent="0.2">
      <c r="A470" s="93" t="s">
        <v>361</v>
      </c>
      <c r="B470" s="101" t="s">
        <v>780</v>
      </c>
    </row>
    <row r="471" spans="1:2" ht="13.5" x14ac:dyDescent="0.25">
      <c r="A471" s="93" t="s">
        <v>363</v>
      </c>
      <c r="B471" s="103" t="s">
        <v>781</v>
      </c>
    </row>
    <row r="472" spans="1:2" ht="13.5" x14ac:dyDescent="0.25">
      <c r="A472" s="93" t="s">
        <v>363</v>
      </c>
      <c r="B472" s="103" t="s">
        <v>782</v>
      </c>
    </row>
    <row r="473" spans="1:2" ht="13.5" x14ac:dyDescent="0.25">
      <c r="A473" s="93" t="s">
        <v>363</v>
      </c>
      <c r="B473" s="103" t="s">
        <v>783</v>
      </c>
    </row>
    <row r="474" spans="1:2" ht="13.5" x14ac:dyDescent="0.25">
      <c r="A474" s="93" t="s">
        <v>363</v>
      </c>
      <c r="B474" s="103" t="s">
        <v>780</v>
      </c>
    </row>
    <row r="475" spans="1:2" ht="13.5" x14ac:dyDescent="0.25">
      <c r="A475" s="93" t="s">
        <v>363</v>
      </c>
      <c r="B475" s="103" t="s">
        <v>784</v>
      </c>
    </row>
    <row r="476" spans="1:2" ht="13.5" x14ac:dyDescent="0.25">
      <c r="A476" s="93" t="s">
        <v>363</v>
      </c>
      <c r="B476" s="103" t="s">
        <v>785</v>
      </c>
    </row>
    <row r="477" spans="1:2" x14ac:dyDescent="0.2">
      <c r="A477" s="93" t="s">
        <v>361</v>
      </c>
      <c r="B477" s="101" t="s">
        <v>786</v>
      </c>
    </row>
    <row r="478" spans="1:2" ht="13.5" x14ac:dyDescent="0.25">
      <c r="A478" s="93" t="s">
        <v>363</v>
      </c>
      <c r="B478" s="103" t="s">
        <v>787</v>
      </c>
    </row>
    <row r="479" spans="1:2" ht="13.5" x14ac:dyDescent="0.25">
      <c r="A479" s="93" t="s">
        <v>363</v>
      </c>
      <c r="B479" s="103" t="s">
        <v>788</v>
      </c>
    </row>
    <row r="480" spans="1:2" ht="13.5" x14ac:dyDescent="0.25">
      <c r="A480" s="93" t="s">
        <v>363</v>
      </c>
      <c r="B480" s="103" t="s">
        <v>789</v>
      </c>
    </row>
    <row r="481" spans="1:2" ht="13.5" x14ac:dyDescent="0.25">
      <c r="A481" s="93" t="s">
        <v>363</v>
      </c>
      <c r="B481" s="103" t="s">
        <v>790</v>
      </c>
    </row>
    <row r="482" spans="1:2" ht="13.5" x14ac:dyDescent="0.25">
      <c r="A482" s="93" t="s">
        <v>363</v>
      </c>
      <c r="B482" s="103" t="s">
        <v>791</v>
      </c>
    </row>
    <row r="483" spans="1:2" ht="13.5" x14ac:dyDescent="0.25">
      <c r="A483" s="93" t="s">
        <v>363</v>
      </c>
      <c r="B483" s="103" t="s">
        <v>792</v>
      </c>
    </row>
    <row r="484" spans="1:2" ht="13.5" x14ac:dyDescent="0.25">
      <c r="A484" s="93" t="s">
        <v>363</v>
      </c>
      <c r="B484" s="103" t="s">
        <v>793</v>
      </c>
    </row>
    <row r="485" spans="1:2" ht="13.5" x14ac:dyDescent="0.25">
      <c r="A485" s="93" t="s">
        <v>363</v>
      </c>
      <c r="B485" s="103" t="s">
        <v>794</v>
      </c>
    </row>
    <row r="486" spans="1:2" ht="13.5" x14ac:dyDescent="0.25">
      <c r="A486" s="93" t="s">
        <v>363</v>
      </c>
      <c r="B486" s="103" t="s">
        <v>795</v>
      </c>
    </row>
    <row r="487" spans="1:2" ht="13.5" x14ac:dyDescent="0.25">
      <c r="A487" s="93" t="s">
        <v>363</v>
      </c>
      <c r="B487" s="103" t="s">
        <v>796</v>
      </c>
    </row>
    <row r="488" spans="1:2" ht="13.5" x14ac:dyDescent="0.25">
      <c r="A488" s="93" t="s">
        <v>363</v>
      </c>
      <c r="B488" s="103" t="s">
        <v>797</v>
      </c>
    </row>
    <row r="489" spans="1:2" x14ac:dyDescent="0.2">
      <c r="A489" s="93" t="s">
        <v>360</v>
      </c>
      <c r="B489" s="98" t="s">
        <v>340</v>
      </c>
    </row>
    <row r="490" spans="1:2" x14ac:dyDescent="0.2">
      <c r="A490" s="93" t="s">
        <v>361</v>
      </c>
      <c r="B490" s="101" t="s">
        <v>798</v>
      </c>
    </row>
    <row r="491" spans="1:2" ht="13.5" x14ac:dyDescent="0.25">
      <c r="A491" s="93" t="s">
        <v>363</v>
      </c>
      <c r="B491" s="103" t="s">
        <v>340</v>
      </c>
    </row>
    <row r="492" spans="1:2" ht="13.5" x14ac:dyDescent="0.25">
      <c r="A492" s="93" t="s">
        <v>363</v>
      </c>
      <c r="B492" s="103" t="s">
        <v>799</v>
      </c>
    </row>
    <row r="493" spans="1:2" ht="13.5" x14ac:dyDescent="0.25">
      <c r="A493" s="93" t="s">
        <v>363</v>
      </c>
      <c r="B493" s="103" t="s">
        <v>800</v>
      </c>
    </row>
    <row r="494" spans="1:2" ht="13.5" x14ac:dyDescent="0.25">
      <c r="A494" s="93" t="s">
        <v>363</v>
      </c>
      <c r="B494" s="102" t="s">
        <v>801</v>
      </c>
    </row>
    <row r="495" spans="1:2" ht="13.5" x14ac:dyDescent="0.25">
      <c r="A495" s="93" t="s">
        <v>363</v>
      </c>
      <c r="B495" s="103" t="s">
        <v>621</v>
      </c>
    </row>
    <row r="496" spans="1:2" ht="13.5" x14ac:dyDescent="0.25">
      <c r="A496" s="93" t="s">
        <v>363</v>
      </c>
      <c r="B496" s="103" t="s">
        <v>550</v>
      </c>
    </row>
    <row r="497" spans="1:2" ht="13.5" x14ac:dyDescent="0.25">
      <c r="A497" s="93" t="s">
        <v>363</v>
      </c>
      <c r="B497" s="103" t="s">
        <v>802</v>
      </c>
    </row>
    <row r="498" spans="1:2" ht="13.5" x14ac:dyDescent="0.25">
      <c r="A498" s="93" t="s">
        <v>363</v>
      </c>
      <c r="B498" s="103" t="s">
        <v>803</v>
      </c>
    </row>
    <row r="499" spans="1:2" ht="13.5" x14ac:dyDescent="0.25">
      <c r="A499" s="93" t="s">
        <v>363</v>
      </c>
      <c r="B499" s="103" t="s">
        <v>804</v>
      </c>
    </row>
    <row r="500" spans="1:2" ht="13.5" x14ac:dyDescent="0.25">
      <c r="A500" s="93" t="s">
        <v>363</v>
      </c>
      <c r="B500" s="103" t="s">
        <v>805</v>
      </c>
    </row>
    <row r="501" spans="1:2" ht="13.5" x14ac:dyDescent="0.25">
      <c r="A501" s="93" t="s">
        <v>363</v>
      </c>
      <c r="B501" s="103" t="s">
        <v>806</v>
      </c>
    </row>
    <row r="502" spans="1:2" ht="13.5" x14ac:dyDescent="0.25">
      <c r="A502" s="93" t="s">
        <v>363</v>
      </c>
      <c r="B502" s="103" t="s">
        <v>807</v>
      </c>
    </row>
    <row r="503" spans="1:2" ht="13.5" x14ac:dyDescent="0.25">
      <c r="A503" s="93" t="s">
        <v>363</v>
      </c>
      <c r="B503" s="103" t="s">
        <v>808</v>
      </c>
    </row>
    <row r="504" spans="1:2" ht="13.5" x14ac:dyDescent="0.25">
      <c r="A504" s="93" t="s">
        <v>363</v>
      </c>
      <c r="B504" s="103" t="s">
        <v>809</v>
      </c>
    </row>
    <row r="505" spans="1:2" ht="13.5" x14ac:dyDescent="0.25">
      <c r="A505" s="93" t="s">
        <v>363</v>
      </c>
      <c r="B505" s="103" t="s">
        <v>810</v>
      </c>
    </row>
    <row r="506" spans="1:2" x14ac:dyDescent="0.2">
      <c r="A506" s="93" t="s">
        <v>361</v>
      </c>
      <c r="B506" s="101" t="s">
        <v>811</v>
      </c>
    </row>
    <row r="507" spans="1:2" ht="13.5" x14ac:dyDescent="0.25">
      <c r="A507" s="93" t="s">
        <v>363</v>
      </c>
      <c r="B507" s="103" t="s">
        <v>811</v>
      </c>
    </row>
    <row r="508" spans="1:2" ht="13.5" x14ac:dyDescent="0.25">
      <c r="A508" s="93" t="s">
        <v>363</v>
      </c>
      <c r="B508" s="103" t="s">
        <v>812</v>
      </c>
    </row>
    <row r="509" spans="1:2" ht="13.5" x14ac:dyDescent="0.25">
      <c r="A509" s="93" t="s">
        <v>363</v>
      </c>
      <c r="B509" s="103" t="s">
        <v>813</v>
      </c>
    </row>
    <row r="510" spans="1:2" ht="13.5" x14ac:dyDescent="0.25">
      <c r="A510" s="93" t="s">
        <v>363</v>
      </c>
      <c r="B510" s="103" t="s">
        <v>814</v>
      </c>
    </row>
    <row r="511" spans="1:2" ht="13.5" x14ac:dyDescent="0.25">
      <c r="A511" s="93" t="s">
        <v>363</v>
      </c>
      <c r="B511" s="103" t="s">
        <v>815</v>
      </c>
    </row>
    <row r="512" spans="1:2" ht="13.5" x14ac:dyDescent="0.25">
      <c r="A512" s="93" t="s">
        <v>363</v>
      </c>
      <c r="B512" s="103" t="s">
        <v>816</v>
      </c>
    </row>
    <row r="513" spans="1:2" x14ac:dyDescent="0.2">
      <c r="A513" s="93" t="s">
        <v>361</v>
      </c>
      <c r="B513" s="101" t="s">
        <v>817</v>
      </c>
    </row>
    <row r="514" spans="1:2" ht="13.5" x14ac:dyDescent="0.25">
      <c r="A514" s="93" t="s">
        <v>363</v>
      </c>
      <c r="B514" s="103" t="s">
        <v>818</v>
      </c>
    </row>
    <row r="515" spans="1:2" ht="13.5" x14ac:dyDescent="0.25">
      <c r="A515" s="93" t="s">
        <v>363</v>
      </c>
      <c r="B515" s="103" t="s">
        <v>819</v>
      </c>
    </row>
    <row r="516" spans="1:2" ht="13.5" x14ac:dyDescent="0.25">
      <c r="A516" s="93" t="s">
        <v>363</v>
      </c>
      <c r="B516" s="105" t="s">
        <v>820</v>
      </c>
    </row>
    <row r="517" spans="1:2" ht="13.5" x14ac:dyDescent="0.25">
      <c r="A517" s="93" t="s">
        <v>363</v>
      </c>
      <c r="B517" s="103" t="s">
        <v>821</v>
      </c>
    </row>
    <row r="518" spans="1:2" x14ac:dyDescent="0.2">
      <c r="A518" s="93" t="s">
        <v>361</v>
      </c>
      <c r="B518" s="101" t="s">
        <v>822</v>
      </c>
    </row>
    <row r="519" spans="1:2" ht="13.5" x14ac:dyDescent="0.25">
      <c r="A519" s="93" t="s">
        <v>363</v>
      </c>
      <c r="B519" s="103" t="s">
        <v>822</v>
      </c>
    </row>
    <row r="520" spans="1:2" ht="13.5" x14ac:dyDescent="0.25">
      <c r="A520" s="93" t="s">
        <v>363</v>
      </c>
      <c r="B520" s="103" t="s">
        <v>823</v>
      </c>
    </row>
    <row r="521" spans="1:2" ht="13.5" x14ac:dyDescent="0.25">
      <c r="A521" s="93" t="s">
        <v>363</v>
      </c>
      <c r="B521" s="103" t="s">
        <v>824</v>
      </c>
    </row>
    <row r="522" spans="1:2" ht="13.5" x14ac:dyDescent="0.25">
      <c r="A522" s="93" t="s">
        <v>363</v>
      </c>
      <c r="B522" s="103" t="s">
        <v>825</v>
      </c>
    </row>
    <row r="523" spans="1:2" ht="13.5" x14ac:dyDescent="0.25">
      <c r="A523" s="93" t="s">
        <v>363</v>
      </c>
      <c r="B523" s="103" t="s">
        <v>826</v>
      </c>
    </row>
    <row r="524" spans="1:2" ht="13.5" x14ac:dyDescent="0.25">
      <c r="A524" s="93" t="s">
        <v>363</v>
      </c>
      <c r="B524" s="103" t="s">
        <v>827</v>
      </c>
    </row>
    <row r="525" spans="1:2" ht="13.5" x14ac:dyDescent="0.25">
      <c r="A525" s="93" t="s">
        <v>363</v>
      </c>
      <c r="B525" s="103" t="s">
        <v>828</v>
      </c>
    </row>
    <row r="526" spans="1:2" ht="13.5" x14ac:dyDescent="0.25">
      <c r="A526" s="93" t="s">
        <v>363</v>
      </c>
      <c r="B526" s="103" t="s">
        <v>829</v>
      </c>
    </row>
    <row r="527" spans="1:2" x14ac:dyDescent="0.2">
      <c r="A527" s="93" t="s">
        <v>361</v>
      </c>
      <c r="B527" s="101" t="s">
        <v>830</v>
      </c>
    </row>
    <row r="528" spans="1:2" ht="13.5" x14ac:dyDescent="0.25">
      <c r="A528" s="93" t="s">
        <v>363</v>
      </c>
      <c r="B528" s="103" t="s">
        <v>831</v>
      </c>
    </row>
    <row r="529" spans="1:2" ht="13.5" x14ac:dyDescent="0.25">
      <c r="A529" s="93" t="s">
        <v>363</v>
      </c>
      <c r="B529" s="103" t="s">
        <v>832</v>
      </c>
    </row>
    <row r="530" spans="1:2" ht="13.5" x14ac:dyDescent="0.25">
      <c r="A530" s="93" t="s">
        <v>363</v>
      </c>
      <c r="B530" s="103" t="s">
        <v>833</v>
      </c>
    </row>
    <row r="531" spans="1:2" ht="13.5" x14ac:dyDescent="0.25">
      <c r="A531" s="93" t="s">
        <v>363</v>
      </c>
      <c r="B531" s="103" t="s">
        <v>834</v>
      </c>
    </row>
    <row r="532" spans="1:2" ht="13.5" x14ac:dyDescent="0.25">
      <c r="A532" s="93" t="s">
        <v>363</v>
      </c>
      <c r="B532" s="103" t="s">
        <v>835</v>
      </c>
    </row>
    <row r="533" spans="1:2" ht="13.5" x14ac:dyDescent="0.25">
      <c r="A533" s="93" t="s">
        <v>363</v>
      </c>
      <c r="B533" s="103" t="s">
        <v>836</v>
      </c>
    </row>
    <row r="534" spans="1:2" ht="13.5" x14ac:dyDescent="0.25">
      <c r="A534" s="93" t="s">
        <v>363</v>
      </c>
      <c r="B534" s="103" t="s">
        <v>437</v>
      </c>
    </row>
    <row r="535" spans="1:2" ht="13.5" x14ac:dyDescent="0.25">
      <c r="A535" s="93" t="s">
        <v>363</v>
      </c>
      <c r="B535" s="103" t="s">
        <v>837</v>
      </c>
    </row>
    <row r="536" spans="1:2" x14ac:dyDescent="0.2">
      <c r="A536" s="93" t="s">
        <v>361</v>
      </c>
      <c r="B536" s="101" t="s">
        <v>838</v>
      </c>
    </row>
    <row r="537" spans="1:2" ht="13.5" x14ac:dyDescent="0.25">
      <c r="A537" s="93" t="s">
        <v>363</v>
      </c>
      <c r="B537" s="103" t="s">
        <v>839</v>
      </c>
    </row>
    <row r="538" spans="1:2" ht="13.5" x14ac:dyDescent="0.25">
      <c r="A538" s="93" t="s">
        <v>363</v>
      </c>
      <c r="B538" s="103" t="s">
        <v>840</v>
      </c>
    </row>
    <row r="539" spans="1:2" ht="13.5" x14ac:dyDescent="0.25">
      <c r="A539" s="93" t="s">
        <v>363</v>
      </c>
      <c r="B539" s="103" t="s">
        <v>561</v>
      </c>
    </row>
    <row r="540" spans="1:2" ht="13.5" x14ac:dyDescent="0.25">
      <c r="A540" s="93" t="s">
        <v>363</v>
      </c>
      <c r="B540" s="103" t="s">
        <v>841</v>
      </c>
    </row>
    <row r="541" spans="1:2" ht="13.5" x14ac:dyDescent="0.25">
      <c r="A541" s="93" t="s">
        <v>363</v>
      </c>
      <c r="B541" s="103" t="s">
        <v>842</v>
      </c>
    </row>
    <row r="542" spans="1:2" ht="13.5" x14ac:dyDescent="0.25">
      <c r="A542" s="93" t="s">
        <v>363</v>
      </c>
      <c r="B542" s="103" t="s">
        <v>843</v>
      </c>
    </row>
    <row r="543" spans="1:2" ht="13.5" x14ac:dyDescent="0.25">
      <c r="A543" s="93" t="s">
        <v>363</v>
      </c>
      <c r="B543" s="103" t="s">
        <v>844</v>
      </c>
    </row>
    <row r="544" spans="1:2" ht="13.5" x14ac:dyDescent="0.25">
      <c r="A544" s="93" t="s">
        <v>363</v>
      </c>
      <c r="B544" s="103" t="s">
        <v>845</v>
      </c>
    </row>
    <row r="545" spans="1:2" ht="13.5" x14ac:dyDescent="0.25">
      <c r="A545" s="93" t="s">
        <v>363</v>
      </c>
      <c r="B545" s="103" t="s">
        <v>846</v>
      </c>
    </row>
    <row r="546" spans="1:2" ht="13.5" x14ac:dyDescent="0.25">
      <c r="A546" s="93" t="s">
        <v>363</v>
      </c>
      <c r="B546" s="103" t="s">
        <v>847</v>
      </c>
    </row>
    <row r="547" spans="1:2" ht="13.5" x14ac:dyDescent="0.25">
      <c r="A547" s="93" t="s">
        <v>363</v>
      </c>
      <c r="B547" s="103" t="s">
        <v>838</v>
      </c>
    </row>
    <row r="548" spans="1:2" ht="13.5" x14ac:dyDescent="0.25">
      <c r="A548" s="93" t="s">
        <v>363</v>
      </c>
      <c r="B548" s="103" t="s">
        <v>848</v>
      </c>
    </row>
    <row r="549" spans="1:2" ht="13.5" x14ac:dyDescent="0.25">
      <c r="A549" s="93" t="s">
        <v>363</v>
      </c>
      <c r="B549" s="103" t="s">
        <v>849</v>
      </c>
    </row>
    <row r="550" spans="1:2" ht="13.5" x14ac:dyDescent="0.25">
      <c r="A550" s="93" t="s">
        <v>363</v>
      </c>
      <c r="B550" s="103" t="s">
        <v>850</v>
      </c>
    </row>
    <row r="551" spans="1:2" ht="13.5" x14ac:dyDescent="0.25">
      <c r="A551" s="93" t="s">
        <v>363</v>
      </c>
      <c r="B551" s="103" t="s">
        <v>419</v>
      </c>
    </row>
    <row r="552" spans="1:2" ht="13.5" x14ac:dyDescent="0.25">
      <c r="A552" s="93" t="s">
        <v>363</v>
      </c>
      <c r="B552" s="103" t="s">
        <v>599</v>
      </c>
    </row>
    <row r="553" spans="1:2" ht="13.5" x14ac:dyDescent="0.25">
      <c r="A553" s="93" t="s">
        <v>363</v>
      </c>
      <c r="B553" s="103" t="s">
        <v>558</v>
      </c>
    </row>
    <row r="554" spans="1:2" ht="13.5" x14ac:dyDescent="0.25">
      <c r="A554" s="93" t="s">
        <v>363</v>
      </c>
      <c r="B554" s="103" t="s">
        <v>851</v>
      </c>
    </row>
    <row r="555" spans="1:2" ht="13.5" x14ac:dyDescent="0.25">
      <c r="A555" s="93" t="s">
        <v>363</v>
      </c>
      <c r="B555" s="103" t="s">
        <v>818</v>
      </c>
    </row>
    <row r="556" spans="1:2" ht="13.5" x14ac:dyDescent="0.25">
      <c r="A556" s="93" t="s">
        <v>363</v>
      </c>
      <c r="B556" s="103" t="s">
        <v>852</v>
      </c>
    </row>
    <row r="557" spans="1:2" ht="13.5" x14ac:dyDescent="0.25">
      <c r="A557" s="93" t="s">
        <v>363</v>
      </c>
      <c r="B557" s="103" t="s">
        <v>853</v>
      </c>
    </row>
    <row r="558" spans="1:2" x14ac:dyDescent="0.2">
      <c r="A558" s="93" t="s">
        <v>361</v>
      </c>
      <c r="B558" s="101" t="s">
        <v>854</v>
      </c>
    </row>
    <row r="559" spans="1:2" ht="13.5" x14ac:dyDescent="0.25">
      <c r="A559" s="93" t="s">
        <v>363</v>
      </c>
      <c r="B559" s="103" t="s">
        <v>855</v>
      </c>
    </row>
    <row r="560" spans="1:2" ht="13.5" x14ac:dyDescent="0.25">
      <c r="A560" s="93" t="s">
        <v>363</v>
      </c>
      <c r="B560" s="103" t="s">
        <v>856</v>
      </c>
    </row>
    <row r="561" spans="1:2" ht="13.5" x14ac:dyDescent="0.25">
      <c r="A561" s="93" t="s">
        <v>363</v>
      </c>
      <c r="B561" s="103" t="s">
        <v>857</v>
      </c>
    </row>
    <row r="562" spans="1:2" ht="13.5" x14ac:dyDescent="0.25">
      <c r="A562" s="93" t="s">
        <v>363</v>
      </c>
      <c r="B562" s="103" t="s">
        <v>858</v>
      </c>
    </row>
    <row r="563" spans="1:2" ht="13.5" x14ac:dyDescent="0.25">
      <c r="A563" s="93" t="s">
        <v>363</v>
      </c>
      <c r="B563" s="105" t="s">
        <v>859</v>
      </c>
    </row>
    <row r="564" spans="1:2" ht="13.5" x14ac:dyDescent="0.25">
      <c r="A564" s="93" t="s">
        <v>363</v>
      </c>
      <c r="B564" s="103" t="s">
        <v>860</v>
      </c>
    </row>
    <row r="565" spans="1:2" ht="13.5" x14ac:dyDescent="0.25">
      <c r="A565" s="93" t="s">
        <v>363</v>
      </c>
      <c r="B565" s="103" t="s">
        <v>861</v>
      </c>
    </row>
    <row r="566" spans="1:2" ht="13.5" x14ac:dyDescent="0.25">
      <c r="A566" s="93" t="s">
        <v>363</v>
      </c>
      <c r="B566" s="103" t="s">
        <v>862</v>
      </c>
    </row>
    <row r="567" spans="1:2" x14ac:dyDescent="0.2">
      <c r="A567" s="93" t="s">
        <v>361</v>
      </c>
      <c r="B567" s="101" t="s">
        <v>863</v>
      </c>
    </row>
    <row r="568" spans="1:2" ht="13.5" x14ac:dyDescent="0.25">
      <c r="A568" s="93" t="s">
        <v>363</v>
      </c>
      <c r="B568" s="103" t="s">
        <v>864</v>
      </c>
    </row>
    <row r="569" spans="1:2" ht="13.5" x14ac:dyDescent="0.25">
      <c r="A569" s="93" t="s">
        <v>363</v>
      </c>
      <c r="B569" s="103" t="s">
        <v>865</v>
      </c>
    </row>
    <row r="570" spans="1:2" ht="13.5" x14ac:dyDescent="0.25">
      <c r="A570" s="93" t="s">
        <v>363</v>
      </c>
      <c r="B570" s="103" t="s">
        <v>866</v>
      </c>
    </row>
    <row r="571" spans="1:2" ht="13.5" x14ac:dyDescent="0.25">
      <c r="A571" s="93" t="s">
        <v>363</v>
      </c>
      <c r="B571" s="103" t="s">
        <v>867</v>
      </c>
    </row>
    <row r="572" spans="1:2" ht="13.5" x14ac:dyDescent="0.25">
      <c r="A572" s="93" t="s">
        <v>363</v>
      </c>
      <c r="B572" s="103" t="s">
        <v>868</v>
      </c>
    </row>
    <row r="573" spans="1:2" ht="13.5" x14ac:dyDescent="0.25">
      <c r="A573" s="93" t="s">
        <v>363</v>
      </c>
      <c r="B573" s="103" t="s">
        <v>869</v>
      </c>
    </row>
    <row r="574" spans="1:2" ht="13.5" x14ac:dyDescent="0.25">
      <c r="A574" s="93" t="s">
        <v>363</v>
      </c>
      <c r="B574" s="103" t="s">
        <v>870</v>
      </c>
    </row>
    <row r="575" spans="1:2" ht="13.5" x14ac:dyDescent="0.25">
      <c r="A575" s="93" t="s">
        <v>363</v>
      </c>
      <c r="B575" s="103" t="s">
        <v>871</v>
      </c>
    </row>
    <row r="576" spans="1:2" ht="13.5" x14ac:dyDescent="0.25">
      <c r="A576" s="93" t="s">
        <v>363</v>
      </c>
      <c r="B576" s="103" t="s">
        <v>872</v>
      </c>
    </row>
    <row r="577" spans="1:2" ht="13.5" x14ac:dyDescent="0.25">
      <c r="A577" s="93" t="s">
        <v>363</v>
      </c>
      <c r="B577" s="103" t="s">
        <v>873</v>
      </c>
    </row>
    <row r="578" spans="1:2" x14ac:dyDescent="0.2">
      <c r="A578" s="93" t="s">
        <v>361</v>
      </c>
      <c r="B578" s="101" t="s">
        <v>874</v>
      </c>
    </row>
    <row r="579" spans="1:2" ht="13.5" x14ac:dyDescent="0.25">
      <c r="A579" s="93" t="s">
        <v>363</v>
      </c>
      <c r="B579" s="103" t="s">
        <v>875</v>
      </c>
    </row>
    <row r="580" spans="1:2" ht="13.5" x14ac:dyDescent="0.25">
      <c r="A580" s="93" t="s">
        <v>363</v>
      </c>
      <c r="B580" s="103" t="s">
        <v>876</v>
      </c>
    </row>
    <row r="581" spans="1:2" ht="13.5" x14ac:dyDescent="0.25">
      <c r="A581" s="93" t="s">
        <v>363</v>
      </c>
      <c r="B581" s="103" t="s">
        <v>877</v>
      </c>
    </row>
    <row r="582" spans="1:2" ht="13.5" x14ac:dyDescent="0.25">
      <c r="A582" s="93" t="s">
        <v>363</v>
      </c>
      <c r="B582" s="103" t="s">
        <v>878</v>
      </c>
    </row>
    <row r="583" spans="1:2" ht="13.5" x14ac:dyDescent="0.25">
      <c r="A583" s="93" t="s">
        <v>363</v>
      </c>
      <c r="B583" s="103" t="s">
        <v>879</v>
      </c>
    </row>
    <row r="584" spans="1:2" ht="13.5" x14ac:dyDescent="0.25">
      <c r="A584" s="93" t="s">
        <v>363</v>
      </c>
      <c r="B584" s="103" t="s">
        <v>880</v>
      </c>
    </row>
    <row r="585" spans="1:2" ht="13.5" x14ac:dyDescent="0.25">
      <c r="A585" s="93" t="s">
        <v>363</v>
      </c>
      <c r="B585" s="103" t="s">
        <v>881</v>
      </c>
    </row>
    <row r="586" spans="1:2" ht="13.5" x14ac:dyDescent="0.25">
      <c r="A586" s="93" t="s">
        <v>363</v>
      </c>
      <c r="B586" s="103" t="s">
        <v>882</v>
      </c>
    </row>
    <row r="587" spans="1:2" ht="13.5" x14ac:dyDescent="0.25">
      <c r="A587" s="93" t="s">
        <v>363</v>
      </c>
      <c r="B587" s="103" t="s">
        <v>883</v>
      </c>
    </row>
    <row r="588" spans="1:2" ht="13.5" x14ac:dyDescent="0.25">
      <c r="A588" s="93" t="s">
        <v>363</v>
      </c>
      <c r="B588" s="103" t="s">
        <v>884</v>
      </c>
    </row>
    <row r="589" spans="1:2" ht="13.5" x14ac:dyDescent="0.25">
      <c r="A589" s="93" t="s">
        <v>363</v>
      </c>
      <c r="B589" s="103" t="s">
        <v>885</v>
      </c>
    </row>
    <row r="590" spans="1:2" x14ac:dyDescent="0.2">
      <c r="A590" s="93" t="s">
        <v>361</v>
      </c>
      <c r="B590" s="101" t="s">
        <v>886</v>
      </c>
    </row>
    <row r="591" spans="1:2" ht="13.5" x14ac:dyDescent="0.25">
      <c r="A591" s="93" t="s">
        <v>363</v>
      </c>
      <c r="B591" s="103" t="s">
        <v>887</v>
      </c>
    </row>
    <row r="592" spans="1:2" ht="13.5" x14ac:dyDescent="0.25">
      <c r="A592" s="93" t="s">
        <v>363</v>
      </c>
      <c r="B592" s="103" t="s">
        <v>888</v>
      </c>
    </row>
    <row r="593" spans="1:2" ht="13.5" x14ac:dyDescent="0.25">
      <c r="A593" s="93" t="s">
        <v>363</v>
      </c>
      <c r="B593" s="103" t="s">
        <v>889</v>
      </c>
    </row>
    <row r="594" spans="1:2" ht="13.5" x14ac:dyDescent="0.25">
      <c r="A594" s="93" t="s">
        <v>363</v>
      </c>
      <c r="B594" s="103" t="s">
        <v>890</v>
      </c>
    </row>
    <row r="595" spans="1:2" ht="13.5" x14ac:dyDescent="0.25">
      <c r="A595" s="93" t="s">
        <v>363</v>
      </c>
      <c r="B595" s="103" t="s">
        <v>891</v>
      </c>
    </row>
    <row r="596" spans="1:2" ht="13.5" x14ac:dyDescent="0.25">
      <c r="A596" s="93" t="s">
        <v>363</v>
      </c>
      <c r="B596" s="103" t="s">
        <v>892</v>
      </c>
    </row>
    <row r="597" spans="1:2" ht="13.5" x14ac:dyDescent="0.25">
      <c r="A597" s="93" t="s">
        <v>363</v>
      </c>
      <c r="B597" s="103" t="s">
        <v>893</v>
      </c>
    </row>
    <row r="598" spans="1:2" ht="13.5" x14ac:dyDescent="0.25">
      <c r="A598" s="93" t="s">
        <v>363</v>
      </c>
      <c r="B598" s="103" t="s">
        <v>894</v>
      </c>
    </row>
    <row r="599" spans="1:2" ht="13.5" x14ac:dyDescent="0.25">
      <c r="A599" s="93" t="s">
        <v>363</v>
      </c>
      <c r="B599" s="103" t="s">
        <v>895</v>
      </c>
    </row>
    <row r="600" spans="1:2" ht="13.5" x14ac:dyDescent="0.25">
      <c r="A600" s="93" t="s">
        <v>363</v>
      </c>
      <c r="B600" s="103" t="s">
        <v>896</v>
      </c>
    </row>
    <row r="601" spans="1:2" ht="13.5" x14ac:dyDescent="0.25">
      <c r="A601" s="93" t="s">
        <v>363</v>
      </c>
      <c r="B601" s="103" t="s">
        <v>897</v>
      </c>
    </row>
    <row r="602" spans="1:2" ht="13.5" x14ac:dyDescent="0.25">
      <c r="A602" s="93" t="s">
        <v>363</v>
      </c>
      <c r="B602" s="103" t="s">
        <v>898</v>
      </c>
    </row>
    <row r="603" spans="1:2" x14ac:dyDescent="0.2">
      <c r="A603" s="93" t="s">
        <v>361</v>
      </c>
      <c r="B603" s="101" t="s">
        <v>899</v>
      </c>
    </row>
    <row r="604" spans="1:2" ht="13.5" x14ac:dyDescent="0.25">
      <c r="A604" s="93" t="s">
        <v>363</v>
      </c>
      <c r="B604" s="103" t="s">
        <v>899</v>
      </c>
    </row>
    <row r="605" spans="1:2" ht="13.5" x14ac:dyDescent="0.25">
      <c r="A605" s="93" t="s">
        <v>363</v>
      </c>
      <c r="B605" s="103" t="s">
        <v>900</v>
      </c>
    </row>
    <row r="606" spans="1:2" ht="13.5" x14ac:dyDescent="0.25">
      <c r="A606" s="93" t="s">
        <v>363</v>
      </c>
      <c r="B606" s="103" t="s">
        <v>901</v>
      </c>
    </row>
    <row r="607" spans="1:2" ht="13.5" x14ac:dyDescent="0.25">
      <c r="A607" s="93" t="s">
        <v>363</v>
      </c>
      <c r="B607" s="103" t="s">
        <v>902</v>
      </c>
    </row>
    <row r="608" spans="1:2" ht="13.5" x14ac:dyDescent="0.25">
      <c r="A608" s="93" t="s">
        <v>363</v>
      </c>
      <c r="B608" s="103" t="s">
        <v>903</v>
      </c>
    </row>
    <row r="609" spans="1:2" ht="13.5" x14ac:dyDescent="0.25">
      <c r="A609" s="93" t="s">
        <v>363</v>
      </c>
      <c r="B609" s="103" t="s">
        <v>451</v>
      </c>
    </row>
    <row r="610" spans="1:2" ht="13.5" x14ac:dyDescent="0.25">
      <c r="A610" s="93" t="s">
        <v>363</v>
      </c>
      <c r="B610" s="105" t="s">
        <v>904</v>
      </c>
    </row>
    <row r="611" spans="1:2" ht="13.5" x14ac:dyDescent="0.25">
      <c r="A611" s="93" t="s">
        <v>363</v>
      </c>
      <c r="B611" s="103" t="s">
        <v>905</v>
      </c>
    </row>
    <row r="612" spans="1:2" x14ac:dyDescent="0.2">
      <c r="A612" s="93" t="s">
        <v>360</v>
      </c>
      <c r="B612" s="98" t="s">
        <v>341</v>
      </c>
    </row>
    <row r="613" spans="1:2" x14ac:dyDescent="0.2">
      <c r="A613" s="93" t="s">
        <v>361</v>
      </c>
      <c r="B613" s="101" t="s">
        <v>341</v>
      </c>
    </row>
    <row r="614" spans="1:2" ht="13.5" x14ac:dyDescent="0.25">
      <c r="A614" s="93" t="s">
        <v>363</v>
      </c>
      <c r="B614" s="103" t="s">
        <v>341</v>
      </c>
    </row>
    <row r="615" spans="1:2" ht="13.5" x14ac:dyDescent="0.25">
      <c r="A615" s="93" t="s">
        <v>363</v>
      </c>
      <c r="B615" s="103" t="s">
        <v>364</v>
      </c>
    </row>
    <row r="616" spans="1:2" ht="13.5" x14ac:dyDescent="0.25">
      <c r="A616" s="93" t="s">
        <v>363</v>
      </c>
      <c r="B616" s="103" t="s">
        <v>906</v>
      </c>
    </row>
    <row r="617" spans="1:2" ht="13.5" x14ac:dyDescent="0.25">
      <c r="A617" s="93" t="s">
        <v>363</v>
      </c>
      <c r="B617" s="103" t="s">
        <v>907</v>
      </c>
    </row>
    <row r="618" spans="1:2" ht="13.5" x14ac:dyDescent="0.25">
      <c r="A618" s="93" t="s">
        <v>363</v>
      </c>
      <c r="B618" s="103" t="s">
        <v>908</v>
      </c>
    </row>
    <row r="619" spans="1:2" ht="13.5" x14ac:dyDescent="0.25">
      <c r="A619" s="93" t="s">
        <v>363</v>
      </c>
      <c r="B619" s="103" t="s">
        <v>909</v>
      </c>
    </row>
    <row r="620" spans="1:2" ht="13.5" x14ac:dyDescent="0.25">
      <c r="A620" s="93" t="s">
        <v>363</v>
      </c>
      <c r="B620" s="103" t="s">
        <v>910</v>
      </c>
    </row>
    <row r="621" spans="1:2" ht="13.5" x14ac:dyDescent="0.25">
      <c r="A621" s="93" t="s">
        <v>363</v>
      </c>
      <c r="B621" s="103" t="s">
        <v>911</v>
      </c>
    </row>
    <row r="622" spans="1:2" ht="13.5" x14ac:dyDescent="0.25">
      <c r="A622" s="93" t="s">
        <v>363</v>
      </c>
      <c r="B622" s="103" t="s">
        <v>374</v>
      </c>
    </row>
    <row r="623" spans="1:2" ht="13.5" x14ac:dyDescent="0.25">
      <c r="A623" s="93" t="s">
        <v>363</v>
      </c>
      <c r="B623" s="103" t="s">
        <v>912</v>
      </c>
    </row>
    <row r="624" spans="1:2" ht="13.5" x14ac:dyDescent="0.25">
      <c r="A624" s="93" t="s">
        <v>363</v>
      </c>
      <c r="B624" s="103" t="s">
        <v>913</v>
      </c>
    </row>
    <row r="625" spans="1:2" ht="13.5" x14ac:dyDescent="0.25">
      <c r="A625" s="93" t="s">
        <v>363</v>
      </c>
      <c r="B625" s="103" t="s">
        <v>599</v>
      </c>
    </row>
    <row r="626" spans="1:2" x14ac:dyDescent="0.2">
      <c r="A626" s="93" t="s">
        <v>361</v>
      </c>
      <c r="B626" s="101" t="s">
        <v>914</v>
      </c>
    </row>
    <row r="627" spans="1:2" ht="13.5" x14ac:dyDescent="0.25">
      <c r="A627" s="93" t="s">
        <v>363</v>
      </c>
      <c r="B627" s="103" t="s">
        <v>914</v>
      </c>
    </row>
    <row r="628" spans="1:2" ht="13.5" x14ac:dyDescent="0.25">
      <c r="A628" s="93" t="s">
        <v>363</v>
      </c>
      <c r="B628" s="103" t="s">
        <v>915</v>
      </c>
    </row>
    <row r="629" spans="1:2" ht="13.5" x14ac:dyDescent="0.25">
      <c r="A629" s="93" t="s">
        <v>363</v>
      </c>
      <c r="B629" s="103" t="s">
        <v>916</v>
      </c>
    </row>
    <row r="630" spans="1:2" ht="13.5" x14ac:dyDescent="0.25">
      <c r="A630" s="93" t="s">
        <v>363</v>
      </c>
      <c r="B630" s="103" t="s">
        <v>917</v>
      </c>
    </row>
    <row r="631" spans="1:2" x14ac:dyDescent="0.2">
      <c r="A631" s="93" t="s">
        <v>361</v>
      </c>
      <c r="B631" s="101" t="s">
        <v>918</v>
      </c>
    </row>
    <row r="632" spans="1:2" ht="13.5" x14ac:dyDescent="0.25">
      <c r="A632" s="93" t="s">
        <v>363</v>
      </c>
      <c r="B632" s="103" t="s">
        <v>918</v>
      </c>
    </row>
    <row r="633" spans="1:2" ht="13.5" x14ac:dyDescent="0.25">
      <c r="A633" s="93" t="s">
        <v>363</v>
      </c>
      <c r="B633" s="103" t="s">
        <v>919</v>
      </c>
    </row>
    <row r="634" spans="1:2" ht="13.5" x14ac:dyDescent="0.25">
      <c r="A634" s="93" t="s">
        <v>363</v>
      </c>
      <c r="B634" s="103" t="s">
        <v>920</v>
      </c>
    </row>
    <row r="635" spans="1:2" ht="13.5" x14ac:dyDescent="0.25">
      <c r="A635" s="93" t="s">
        <v>363</v>
      </c>
      <c r="B635" s="103" t="s">
        <v>921</v>
      </c>
    </row>
    <row r="636" spans="1:2" ht="13.5" x14ac:dyDescent="0.25">
      <c r="A636" s="93" t="s">
        <v>363</v>
      </c>
      <c r="B636" s="103" t="s">
        <v>922</v>
      </c>
    </row>
    <row r="637" spans="1:2" ht="13.5" x14ac:dyDescent="0.25">
      <c r="A637" s="93" t="s">
        <v>363</v>
      </c>
      <c r="B637" s="103" t="s">
        <v>923</v>
      </c>
    </row>
    <row r="638" spans="1:2" ht="13.5" x14ac:dyDescent="0.25">
      <c r="A638" s="93" t="s">
        <v>363</v>
      </c>
      <c r="B638" s="103" t="s">
        <v>924</v>
      </c>
    </row>
    <row r="639" spans="1:2" ht="13.5" x14ac:dyDescent="0.25">
      <c r="A639" s="93" t="s">
        <v>363</v>
      </c>
      <c r="B639" s="103" t="s">
        <v>925</v>
      </c>
    </row>
    <row r="640" spans="1:2" ht="13.5" x14ac:dyDescent="0.25">
      <c r="A640" s="93" t="s">
        <v>363</v>
      </c>
      <c r="B640" s="103" t="s">
        <v>926</v>
      </c>
    </row>
    <row r="641" spans="1:2" ht="13.5" x14ac:dyDescent="0.25">
      <c r="A641" s="93" t="s">
        <v>363</v>
      </c>
      <c r="B641" s="103" t="s">
        <v>874</v>
      </c>
    </row>
    <row r="642" spans="1:2" ht="13.5" x14ac:dyDescent="0.25">
      <c r="A642" s="93" t="s">
        <v>363</v>
      </c>
      <c r="B642" s="103" t="s">
        <v>927</v>
      </c>
    </row>
    <row r="643" spans="1:2" ht="13.5" x14ac:dyDescent="0.25">
      <c r="A643" s="93" t="s">
        <v>363</v>
      </c>
      <c r="B643" s="103" t="s">
        <v>928</v>
      </c>
    </row>
    <row r="644" spans="1:2" x14ac:dyDescent="0.2">
      <c r="A644" s="93" t="s">
        <v>361</v>
      </c>
      <c r="B644" s="101" t="s">
        <v>929</v>
      </c>
    </row>
    <row r="645" spans="1:2" ht="13.5" x14ac:dyDescent="0.25">
      <c r="A645" s="93" t="s">
        <v>363</v>
      </c>
      <c r="B645" s="103" t="s">
        <v>929</v>
      </c>
    </row>
    <row r="646" spans="1:2" ht="13.5" x14ac:dyDescent="0.25">
      <c r="A646" s="93" t="s">
        <v>363</v>
      </c>
      <c r="B646" s="103" t="s">
        <v>930</v>
      </c>
    </row>
    <row r="647" spans="1:2" ht="13.5" x14ac:dyDescent="0.25">
      <c r="A647" s="93" t="s">
        <v>363</v>
      </c>
      <c r="B647" s="103" t="s">
        <v>931</v>
      </c>
    </row>
    <row r="648" spans="1:2" ht="13.5" x14ac:dyDescent="0.25">
      <c r="A648" s="93" t="s">
        <v>363</v>
      </c>
      <c r="B648" s="103" t="s">
        <v>932</v>
      </c>
    </row>
    <row r="649" spans="1:2" ht="13.5" x14ac:dyDescent="0.25">
      <c r="A649" s="93" t="s">
        <v>363</v>
      </c>
      <c r="B649" s="103" t="s">
        <v>933</v>
      </c>
    </row>
    <row r="650" spans="1:2" ht="13.5" x14ac:dyDescent="0.25">
      <c r="A650" s="93" t="s">
        <v>363</v>
      </c>
      <c r="B650" s="103" t="s">
        <v>934</v>
      </c>
    </row>
    <row r="651" spans="1:2" ht="13.5" x14ac:dyDescent="0.25">
      <c r="A651" s="93" t="s">
        <v>363</v>
      </c>
      <c r="B651" s="103" t="s">
        <v>448</v>
      </c>
    </row>
    <row r="652" spans="1:2" ht="13.5" x14ac:dyDescent="0.25">
      <c r="A652" s="93" t="s">
        <v>363</v>
      </c>
      <c r="B652" s="103" t="s">
        <v>935</v>
      </c>
    </row>
    <row r="653" spans="1:2" ht="13.5" x14ac:dyDescent="0.25">
      <c r="A653" s="93" t="s">
        <v>363</v>
      </c>
      <c r="B653" s="103" t="s">
        <v>936</v>
      </c>
    </row>
    <row r="654" spans="1:2" ht="13.5" x14ac:dyDescent="0.25">
      <c r="A654" s="93" t="s">
        <v>363</v>
      </c>
      <c r="B654" s="103" t="s">
        <v>937</v>
      </c>
    </row>
    <row r="655" spans="1:2" ht="13.5" x14ac:dyDescent="0.25">
      <c r="A655" s="93" t="s">
        <v>363</v>
      </c>
      <c r="B655" s="103" t="s">
        <v>546</v>
      </c>
    </row>
    <row r="656" spans="1:2" ht="13.5" x14ac:dyDescent="0.25">
      <c r="A656" s="93" t="s">
        <v>363</v>
      </c>
      <c r="B656" s="103" t="s">
        <v>938</v>
      </c>
    </row>
    <row r="657" spans="1:2" ht="13.5" x14ac:dyDescent="0.25">
      <c r="A657" s="93" t="s">
        <v>363</v>
      </c>
      <c r="B657" s="105" t="s">
        <v>939</v>
      </c>
    </row>
    <row r="658" spans="1:2" ht="13.5" x14ac:dyDescent="0.25">
      <c r="A658" s="93" t="s">
        <v>363</v>
      </c>
      <c r="B658" s="103" t="s">
        <v>940</v>
      </c>
    </row>
    <row r="659" spans="1:2" ht="13.5" x14ac:dyDescent="0.25">
      <c r="A659" s="93" t="s">
        <v>363</v>
      </c>
      <c r="B659" s="103" t="s">
        <v>941</v>
      </c>
    </row>
    <row r="660" spans="1:2" ht="13.5" x14ac:dyDescent="0.25">
      <c r="A660" s="93" t="s">
        <v>363</v>
      </c>
      <c r="B660" s="103" t="s">
        <v>942</v>
      </c>
    </row>
    <row r="661" spans="1:2" ht="13.5" x14ac:dyDescent="0.25">
      <c r="A661" s="93" t="s">
        <v>363</v>
      </c>
      <c r="B661" s="103" t="s">
        <v>943</v>
      </c>
    </row>
    <row r="662" spans="1:2" ht="13.5" x14ac:dyDescent="0.25">
      <c r="A662" s="93" t="s">
        <v>363</v>
      </c>
      <c r="B662" s="103" t="s">
        <v>944</v>
      </c>
    </row>
    <row r="663" spans="1:2" ht="13.5" x14ac:dyDescent="0.25">
      <c r="A663" s="93" t="s">
        <v>363</v>
      </c>
      <c r="B663" s="103" t="s">
        <v>945</v>
      </c>
    </row>
    <row r="664" spans="1:2" x14ac:dyDescent="0.2">
      <c r="A664" s="93" t="s">
        <v>361</v>
      </c>
      <c r="B664" s="101" t="s">
        <v>946</v>
      </c>
    </row>
    <row r="665" spans="1:2" ht="13.5" x14ac:dyDescent="0.25">
      <c r="A665" s="93" t="s">
        <v>363</v>
      </c>
      <c r="B665" s="103" t="s">
        <v>946</v>
      </c>
    </row>
    <row r="666" spans="1:2" ht="13.5" x14ac:dyDescent="0.25">
      <c r="A666" s="93" t="s">
        <v>363</v>
      </c>
      <c r="B666" s="103" t="s">
        <v>947</v>
      </c>
    </row>
    <row r="667" spans="1:2" ht="13.5" x14ac:dyDescent="0.25">
      <c r="A667" s="93" t="s">
        <v>363</v>
      </c>
      <c r="B667" s="103" t="s">
        <v>948</v>
      </c>
    </row>
    <row r="668" spans="1:2" ht="13.5" x14ac:dyDescent="0.25">
      <c r="A668" s="93" t="s">
        <v>363</v>
      </c>
      <c r="B668" s="103" t="s">
        <v>949</v>
      </c>
    </row>
    <row r="669" spans="1:2" ht="13.5" x14ac:dyDescent="0.25">
      <c r="A669" s="93" t="s">
        <v>363</v>
      </c>
      <c r="B669" s="103" t="s">
        <v>950</v>
      </c>
    </row>
    <row r="670" spans="1:2" ht="13.5" x14ac:dyDescent="0.25">
      <c r="A670" s="93" t="s">
        <v>363</v>
      </c>
      <c r="B670" s="103" t="s">
        <v>951</v>
      </c>
    </row>
    <row r="671" spans="1:2" ht="13.5" x14ac:dyDescent="0.25">
      <c r="A671" s="93" t="s">
        <v>363</v>
      </c>
      <c r="B671" s="103" t="s">
        <v>952</v>
      </c>
    </row>
    <row r="672" spans="1:2" ht="13.5" x14ac:dyDescent="0.25">
      <c r="A672" s="93" t="s">
        <v>363</v>
      </c>
      <c r="B672" s="103" t="s">
        <v>953</v>
      </c>
    </row>
    <row r="673" spans="1:2" x14ac:dyDescent="0.2">
      <c r="A673" s="93" t="s">
        <v>361</v>
      </c>
      <c r="B673" s="101" t="s">
        <v>954</v>
      </c>
    </row>
    <row r="674" spans="1:2" ht="13.5" x14ac:dyDescent="0.25">
      <c r="A674" s="93" t="s">
        <v>363</v>
      </c>
      <c r="B674" s="103" t="s">
        <v>954</v>
      </c>
    </row>
    <row r="675" spans="1:2" ht="13.5" x14ac:dyDescent="0.25">
      <c r="A675" s="93" t="s">
        <v>363</v>
      </c>
      <c r="B675" s="103" t="s">
        <v>955</v>
      </c>
    </row>
    <row r="676" spans="1:2" ht="13.5" x14ac:dyDescent="0.25">
      <c r="A676" s="93" t="s">
        <v>363</v>
      </c>
      <c r="B676" s="103" t="s">
        <v>956</v>
      </c>
    </row>
    <row r="677" spans="1:2" ht="13.5" x14ac:dyDescent="0.25">
      <c r="A677" s="93" t="s">
        <v>363</v>
      </c>
      <c r="B677" s="103" t="s">
        <v>957</v>
      </c>
    </row>
    <row r="678" spans="1:2" ht="13.5" x14ac:dyDescent="0.25">
      <c r="A678" s="93" t="s">
        <v>363</v>
      </c>
      <c r="B678" s="103" t="s">
        <v>958</v>
      </c>
    </row>
    <row r="679" spans="1:2" ht="13.5" x14ac:dyDescent="0.25">
      <c r="A679" s="93" t="s">
        <v>363</v>
      </c>
      <c r="B679" s="103" t="s">
        <v>959</v>
      </c>
    </row>
    <row r="680" spans="1:2" ht="13.5" x14ac:dyDescent="0.25">
      <c r="A680" s="93" t="s">
        <v>363</v>
      </c>
      <c r="B680" s="103" t="s">
        <v>960</v>
      </c>
    </row>
    <row r="681" spans="1:2" ht="13.5" x14ac:dyDescent="0.25">
      <c r="A681" s="93" t="s">
        <v>363</v>
      </c>
      <c r="B681" s="103" t="s">
        <v>961</v>
      </c>
    </row>
    <row r="682" spans="1:2" ht="13.5" x14ac:dyDescent="0.25">
      <c r="A682" s="93" t="s">
        <v>363</v>
      </c>
      <c r="B682" s="103" t="s">
        <v>962</v>
      </c>
    </row>
    <row r="683" spans="1:2" ht="13.5" x14ac:dyDescent="0.25">
      <c r="A683" s="93" t="s">
        <v>363</v>
      </c>
      <c r="B683" s="103" t="s">
        <v>963</v>
      </c>
    </row>
    <row r="684" spans="1:2" ht="13.5" x14ac:dyDescent="0.25">
      <c r="A684" s="93" t="s">
        <v>363</v>
      </c>
      <c r="B684" s="103" t="s">
        <v>538</v>
      </c>
    </row>
    <row r="685" spans="1:2" ht="13.5" x14ac:dyDescent="0.25">
      <c r="A685" s="93" t="s">
        <v>363</v>
      </c>
      <c r="B685" s="103" t="s">
        <v>964</v>
      </c>
    </row>
    <row r="686" spans="1:2" ht="13.5" x14ac:dyDescent="0.25">
      <c r="A686" s="93" t="s">
        <v>363</v>
      </c>
      <c r="B686" s="103" t="s">
        <v>424</v>
      </c>
    </row>
    <row r="687" spans="1:2" ht="13.5" x14ac:dyDescent="0.25">
      <c r="A687" s="93" t="s">
        <v>363</v>
      </c>
      <c r="B687" s="103" t="s">
        <v>965</v>
      </c>
    </row>
    <row r="688" spans="1:2" ht="13.5" x14ac:dyDescent="0.25">
      <c r="A688" s="93" t="s">
        <v>363</v>
      </c>
      <c r="B688" s="103" t="s">
        <v>966</v>
      </c>
    </row>
    <row r="689" spans="1:2" x14ac:dyDescent="0.2">
      <c r="A689" s="93" t="s">
        <v>361</v>
      </c>
      <c r="B689" s="101" t="s">
        <v>967</v>
      </c>
    </row>
    <row r="690" spans="1:2" ht="13.5" x14ac:dyDescent="0.25">
      <c r="A690" s="93" t="s">
        <v>363</v>
      </c>
      <c r="B690" s="103" t="s">
        <v>968</v>
      </c>
    </row>
    <row r="691" spans="1:2" ht="13.5" x14ac:dyDescent="0.25">
      <c r="A691" s="93" t="s">
        <v>363</v>
      </c>
      <c r="B691" s="103" t="s">
        <v>969</v>
      </c>
    </row>
    <row r="692" spans="1:2" ht="13.5" x14ac:dyDescent="0.25">
      <c r="A692" s="93" t="s">
        <v>363</v>
      </c>
      <c r="B692" s="103" t="s">
        <v>967</v>
      </c>
    </row>
    <row r="693" spans="1:2" x14ac:dyDescent="0.2">
      <c r="A693" s="93" t="s">
        <v>361</v>
      </c>
      <c r="B693" s="101" t="s">
        <v>970</v>
      </c>
    </row>
    <row r="694" spans="1:2" ht="13.5" x14ac:dyDescent="0.25">
      <c r="A694" s="93" t="s">
        <v>363</v>
      </c>
      <c r="B694" s="103" t="s">
        <v>970</v>
      </c>
    </row>
    <row r="695" spans="1:2" ht="13.5" x14ac:dyDescent="0.25">
      <c r="A695" s="93" t="s">
        <v>363</v>
      </c>
      <c r="B695" s="103" t="s">
        <v>971</v>
      </c>
    </row>
    <row r="696" spans="1:2" ht="13.5" x14ac:dyDescent="0.25">
      <c r="A696" s="93" t="s">
        <v>363</v>
      </c>
      <c r="B696" s="103" t="s">
        <v>972</v>
      </c>
    </row>
    <row r="697" spans="1:2" ht="13.5" x14ac:dyDescent="0.25">
      <c r="A697" s="93" t="s">
        <v>363</v>
      </c>
      <c r="B697" s="103" t="s">
        <v>973</v>
      </c>
    </row>
    <row r="698" spans="1:2" ht="13.5" x14ac:dyDescent="0.25">
      <c r="A698" s="93" t="s">
        <v>363</v>
      </c>
      <c r="B698" s="103" t="s">
        <v>974</v>
      </c>
    </row>
    <row r="699" spans="1:2" ht="13.5" x14ac:dyDescent="0.25">
      <c r="A699" s="93" t="s">
        <v>363</v>
      </c>
      <c r="B699" s="103" t="s">
        <v>975</v>
      </c>
    </row>
    <row r="700" spans="1:2" ht="13.5" x14ac:dyDescent="0.25">
      <c r="A700" s="93" t="s">
        <v>363</v>
      </c>
      <c r="B700" s="103" t="s">
        <v>976</v>
      </c>
    </row>
    <row r="701" spans="1:2" ht="13.5" x14ac:dyDescent="0.25">
      <c r="A701" s="93" t="s">
        <v>363</v>
      </c>
      <c r="B701" s="103" t="s">
        <v>977</v>
      </c>
    </row>
    <row r="702" spans="1:2" ht="13.5" x14ac:dyDescent="0.25">
      <c r="A702" s="93" t="s">
        <v>363</v>
      </c>
      <c r="B702" s="103" t="s">
        <v>978</v>
      </c>
    </row>
    <row r="703" spans="1:2" ht="13.5" x14ac:dyDescent="0.25">
      <c r="A703" s="93" t="s">
        <v>363</v>
      </c>
      <c r="B703" s="103" t="s">
        <v>979</v>
      </c>
    </row>
    <row r="704" spans="1:2" ht="13.5" x14ac:dyDescent="0.25">
      <c r="A704" s="93" t="s">
        <v>363</v>
      </c>
      <c r="B704" s="105" t="s">
        <v>980</v>
      </c>
    </row>
    <row r="705" spans="1:2" ht="13.5" x14ac:dyDescent="0.25">
      <c r="A705" s="93" t="s">
        <v>363</v>
      </c>
      <c r="B705" s="103" t="s">
        <v>437</v>
      </c>
    </row>
    <row r="706" spans="1:2" x14ac:dyDescent="0.2">
      <c r="A706" s="93" t="s">
        <v>361</v>
      </c>
      <c r="B706" s="101" t="s">
        <v>981</v>
      </c>
    </row>
    <row r="707" spans="1:2" ht="13.5" x14ac:dyDescent="0.25">
      <c r="A707" s="93" t="s">
        <v>363</v>
      </c>
      <c r="B707" s="103" t="s">
        <v>981</v>
      </c>
    </row>
    <row r="708" spans="1:2" ht="13.5" x14ac:dyDescent="0.25">
      <c r="A708" s="93" t="s">
        <v>363</v>
      </c>
      <c r="B708" s="103" t="s">
        <v>982</v>
      </c>
    </row>
    <row r="709" spans="1:2" ht="13.5" x14ac:dyDescent="0.25">
      <c r="A709" s="93" t="s">
        <v>363</v>
      </c>
      <c r="B709" s="103" t="s">
        <v>983</v>
      </c>
    </row>
    <row r="710" spans="1:2" ht="13.5" x14ac:dyDescent="0.25">
      <c r="A710" s="93" t="s">
        <v>363</v>
      </c>
      <c r="B710" s="103" t="s">
        <v>984</v>
      </c>
    </row>
    <row r="711" spans="1:2" ht="13.5" x14ac:dyDescent="0.25">
      <c r="A711" s="93" t="s">
        <v>363</v>
      </c>
      <c r="B711" s="103" t="s">
        <v>985</v>
      </c>
    </row>
    <row r="712" spans="1:2" ht="13.5" x14ac:dyDescent="0.25">
      <c r="A712" s="93" t="s">
        <v>363</v>
      </c>
      <c r="B712" s="103" t="s">
        <v>986</v>
      </c>
    </row>
    <row r="713" spans="1:2" ht="13.5" x14ac:dyDescent="0.25">
      <c r="A713" s="93" t="s">
        <v>363</v>
      </c>
      <c r="B713" s="103" t="s">
        <v>987</v>
      </c>
    </row>
    <row r="714" spans="1:2" x14ac:dyDescent="0.2">
      <c r="A714" s="93" t="s">
        <v>361</v>
      </c>
      <c r="B714" s="101" t="s">
        <v>524</v>
      </c>
    </row>
    <row r="715" spans="1:2" ht="13.5" x14ac:dyDescent="0.25">
      <c r="A715" s="93" t="s">
        <v>363</v>
      </c>
      <c r="B715" s="103" t="s">
        <v>988</v>
      </c>
    </row>
    <row r="716" spans="1:2" ht="13.5" x14ac:dyDescent="0.25">
      <c r="A716" s="93" t="s">
        <v>363</v>
      </c>
      <c r="B716" s="103" t="s">
        <v>989</v>
      </c>
    </row>
    <row r="717" spans="1:2" ht="13.5" x14ac:dyDescent="0.25">
      <c r="A717" s="93" t="s">
        <v>363</v>
      </c>
      <c r="B717" s="103" t="s">
        <v>990</v>
      </c>
    </row>
    <row r="718" spans="1:2" ht="13.5" x14ac:dyDescent="0.25">
      <c r="A718" s="93" t="s">
        <v>363</v>
      </c>
      <c r="B718" s="103" t="s">
        <v>991</v>
      </c>
    </row>
    <row r="719" spans="1:2" ht="13.5" x14ac:dyDescent="0.25">
      <c r="A719" s="93" t="s">
        <v>363</v>
      </c>
      <c r="B719" s="103" t="s">
        <v>992</v>
      </c>
    </row>
    <row r="720" spans="1:2" ht="13.5" x14ac:dyDescent="0.25">
      <c r="A720" s="93" t="s">
        <v>363</v>
      </c>
      <c r="B720" s="103" t="s">
        <v>993</v>
      </c>
    </row>
    <row r="721" spans="1:2" ht="13.5" x14ac:dyDescent="0.25">
      <c r="A721" s="93" t="s">
        <v>363</v>
      </c>
      <c r="B721" s="103" t="s">
        <v>994</v>
      </c>
    </row>
    <row r="722" spans="1:2" x14ac:dyDescent="0.2">
      <c r="A722" s="93" t="s">
        <v>361</v>
      </c>
      <c r="B722" s="101" t="s">
        <v>831</v>
      </c>
    </row>
    <row r="723" spans="1:2" ht="13.5" x14ac:dyDescent="0.25">
      <c r="A723" s="93" t="s">
        <v>363</v>
      </c>
      <c r="B723" s="103" t="s">
        <v>831</v>
      </c>
    </row>
    <row r="724" spans="1:2" ht="13.5" x14ac:dyDescent="0.25">
      <c r="A724" s="93" t="s">
        <v>363</v>
      </c>
      <c r="B724" s="103" t="s">
        <v>995</v>
      </c>
    </row>
    <row r="725" spans="1:2" ht="13.5" x14ac:dyDescent="0.25">
      <c r="A725" s="93" t="s">
        <v>363</v>
      </c>
      <c r="B725" s="103" t="s">
        <v>996</v>
      </c>
    </row>
    <row r="726" spans="1:2" ht="13.5" x14ac:dyDescent="0.25">
      <c r="A726" s="93" t="s">
        <v>363</v>
      </c>
      <c r="B726" s="103" t="s">
        <v>997</v>
      </c>
    </row>
    <row r="727" spans="1:2" ht="13.5" x14ac:dyDescent="0.25">
      <c r="A727" s="93" t="s">
        <v>363</v>
      </c>
      <c r="B727" s="103" t="s">
        <v>998</v>
      </c>
    </row>
    <row r="728" spans="1:2" ht="13.5" x14ac:dyDescent="0.25">
      <c r="A728" s="93" t="s">
        <v>363</v>
      </c>
      <c r="B728" s="103" t="s">
        <v>999</v>
      </c>
    </row>
    <row r="729" spans="1:2" ht="13.5" x14ac:dyDescent="0.25">
      <c r="A729" s="93" t="s">
        <v>363</v>
      </c>
      <c r="B729" s="103" t="s">
        <v>1000</v>
      </c>
    </row>
    <row r="730" spans="1:2" ht="13.5" x14ac:dyDescent="0.25">
      <c r="A730" s="93" t="s">
        <v>363</v>
      </c>
      <c r="B730" s="103" t="s">
        <v>1001</v>
      </c>
    </row>
    <row r="731" spans="1:2" ht="13.5" x14ac:dyDescent="0.25">
      <c r="A731" s="93" t="s">
        <v>363</v>
      </c>
      <c r="B731" s="103" t="s">
        <v>1002</v>
      </c>
    </row>
    <row r="732" spans="1:2" ht="13.5" x14ac:dyDescent="0.25">
      <c r="A732" s="93" t="s">
        <v>363</v>
      </c>
      <c r="B732" s="103" t="s">
        <v>1003</v>
      </c>
    </row>
    <row r="733" spans="1:2" ht="13.5" x14ac:dyDescent="0.25">
      <c r="A733" s="93" t="s">
        <v>363</v>
      </c>
      <c r="B733" s="103" t="s">
        <v>1004</v>
      </c>
    </row>
    <row r="734" spans="1:2" ht="13.5" x14ac:dyDescent="0.25">
      <c r="A734" s="93" t="s">
        <v>363</v>
      </c>
      <c r="B734" s="103" t="s">
        <v>1005</v>
      </c>
    </row>
    <row r="735" spans="1:2" ht="13.5" x14ac:dyDescent="0.25">
      <c r="A735" s="93" t="s">
        <v>363</v>
      </c>
      <c r="B735" s="103" t="s">
        <v>1006</v>
      </c>
    </row>
    <row r="736" spans="1:2" x14ac:dyDescent="0.2">
      <c r="A736" s="93" t="s">
        <v>361</v>
      </c>
      <c r="B736" s="101" t="s">
        <v>1007</v>
      </c>
    </row>
    <row r="737" spans="1:2" ht="13.5" x14ac:dyDescent="0.25">
      <c r="A737" s="93" t="s">
        <v>363</v>
      </c>
      <c r="B737" s="103" t="s">
        <v>1007</v>
      </c>
    </row>
    <row r="738" spans="1:2" ht="13.5" x14ac:dyDescent="0.25">
      <c r="A738" s="93" t="s">
        <v>363</v>
      </c>
      <c r="B738" s="103" t="s">
        <v>1008</v>
      </c>
    </row>
    <row r="739" spans="1:2" ht="13.5" x14ac:dyDescent="0.25">
      <c r="A739" s="93" t="s">
        <v>363</v>
      </c>
      <c r="B739" s="103" t="s">
        <v>498</v>
      </c>
    </row>
    <row r="740" spans="1:2" ht="13.5" x14ac:dyDescent="0.25">
      <c r="A740" s="93" t="s">
        <v>363</v>
      </c>
      <c r="B740" s="103" t="s">
        <v>1009</v>
      </c>
    </row>
    <row r="741" spans="1:2" x14ac:dyDescent="0.2">
      <c r="A741" s="93" t="s">
        <v>361</v>
      </c>
      <c r="B741" s="101" t="s">
        <v>538</v>
      </c>
    </row>
    <row r="742" spans="1:2" ht="13.5" x14ac:dyDescent="0.25">
      <c r="A742" s="93" t="s">
        <v>363</v>
      </c>
      <c r="B742" s="103" t="s">
        <v>538</v>
      </c>
    </row>
    <row r="743" spans="1:2" ht="13.5" x14ac:dyDescent="0.25">
      <c r="A743" s="93" t="s">
        <v>363</v>
      </c>
      <c r="B743" s="103" t="s">
        <v>1010</v>
      </c>
    </row>
    <row r="744" spans="1:2" ht="13.5" x14ac:dyDescent="0.25">
      <c r="A744" s="93" t="s">
        <v>363</v>
      </c>
      <c r="B744" s="103" t="s">
        <v>1011</v>
      </c>
    </row>
    <row r="745" spans="1:2" ht="13.5" x14ac:dyDescent="0.25">
      <c r="A745" s="93" t="s">
        <v>363</v>
      </c>
      <c r="B745" s="103" t="s">
        <v>1012</v>
      </c>
    </row>
    <row r="746" spans="1:2" ht="13.5" x14ac:dyDescent="0.25">
      <c r="A746" s="93" t="s">
        <v>363</v>
      </c>
      <c r="B746" s="103" t="s">
        <v>1013</v>
      </c>
    </row>
    <row r="747" spans="1:2" ht="13.5" x14ac:dyDescent="0.25">
      <c r="A747" s="93" t="s">
        <v>363</v>
      </c>
      <c r="B747" s="103" t="s">
        <v>1014</v>
      </c>
    </row>
    <row r="748" spans="1:2" ht="13.5" x14ac:dyDescent="0.25">
      <c r="A748" s="93" t="s">
        <v>363</v>
      </c>
      <c r="B748" s="103" t="s">
        <v>1015</v>
      </c>
    </row>
    <row r="749" spans="1:2" ht="13.5" x14ac:dyDescent="0.25">
      <c r="A749" s="93" t="s">
        <v>363</v>
      </c>
      <c r="B749" s="103" t="s">
        <v>1016</v>
      </c>
    </row>
    <row r="750" spans="1:2" ht="13.5" x14ac:dyDescent="0.25">
      <c r="A750" s="93" t="s">
        <v>363</v>
      </c>
      <c r="B750" s="103" t="s">
        <v>1017</v>
      </c>
    </row>
    <row r="751" spans="1:2" ht="13.5" x14ac:dyDescent="0.25">
      <c r="A751" s="93" t="s">
        <v>363</v>
      </c>
      <c r="B751" s="105" t="s">
        <v>1018</v>
      </c>
    </row>
    <row r="752" spans="1:2" ht="13.5" x14ac:dyDescent="0.25">
      <c r="A752" s="93" t="s">
        <v>363</v>
      </c>
      <c r="B752" s="103" t="s">
        <v>1019</v>
      </c>
    </row>
    <row r="753" spans="1:2" x14ac:dyDescent="0.2">
      <c r="A753" s="93" t="s">
        <v>360</v>
      </c>
      <c r="B753" s="98" t="s">
        <v>342</v>
      </c>
    </row>
    <row r="754" spans="1:2" x14ac:dyDescent="0.2">
      <c r="A754" s="93" t="s">
        <v>361</v>
      </c>
      <c r="B754" s="101" t="s">
        <v>342</v>
      </c>
    </row>
    <row r="755" spans="1:2" ht="13.5" x14ac:dyDescent="0.25">
      <c r="A755" s="93" t="s">
        <v>363</v>
      </c>
      <c r="B755" s="103" t="s">
        <v>342</v>
      </c>
    </row>
    <row r="756" spans="1:2" ht="13.5" x14ac:dyDescent="0.25">
      <c r="A756" s="93" t="s">
        <v>363</v>
      </c>
      <c r="B756" s="103" t="s">
        <v>971</v>
      </c>
    </row>
    <row r="757" spans="1:2" ht="13.5" x14ac:dyDescent="0.25">
      <c r="A757" s="93" t="s">
        <v>363</v>
      </c>
      <c r="B757" s="103" t="s">
        <v>1020</v>
      </c>
    </row>
    <row r="758" spans="1:2" ht="13.5" x14ac:dyDescent="0.25">
      <c r="A758" s="93" t="s">
        <v>363</v>
      </c>
      <c r="B758" s="103" t="s">
        <v>1021</v>
      </c>
    </row>
    <row r="759" spans="1:2" ht="13.5" x14ac:dyDescent="0.25">
      <c r="A759" s="93" t="s">
        <v>363</v>
      </c>
      <c r="B759" s="103" t="s">
        <v>1022</v>
      </c>
    </row>
    <row r="760" spans="1:2" ht="13.5" x14ac:dyDescent="0.25">
      <c r="A760" s="93" t="s">
        <v>363</v>
      </c>
      <c r="B760" s="103" t="s">
        <v>1023</v>
      </c>
    </row>
    <row r="761" spans="1:2" x14ac:dyDescent="0.2">
      <c r="A761" s="93" t="s">
        <v>360</v>
      </c>
      <c r="B761" s="98" t="s">
        <v>343</v>
      </c>
    </row>
    <row r="762" spans="1:2" x14ac:dyDescent="0.2">
      <c r="A762" s="93" t="s">
        <v>361</v>
      </c>
      <c r="B762" s="101" t="s">
        <v>343</v>
      </c>
    </row>
    <row r="763" spans="1:2" ht="13.5" x14ac:dyDescent="0.25">
      <c r="A763" s="93" t="s">
        <v>363</v>
      </c>
      <c r="B763" s="103" t="s">
        <v>343</v>
      </c>
    </row>
    <row r="764" spans="1:2" ht="13.5" x14ac:dyDescent="0.25">
      <c r="A764" s="93" t="s">
        <v>363</v>
      </c>
      <c r="B764" s="103" t="s">
        <v>1024</v>
      </c>
    </row>
    <row r="765" spans="1:2" ht="13.5" x14ac:dyDescent="0.25">
      <c r="A765" s="93" t="s">
        <v>363</v>
      </c>
      <c r="B765" s="103" t="s">
        <v>1025</v>
      </c>
    </row>
    <row r="766" spans="1:2" ht="13.5" x14ac:dyDescent="0.25">
      <c r="A766" s="93" t="s">
        <v>363</v>
      </c>
      <c r="B766" s="103" t="s">
        <v>421</v>
      </c>
    </row>
    <row r="767" spans="1:2" ht="13.5" x14ac:dyDescent="0.25">
      <c r="A767" s="93" t="s">
        <v>363</v>
      </c>
      <c r="B767" s="103" t="s">
        <v>1026</v>
      </c>
    </row>
    <row r="768" spans="1:2" ht="13.5" x14ac:dyDescent="0.25">
      <c r="A768" s="93" t="s">
        <v>363</v>
      </c>
      <c r="B768" s="103" t="s">
        <v>1027</v>
      </c>
    </row>
    <row r="769" spans="1:2" ht="13.5" x14ac:dyDescent="0.25">
      <c r="A769" s="93" t="s">
        <v>363</v>
      </c>
      <c r="B769" s="103" t="s">
        <v>1028</v>
      </c>
    </row>
    <row r="770" spans="1:2" ht="13.5" x14ac:dyDescent="0.25">
      <c r="A770" s="93" t="s">
        <v>363</v>
      </c>
      <c r="B770" s="103" t="s">
        <v>1029</v>
      </c>
    </row>
    <row r="771" spans="1:2" x14ac:dyDescent="0.2">
      <c r="A771" s="93" t="s">
        <v>361</v>
      </c>
      <c r="B771" s="101" t="s">
        <v>1030</v>
      </c>
    </row>
    <row r="772" spans="1:2" ht="13.5" x14ac:dyDescent="0.25">
      <c r="A772" s="93" t="s">
        <v>363</v>
      </c>
      <c r="B772" s="103" t="s">
        <v>1030</v>
      </c>
    </row>
    <row r="773" spans="1:2" ht="13.5" x14ac:dyDescent="0.25">
      <c r="A773" s="93" t="s">
        <v>363</v>
      </c>
      <c r="B773" s="103" t="s">
        <v>1031</v>
      </c>
    </row>
    <row r="774" spans="1:2" ht="13.5" x14ac:dyDescent="0.25">
      <c r="A774" s="93" t="s">
        <v>363</v>
      </c>
      <c r="B774" s="103" t="s">
        <v>1032</v>
      </c>
    </row>
    <row r="775" spans="1:2" ht="13.5" x14ac:dyDescent="0.25">
      <c r="A775" s="93" t="s">
        <v>363</v>
      </c>
      <c r="B775" s="103" t="s">
        <v>1033</v>
      </c>
    </row>
    <row r="776" spans="1:2" ht="13.5" x14ac:dyDescent="0.25">
      <c r="A776" s="93" t="s">
        <v>363</v>
      </c>
      <c r="B776" s="103" t="s">
        <v>1034</v>
      </c>
    </row>
    <row r="777" spans="1:2" ht="13.5" x14ac:dyDescent="0.25">
      <c r="A777" s="93" t="s">
        <v>363</v>
      </c>
      <c r="B777" s="103" t="s">
        <v>1035</v>
      </c>
    </row>
    <row r="778" spans="1:2" ht="13.5" x14ac:dyDescent="0.25">
      <c r="A778" s="93" t="s">
        <v>363</v>
      </c>
      <c r="B778" s="103" t="s">
        <v>1036</v>
      </c>
    </row>
    <row r="779" spans="1:2" x14ac:dyDescent="0.2">
      <c r="A779" s="93" t="s">
        <v>361</v>
      </c>
      <c r="B779" s="101" t="s">
        <v>489</v>
      </c>
    </row>
    <row r="780" spans="1:2" ht="13.5" x14ac:dyDescent="0.25">
      <c r="A780" s="93" t="s">
        <v>363</v>
      </c>
      <c r="B780" s="103" t="s">
        <v>489</v>
      </c>
    </row>
    <row r="781" spans="1:2" ht="13.5" x14ac:dyDescent="0.25">
      <c r="A781" s="93" t="s">
        <v>363</v>
      </c>
      <c r="B781" s="103" t="s">
        <v>1037</v>
      </c>
    </row>
    <row r="782" spans="1:2" ht="13.5" x14ac:dyDescent="0.25">
      <c r="A782" s="93" t="s">
        <v>363</v>
      </c>
      <c r="B782" s="103" t="s">
        <v>1038</v>
      </c>
    </row>
    <row r="783" spans="1:2" ht="13.5" x14ac:dyDescent="0.25">
      <c r="A783" s="93" t="s">
        <v>363</v>
      </c>
      <c r="B783" s="103" t="s">
        <v>1039</v>
      </c>
    </row>
    <row r="784" spans="1:2" ht="13.5" x14ac:dyDescent="0.25">
      <c r="A784" s="93" t="s">
        <v>363</v>
      </c>
      <c r="B784" s="103" t="s">
        <v>1040</v>
      </c>
    </row>
    <row r="785" spans="1:2" ht="13.5" x14ac:dyDescent="0.25">
      <c r="A785" s="93" t="s">
        <v>363</v>
      </c>
      <c r="B785" s="103" t="s">
        <v>1041</v>
      </c>
    </row>
    <row r="786" spans="1:2" ht="13.5" x14ac:dyDescent="0.25">
      <c r="A786" s="93" t="s">
        <v>363</v>
      </c>
      <c r="B786" s="103" t="s">
        <v>1042</v>
      </c>
    </row>
    <row r="787" spans="1:2" ht="13.5" x14ac:dyDescent="0.25">
      <c r="A787" s="93" t="s">
        <v>363</v>
      </c>
      <c r="B787" s="103" t="s">
        <v>1043</v>
      </c>
    </row>
    <row r="788" spans="1:2" ht="13.5" x14ac:dyDescent="0.25">
      <c r="A788" s="93" t="s">
        <v>363</v>
      </c>
      <c r="B788" s="103" t="s">
        <v>1044</v>
      </c>
    </row>
    <row r="789" spans="1:2" x14ac:dyDescent="0.2">
      <c r="A789" s="93" t="s">
        <v>361</v>
      </c>
      <c r="B789" s="101" t="s">
        <v>1045</v>
      </c>
    </row>
    <row r="790" spans="1:2" ht="13.5" x14ac:dyDescent="0.25">
      <c r="A790" s="93" t="s">
        <v>363</v>
      </c>
      <c r="B790" s="103" t="s">
        <v>1045</v>
      </c>
    </row>
    <row r="791" spans="1:2" ht="13.5" x14ac:dyDescent="0.25">
      <c r="A791" s="93" t="s">
        <v>363</v>
      </c>
      <c r="B791" s="103" t="s">
        <v>1046</v>
      </c>
    </row>
    <row r="792" spans="1:2" ht="13.5" x14ac:dyDescent="0.25">
      <c r="A792" s="93" t="s">
        <v>363</v>
      </c>
      <c r="B792" s="103" t="s">
        <v>1047</v>
      </c>
    </row>
    <row r="793" spans="1:2" ht="13.5" x14ac:dyDescent="0.25">
      <c r="A793" s="93" t="s">
        <v>363</v>
      </c>
      <c r="B793" s="103" t="s">
        <v>1048</v>
      </c>
    </row>
    <row r="794" spans="1:2" ht="13.5" x14ac:dyDescent="0.25">
      <c r="A794" s="93" t="s">
        <v>363</v>
      </c>
      <c r="B794" s="103" t="s">
        <v>1049</v>
      </c>
    </row>
    <row r="795" spans="1:2" ht="13.5" x14ac:dyDescent="0.25">
      <c r="A795" s="93" t="s">
        <v>363</v>
      </c>
      <c r="B795" s="103" t="s">
        <v>1050</v>
      </c>
    </row>
    <row r="796" spans="1:2" ht="13.5" x14ac:dyDescent="0.25">
      <c r="A796" s="93" t="s">
        <v>363</v>
      </c>
      <c r="B796" s="103" t="s">
        <v>1051</v>
      </c>
    </row>
    <row r="797" spans="1:2" ht="13.5" x14ac:dyDescent="0.25">
      <c r="A797" s="93" t="s">
        <v>363</v>
      </c>
      <c r="B797" s="103" t="s">
        <v>1052</v>
      </c>
    </row>
    <row r="798" spans="1:2" x14ac:dyDescent="0.2">
      <c r="A798" s="93" t="s">
        <v>361</v>
      </c>
      <c r="B798" s="106" t="s">
        <v>1053</v>
      </c>
    </row>
    <row r="799" spans="1:2" ht="13.5" x14ac:dyDescent="0.25">
      <c r="A799" s="93" t="s">
        <v>363</v>
      </c>
      <c r="B799" s="103" t="s">
        <v>1054</v>
      </c>
    </row>
    <row r="800" spans="1:2" ht="13.5" x14ac:dyDescent="0.25">
      <c r="A800" s="93" t="s">
        <v>363</v>
      </c>
      <c r="B800" s="103" t="s">
        <v>1055</v>
      </c>
    </row>
    <row r="801" spans="1:2" ht="13.5" x14ac:dyDescent="0.25">
      <c r="A801" s="93" t="s">
        <v>363</v>
      </c>
      <c r="B801" s="103" t="s">
        <v>1056</v>
      </c>
    </row>
    <row r="802" spans="1:2" ht="13.5" x14ac:dyDescent="0.25">
      <c r="A802" s="93" t="s">
        <v>363</v>
      </c>
      <c r="B802" s="103" t="s">
        <v>1057</v>
      </c>
    </row>
    <row r="803" spans="1:2" ht="13.5" x14ac:dyDescent="0.25">
      <c r="A803" s="93" t="s">
        <v>363</v>
      </c>
      <c r="B803" s="103" t="s">
        <v>1058</v>
      </c>
    </row>
    <row r="804" spans="1:2" ht="13.5" x14ac:dyDescent="0.25">
      <c r="A804" s="93" t="s">
        <v>363</v>
      </c>
      <c r="B804" s="103" t="s">
        <v>791</v>
      </c>
    </row>
    <row r="805" spans="1:2" ht="13.5" x14ac:dyDescent="0.25">
      <c r="A805" s="93" t="s">
        <v>363</v>
      </c>
      <c r="B805" s="103" t="s">
        <v>1059</v>
      </c>
    </row>
    <row r="806" spans="1:2" ht="13.5" x14ac:dyDescent="0.25">
      <c r="A806" s="93" t="s">
        <v>363</v>
      </c>
      <c r="B806" s="103" t="s">
        <v>1060</v>
      </c>
    </row>
    <row r="807" spans="1:2" x14ac:dyDescent="0.2">
      <c r="A807" s="93" t="s">
        <v>361</v>
      </c>
      <c r="B807" s="101" t="s">
        <v>1061</v>
      </c>
    </row>
    <row r="808" spans="1:2" ht="13.5" x14ac:dyDescent="0.25">
      <c r="A808" s="93" t="s">
        <v>363</v>
      </c>
      <c r="B808" s="103" t="s">
        <v>1062</v>
      </c>
    </row>
    <row r="809" spans="1:2" ht="13.5" x14ac:dyDescent="0.25">
      <c r="A809" s="93" t="s">
        <v>363</v>
      </c>
      <c r="B809" s="103" t="s">
        <v>1063</v>
      </c>
    </row>
    <row r="810" spans="1:2" ht="13.5" x14ac:dyDescent="0.25">
      <c r="A810" s="93" t="s">
        <v>363</v>
      </c>
      <c r="B810" s="103" t="s">
        <v>1064</v>
      </c>
    </row>
    <row r="811" spans="1:2" ht="13.5" x14ac:dyDescent="0.25">
      <c r="A811" s="93" t="s">
        <v>363</v>
      </c>
      <c r="B811" s="103" t="s">
        <v>1065</v>
      </c>
    </row>
    <row r="812" spans="1:2" ht="13.5" x14ac:dyDescent="0.25">
      <c r="A812" s="93" t="s">
        <v>363</v>
      </c>
      <c r="B812" s="103" t="s">
        <v>1066</v>
      </c>
    </row>
    <row r="813" spans="1:2" ht="13.5" x14ac:dyDescent="0.25">
      <c r="A813" s="93" t="s">
        <v>363</v>
      </c>
      <c r="B813" s="103" t="s">
        <v>1007</v>
      </c>
    </row>
    <row r="814" spans="1:2" ht="13.5" x14ac:dyDescent="0.25">
      <c r="A814" s="93" t="s">
        <v>363</v>
      </c>
      <c r="B814" s="103" t="s">
        <v>558</v>
      </c>
    </row>
    <row r="815" spans="1:2" ht="13.5" x14ac:dyDescent="0.25">
      <c r="A815" s="93" t="s">
        <v>363</v>
      </c>
      <c r="B815" s="103" t="s">
        <v>1067</v>
      </c>
    </row>
    <row r="816" spans="1:2" x14ac:dyDescent="0.2">
      <c r="A816" s="93" t="s">
        <v>361</v>
      </c>
      <c r="B816" s="101" t="s">
        <v>1068</v>
      </c>
    </row>
    <row r="817" spans="1:2" ht="13.5" x14ac:dyDescent="0.25">
      <c r="A817" s="93" t="s">
        <v>363</v>
      </c>
      <c r="B817" s="103" t="s">
        <v>424</v>
      </c>
    </row>
    <row r="818" spans="1:2" ht="13.5" x14ac:dyDescent="0.25">
      <c r="A818" s="93" t="s">
        <v>363</v>
      </c>
      <c r="B818" s="103" t="s">
        <v>1069</v>
      </c>
    </row>
    <row r="819" spans="1:2" ht="13.5" x14ac:dyDescent="0.25">
      <c r="A819" s="93" t="s">
        <v>363</v>
      </c>
      <c r="B819" s="103" t="s">
        <v>1070</v>
      </c>
    </row>
    <row r="820" spans="1:2" ht="13.5" x14ac:dyDescent="0.25">
      <c r="A820" s="93" t="s">
        <v>363</v>
      </c>
      <c r="B820" s="103" t="s">
        <v>1071</v>
      </c>
    </row>
    <row r="821" spans="1:2" ht="13.5" x14ac:dyDescent="0.25">
      <c r="A821" s="93" t="s">
        <v>363</v>
      </c>
      <c r="B821" s="103" t="s">
        <v>1072</v>
      </c>
    </row>
    <row r="822" spans="1:2" ht="13.5" x14ac:dyDescent="0.25">
      <c r="A822" s="93" t="s">
        <v>363</v>
      </c>
      <c r="B822" s="103" t="s">
        <v>1073</v>
      </c>
    </row>
    <row r="823" spans="1:2" ht="13.5" x14ac:dyDescent="0.25">
      <c r="A823" s="93" t="s">
        <v>363</v>
      </c>
      <c r="B823" s="103" t="s">
        <v>1074</v>
      </c>
    </row>
    <row r="824" spans="1:2" ht="13.5" x14ac:dyDescent="0.25">
      <c r="A824" s="93" t="s">
        <v>363</v>
      </c>
      <c r="B824" s="103" t="s">
        <v>1075</v>
      </c>
    </row>
    <row r="825" spans="1:2" x14ac:dyDescent="0.2">
      <c r="A825" s="93" t="s">
        <v>361</v>
      </c>
      <c r="B825" s="101" t="s">
        <v>1076</v>
      </c>
    </row>
    <row r="826" spans="1:2" ht="13.5" x14ac:dyDescent="0.25">
      <c r="A826" s="93" t="s">
        <v>363</v>
      </c>
      <c r="B826" s="103" t="s">
        <v>1076</v>
      </c>
    </row>
    <row r="827" spans="1:2" ht="13.5" x14ac:dyDescent="0.25">
      <c r="A827" s="93" t="s">
        <v>363</v>
      </c>
      <c r="B827" s="103" t="s">
        <v>1077</v>
      </c>
    </row>
    <row r="828" spans="1:2" ht="13.5" x14ac:dyDescent="0.25">
      <c r="A828" s="93" t="s">
        <v>363</v>
      </c>
      <c r="B828" s="103" t="s">
        <v>758</v>
      </c>
    </row>
    <row r="829" spans="1:2" ht="13.5" x14ac:dyDescent="0.25">
      <c r="A829" s="93" t="s">
        <v>363</v>
      </c>
      <c r="B829" s="103" t="s">
        <v>1078</v>
      </c>
    </row>
    <row r="830" spans="1:2" ht="13.5" x14ac:dyDescent="0.25">
      <c r="A830" s="93" t="s">
        <v>363</v>
      </c>
      <c r="B830" s="103" t="s">
        <v>1079</v>
      </c>
    </row>
    <row r="831" spans="1:2" ht="13.5" x14ac:dyDescent="0.25">
      <c r="A831" s="93" t="s">
        <v>363</v>
      </c>
      <c r="B831" s="103" t="s">
        <v>1080</v>
      </c>
    </row>
    <row r="832" spans="1:2" ht="13.5" x14ac:dyDescent="0.25">
      <c r="A832" s="93" t="s">
        <v>363</v>
      </c>
      <c r="B832" s="103" t="s">
        <v>1081</v>
      </c>
    </row>
    <row r="833" spans="1:2" ht="13.5" x14ac:dyDescent="0.25">
      <c r="A833" s="93" t="s">
        <v>363</v>
      </c>
      <c r="B833" s="103" t="s">
        <v>1082</v>
      </c>
    </row>
    <row r="834" spans="1:2" x14ac:dyDescent="0.2">
      <c r="A834" s="93" t="s">
        <v>361</v>
      </c>
      <c r="B834" s="101" t="s">
        <v>1083</v>
      </c>
    </row>
    <row r="835" spans="1:2" ht="13.5" x14ac:dyDescent="0.25">
      <c r="A835" s="93" t="s">
        <v>363</v>
      </c>
      <c r="B835" s="103" t="s">
        <v>1084</v>
      </c>
    </row>
    <row r="836" spans="1:2" ht="13.5" x14ac:dyDescent="0.25">
      <c r="A836" s="93" t="s">
        <v>363</v>
      </c>
      <c r="B836" s="103" t="s">
        <v>1085</v>
      </c>
    </row>
    <row r="837" spans="1:2" ht="13.5" x14ac:dyDescent="0.25">
      <c r="A837" s="93" t="s">
        <v>363</v>
      </c>
      <c r="B837" s="103" t="s">
        <v>1086</v>
      </c>
    </row>
    <row r="838" spans="1:2" ht="13.5" x14ac:dyDescent="0.25">
      <c r="A838" s="93" t="s">
        <v>363</v>
      </c>
      <c r="B838" s="103" t="s">
        <v>1087</v>
      </c>
    </row>
    <row r="839" spans="1:2" ht="13.5" x14ac:dyDescent="0.25">
      <c r="A839" s="93" t="s">
        <v>363</v>
      </c>
      <c r="B839" s="103" t="s">
        <v>671</v>
      </c>
    </row>
    <row r="840" spans="1:2" ht="13.5" x14ac:dyDescent="0.25">
      <c r="A840" s="93" t="s">
        <v>363</v>
      </c>
      <c r="B840" s="103" t="s">
        <v>1088</v>
      </c>
    </row>
    <row r="841" spans="1:2" ht="13.5" x14ac:dyDescent="0.25">
      <c r="A841" s="93" t="s">
        <v>363</v>
      </c>
      <c r="B841" s="103" t="s">
        <v>1089</v>
      </c>
    </row>
    <row r="842" spans="1:2" ht="13.5" x14ac:dyDescent="0.25">
      <c r="A842" s="93" t="s">
        <v>363</v>
      </c>
      <c r="B842" s="103" t="s">
        <v>1090</v>
      </c>
    </row>
    <row r="843" spans="1:2" ht="13.5" x14ac:dyDescent="0.25">
      <c r="A843" s="93" t="s">
        <v>363</v>
      </c>
      <c r="B843" s="103" t="s">
        <v>686</v>
      </c>
    </row>
    <row r="844" spans="1:2" ht="13.5" x14ac:dyDescent="0.25">
      <c r="A844" s="93" t="s">
        <v>363</v>
      </c>
      <c r="B844" s="103" t="s">
        <v>1091</v>
      </c>
    </row>
    <row r="845" spans="1:2" x14ac:dyDescent="0.2">
      <c r="A845" s="93" t="s">
        <v>361</v>
      </c>
      <c r="B845" s="106" t="s">
        <v>1092</v>
      </c>
    </row>
    <row r="846" spans="1:2" ht="13.5" x14ac:dyDescent="0.25">
      <c r="A846" s="93" t="s">
        <v>363</v>
      </c>
      <c r="B846" s="103" t="s">
        <v>1092</v>
      </c>
    </row>
    <row r="847" spans="1:2" ht="13.5" x14ac:dyDescent="0.25">
      <c r="A847" s="93" t="s">
        <v>363</v>
      </c>
      <c r="B847" s="103" t="s">
        <v>1093</v>
      </c>
    </row>
    <row r="848" spans="1:2" ht="13.5" x14ac:dyDescent="0.25">
      <c r="A848" s="93" t="s">
        <v>363</v>
      </c>
      <c r="B848" s="103" t="s">
        <v>1094</v>
      </c>
    </row>
    <row r="849" spans="1:2" ht="13.5" x14ac:dyDescent="0.25">
      <c r="A849" s="93" t="s">
        <v>363</v>
      </c>
      <c r="B849" s="103" t="s">
        <v>1095</v>
      </c>
    </row>
    <row r="850" spans="1:2" ht="13.5" x14ac:dyDescent="0.25">
      <c r="A850" s="93" t="s">
        <v>363</v>
      </c>
      <c r="B850" s="103" t="s">
        <v>1096</v>
      </c>
    </row>
    <row r="851" spans="1:2" ht="13.5" x14ac:dyDescent="0.25">
      <c r="A851" s="93" t="s">
        <v>363</v>
      </c>
      <c r="B851" s="103" t="s">
        <v>1097</v>
      </c>
    </row>
    <row r="852" spans="1:2" ht="13.5" x14ac:dyDescent="0.25">
      <c r="A852" s="93" t="s">
        <v>363</v>
      </c>
      <c r="B852" s="103" t="s">
        <v>1098</v>
      </c>
    </row>
    <row r="853" spans="1:2" ht="13.5" x14ac:dyDescent="0.25">
      <c r="A853" s="93" t="s">
        <v>363</v>
      </c>
      <c r="B853" s="103" t="s">
        <v>1099</v>
      </c>
    </row>
    <row r="854" spans="1:2" ht="13.5" x14ac:dyDescent="0.25">
      <c r="A854" s="93" t="s">
        <v>363</v>
      </c>
      <c r="B854" s="103" t="s">
        <v>1100</v>
      </c>
    </row>
    <row r="855" spans="1:2" x14ac:dyDescent="0.2">
      <c r="A855" s="93" t="s">
        <v>361</v>
      </c>
      <c r="B855" s="101" t="s">
        <v>1101</v>
      </c>
    </row>
    <row r="856" spans="1:2" ht="13.5" x14ac:dyDescent="0.25">
      <c r="A856" s="93" t="s">
        <v>363</v>
      </c>
      <c r="B856" s="103" t="s">
        <v>1101</v>
      </c>
    </row>
    <row r="857" spans="1:2" ht="13.5" x14ac:dyDescent="0.25">
      <c r="A857" s="93" t="s">
        <v>363</v>
      </c>
      <c r="B857" s="103" t="s">
        <v>1102</v>
      </c>
    </row>
    <row r="858" spans="1:2" ht="13.5" x14ac:dyDescent="0.25">
      <c r="A858" s="93" t="s">
        <v>363</v>
      </c>
      <c r="B858" s="103" t="s">
        <v>1103</v>
      </c>
    </row>
    <row r="859" spans="1:2" ht="13.5" x14ac:dyDescent="0.25">
      <c r="A859" s="93" t="s">
        <v>363</v>
      </c>
      <c r="B859" s="103" t="s">
        <v>1104</v>
      </c>
    </row>
    <row r="860" spans="1:2" ht="13.5" x14ac:dyDescent="0.25">
      <c r="A860" s="93" t="s">
        <v>363</v>
      </c>
      <c r="B860" s="103" t="s">
        <v>1105</v>
      </c>
    </row>
    <row r="861" spans="1:2" ht="13.5" x14ac:dyDescent="0.25">
      <c r="A861" s="93" t="s">
        <v>363</v>
      </c>
      <c r="B861" s="103" t="s">
        <v>1106</v>
      </c>
    </row>
    <row r="862" spans="1:2" x14ac:dyDescent="0.2">
      <c r="A862" s="93" t="s">
        <v>361</v>
      </c>
      <c r="B862" s="101" t="s">
        <v>1107</v>
      </c>
    </row>
    <row r="863" spans="1:2" ht="13.5" x14ac:dyDescent="0.25">
      <c r="A863" s="93" t="s">
        <v>363</v>
      </c>
      <c r="B863" s="103" t="s">
        <v>1108</v>
      </c>
    </row>
    <row r="864" spans="1:2" ht="13.5" x14ac:dyDescent="0.25">
      <c r="A864" s="93" t="s">
        <v>363</v>
      </c>
      <c r="B864" s="103" t="s">
        <v>1109</v>
      </c>
    </row>
    <row r="865" spans="1:2" ht="13.5" x14ac:dyDescent="0.25">
      <c r="A865" s="93" t="s">
        <v>363</v>
      </c>
      <c r="B865" s="103" t="s">
        <v>1110</v>
      </c>
    </row>
    <row r="866" spans="1:2" ht="13.5" x14ac:dyDescent="0.25">
      <c r="A866" s="93" t="s">
        <v>363</v>
      </c>
      <c r="B866" s="103" t="s">
        <v>1111</v>
      </c>
    </row>
    <row r="867" spans="1:2" ht="13.5" x14ac:dyDescent="0.25">
      <c r="A867" s="93" t="s">
        <v>363</v>
      </c>
      <c r="B867" s="103" t="s">
        <v>1112</v>
      </c>
    </row>
    <row r="868" spans="1:2" ht="13.5" x14ac:dyDescent="0.25">
      <c r="A868" s="93" t="s">
        <v>363</v>
      </c>
      <c r="B868" s="103" t="s">
        <v>1113</v>
      </c>
    </row>
    <row r="869" spans="1:2" ht="13.5" x14ac:dyDescent="0.25">
      <c r="A869" s="93" t="s">
        <v>363</v>
      </c>
      <c r="B869" s="103" t="s">
        <v>1114</v>
      </c>
    </row>
    <row r="870" spans="1:2" ht="13.5" x14ac:dyDescent="0.25">
      <c r="A870" s="93" t="s">
        <v>363</v>
      </c>
      <c r="B870" s="103" t="s">
        <v>652</v>
      </c>
    </row>
    <row r="871" spans="1:2" ht="13.5" x14ac:dyDescent="0.25">
      <c r="A871" s="93" t="s">
        <v>363</v>
      </c>
      <c r="B871" s="103" t="s">
        <v>1115</v>
      </c>
    </row>
    <row r="872" spans="1:2" ht="13.5" x14ac:dyDescent="0.25">
      <c r="A872" s="93" t="s">
        <v>363</v>
      </c>
      <c r="B872" s="103" t="s">
        <v>1116</v>
      </c>
    </row>
    <row r="873" spans="1:2" ht="13.5" x14ac:dyDescent="0.25">
      <c r="A873" s="93" t="s">
        <v>363</v>
      </c>
      <c r="B873" s="103" t="s">
        <v>641</v>
      </c>
    </row>
    <row r="874" spans="1:2" ht="13.5" x14ac:dyDescent="0.25">
      <c r="A874" s="93" t="s">
        <v>363</v>
      </c>
      <c r="B874" s="103" t="s">
        <v>1117</v>
      </c>
    </row>
    <row r="875" spans="1:2" x14ac:dyDescent="0.2">
      <c r="A875" s="93" t="s">
        <v>361</v>
      </c>
      <c r="B875" s="101" t="s">
        <v>1118</v>
      </c>
    </row>
    <row r="876" spans="1:2" ht="13.5" x14ac:dyDescent="0.25">
      <c r="A876" s="93" t="s">
        <v>363</v>
      </c>
      <c r="B876" s="103" t="s">
        <v>1118</v>
      </c>
    </row>
    <row r="877" spans="1:2" ht="13.5" x14ac:dyDescent="0.25">
      <c r="A877" s="93" t="s">
        <v>363</v>
      </c>
      <c r="B877" s="103" t="s">
        <v>1119</v>
      </c>
    </row>
    <row r="878" spans="1:2" ht="13.5" x14ac:dyDescent="0.25">
      <c r="A878" s="93" t="s">
        <v>363</v>
      </c>
      <c r="B878" s="103" t="s">
        <v>596</v>
      </c>
    </row>
    <row r="879" spans="1:2" ht="13.5" x14ac:dyDescent="0.25">
      <c r="A879" s="93" t="s">
        <v>363</v>
      </c>
      <c r="B879" s="103" t="s">
        <v>1120</v>
      </c>
    </row>
    <row r="880" spans="1:2" ht="13.5" x14ac:dyDescent="0.25">
      <c r="A880" s="93" t="s">
        <v>363</v>
      </c>
      <c r="B880" s="103" t="s">
        <v>1121</v>
      </c>
    </row>
    <row r="881" spans="1:2" ht="13.5" x14ac:dyDescent="0.25">
      <c r="A881" s="93" t="s">
        <v>363</v>
      </c>
      <c r="B881" s="103" t="s">
        <v>1122</v>
      </c>
    </row>
    <row r="882" spans="1:2" ht="13.5" x14ac:dyDescent="0.25">
      <c r="A882" s="93" t="s">
        <v>363</v>
      </c>
      <c r="B882" s="103" t="s">
        <v>1123</v>
      </c>
    </row>
    <row r="883" spans="1:2" x14ac:dyDescent="0.2">
      <c r="A883" s="93" t="s">
        <v>360</v>
      </c>
      <c r="B883" s="98" t="s">
        <v>1124</v>
      </c>
    </row>
    <row r="884" spans="1:2" x14ac:dyDescent="0.2">
      <c r="A884" s="93" t="s">
        <v>361</v>
      </c>
      <c r="B884" s="101" t="s">
        <v>1124</v>
      </c>
    </row>
    <row r="885" spans="1:2" ht="13.5" x14ac:dyDescent="0.25">
      <c r="A885" s="93" t="s">
        <v>363</v>
      </c>
      <c r="B885" s="103" t="s">
        <v>1124</v>
      </c>
    </row>
    <row r="886" spans="1:2" ht="13.5" x14ac:dyDescent="0.25">
      <c r="A886" s="93" t="s">
        <v>363</v>
      </c>
      <c r="B886" s="103" t="s">
        <v>1125</v>
      </c>
    </row>
    <row r="887" spans="1:2" ht="13.5" x14ac:dyDescent="0.25">
      <c r="A887" s="93" t="s">
        <v>363</v>
      </c>
      <c r="B887" s="103" t="s">
        <v>1126</v>
      </c>
    </row>
    <row r="888" spans="1:2" ht="13.5" x14ac:dyDescent="0.25">
      <c r="A888" s="93" t="s">
        <v>363</v>
      </c>
      <c r="B888" s="103" t="s">
        <v>1127</v>
      </c>
    </row>
    <row r="889" spans="1:2" ht="13.5" x14ac:dyDescent="0.25">
      <c r="A889" s="93" t="s">
        <v>363</v>
      </c>
      <c r="B889" s="103" t="s">
        <v>1128</v>
      </c>
    </row>
    <row r="890" spans="1:2" ht="13.5" x14ac:dyDescent="0.25">
      <c r="A890" s="93" t="s">
        <v>363</v>
      </c>
      <c r="B890" s="103" t="s">
        <v>1129</v>
      </c>
    </row>
    <row r="891" spans="1:2" ht="13.5" x14ac:dyDescent="0.25">
      <c r="A891" s="93" t="s">
        <v>363</v>
      </c>
      <c r="B891" s="103" t="s">
        <v>1130</v>
      </c>
    </row>
    <row r="892" spans="1:2" ht="13.5" x14ac:dyDescent="0.25">
      <c r="A892" s="93" t="s">
        <v>363</v>
      </c>
      <c r="B892" s="105" t="s">
        <v>1131</v>
      </c>
    </row>
    <row r="893" spans="1:2" ht="13.5" x14ac:dyDescent="0.25">
      <c r="A893" s="93" t="s">
        <v>363</v>
      </c>
      <c r="B893" s="103" t="s">
        <v>1132</v>
      </c>
    </row>
    <row r="894" spans="1:2" ht="13.5" x14ac:dyDescent="0.25">
      <c r="A894" s="93" t="s">
        <v>363</v>
      </c>
      <c r="B894" s="103" t="s">
        <v>1133</v>
      </c>
    </row>
    <row r="895" spans="1:2" ht="13.5" x14ac:dyDescent="0.25">
      <c r="A895" s="93" t="s">
        <v>363</v>
      </c>
      <c r="B895" s="103" t="s">
        <v>720</v>
      </c>
    </row>
    <row r="896" spans="1:2" ht="13.5" x14ac:dyDescent="0.25">
      <c r="A896" s="93" t="s">
        <v>363</v>
      </c>
      <c r="B896" s="103" t="s">
        <v>1134</v>
      </c>
    </row>
    <row r="897" spans="1:2" ht="13.5" x14ac:dyDescent="0.25">
      <c r="A897" s="93" t="s">
        <v>363</v>
      </c>
      <c r="B897" s="103" t="s">
        <v>1135</v>
      </c>
    </row>
    <row r="898" spans="1:2" ht="13.5" x14ac:dyDescent="0.25">
      <c r="A898" s="93" t="s">
        <v>363</v>
      </c>
      <c r="B898" s="103" t="s">
        <v>1136</v>
      </c>
    </row>
    <row r="899" spans="1:2" ht="13.5" x14ac:dyDescent="0.25">
      <c r="A899" s="93" t="s">
        <v>363</v>
      </c>
      <c r="B899" s="103" t="s">
        <v>1137</v>
      </c>
    </row>
    <row r="900" spans="1:2" ht="13.5" x14ac:dyDescent="0.25">
      <c r="A900" s="93" t="s">
        <v>363</v>
      </c>
      <c r="B900" s="103" t="s">
        <v>1138</v>
      </c>
    </row>
    <row r="901" spans="1:2" ht="13.5" x14ac:dyDescent="0.25">
      <c r="A901" s="93" t="s">
        <v>363</v>
      </c>
      <c r="B901" s="102" t="s">
        <v>1139</v>
      </c>
    </row>
    <row r="902" spans="1:2" ht="13.5" x14ac:dyDescent="0.25">
      <c r="A902" s="93" t="s">
        <v>363</v>
      </c>
      <c r="B902" s="103" t="s">
        <v>1140</v>
      </c>
    </row>
    <row r="903" spans="1:2" ht="13.5" x14ac:dyDescent="0.25">
      <c r="A903" s="93" t="s">
        <v>363</v>
      </c>
      <c r="B903" s="103" t="s">
        <v>1141</v>
      </c>
    </row>
    <row r="904" spans="1:2" x14ac:dyDescent="0.2">
      <c r="A904" s="93" t="s">
        <v>361</v>
      </c>
      <c r="B904" s="101" t="s">
        <v>592</v>
      </c>
    </row>
    <row r="905" spans="1:2" ht="13.5" x14ac:dyDescent="0.25">
      <c r="A905" s="93" t="s">
        <v>363</v>
      </c>
      <c r="B905" s="102" t="s">
        <v>1142</v>
      </c>
    </row>
    <row r="906" spans="1:2" ht="13.5" x14ac:dyDescent="0.25">
      <c r="A906" s="93" t="s">
        <v>363</v>
      </c>
      <c r="B906" s="103" t="s">
        <v>1010</v>
      </c>
    </row>
    <row r="907" spans="1:2" ht="13.5" x14ac:dyDescent="0.25">
      <c r="A907" s="93" t="s">
        <v>363</v>
      </c>
      <c r="B907" s="103" t="s">
        <v>489</v>
      </c>
    </row>
    <row r="908" spans="1:2" ht="13.5" x14ac:dyDescent="0.25">
      <c r="A908" s="93" t="s">
        <v>363</v>
      </c>
      <c r="B908" s="103" t="s">
        <v>1143</v>
      </c>
    </row>
    <row r="909" spans="1:2" ht="13.5" x14ac:dyDescent="0.25">
      <c r="A909" s="93" t="s">
        <v>363</v>
      </c>
      <c r="B909" s="103" t="s">
        <v>1144</v>
      </c>
    </row>
    <row r="910" spans="1:2" ht="13.5" x14ac:dyDescent="0.25">
      <c r="A910" s="93" t="s">
        <v>363</v>
      </c>
      <c r="B910" s="102" t="s">
        <v>2085</v>
      </c>
    </row>
    <row r="911" spans="1:2" ht="13.5" x14ac:dyDescent="0.25">
      <c r="A911" s="93" t="s">
        <v>363</v>
      </c>
      <c r="B911" s="103" t="s">
        <v>629</v>
      </c>
    </row>
    <row r="912" spans="1:2" ht="13.5" x14ac:dyDescent="0.25">
      <c r="A912" s="93" t="s">
        <v>363</v>
      </c>
      <c r="B912" s="103" t="s">
        <v>1145</v>
      </c>
    </row>
    <row r="913" spans="1:2" x14ac:dyDescent="0.2">
      <c r="A913" s="93" t="s">
        <v>361</v>
      </c>
      <c r="B913" s="101" t="s">
        <v>1146</v>
      </c>
    </row>
    <row r="914" spans="1:2" ht="13.5" x14ac:dyDescent="0.25">
      <c r="A914" s="93" t="s">
        <v>363</v>
      </c>
      <c r="B914" s="103" t="s">
        <v>1147</v>
      </c>
    </row>
    <row r="915" spans="1:2" ht="13.5" x14ac:dyDescent="0.25">
      <c r="A915" s="93" t="s">
        <v>363</v>
      </c>
      <c r="B915" s="103" t="s">
        <v>1148</v>
      </c>
    </row>
    <row r="916" spans="1:2" ht="13.5" x14ac:dyDescent="0.25">
      <c r="A916" s="93" t="s">
        <v>363</v>
      </c>
      <c r="B916" s="103" t="s">
        <v>1149</v>
      </c>
    </row>
    <row r="917" spans="1:2" ht="13.5" x14ac:dyDescent="0.25">
      <c r="A917" s="93" t="s">
        <v>363</v>
      </c>
      <c r="B917" s="103" t="s">
        <v>1150</v>
      </c>
    </row>
    <row r="918" spans="1:2" ht="13.5" x14ac:dyDescent="0.25">
      <c r="A918" s="93" t="s">
        <v>363</v>
      </c>
      <c r="B918" s="103" t="s">
        <v>1151</v>
      </c>
    </row>
    <row r="919" spans="1:2" ht="13.5" x14ac:dyDescent="0.25">
      <c r="A919" s="93" t="s">
        <v>363</v>
      </c>
      <c r="B919" s="103" t="s">
        <v>1152</v>
      </c>
    </row>
    <row r="920" spans="1:2" ht="13.5" x14ac:dyDescent="0.25">
      <c r="A920" s="93" t="s">
        <v>363</v>
      </c>
      <c r="B920" s="103" t="s">
        <v>1153</v>
      </c>
    </row>
    <row r="921" spans="1:2" ht="13.5" x14ac:dyDescent="0.25">
      <c r="A921" s="93" t="s">
        <v>363</v>
      </c>
      <c r="B921" s="103" t="s">
        <v>1154</v>
      </c>
    </row>
    <row r="922" spans="1:2" ht="13.5" x14ac:dyDescent="0.25">
      <c r="A922" s="93" t="s">
        <v>363</v>
      </c>
      <c r="B922" s="103" t="s">
        <v>1155</v>
      </c>
    </row>
    <row r="923" spans="1:2" ht="13.5" x14ac:dyDescent="0.25">
      <c r="A923" s="93" t="s">
        <v>363</v>
      </c>
      <c r="B923" s="103" t="s">
        <v>1156</v>
      </c>
    </row>
    <row r="924" spans="1:2" ht="13.5" x14ac:dyDescent="0.25">
      <c r="A924" s="93" t="s">
        <v>363</v>
      </c>
      <c r="B924" s="103" t="s">
        <v>1157</v>
      </c>
    </row>
    <row r="925" spans="1:2" ht="13.5" x14ac:dyDescent="0.25">
      <c r="A925" s="93" t="s">
        <v>363</v>
      </c>
      <c r="B925" s="103" t="s">
        <v>1158</v>
      </c>
    </row>
    <row r="926" spans="1:2" x14ac:dyDescent="0.2">
      <c r="A926" s="93" t="s">
        <v>361</v>
      </c>
      <c r="B926" s="101" t="s">
        <v>1159</v>
      </c>
    </row>
    <row r="927" spans="1:2" ht="13.5" x14ac:dyDescent="0.25">
      <c r="A927" s="93" t="s">
        <v>363</v>
      </c>
      <c r="B927" s="103" t="s">
        <v>1159</v>
      </c>
    </row>
    <row r="928" spans="1:2" ht="13.5" x14ac:dyDescent="0.25">
      <c r="A928" s="93" t="s">
        <v>363</v>
      </c>
      <c r="B928" s="103" t="s">
        <v>1160</v>
      </c>
    </row>
    <row r="929" spans="1:2" ht="13.5" x14ac:dyDescent="0.25">
      <c r="A929" s="93" t="s">
        <v>363</v>
      </c>
      <c r="B929" s="103" t="s">
        <v>1161</v>
      </c>
    </row>
    <row r="930" spans="1:2" ht="13.5" x14ac:dyDescent="0.25">
      <c r="A930" s="93" t="s">
        <v>363</v>
      </c>
      <c r="B930" s="103" t="s">
        <v>1162</v>
      </c>
    </row>
    <row r="931" spans="1:2" ht="13.5" x14ac:dyDescent="0.25">
      <c r="A931" s="93" t="s">
        <v>363</v>
      </c>
      <c r="B931" s="103" t="s">
        <v>1163</v>
      </c>
    </row>
    <row r="932" spans="1:2" ht="13.5" x14ac:dyDescent="0.25">
      <c r="A932" s="93" t="s">
        <v>363</v>
      </c>
      <c r="B932" s="103" t="s">
        <v>1164</v>
      </c>
    </row>
    <row r="933" spans="1:2" ht="13.5" x14ac:dyDescent="0.25">
      <c r="A933" s="93" t="s">
        <v>363</v>
      </c>
      <c r="B933" s="103" t="s">
        <v>1165</v>
      </c>
    </row>
    <row r="934" spans="1:2" ht="13.5" x14ac:dyDescent="0.25">
      <c r="A934" s="93" t="s">
        <v>363</v>
      </c>
      <c r="B934" s="103" t="s">
        <v>1166</v>
      </c>
    </row>
    <row r="935" spans="1:2" ht="13.5" x14ac:dyDescent="0.25">
      <c r="A935" s="93" t="s">
        <v>363</v>
      </c>
      <c r="B935" s="103" t="s">
        <v>1167</v>
      </c>
    </row>
    <row r="936" spans="1:2" ht="13.5" x14ac:dyDescent="0.25">
      <c r="A936" s="93" t="s">
        <v>363</v>
      </c>
      <c r="B936" s="103" t="s">
        <v>599</v>
      </c>
    </row>
    <row r="937" spans="1:2" ht="13.5" x14ac:dyDescent="0.25">
      <c r="A937" s="93" t="s">
        <v>363</v>
      </c>
      <c r="B937" s="103" t="s">
        <v>1084</v>
      </c>
    </row>
    <row r="938" spans="1:2" ht="13.5" x14ac:dyDescent="0.25">
      <c r="A938" s="93" t="s">
        <v>363</v>
      </c>
      <c r="B938" s="103" t="s">
        <v>1168</v>
      </c>
    </row>
    <row r="939" spans="1:2" ht="13.5" x14ac:dyDescent="0.25">
      <c r="A939" s="93" t="s">
        <v>363</v>
      </c>
      <c r="B939" s="105" t="s">
        <v>1169</v>
      </c>
    </row>
    <row r="940" spans="1:2" ht="13.5" x14ac:dyDescent="0.25">
      <c r="B940" s="102"/>
    </row>
    <row r="941" spans="1:2" x14ac:dyDescent="0.2">
      <c r="A941" s="93" t="s">
        <v>361</v>
      </c>
      <c r="B941" s="101" t="s">
        <v>1170</v>
      </c>
    </row>
    <row r="942" spans="1:2" ht="13.5" x14ac:dyDescent="0.25">
      <c r="A942" s="93" t="s">
        <v>363</v>
      </c>
      <c r="B942" s="103" t="s">
        <v>1170</v>
      </c>
    </row>
    <row r="943" spans="1:2" ht="13.5" x14ac:dyDescent="0.25">
      <c r="A943" s="93" t="s">
        <v>363</v>
      </c>
      <c r="B943" s="103" t="s">
        <v>832</v>
      </c>
    </row>
    <row r="944" spans="1:2" ht="13.5" x14ac:dyDescent="0.25">
      <c r="A944" s="93" t="s">
        <v>363</v>
      </c>
      <c r="B944" s="103" t="s">
        <v>1171</v>
      </c>
    </row>
    <row r="945" spans="1:2" ht="13.5" x14ac:dyDescent="0.25">
      <c r="A945" s="93" t="s">
        <v>363</v>
      </c>
      <c r="B945" s="103" t="s">
        <v>1172</v>
      </c>
    </row>
    <row r="946" spans="1:2" ht="13.5" x14ac:dyDescent="0.25">
      <c r="A946" s="93" t="s">
        <v>363</v>
      </c>
      <c r="B946" s="103" t="s">
        <v>460</v>
      </c>
    </row>
    <row r="947" spans="1:2" ht="13.5" x14ac:dyDescent="0.25">
      <c r="A947" s="93" t="s">
        <v>363</v>
      </c>
      <c r="B947" s="103" t="s">
        <v>1173</v>
      </c>
    </row>
    <row r="948" spans="1:2" ht="13.5" x14ac:dyDescent="0.25">
      <c r="A948" s="93" t="s">
        <v>363</v>
      </c>
      <c r="B948" s="103" t="s">
        <v>1174</v>
      </c>
    </row>
    <row r="949" spans="1:2" ht="13.5" x14ac:dyDescent="0.25">
      <c r="A949" s="93" t="s">
        <v>363</v>
      </c>
      <c r="B949" s="103" t="s">
        <v>1175</v>
      </c>
    </row>
    <row r="950" spans="1:2" ht="13.5" x14ac:dyDescent="0.25">
      <c r="A950" s="93" t="s">
        <v>363</v>
      </c>
      <c r="B950" s="103" t="s">
        <v>1176</v>
      </c>
    </row>
    <row r="951" spans="1:2" ht="13.5" x14ac:dyDescent="0.25">
      <c r="A951" s="93" t="s">
        <v>363</v>
      </c>
      <c r="B951" s="103" t="s">
        <v>1177</v>
      </c>
    </row>
    <row r="952" spans="1:2" x14ac:dyDescent="0.2">
      <c r="A952" s="93" t="s">
        <v>361</v>
      </c>
      <c r="B952" s="101" t="s">
        <v>1178</v>
      </c>
    </row>
    <row r="953" spans="1:2" ht="13.5" x14ac:dyDescent="0.25">
      <c r="A953" s="93" t="s">
        <v>363</v>
      </c>
      <c r="B953" s="103" t="s">
        <v>1178</v>
      </c>
    </row>
    <row r="954" spans="1:2" ht="13.5" x14ac:dyDescent="0.25">
      <c r="A954" s="93" t="s">
        <v>363</v>
      </c>
      <c r="B954" s="103" t="s">
        <v>1179</v>
      </c>
    </row>
    <row r="955" spans="1:2" ht="13.5" x14ac:dyDescent="0.25">
      <c r="A955" s="93" t="s">
        <v>363</v>
      </c>
      <c r="B955" s="103" t="s">
        <v>1180</v>
      </c>
    </row>
    <row r="956" spans="1:2" ht="13.5" x14ac:dyDescent="0.25">
      <c r="A956" s="93" t="s">
        <v>363</v>
      </c>
      <c r="B956" s="103" t="s">
        <v>1181</v>
      </c>
    </row>
    <row r="957" spans="1:2" ht="13.5" x14ac:dyDescent="0.25">
      <c r="A957" s="93" t="s">
        <v>363</v>
      </c>
      <c r="B957" s="103" t="s">
        <v>1182</v>
      </c>
    </row>
    <row r="958" spans="1:2" ht="13.5" x14ac:dyDescent="0.25">
      <c r="A958" s="93" t="s">
        <v>363</v>
      </c>
      <c r="B958" s="103" t="s">
        <v>1183</v>
      </c>
    </row>
    <row r="959" spans="1:2" ht="13.5" x14ac:dyDescent="0.25">
      <c r="A959" s="93" t="s">
        <v>363</v>
      </c>
      <c r="B959" s="103" t="s">
        <v>1184</v>
      </c>
    </row>
    <row r="960" spans="1:2" ht="13.5" x14ac:dyDescent="0.25">
      <c r="A960" s="93" t="s">
        <v>363</v>
      </c>
      <c r="B960" s="103" t="s">
        <v>1185</v>
      </c>
    </row>
    <row r="961" spans="1:2" ht="13.5" x14ac:dyDescent="0.25">
      <c r="A961" s="93" t="s">
        <v>363</v>
      </c>
      <c r="B961" s="103" t="s">
        <v>1186</v>
      </c>
    </row>
    <row r="962" spans="1:2" ht="13.5" x14ac:dyDescent="0.25">
      <c r="A962" s="93" t="s">
        <v>363</v>
      </c>
      <c r="B962" s="103" t="s">
        <v>1187</v>
      </c>
    </row>
    <row r="963" spans="1:2" ht="13.5" x14ac:dyDescent="0.25">
      <c r="A963" s="93" t="s">
        <v>363</v>
      </c>
      <c r="B963" s="103" t="s">
        <v>1188</v>
      </c>
    </row>
    <row r="964" spans="1:2" ht="13.5" x14ac:dyDescent="0.25">
      <c r="A964" s="93" t="s">
        <v>363</v>
      </c>
      <c r="B964" s="103" t="s">
        <v>1189</v>
      </c>
    </row>
    <row r="965" spans="1:2" ht="13.5" x14ac:dyDescent="0.25">
      <c r="A965" s="93" t="s">
        <v>363</v>
      </c>
      <c r="B965" s="103" t="s">
        <v>1190</v>
      </c>
    </row>
    <row r="966" spans="1:2" ht="13.5" x14ac:dyDescent="0.25">
      <c r="A966" s="93" t="s">
        <v>363</v>
      </c>
      <c r="B966" s="103" t="s">
        <v>1191</v>
      </c>
    </row>
    <row r="967" spans="1:2" ht="13.5" x14ac:dyDescent="0.25">
      <c r="A967" s="93" t="s">
        <v>363</v>
      </c>
      <c r="B967" s="103" t="s">
        <v>1192</v>
      </c>
    </row>
    <row r="968" spans="1:2" ht="13.5" x14ac:dyDescent="0.25">
      <c r="A968" s="93" t="s">
        <v>363</v>
      </c>
      <c r="B968" s="103" t="s">
        <v>837</v>
      </c>
    </row>
    <row r="969" spans="1:2" x14ac:dyDescent="0.2">
      <c r="A969" s="93" t="s">
        <v>361</v>
      </c>
      <c r="B969" s="101" t="s">
        <v>1193</v>
      </c>
    </row>
    <row r="970" spans="1:2" ht="13.5" x14ac:dyDescent="0.25">
      <c r="A970" s="93" t="s">
        <v>363</v>
      </c>
      <c r="B970" s="103" t="s">
        <v>453</v>
      </c>
    </row>
    <row r="971" spans="1:2" ht="13.5" x14ac:dyDescent="0.25">
      <c r="A971" s="93" t="s">
        <v>363</v>
      </c>
      <c r="B971" s="103" t="s">
        <v>1194</v>
      </c>
    </row>
    <row r="972" spans="1:2" ht="13.5" x14ac:dyDescent="0.25">
      <c r="A972" s="93" t="s">
        <v>363</v>
      </c>
      <c r="B972" s="103" t="s">
        <v>1195</v>
      </c>
    </row>
    <row r="973" spans="1:2" ht="13.5" x14ac:dyDescent="0.25">
      <c r="A973" s="93" t="s">
        <v>363</v>
      </c>
      <c r="B973" s="103" t="s">
        <v>1196</v>
      </c>
    </row>
    <row r="974" spans="1:2" ht="13.5" x14ac:dyDescent="0.25">
      <c r="A974" s="93" t="s">
        <v>363</v>
      </c>
      <c r="B974" s="103" t="s">
        <v>449</v>
      </c>
    </row>
    <row r="975" spans="1:2" ht="13.5" x14ac:dyDescent="0.25">
      <c r="A975" s="93" t="s">
        <v>363</v>
      </c>
      <c r="B975" s="103" t="s">
        <v>1197</v>
      </c>
    </row>
    <row r="976" spans="1:2" ht="13.5" x14ac:dyDescent="0.25">
      <c r="A976" s="93" t="s">
        <v>363</v>
      </c>
      <c r="B976" s="103" t="s">
        <v>1129</v>
      </c>
    </row>
    <row r="977" spans="1:2" ht="13.5" x14ac:dyDescent="0.25">
      <c r="A977" s="93" t="s">
        <v>363</v>
      </c>
      <c r="B977" s="103" t="s">
        <v>1198</v>
      </c>
    </row>
    <row r="978" spans="1:2" ht="13.5" x14ac:dyDescent="0.25">
      <c r="A978" s="93" t="s">
        <v>363</v>
      </c>
      <c r="B978" s="103" t="s">
        <v>1199</v>
      </c>
    </row>
    <row r="979" spans="1:2" ht="13.5" x14ac:dyDescent="0.25">
      <c r="A979" s="93" t="s">
        <v>363</v>
      </c>
      <c r="B979" s="103" t="s">
        <v>1200</v>
      </c>
    </row>
    <row r="980" spans="1:2" ht="13.5" x14ac:dyDescent="0.25">
      <c r="A980" s="93" t="s">
        <v>363</v>
      </c>
      <c r="B980" s="103" t="s">
        <v>1201</v>
      </c>
    </row>
    <row r="981" spans="1:2" ht="13.5" x14ac:dyDescent="0.25">
      <c r="A981" s="93" t="s">
        <v>363</v>
      </c>
      <c r="B981" s="103" t="s">
        <v>1202</v>
      </c>
    </row>
    <row r="982" spans="1:2" ht="13.5" x14ac:dyDescent="0.25">
      <c r="A982" s="93" t="s">
        <v>363</v>
      </c>
      <c r="B982" s="103" t="s">
        <v>1203</v>
      </c>
    </row>
    <row r="983" spans="1:2" ht="13.5" x14ac:dyDescent="0.25">
      <c r="A983" s="93" t="s">
        <v>363</v>
      </c>
      <c r="B983" s="103" t="s">
        <v>1204</v>
      </c>
    </row>
    <row r="984" spans="1:2" ht="13.5" x14ac:dyDescent="0.25">
      <c r="A984" s="93" t="s">
        <v>363</v>
      </c>
      <c r="B984" s="103" t="s">
        <v>1205</v>
      </c>
    </row>
    <row r="985" spans="1:2" ht="13.5" x14ac:dyDescent="0.25">
      <c r="A985" s="93" t="s">
        <v>363</v>
      </c>
      <c r="B985" s="103" t="s">
        <v>1206</v>
      </c>
    </row>
    <row r="986" spans="1:2" x14ac:dyDescent="0.2">
      <c r="A986" s="93" t="s">
        <v>360</v>
      </c>
      <c r="B986" s="98" t="s">
        <v>344</v>
      </c>
    </row>
    <row r="987" spans="1:2" x14ac:dyDescent="0.2">
      <c r="A987" s="93" t="s">
        <v>361</v>
      </c>
      <c r="B987" s="106" t="s">
        <v>344</v>
      </c>
    </row>
    <row r="988" spans="1:2" ht="13.5" x14ac:dyDescent="0.25">
      <c r="A988" s="93" t="s">
        <v>363</v>
      </c>
      <c r="B988" s="103" t="s">
        <v>344</v>
      </c>
    </row>
    <row r="989" spans="1:2" ht="13.5" x14ac:dyDescent="0.25">
      <c r="A989" s="93" t="s">
        <v>363</v>
      </c>
      <c r="B989" s="103" t="s">
        <v>1207</v>
      </c>
    </row>
    <row r="990" spans="1:2" ht="13.5" x14ac:dyDescent="0.25">
      <c r="A990" s="93" t="s">
        <v>363</v>
      </c>
      <c r="B990" s="103" t="s">
        <v>1208</v>
      </c>
    </row>
    <row r="991" spans="1:2" ht="13.5" x14ac:dyDescent="0.25">
      <c r="A991" s="93" t="s">
        <v>363</v>
      </c>
      <c r="B991" s="103" t="s">
        <v>1209</v>
      </c>
    </row>
    <row r="992" spans="1:2" ht="13.5" x14ac:dyDescent="0.25">
      <c r="A992" s="93" t="s">
        <v>363</v>
      </c>
      <c r="B992" s="103" t="s">
        <v>1210</v>
      </c>
    </row>
    <row r="993" spans="1:2" ht="13.5" x14ac:dyDescent="0.25">
      <c r="A993" s="93" t="s">
        <v>363</v>
      </c>
      <c r="B993" s="103" t="s">
        <v>1211</v>
      </c>
    </row>
    <row r="994" spans="1:2" ht="13.5" x14ac:dyDescent="0.25">
      <c r="A994" s="93" t="s">
        <v>363</v>
      </c>
      <c r="B994" s="103" t="s">
        <v>1212</v>
      </c>
    </row>
    <row r="995" spans="1:2" ht="13.5" x14ac:dyDescent="0.25">
      <c r="A995" s="93" t="s">
        <v>363</v>
      </c>
      <c r="B995" s="103" t="s">
        <v>1213</v>
      </c>
    </row>
    <row r="996" spans="1:2" ht="13.5" x14ac:dyDescent="0.25">
      <c r="A996" s="93" t="s">
        <v>363</v>
      </c>
      <c r="B996" s="103" t="s">
        <v>1214</v>
      </c>
    </row>
    <row r="997" spans="1:2" ht="13.5" x14ac:dyDescent="0.25">
      <c r="A997" s="93" t="s">
        <v>363</v>
      </c>
      <c r="B997" s="103" t="s">
        <v>1215</v>
      </c>
    </row>
    <row r="998" spans="1:2" ht="13.5" x14ac:dyDescent="0.25">
      <c r="A998" s="93" t="s">
        <v>363</v>
      </c>
      <c r="B998" s="103" t="s">
        <v>1216</v>
      </c>
    </row>
    <row r="999" spans="1:2" x14ac:dyDescent="0.2">
      <c r="A999" s="93" t="s">
        <v>361</v>
      </c>
      <c r="B999" s="101" t="s">
        <v>1217</v>
      </c>
    </row>
    <row r="1000" spans="1:2" ht="13.5" x14ac:dyDescent="0.25">
      <c r="A1000" s="93" t="s">
        <v>363</v>
      </c>
      <c r="B1000" s="103" t="s">
        <v>1217</v>
      </c>
    </row>
    <row r="1001" spans="1:2" ht="13.5" x14ac:dyDescent="0.25">
      <c r="A1001" s="93" t="s">
        <v>363</v>
      </c>
      <c r="B1001" s="103" t="s">
        <v>1218</v>
      </c>
    </row>
    <row r="1002" spans="1:2" ht="13.5" x14ac:dyDescent="0.25">
      <c r="A1002" s="93" t="s">
        <v>363</v>
      </c>
      <c r="B1002" s="103" t="s">
        <v>1219</v>
      </c>
    </row>
    <row r="1003" spans="1:2" ht="13.5" x14ac:dyDescent="0.25">
      <c r="A1003" s="93" t="s">
        <v>363</v>
      </c>
      <c r="B1003" s="103" t="s">
        <v>1220</v>
      </c>
    </row>
    <row r="1004" spans="1:2" ht="13.5" x14ac:dyDescent="0.25">
      <c r="A1004" s="93" t="s">
        <v>363</v>
      </c>
      <c r="B1004" s="103" t="s">
        <v>1221</v>
      </c>
    </row>
    <row r="1005" spans="1:2" ht="13.5" x14ac:dyDescent="0.25">
      <c r="A1005" s="93" t="s">
        <v>363</v>
      </c>
      <c r="B1005" s="103" t="s">
        <v>1222</v>
      </c>
    </row>
    <row r="1006" spans="1:2" ht="13.5" x14ac:dyDescent="0.25">
      <c r="A1006" s="93" t="s">
        <v>363</v>
      </c>
      <c r="B1006" s="103" t="s">
        <v>1223</v>
      </c>
    </row>
    <row r="1007" spans="1:2" ht="13.5" x14ac:dyDescent="0.25">
      <c r="A1007" s="93" t="s">
        <v>363</v>
      </c>
      <c r="B1007" s="103" t="s">
        <v>1224</v>
      </c>
    </row>
    <row r="1008" spans="1:2" x14ac:dyDescent="0.2">
      <c r="A1008" s="93" t="s">
        <v>361</v>
      </c>
      <c r="B1008" s="101" t="s">
        <v>1225</v>
      </c>
    </row>
    <row r="1009" spans="1:2" ht="13.5" x14ac:dyDescent="0.25">
      <c r="A1009" s="93" t="s">
        <v>363</v>
      </c>
      <c r="B1009" s="103" t="s">
        <v>786</v>
      </c>
    </row>
    <row r="1010" spans="1:2" ht="13.5" x14ac:dyDescent="0.25">
      <c r="A1010" s="93" t="s">
        <v>363</v>
      </c>
      <c r="B1010" s="103" t="s">
        <v>1226</v>
      </c>
    </row>
    <row r="1011" spans="1:2" ht="13.5" x14ac:dyDescent="0.25">
      <c r="A1011" s="93" t="s">
        <v>363</v>
      </c>
      <c r="B1011" s="103" t="s">
        <v>1227</v>
      </c>
    </row>
    <row r="1012" spans="1:2" ht="13.5" x14ac:dyDescent="0.25">
      <c r="A1012" s="93" t="s">
        <v>363</v>
      </c>
      <c r="B1012" s="103" t="s">
        <v>1228</v>
      </c>
    </row>
    <row r="1013" spans="1:2" ht="13.5" x14ac:dyDescent="0.25">
      <c r="A1013" s="93" t="s">
        <v>363</v>
      </c>
      <c r="B1013" s="103" t="s">
        <v>1229</v>
      </c>
    </row>
    <row r="1014" spans="1:2" ht="13.5" x14ac:dyDescent="0.25">
      <c r="A1014" s="93" t="s">
        <v>363</v>
      </c>
      <c r="B1014" s="103" t="s">
        <v>1230</v>
      </c>
    </row>
    <row r="1015" spans="1:2" ht="13.5" x14ac:dyDescent="0.25">
      <c r="A1015" s="93" t="s">
        <v>363</v>
      </c>
      <c r="B1015" s="103" t="s">
        <v>1231</v>
      </c>
    </row>
    <row r="1016" spans="1:2" ht="13.5" x14ac:dyDescent="0.25">
      <c r="A1016" s="93" t="s">
        <v>363</v>
      </c>
      <c r="B1016" s="103" t="s">
        <v>1232</v>
      </c>
    </row>
    <row r="1017" spans="1:2" ht="13.5" x14ac:dyDescent="0.25">
      <c r="A1017" s="93" t="s">
        <v>363</v>
      </c>
      <c r="B1017" s="103" t="s">
        <v>1233</v>
      </c>
    </row>
    <row r="1018" spans="1:2" x14ac:dyDescent="0.2">
      <c r="A1018" s="93" t="s">
        <v>361</v>
      </c>
      <c r="B1018" s="101" t="s">
        <v>1234</v>
      </c>
    </row>
    <row r="1019" spans="1:2" ht="13.5" x14ac:dyDescent="0.25">
      <c r="A1019" s="93" t="s">
        <v>363</v>
      </c>
      <c r="B1019" s="103" t="s">
        <v>1234</v>
      </c>
    </row>
    <row r="1020" spans="1:2" ht="13.5" x14ac:dyDescent="0.25">
      <c r="A1020" s="93" t="s">
        <v>363</v>
      </c>
      <c r="B1020" s="103" t="s">
        <v>1235</v>
      </c>
    </row>
    <row r="1021" spans="1:2" ht="13.5" x14ac:dyDescent="0.25">
      <c r="A1021" s="93" t="s">
        <v>363</v>
      </c>
      <c r="B1021" s="103" t="s">
        <v>448</v>
      </c>
    </row>
    <row r="1022" spans="1:2" ht="13.5" x14ac:dyDescent="0.25">
      <c r="A1022" s="93" t="s">
        <v>363</v>
      </c>
      <c r="B1022" s="103" t="s">
        <v>1236</v>
      </c>
    </row>
    <row r="1023" spans="1:2" x14ac:dyDescent="0.2">
      <c r="A1023" s="93" t="s">
        <v>361</v>
      </c>
      <c r="B1023" s="101" t="s">
        <v>1237</v>
      </c>
    </row>
    <row r="1024" spans="1:2" ht="13.5" x14ac:dyDescent="0.25">
      <c r="A1024" s="93" t="s">
        <v>363</v>
      </c>
      <c r="B1024" s="103" t="s">
        <v>1238</v>
      </c>
    </row>
    <row r="1025" spans="1:2" ht="13.5" x14ac:dyDescent="0.25">
      <c r="A1025" s="93" t="s">
        <v>363</v>
      </c>
      <c r="B1025" s="103" t="s">
        <v>1239</v>
      </c>
    </row>
    <row r="1026" spans="1:2" ht="13.5" x14ac:dyDescent="0.25">
      <c r="A1026" s="93" t="s">
        <v>363</v>
      </c>
      <c r="B1026" s="103" t="s">
        <v>1240</v>
      </c>
    </row>
    <row r="1027" spans="1:2" ht="13.5" x14ac:dyDescent="0.25">
      <c r="A1027" s="93" t="s">
        <v>363</v>
      </c>
      <c r="B1027" s="103" t="s">
        <v>1241</v>
      </c>
    </row>
    <row r="1028" spans="1:2" ht="13.5" x14ac:dyDescent="0.25">
      <c r="A1028" s="93" t="s">
        <v>363</v>
      </c>
      <c r="B1028" s="103" t="s">
        <v>1242</v>
      </c>
    </row>
    <row r="1029" spans="1:2" ht="13.5" x14ac:dyDescent="0.25">
      <c r="A1029" s="93" t="s">
        <v>363</v>
      </c>
      <c r="B1029" s="103" t="s">
        <v>697</v>
      </c>
    </row>
    <row r="1030" spans="1:2" ht="13.5" x14ac:dyDescent="0.25">
      <c r="A1030" s="93" t="s">
        <v>363</v>
      </c>
      <c r="B1030" s="103" t="s">
        <v>1243</v>
      </c>
    </row>
    <row r="1031" spans="1:2" ht="13.5" x14ac:dyDescent="0.25">
      <c r="A1031" s="93" t="s">
        <v>363</v>
      </c>
      <c r="B1031" s="103" t="s">
        <v>1244</v>
      </c>
    </row>
    <row r="1032" spans="1:2" ht="13.5" x14ac:dyDescent="0.25">
      <c r="A1032" s="93" t="s">
        <v>363</v>
      </c>
      <c r="B1032" s="103" t="s">
        <v>1245</v>
      </c>
    </row>
    <row r="1033" spans="1:2" ht="13.5" x14ac:dyDescent="0.25">
      <c r="A1033" s="93" t="s">
        <v>363</v>
      </c>
      <c r="B1033" s="103" t="s">
        <v>1246</v>
      </c>
    </row>
    <row r="1034" spans="1:2" ht="13.5" x14ac:dyDescent="0.25">
      <c r="A1034" s="93" t="s">
        <v>363</v>
      </c>
      <c r="B1034" s="105" t="s">
        <v>1247</v>
      </c>
    </row>
    <row r="1035" spans="1:2" ht="13.5" x14ac:dyDescent="0.25">
      <c r="B1035" s="102"/>
    </row>
    <row r="1036" spans="1:2" x14ac:dyDescent="0.2">
      <c r="A1036" s="93" t="s">
        <v>361</v>
      </c>
      <c r="B1036" s="101" t="s">
        <v>846</v>
      </c>
    </row>
    <row r="1037" spans="1:2" ht="13.5" x14ac:dyDescent="0.25">
      <c r="A1037" s="93" t="s">
        <v>363</v>
      </c>
      <c r="B1037" s="103" t="s">
        <v>1248</v>
      </c>
    </row>
    <row r="1038" spans="1:2" ht="13.5" x14ac:dyDescent="0.25">
      <c r="A1038" s="93" t="s">
        <v>363</v>
      </c>
      <c r="B1038" s="103" t="s">
        <v>1249</v>
      </c>
    </row>
    <row r="1039" spans="1:2" ht="13.5" x14ac:dyDescent="0.25">
      <c r="A1039" s="93" t="s">
        <v>363</v>
      </c>
      <c r="B1039" s="103" t="s">
        <v>1250</v>
      </c>
    </row>
    <row r="1040" spans="1:2" ht="13.5" x14ac:dyDescent="0.25">
      <c r="A1040" s="93" t="s">
        <v>363</v>
      </c>
      <c r="B1040" s="103" t="s">
        <v>1251</v>
      </c>
    </row>
    <row r="1041" spans="1:2" ht="13.5" x14ac:dyDescent="0.25">
      <c r="A1041" s="93" t="s">
        <v>363</v>
      </c>
      <c r="B1041" s="103" t="s">
        <v>1252</v>
      </c>
    </row>
    <row r="1042" spans="1:2" ht="13.5" x14ac:dyDescent="0.25">
      <c r="A1042" s="93" t="s">
        <v>363</v>
      </c>
      <c r="B1042" s="103" t="s">
        <v>1253</v>
      </c>
    </row>
    <row r="1043" spans="1:2" x14ac:dyDescent="0.2">
      <c r="A1043" s="93" t="s">
        <v>361</v>
      </c>
      <c r="B1043" s="101" t="s">
        <v>1254</v>
      </c>
    </row>
    <row r="1044" spans="1:2" ht="13.5" x14ac:dyDescent="0.25">
      <c r="A1044" s="93" t="s">
        <v>363</v>
      </c>
      <c r="B1044" s="103" t="s">
        <v>1255</v>
      </c>
    </row>
    <row r="1045" spans="1:2" ht="13.5" x14ac:dyDescent="0.25">
      <c r="A1045" s="93" t="s">
        <v>363</v>
      </c>
      <c r="B1045" s="103" t="s">
        <v>1256</v>
      </c>
    </row>
    <row r="1046" spans="1:2" ht="13.5" x14ac:dyDescent="0.25">
      <c r="A1046" s="93" t="s">
        <v>363</v>
      </c>
      <c r="B1046" s="103" t="s">
        <v>1257</v>
      </c>
    </row>
    <row r="1047" spans="1:2" x14ac:dyDescent="0.2">
      <c r="A1047" s="93" t="s">
        <v>361</v>
      </c>
      <c r="B1047" s="101" t="s">
        <v>1258</v>
      </c>
    </row>
    <row r="1048" spans="1:2" ht="13.5" x14ac:dyDescent="0.25">
      <c r="A1048" s="93" t="s">
        <v>363</v>
      </c>
      <c r="B1048" s="103" t="s">
        <v>1259</v>
      </c>
    </row>
    <row r="1049" spans="1:2" ht="13.5" x14ac:dyDescent="0.25">
      <c r="A1049" s="93" t="s">
        <v>363</v>
      </c>
      <c r="B1049" s="103" t="s">
        <v>1260</v>
      </c>
    </row>
    <row r="1050" spans="1:2" ht="13.5" x14ac:dyDescent="0.25">
      <c r="A1050" s="93" t="s">
        <v>363</v>
      </c>
      <c r="B1050" s="103" t="s">
        <v>1261</v>
      </c>
    </row>
    <row r="1051" spans="1:2" ht="13.5" x14ac:dyDescent="0.25">
      <c r="A1051" s="93" t="s">
        <v>363</v>
      </c>
      <c r="B1051" s="103" t="s">
        <v>1262</v>
      </c>
    </row>
    <row r="1052" spans="1:2" x14ac:dyDescent="0.2">
      <c r="A1052" s="93" t="s">
        <v>361</v>
      </c>
      <c r="B1052" s="101" t="s">
        <v>1263</v>
      </c>
    </row>
    <row r="1053" spans="1:2" ht="13.5" x14ac:dyDescent="0.25">
      <c r="A1053" s="93" t="s">
        <v>363</v>
      </c>
      <c r="B1053" s="103" t="s">
        <v>1263</v>
      </c>
    </row>
    <row r="1054" spans="1:2" ht="13.5" x14ac:dyDescent="0.25">
      <c r="A1054" s="93" t="s">
        <v>363</v>
      </c>
      <c r="B1054" s="103" t="s">
        <v>1264</v>
      </c>
    </row>
    <row r="1055" spans="1:2" ht="13.5" x14ac:dyDescent="0.25">
      <c r="A1055" s="93" t="s">
        <v>363</v>
      </c>
      <c r="B1055" s="103" t="s">
        <v>1265</v>
      </c>
    </row>
    <row r="1056" spans="1:2" ht="13.5" x14ac:dyDescent="0.25">
      <c r="A1056" s="93" t="s">
        <v>363</v>
      </c>
      <c r="B1056" s="103" t="s">
        <v>1266</v>
      </c>
    </row>
    <row r="1057" spans="1:2" ht="13.5" x14ac:dyDescent="0.25">
      <c r="A1057" s="93" t="s">
        <v>363</v>
      </c>
      <c r="B1057" s="103" t="s">
        <v>1267</v>
      </c>
    </row>
    <row r="1058" spans="1:2" x14ac:dyDescent="0.2">
      <c r="A1058" s="93" t="s">
        <v>361</v>
      </c>
      <c r="B1058" s="101" t="s">
        <v>1268</v>
      </c>
    </row>
    <row r="1059" spans="1:2" ht="13.5" x14ac:dyDescent="0.25">
      <c r="A1059" s="93" t="s">
        <v>363</v>
      </c>
      <c r="B1059" s="103" t="s">
        <v>909</v>
      </c>
    </row>
    <row r="1060" spans="1:2" ht="13.5" x14ac:dyDescent="0.25">
      <c r="A1060" s="93" t="s">
        <v>363</v>
      </c>
      <c r="B1060" s="103" t="s">
        <v>1269</v>
      </c>
    </row>
    <row r="1061" spans="1:2" ht="13.5" x14ac:dyDescent="0.25">
      <c r="A1061" s="93" t="s">
        <v>363</v>
      </c>
      <c r="B1061" s="103" t="s">
        <v>1270</v>
      </c>
    </row>
    <row r="1062" spans="1:2" ht="13.5" x14ac:dyDescent="0.25">
      <c r="A1062" s="93" t="s">
        <v>363</v>
      </c>
      <c r="B1062" s="103" t="s">
        <v>1271</v>
      </c>
    </row>
    <row r="1063" spans="1:2" ht="13.5" x14ac:dyDescent="0.25">
      <c r="A1063" s="93" t="s">
        <v>363</v>
      </c>
      <c r="B1063" s="103" t="s">
        <v>1272</v>
      </c>
    </row>
    <row r="1064" spans="1:2" ht="13.5" x14ac:dyDescent="0.25">
      <c r="A1064" s="93" t="s">
        <v>363</v>
      </c>
      <c r="B1064" s="103" t="s">
        <v>1273</v>
      </c>
    </row>
    <row r="1065" spans="1:2" ht="13.5" x14ac:dyDescent="0.25">
      <c r="A1065" s="93" t="s">
        <v>363</v>
      </c>
      <c r="B1065" s="103" t="s">
        <v>1274</v>
      </c>
    </row>
    <row r="1066" spans="1:2" x14ac:dyDescent="0.2">
      <c r="A1066" s="93" t="s">
        <v>361</v>
      </c>
      <c r="B1066" s="101" t="s">
        <v>1275</v>
      </c>
    </row>
    <row r="1067" spans="1:2" ht="13.5" x14ac:dyDescent="0.25">
      <c r="A1067" s="93" t="s">
        <v>363</v>
      </c>
      <c r="B1067" s="103" t="s">
        <v>1276</v>
      </c>
    </row>
    <row r="1068" spans="1:2" ht="13.5" x14ac:dyDescent="0.25">
      <c r="A1068" s="93" t="s">
        <v>363</v>
      </c>
      <c r="B1068" s="103" t="s">
        <v>1277</v>
      </c>
    </row>
    <row r="1069" spans="1:2" ht="13.5" x14ac:dyDescent="0.25">
      <c r="A1069" s="93" t="s">
        <v>363</v>
      </c>
      <c r="B1069" s="103" t="s">
        <v>1278</v>
      </c>
    </row>
    <row r="1070" spans="1:2" ht="13.5" x14ac:dyDescent="0.25">
      <c r="A1070" s="93" t="s">
        <v>363</v>
      </c>
      <c r="B1070" s="103" t="s">
        <v>1279</v>
      </c>
    </row>
    <row r="1071" spans="1:2" ht="13.5" x14ac:dyDescent="0.25">
      <c r="A1071" s="93" t="s">
        <v>363</v>
      </c>
      <c r="B1071" s="103" t="s">
        <v>1280</v>
      </c>
    </row>
    <row r="1072" spans="1:2" ht="13.5" x14ac:dyDescent="0.25">
      <c r="A1072" s="93" t="s">
        <v>363</v>
      </c>
      <c r="B1072" s="103" t="s">
        <v>1281</v>
      </c>
    </row>
    <row r="1073" spans="1:2" ht="13.5" x14ac:dyDescent="0.25">
      <c r="A1073" s="93" t="s">
        <v>363</v>
      </c>
      <c r="B1073" s="103" t="s">
        <v>791</v>
      </c>
    </row>
    <row r="1074" spans="1:2" ht="13.5" x14ac:dyDescent="0.25">
      <c r="A1074" s="93" t="s">
        <v>363</v>
      </c>
      <c r="B1074" s="103" t="s">
        <v>1282</v>
      </c>
    </row>
    <row r="1075" spans="1:2" x14ac:dyDescent="0.2">
      <c r="A1075" s="93" t="s">
        <v>360</v>
      </c>
      <c r="B1075" s="98" t="s">
        <v>345</v>
      </c>
    </row>
    <row r="1076" spans="1:2" x14ac:dyDescent="0.2">
      <c r="A1076" s="93" t="s">
        <v>361</v>
      </c>
      <c r="B1076" s="101" t="s">
        <v>345</v>
      </c>
    </row>
    <row r="1077" spans="1:2" ht="13.5" x14ac:dyDescent="0.25">
      <c r="A1077" s="93" t="s">
        <v>363</v>
      </c>
      <c r="B1077" s="103" t="s">
        <v>345</v>
      </c>
    </row>
    <row r="1078" spans="1:2" ht="13.5" x14ac:dyDescent="0.25">
      <c r="A1078" s="93" t="s">
        <v>363</v>
      </c>
      <c r="B1078" s="103" t="s">
        <v>1283</v>
      </c>
    </row>
    <row r="1079" spans="1:2" ht="13.5" x14ac:dyDescent="0.25">
      <c r="A1079" s="93" t="s">
        <v>363</v>
      </c>
      <c r="B1079" s="103" t="s">
        <v>1284</v>
      </c>
    </row>
    <row r="1080" spans="1:2" ht="13.5" x14ac:dyDescent="0.25">
      <c r="A1080" s="93" t="s">
        <v>363</v>
      </c>
      <c r="B1080" s="103" t="s">
        <v>1285</v>
      </c>
    </row>
    <row r="1081" spans="1:2" ht="13.5" x14ac:dyDescent="0.25">
      <c r="A1081" s="93" t="s">
        <v>363</v>
      </c>
      <c r="B1081" s="103" t="s">
        <v>1286</v>
      </c>
    </row>
    <row r="1082" spans="1:2" ht="13.5" x14ac:dyDescent="0.25">
      <c r="A1082" s="93" t="s">
        <v>363</v>
      </c>
      <c r="B1082" s="105" t="s">
        <v>1287</v>
      </c>
    </row>
    <row r="1083" spans="1:2" ht="13.5" x14ac:dyDescent="0.25">
      <c r="A1083" s="93" t="s">
        <v>363</v>
      </c>
      <c r="B1083" s="103" t="s">
        <v>1288</v>
      </c>
    </row>
    <row r="1084" spans="1:2" ht="13.5" x14ac:dyDescent="0.25">
      <c r="A1084" s="93" t="s">
        <v>363</v>
      </c>
      <c r="B1084" s="103" t="s">
        <v>1289</v>
      </c>
    </row>
    <row r="1085" spans="1:2" ht="13.5" x14ac:dyDescent="0.25">
      <c r="A1085" s="93" t="s">
        <v>363</v>
      </c>
      <c r="B1085" s="103" t="s">
        <v>1290</v>
      </c>
    </row>
    <row r="1086" spans="1:2" ht="13.5" x14ac:dyDescent="0.25">
      <c r="A1086" s="93" t="s">
        <v>363</v>
      </c>
      <c r="B1086" s="103" t="s">
        <v>805</v>
      </c>
    </row>
    <row r="1087" spans="1:2" ht="13.5" x14ac:dyDescent="0.25">
      <c r="A1087" s="93" t="s">
        <v>363</v>
      </c>
      <c r="B1087" s="103" t="s">
        <v>1027</v>
      </c>
    </row>
    <row r="1088" spans="1:2" ht="13.5" x14ac:dyDescent="0.25">
      <c r="A1088" s="93" t="s">
        <v>363</v>
      </c>
      <c r="B1088" s="103" t="s">
        <v>1291</v>
      </c>
    </row>
    <row r="1089" spans="1:2" ht="13.5" x14ac:dyDescent="0.25">
      <c r="A1089" s="93" t="s">
        <v>363</v>
      </c>
      <c r="B1089" s="103" t="s">
        <v>1292</v>
      </c>
    </row>
    <row r="1090" spans="1:2" ht="13.5" x14ac:dyDescent="0.25">
      <c r="A1090" s="93" t="s">
        <v>363</v>
      </c>
      <c r="B1090" s="103" t="s">
        <v>1293</v>
      </c>
    </row>
    <row r="1091" spans="1:2" x14ac:dyDescent="0.2">
      <c r="A1091" s="93" t="s">
        <v>361</v>
      </c>
      <c r="B1091" s="101" t="s">
        <v>1294</v>
      </c>
    </row>
    <row r="1092" spans="1:2" ht="13.5" x14ac:dyDescent="0.25">
      <c r="A1092" s="93" t="s">
        <v>363</v>
      </c>
      <c r="B1092" s="103" t="s">
        <v>1295</v>
      </c>
    </row>
    <row r="1093" spans="1:2" ht="13.5" x14ac:dyDescent="0.25">
      <c r="A1093" s="93" t="s">
        <v>363</v>
      </c>
      <c r="B1093" s="103" t="s">
        <v>1296</v>
      </c>
    </row>
    <row r="1094" spans="1:2" ht="13.5" x14ac:dyDescent="0.25">
      <c r="A1094" s="93" t="s">
        <v>363</v>
      </c>
      <c r="B1094" s="103" t="s">
        <v>1297</v>
      </c>
    </row>
    <row r="1095" spans="1:2" ht="13.5" x14ac:dyDescent="0.25">
      <c r="A1095" s="93" t="s">
        <v>363</v>
      </c>
      <c r="B1095" s="103" t="s">
        <v>1298</v>
      </c>
    </row>
    <row r="1096" spans="1:2" ht="13.5" x14ac:dyDescent="0.25">
      <c r="A1096" s="93" t="s">
        <v>363</v>
      </c>
      <c r="B1096" s="103" t="s">
        <v>1172</v>
      </c>
    </row>
    <row r="1097" spans="1:2" ht="13.5" x14ac:dyDescent="0.25">
      <c r="A1097" s="93" t="s">
        <v>363</v>
      </c>
      <c r="B1097" s="103" t="s">
        <v>1299</v>
      </c>
    </row>
    <row r="1098" spans="1:2" ht="13.5" x14ac:dyDescent="0.25">
      <c r="A1098" s="93" t="s">
        <v>363</v>
      </c>
      <c r="B1098" s="103" t="s">
        <v>1288</v>
      </c>
    </row>
    <row r="1099" spans="1:2" ht="13.5" x14ac:dyDescent="0.25">
      <c r="A1099" s="93" t="s">
        <v>363</v>
      </c>
      <c r="B1099" s="103" t="s">
        <v>1300</v>
      </c>
    </row>
    <row r="1100" spans="1:2" ht="13.5" x14ac:dyDescent="0.25">
      <c r="A1100" s="93" t="s">
        <v>363</v>
      </c>
      <c r="B1100" s="103" t="s">
        <v>1301</v>
      </c>
    </row>
    <row r="1101" spans="1:2" ht="13.5" x14ac:dyDescent="0.25">
      <c r="A1101" s="93" t="s">
        <v>363</v>
      </c>
      <c r="B1101" s="103" t="s">
        <v>1302</v>
      </c>
    </row>
    <row r="1102" spans="1:2" ht="13.5" x14ac:dyDescent="0.25">
      <c r="A1102" s="93" t="s">
        <v>363</v>
      </c>
      <c r="B1102" s="103" t="s">
        <v>1303</v>
      </c>
    </row>
    <row r="1103" spans="1:2" x14ac:dyDescent="0.2">
      <c r="A1103" s="93" t="s">
        <v>361</v>
      </c>
      <c r="B1103" s="101" t="s">
        <v>1304</v>
      </c>
    </row>
    <row r="1104" spans="1:2" ht="13.5" x14ac:dyDescent="0.25">
      <c r="A1104" s="93" t="s">
        <v>363</v>
      </c>
      <c r="B1104" s="103" t="s">
        <v>1304</v>
      </c>
    </row>
    <row r="1105" spans="1:2" ht="13.5" x14ac:dyDescent="0.25">
      <c r="A1105" s="93" t="s">
        <v>363</v>
      </c>
      <c r="B1105" s="103" t="s">
        <v>1305</v>
      </c>
    </row>
    <row r="1106" spans="1:2" ht="13.5" x14ac:dyDescent="0.25">
      <c r="A1106" s="93" t="s">
        <v>363</v>
      </c>
      <c r="B1106" s="103" t="s">
        <v>1306</v>
      </c>
    </row>
    <row r="1107" spans="1:2" ht="13.5" x14ac:dyDescent="0.25">
      <c r="A1107" s="93" t="s">
        <v>363</v>
      </c>
      <c r="B1107" s="103" t="s">
        <v>1307</v>
      </c>
    </row>
    <row r="1108" spans="1:2" ht="13.5" x14ac:dyDescent="0.25">
      <c r="A1108" s="93" t="s">
        <v>363</v>
      </c>
      <c r="B1108" s="103" t="s">
        <v>439</v>
      </c>
    </row>
    <row r="1109" spans="1:2" x14ac:dyDescent="0.2">
      <c r="A1109" s="93" t="s">
        <v>361</v>
      </c>
      <c r="B1109" s="101" t="s">
        <v>1308</v>
      </c>
    </row>
    <row r="1110" spans="1:2" ht="13.5" x14ac:dyDescent="0.25">
      <c r="A1110" s="93" t="s">
        <v>363</v>
      </c>
      <c r="B1110" s="103" t="s">
        <v>1308</v>
      </c>
    </row>
    <row r="1111" spans="1:2" ht="13.5" x14ac:dyDescent="0.25">
      <c r="A1111" s="93" t="s">
        <v>363</v>
      </c>
      <c r="B1111" s="103" t="s">
        <v>1309</v>
      </c>
    </row>
    <row r="1112" spans="1:2" ht="13.5" x14ac:dyDescent="0.25">
      <c r="A1112" s="93" t="s">
        <v>363</v>
      </c>
      <c r="B1112" s="103" t="s">
        <v>777</v>
      </c>
    </row>
    <row r="1113" spans="1:2" ht="13.5" x14ac:dyDescent="0.25">
      <c r="A1113" s="93" t="s">
        <v>363</v>
      </c>
      <c r="B1113" s="103" t="s">
        <v>538</v>
      </c>
    </row>
    <row r="1114" spans="1:2" ht="13.5" x14ac:dyDescent="0.25">
      <c r="A1114" s="93" t="s">
        <v>363</v>
      </c>
      <c r="B1114" s="103" t="s">
        <v>1310</v>
      </c>
    </row>
    <row r="1115" spans="1:2" x14ac:dyDescent="0.2">
      <c r="A1115" s="93" t="s">
        <v>361</v>
      </c>
      <c r="B1115" s="101" t="s">
        <v>1311</v>
      </c>
    </row>
    <row r="1116" spans="1:2" ht="13.5" x14ac:dyDescent="0.25">
      <c r="A1116" s="93" t="s">
        <v>363</v>
      </c>
      <c r="B1116" s="103" t="s">
        <v>1311</v>
      </c>
    </row>
    <row r="1117" spans="1:2" ht="13.5" x14ac:dyDescent="0.25">
      <c r="A1117" s="93" t="s">
        <v>363</v>
      </c>
      <c r="B1117" s="103" t="s">
        <v>1312</v>
      </c>
    </row>
    <row r="1118" spans="1:2" ht="13.5" x14ac:dyDescent="0.25">
      <c r="A1118" s="93" t="s">
        <v>363</v>
      </c>
      <c r="B1118" s="103" t="s">
        <v>1313</v>
      </c>
    </row>
    <row r="1119" spans="1:2" ht="13.5" x14ac:dyDescent="0.25">
      <c r="A1119" s="93" t="s">
        <v>363</v>
      </c>
      <c r="B1119" s="103" t="s">
        <v>451</v>
      </c>
    </row>
    <row r="1120" spans="1:2" ht="13.5" x14ac:dyDescent="0.25">
      <c r="A1120" s="93" t="s">
        <v>363</v>
      </c>
      <c r="B1120" s="103" t="s">
        <v>1314</v>
      </c>
    </row>
    <row r="1121" spans="1:2" ht="13.5" x14ac:dyDescent="0.25">
      <c r="A1121" s="93" t="s">
        <v>363</v>
      </c>
      <c r="B1121" s="103" t="s">
        <v>1315</v>
      </c>
    </row>
    <row r="1122" spans="1:2" ht="13.5" x14ac:dyDescent="0.25">
      <c r="A1122" s="93" t="s">
        <v>363</v>
      </c>
      <c r="B1122" s="103" t="s">
        <v>1316</v>
      </c>
    </row>
    <row r="1123" spans="1:2" ht="13.5" x14ac:dyDescent="0.25">
      <c r="A1123" s="93" t="s">
        <v>363</v>
      </c>
      <c r="B1123" s="103" t="s">
        <v>1317</v>
      </c>
    </row>
    <row r="1124" spans="1:2" x14ac:dyDescent="0.2">
      <c r="A1124" s="93" t="s">
        <v>360</v>
      </c>
      <c r="B1124" s="98" t="s">
        <v>346</v>
      </c>
    </row>
    <row r="1125" spans="1:2" x14ac:dyDescent="0.2">
      <c r="A1125" s="93" t="s">
        <v>361</v>
      </c>
      <c r="B1125" s="101" t="s">
        <v>1318</v>
      </c>
    </row>
    <row r="1126" spans="1:2" ht="13.5" x14ac:dyDescent="0.25">
      <c r="A1126" s="93" t="s">
        <v>363</v>
      </c>
      <c r="B1126" s="103" t="s">
        <v>1318</v>
      </c>
    </row>
    <row r="1127" spans="1:2" ht="13.5" x14ac:dyDescent="0.25">
      <c r="A1127" s="93" t="s">
        <v>363</v>
      </c>
      <c r="B1127" s="103" t="s">
        <v>1319</v>
      </c>
    </row>
    <row r="1128" spans="1:2" ht="13.5" x14ac:dyDescent="0.25">
      <c r="A1128" s="93" t="s">
        <v>363</v>
      </c>
      <c r="B1128" s="103" t="s">
        <v>1320</v>
      </c>
    </row>
    <row r="1129" spans="1:2" ht="13.5" x14ac:dyDescent="0.25">
      <c r="A1129" s="93" t="s">
        <v>363</v>
      </c>
      <c r="B1129" s="105" t="s">
        <v>1321</v>
      </c>
    </row>
    <row r="1130" spans="1:2" ht="13.5" x14ac:dyDescent="0.25">
      <c r="A1130" s="93" t="s">
        <v>363</v>
      </c>
      <c r="B1130" s="103" t="s">
        <v>1322</v>
      </c>
    </row>
    <row r="1131" spans="1:2" ht="13.5" x14ac:dyDescent="0.25">
      <c r="A1131" s="93" t="s">
        <v>363</v>
      </c>
      <c r="B1131" s="103" t="s">
        <v>1323</v>
      </c>
    </row>
    <row r="1132" spans="1:2" ht="13.5" x14ac:dyDescent="0.25">
      <c r="A1132" s="93" t="s">
        <v>363</v>
      </c>
      <c r="B1132" s="103" t="s">
        <v>1324</v>
      </c>
    </row>
    <row r="1133" spans="1:2" ht="13.5" x14ac:dyDescent="0.25">
      <c r="A1133" s="93" t="s">
        <v>363</v>
      </c>
      <c r="B1133" s="103" t="s">
        <v>893</v>
      </c>
    </row>
    <row r="1134" spans="1:2" ht="13.5" x14ac:dyDescent="0.25">
      <c r="A1134" s="93" t="s">
        <v>363</v>
      </c>
      <c r="B1134" s="103" t="s">
        <v>1325</v>
      </c>
    </row>
    <row r="1135" spans="1:2" ht="13.5" x14ac:dyDescent="0.25">
      <c r="A1135" s="93" t="s">
        <v>363</v>
      </c>
      <c r="B1135" s="103" t="s">
        <v>1326</v>
      </c>
    </row>
    <row r="1136" spans="1:2" ht="13.5" x14ac:dyDescent="0.25">
      <c r="A1136" s="93" t="s">
        <v>363</v>
      </c>
      <c r="B1136" s="103" t="s">
        <v>1327</v>
      </c>
    </row>
    <row r="1137" spans="1:2" ht="13.5" x14ac:dyDescent="0.25">
      <c r="A1137" s="93" t="s">
        <v>363</v>
      </c>
      <c r="B1137" s="103" t="s">
        <v>1328</v>
      </c>
    </row>
    <row r="1138" spans="1:2" ht="13.5" x14ac:dyDescent="0.25">
      <c r="A1138" s="93" t="s">
        <v>363</v>
      </c>
      <c r="B1138" s="103" t="s">
        <v>1329</v>
      </c>
    </row>
    <row r="1139" spans="1:2" ht="13.5" x14ac:dyDescent="0.25">
      <c r="A1139" s="93" t="s">
        <v>363</v>
      </c>
      <c r="B1139" s="103" t="s">
        <v>1330</v>
      </c>
    </row>
    <row r="1140" spans="1:2" ht="13.5" x14ac:dyDescent="0.25">
      <c r="A1140" s="93" t="s">
        <v>363</v>
      </c>
      <c r="B1140" s="103" t="s">
        <v>1331</v>
      </c>
    </row>
    <row r="1141" spans="1:2" ht="13.5" x14ac:dyDescent="0.25">
      <c r="A1141" s="93" t="s">
        <v>363</v>
      </c>
      <c r="B1141" s="103" t="s">
        <v>1332</v>
      </c>
    </row>
    <row r="1142" spans="1:2" ht="13.5" x14ac:dyDescent="0.25">
      <c r="A1142" s="93" t="s">
        <v>363</v>
      </c>
      <c r="B1142" s="103" t="s">
        <v>1333</v>
      </c>
    </row>
    <row r="1143" spans="1:2" ht="13.5" x14ac:dyDescent="0.25">
      <c r="A1143" s="93" t="s">
        <v>363</v>
      </c>
      <c r="B1143" s="103" t="s">
        <v>1334</v>
      </c>
    </row>
    <row r="1144" spans="1:2" ht="13.5" x14ac:dyDescent="0.25">
      <c r="A1144" s="93" t="s">
        <v>363</v>
      </c>
      <c r="B1144" s="103" t="s">
        <v>977</v>
      </c>
    </row>
    <row r="1145" spans="1:2" ht="13.5" x14ac:dyDescent="0.25">
      <c r="A1145" s="93" t="s">
        <v>363</v>
      </c>
      <c r="B1145" s="103" t="s">
        <v>1335</v>
      </c>
    </row>
    <row r="1146" spans="1:2" ht="13.5" x14ac:dyDescent="0.25">
      <c r="A1146" s="93" t="s">
        <v>363</v>
      </c>
      <c r="B1146" s="103" t="s">
        <v>1336</v>
      </c>
    </row>
    <row r="1147" spans="1:2" ht="13.5" x14ac:dyDescent="0.25">
      <c r="A1147" s="93" t="s">
        <v>363</v>
      </c>
      <c r="B1147" s="103" t="s">
        <v>1337</v>
      </c>
    </row>
    <row r="1148" spans="1:2" ht="13.5" x14ac:dyDescent="0.25">
      <c r="A1148" s="93" t="s">
        <v>363</v>
      </c>
      <c r="B1148" s="103" t="s">
        <v>1338</v>
      </c>
    </row>
    <row r="1149" spans="1:2" ht="13.5" x14ac:dyDescent="0.25">
      <c r="A1149" s="93" t="s">
        <v>363</v>
      </c>
      <c r="B1149" s="103" t="s">
        <v>1339</v>
      </c>
    </row>
    <row r="1150" spans="1:2" ht="13.5" x14ac:dyDescent="0.25">
      <c r="A1150" s="93" t="s">
        <v>363</v>
      </c>
      <c r="B1150" s="103" t="s">
        <v>1340</v>
      </c>
    </row>
    <row r="1151" spans="1:2" ht="13.5" x14ac:dyDescent="0.25">
      <c r="A1151" s="93" t="s">
        <v>363</v>
      </c>
      <c r="B1151" s="103" t="s">
        <v>1341</v>
      </c>
    </row>
    <row r="1152" spans="1:2" ht="13.5" x14ac:dyDescent="0.25">
      <c r="A1152" s="93" t="s">
        <v>363</v>
      </c>
      <c r="B1152" s="103" t="s">
        <v>1342</v>
      </c>
    </row>
    <row r="1153" spans="1:2" ht="13.5" x14ac:dyDescent="0.25">
      <c r="A1153" s="93" t="s">
        <v>363</v>
      </c>
      <c r="B1153" s="103" t="s">
        <v>1343</v>
      </c>
    </row>
    <row r="1154" spans="1:2" x14ac:dyDescent="0.2">
      <c r="A1154" s="93" t="s">
        <v>361</v>
      </c>
      <c r="B1154" s="101" t="s">
        <v>902</v>
      </c>
    </row>
    <row r="1155" spans="1:2" ht="13.5" x14ac:dyDescent="0.25">
      <c r="A1155" s="93" t="s">
        <v>363</v>
      </c>
      <c r="B1155" s="103" t="s">
        <v>902</v>
      </c>
    </row>
    <row r="1156" spans="1:2" ht="13.5" x14ac:dyDescent="0.25">
      <c r="A1156" s="93" t="s">
        <v>363</v>
      </c>
      <c r="B1156" s="103" t="s">
        <v>505</v>
      </c>
    </row>
    <row r="1157" spans="1:2" ht="13.5" x14ac:dyDescent="0.25">
      <c r="A1157" s="93" t="s">
        <v>363</v>
      </c>
      <c r="B1157" s="103" t="s">
        <v>1344</v>
      </c>
    </row>
    <row r="1158" spans="1:2" ht="13.5" x14ac:dyDescent="0.25">
      <c r="A1158" s="93" t="s">
        <v>363</v>
      </c>
      <c r="B1158" s="103" t="s">
        <v>1345</v>
      </c>
    </row>
    <row r="1159" spans="1:2" ht="13.5" x14ac:dyDescent="0.25">
      <c r="A1159" s="93" t="s">
        <v>363</v>
      </c>
      <c r="B1159" s="103" t="s">
        <v>554</v>
      </c>
    </row>
    <row r="1160" spans="1:2" ht="13.5" x14ac:dyDescent="0.25">
      <c r="A1160" s="93" t="s">
        <v>363</v>
      </c>
      <c r="B1160" s="103" t="s">
        <v>1346</v>
      </c>
    </row>
    <row r="1161" spans="1:2" ht="13.5" x14ac:dyDescent="0.25">
      <c r="A1161" s="93" t="s">
        <v>363</v>
      </c>
      <c r="B1161" s="103" t="s">
        <v>1347</v>
      </c>
    </row>
    <row r="1162" spans="1:2" ht="13.5" x14ac:dyDescent="0.25">
      <c r="A1162" s="93" t="s">
        <v>363</v>
      </c>
      <c r="B1162" s="103" t="s">
        <v>1348</v>
      </c>
    </row>
    <row r="1163" spans="1:2" ht="13.5" x14ac:dyDescent="0.25">
      <c r="A1163" s="93" t="s">
        <v>363</v>
      </c>
      <c r="B1163" s="103" t="s">
        <v>375</v>
      </c>
    </row>
    <row r="1164" spans="1:2" ht="13.5" x14ac:dyDescent="0.25">
      <c r="A1164" s="93" t="s">
        <v>363</v>
      </c>
      <c r="B1164" s="103" t="s">
        <v>1349</v>
      </c>
    </row>
    <row r="1165" spans="1:2" ht="13.5" x14ac:dyDescent="0.25">
      <c r="A1165" s="93" t="s">
        <v>363</v>
      </c>
      <c r="B1165" s="103" t="s">
        <v>1350</v>
      </c>
    </row>
    <row r="1166" spans="1:2" ht="13.5" x14ac:dyDescent="0.25">
      <c r="A1166" s="93" t="s">
        <v>363</v>
      </c>
      <c r="B1166" s="103" t="s">
        <v>1351</v>
      </c>
    </row>
    <row r="1167" spans="1:2" ht="13.5" x14ac:dyDescent="0.25">
      <c r="A1167" s="93" t="s">
        <v>363</v>
      </c>
      <c r="B1167" s="103" t="s">
        <v>1352</v>
      </c>
    </row>
    <row r="1168" spans="1:2" ht="13.5" x14ac:dyDescent="0.25">
      <c r="A1168" s="93" t="s">
        <v>363</v>
      </c>
      <c r="B1168" s="103" t="s">
        <v>1353</v>
      </c>
    </row>
    <row r="1169" spans="1:2" ht="13.5" x14ac:dyDescent="0.25">
      <c r="A1169" s="93" t="s">
        <v>363</v>
      </c>
      <c r="B1169" s="103" t="s">
        <v>1354</v>
      </c>
    </row>
    <row r="1170" spans="1:2" x14ac:dyDescent="0.2">
      <c r="A1170" s="93" t="s">
        <v>361</v>
      </c>
      <c r="B1170" s="101" t="s">
        <v>1355</v>
      </c>
    </row>
    <row r="1171" spans="1:2" ht="13.5" x14ac:dyDescent="0.25">
      <c r="A1171" s="93" t="s">
        <v>363</v>
      </c>
      <c r="B1171" s="103" t="s">
        <v>1355</v>
      </c>
    </row>
    <row r="1172" spans="1:2" ht="13.5" x14ac:dyDescent="0.25">
      <c r="A1172" s="93" t="s">
        <v>363</v>
      </c>
      <c r="B1172" s="103" t="s">
        <v>1356</v>
      </c>
    </row>
    <row r="1173" spans="1:2" ht="13.5" x14ac:dyDescent="0.25">
      <c r="A1173" s="93" t="s">
        <v>363</v>
      </c>
      <c r="B1173" s="103" t="s">
        <v>1357</v>
      </c>
    </row>
    <row r="1174" spans="1:2" ht="13.5" x14ac:dyDescent="0.25">
      <c r="A1174" s="93" t="s">
        <v>363</v>
      </c>
      <c r="B1174" s="103" t="s">
        <v>1358</v>
      </c>
    </row>
    <row r="1175" spans="1:2" ht="13.5" x14ac:dyDescent="0.25">
      <c r="A1175" s="93" t="s">
        <v>363</v>
      </c>
      <c r="B1175" s="103" t="s">
        <v>1359</v>
      </c>
    </row>
    <row r="1176" spans="1:2" ht="13.5" x14ac:dyDescent="0.25">
      <c r="A1176" s="93" t="s">
        <v>363</v>
      </c>
      <c r="B1176" s="105" t="s">
        <v>1360</v>
      </c>
    </row>
    <row r="1177" spans="1:2" ht="13.5" x14ac:dyDescent="0.25">
      <c r="B1177" s="102"/>
    </row>
    <row r="1178" spans="1:2" x14ac:dyDescent="0.2">
      <c r="A1178" s="93" t="s">
        <v>361</v>
      </c>
      <c r="B1178" s="101" t="s">
        <v>1361</v>
      </c>
    </row>
    <row r="1179" spans="1:2" ht="13.5" x14ac:dyDescent="0.25">
      <c r="A1179" s="93" t="s">
        <v>363</v>
      </c>
      <c r="B1179" s="103" t="s">
        <v>1361</v>
      </c>
    </row>
    <row r="1180" spans="1:2" ht="13.5" x14ac:dyDescent="0.25">
      <c r="A1180" s="93" t="s">
        <v>363</v>
      </c>
      <c r="B1180" s="103" t="s">
        <v>1362</v>
      </c>
    </row>
    <row r="1181" spans="1:2" ht="13.5" x14ac:dyDescent="0.25">
      <c r="A1181" s="93" t="s">
        <v>363</v>
      </c>
      <c r="B1181" s="103" t="s">
        <v>1363</v>
      </c>
    </row>
    <row r="1182" spans="1:2" ht="13.5" x14ac:dyDescent="0.25">
      <c r="A1182" s="93" t="s">
        <v>363</v>
      </c>
      <c r="B1182" s="103" t="s">
        <v>1364</v>
      </c>
    </row>
    <row r="1183" spans="1:2" ht="13.5" x14ac:dyDescent="0.25">
      <c r="A1183" s="93" t="s">
        <v>363</v>
      </c>
      <c r="B1183" s="103" t="s">
        <v>1365</v>
      </c>
    </row>
    <row r="1184" spans="1:2" ht="13.5" x14ac:dyDescent="0.25">
      <c r="A1184" s="93" t="s">
        <v>363</v>
      </c>
      <c r="B1184" s="103" t="s">
        <v>1366</v>
      </c>
    </row>
    <row r="1185" spans="1:2" ht="13.5" x14ac:dyDescent="0.25">
      <c r="A1185" s="93" t="s">
        <v>363</v>
      </c>
      <c r="B1185" s="103" t="s">
        <v>1367</v>
      </c>
    </row>
    <row r="1186" spans="1:2" ht="13.5" x14ac:dyDescent="0.25">
      <c r="A1186" s="93" t="s">
        <v>363</v>
      </c>
      <c r="B1186" s="103" t="s">
        <v>1368</v>
      </c>
    </row>
    <row r="1187" spans="1:2" ht="13.5" x14ac:dyDescent="0.25">
      <c r="A1187" s="93" t="s">
        <v>363</v>
      </c>
      <c r="B1187" s="103" t="s">
        <v>1369</v>
      </c>
    </row>
    <row r="1188" spans="1:2" ht="13.5" x14ac:dyDescent="0.25">
      <c r="A1188" s="93" t="s">
        <v>363</v>
      </c>
      <c r="B1188" s="103" t="s">
        <v>1370</v>
      </c>
    </row>
    <row r="1189" spans="1:2" ht="13.5" x14ac:dyDescent="0.25">
      <c r="A1189" s="93" t="s">
        <v>363</v>
      </c>
      <c r="B1189" s="103" t="s">
        <v>1371</v>
      </c>
    </row>
    <row r="1190" spans="1:2" ht="13.5" x14ac:dyDescent="0.25">
      <c r="A1190" s="93" t="s">
        <v>363</v>
      </c>
      <c r="B1190" s="103" t="s">
        <v>1372</v>
      </c>
    </row>
    <row r="1191" spans="1:2" ht="13.5" x14ac:dyDescent="0.25">
      <c r="A1191" s="93" t="s">
        <v>363</v>
      </c>
      <c r="B1191" s="103" t="s">
        <v>1373</v>
      </c>
    </row>
    <row r="1192" spans="1:2" ht="13.5" x14ac:dyDescent="0.25">
      <c r="A1192" s="93" t="s">
        <v>363</v>
      </c>
      <c r="B1192" s="103" t="s">
        <v>1374</v>
      </c>
    </row>
    <row r="1193" spans="1:2" ht="13.5" x14ac:dyDescent="0.25">
      <c r="A1193" s="93" t="s">
        <v>363</v>
      </c>
      <c r="B1193" s="103" t="s">
        <v>1375</v>
      </c>
    </row>
    <row r="1194" spans="1:2" ht="13.5" x14ac:dyDescent="0.25">
      <c r="A1194" s="93" t="s">
        <v>363</v>
      </c>
      <c r="B1194" s="103" t="s">
        <v>1376</v>
      </c>
    </row>
    <row r="1195" spans="1:2" ht="13.5" x14ac:dyDescent="0.25">
      <c r="A1195" s="93" t="s">
        <v>363</v>
      </c>
      <c r="B1195" s="103" t="s">
        <v>1377</v>
      </c>
    </row>
    <row r="1196" spans="1:2" ht="13.5" x14ac:dyDescent="0.25">
      <c r="A1196" s="93" t="s">
        <v>363</v>
      </c>
      <c r="B1196" s="103" t="s">
        <v>1378</v>
      </c>
    </row>
    <row r="1197" spans="1:2" ht="13.5" x14ac:dyDescent="0.25">
      <c r="A1197" s="93" t="s">
        <v>363</v>
      </c>
      <c r="B1197" s="103" t="s">
        <v>1379</v>
      </c>
    </row>
    <row r="1198" spans="1:2" ht="13.5" x14ac:dyDescent="0.25">
      <c r="A1198" s="93" t="s">
        <v>363</v>
      </c>
      <c r="B1198" s="103" t="s">
        <v>1380</v>
      </c>
    </row>
    <row r="1199" spans="1:2" ht="13.5" x14ac:dyDescent="0.25">
      <c r="A1199" s="93" t="s">
        <v>363</v>
      </c>
      <c r="B1199" s="103" t="s">
        <v>1381</v>
      </c>
    </row>
    <row r="1200" spans="1:2" ht="13.5" x14ac:dyDescent="0.25">
      <c r="A1200" s="93" t="s">
        <v>363</v>
      </c>
      <c r="B1200" s="103" t="s">
        <v>1382</v>
      </c>
    </row>
    <row r="1201" spans="1:2" ht="13.5" x14ac:dyDescent="0.25">
      <c r="A1201" s="93" t="s">
        <v>363</v>
      </c>
      <c r="B1201" s="103" t="s">
        <v>939</v>
      </c>
    </row>
    <row r="1202" spans="1:2" ht="13.5" x14ac:dyDescent="0.25">
      <c r="A1202" s="93" t="s">
        <v>363</v>
      </c>
      <c r="B1202" s="103" t="s">
        <v>1383</v>
      </c>
    </row>
    <row r="1203" spans="1:2" ht="13.5" x14ac:dyDescent="0.25">
      <c r="A1203" s="93" t="s">
        <v>363</v>
      </c>
      <c r="B1203" s="103" t="s">
        <v>1384</v>
      </c>
    </row>
    <row r="1204" spans="1:2" ht="13.5" x14ac:dyDescent="0.25">
      <c r="A1204" s="93" t="s">
        <v>363</v>
      </c>
      <c r="B1204" s="103" t="s">
        <v>1385</v>
      </c>
    </row>
    <row r="1205" spans="1:2" ht="13.5" x14ac:dyDescent="0.25">
      <c r="A1205" s="93" t="s">
        <v>363</v>
      </c>
      <c r="B1205" s="103" t="s">
        <v>1386</v>
      </c>
    </row>
    <row r="1206" spans="1:2" ht="13.5" x14ac:dyDescent="0.25">
      <c r="A1206" s="93" t="s">
        <v>363</v>
      </c>
      <c r="B1206" s="103" t="s">
        <v>1387</v>
      </c>
    </row>
    <row r="1207" spans="1:2" ht="13.5" x14ac:dyDescent="0.25">
      <c r="A1207" s="93" t="s">
        <v>363</v>
      </c>
      <c r="B1207" s="103" t="s">
        <v>1388</v>
      </c>
    </row>
    <row r="1208" spans="1:2" ht="13.5" x14ac:dyDescent="0.25">
      <c r="A1208" s="93" t="s">
        <v>363</v>
      </c>
      <c r="B1208" s="103" t="s">
        <v>1389</v>
      </c>
    </row>
    <row r="1209" spans="1:2" ht="13.5" x14ac:dyDescent="0.25">
      <c r="A1209" s="93" t="s">
        <v>363</v>
      </c>
      <c r="B1209" s="103" t="s">
        <v>1390</v>
      </c>
    </row>
    <row r="1210" spans="1:2" ht="13.5" x14ac:dyDescent="0.25">
      <c r="A1210" s="93" t="s">
        <v>363</v>
      </c>
      <c r="B1210" s="103" t="s">
        <v>1391</v>
      </c>
    </row>
    <row r="1211" spans="1:2" ht="13.5" x14ac:dyDescent="0.25">
      <c r="A1211" s="93" t="s">
        <v>363</v>
      </c>
      <c r="B1211" s="103" t="s">
        <v>1392</v>
      </c>
    </row>
    <row r="1212" spans="1:2" ht="13.5" x14ac:dyDescent="0.25">
      <c r="A1212" s="93" t="s">
        <v>363</v>
      </c>
      <c r="B1212" s="103" t="s">
        <v>1393</v>
      </c>
    </row>
    <row r="1213" spans="1:2" x14ac:dyDescent="0.2">
      <c r="A1213" s="93" t="s">
        <v>361</v>
      </c>
      <c r="B1213" s="101" t="s">
        <v>346</v>
      </c>
    </row>
    <row r="1214" spans="1:2" ht="13.5" x14ac:dyDescent="0.25">
      <c r="A1214" s="93" t="s">
        <v>363</v>
      </c>
      <c r="B1214" s="103" t="s">
        <v>346</v>
      </c>
    </row>
    <row r="1215" spans="1:2" ht="13.5" x14ac:dyDescent="0.25">
      <c r="A1215" s="93" t="s">
        <v>363</v>
      </c>
      <c r="B1215" s="103" t="s">
        <v>1394</v>
      </c>
    </row>
    <row r="1216" spans="1:2" ht="13.5" x14ac:dyDescent="0.25">
      <c r="A1216" s="93" t="s">
        <v>363</v>
      </c>
      <c r="B1216" s="103" t="s">
        <v>1395</v>
      </c>
    </row>
    <row r="1217" spans="1:2" ht="13.5" x14ac:dyDescent="0.25">
      <c r="A1217" s="93" t="s">
        <v>363</v>
      </c>
      <c r="B1217" s="103" t="s">
        <v>1396</v>
      </c>
    </row>
    <row r="1218" spans="1:2" x14ac:dyDescent="0.2">
      <c r="A1218" s="93" t="s">
        <v>361</v>
      </c>
      <c r="B1218" s="101" t="s">
        <v>1397</v>
      </c>
    </row>
    <row r="1219" spans="1:2" ht="13.5" x14ac:dyDescent="0.25">
      <c r="A1219" s="93" t="s">
        <v>363</v>
      </c>
      <c r="B1219" s="103" t="s">
        <v>1397</v>
      </c>
    </row>
    <row r="1220" spans="1:2" ht="13.5" x14ac:dyDescent="0.25">
      <c r="A1220" s="93" t="s">
        <v>363</v>
      </c>
      <c r="B1220" s="103" t="s">
        <v>1398</v>
      </c>
    </row>
    <row r="1221" spans="1:2" ht="13.5" x14ac:dyDescent="0.25">
      <c r="A1221" s="93" t="s">
        <v>363</v>
      </c>
      <c r="B1221" s="103" t="s">
        <v>1399</v>
      </c>
    </row>
    <row r="1222" spans="1:2" ht="13.5" x14ac:dyDescent="0.25">
      <c r="A1222" s="93" t="s">
        <v>363</v>
      </c>
      <c r="B1222" s="103" t="s">
        <v>1400</v>
      </c>
    </row>
    <row r="1223" spans="1:2" ht="13.5" x14ac:dyDescent="0.25">
      <c r="A1223" s="93" t="s">
        <v>363</v>
      </c>
      <c r="B1223" s="103" t="s">
        <v>1401</v>
      </c>
    </row>
    <row r="1224" spans="1:2" ht="13.5" x14ac:dyDescent="0.25">
      <c r="A1224" s="93" t="s">
        <v>363</v>
      </c>
      <c r="B1224" s="103" t="s">
        <v>1402</v>
      </c>
    </row>
    <row r="1225" spans="1:2" ht="13.5" x14ac:dyDescent="0.25">
      <c r="A1225" s="93" t="s">
        <v>363</v>
      </c>
      <c r="B1225" s="102" t="s">
        <v>1403</v>
      </c>
    </row>
    <row r="1226" spans="1:2" ht="13.5" x14ac:dyDescent="0.25">
      <c r="A1226" s="93" t="s">
        <v>363</v>
      </c>
      <c r="B1226" s="103" t="s">
        <v>1404</v>
      </c>
    </row>
    <row r="1227" spans="1:2" x14ac:dyDescent="0.2">
      <c r="A1227" s="93" t="s">
        <v>361</v>
      </c>
      <c r="B1227" s="101" t="s">
        <v>1405</v>
      </c>
    </row>
    <row r="1228" spans="1:2" ht="13.5" x14ac:dyDescent="0.25">
      <c r="A1228" s="93" t="s">
        <v>363</v>
      </c>
      <c r="B1228" s="103" t="s">
        <v>1405</v>
      </c>
    </row>
    <row r="1229" spans="1:2" ht="13.5" x14ac:dyDescent="0.25">
      <c r="A1229" s="93" t="s">
        <v>363</v>
      </c>
      <c r="B1229" s="103" t="s">
        <v>592</v>
      </c>
    </row>
    <row r="1230" spans="1:2" ht="13.5" x14ac:dyDescent="0.25">
      <c r="A1230" s="93" t="s">
        <v>363</v>
      </c>
      <c r="B1230" s="103" t="s">
        <v>1406</v>
      </c>
    </row>
    <row r="1231" spans="1:2" ht="13.5" x14ac:dyDescent="0.25">
      <c r="A1231" s="93" t="s">
        <v>363</v>
      </c>
      <c r="B1231" s="103" t="s">
        <v>1407</v>
      </c>
    </row>
    <row r="1232" spans="1:2" ht="13.5" x14ac:dyDescent="0.25">
      <c r="A1232" s="93" t="s">
        <v>363</v>
      </c>
      <c r="B1232" s="103" t="s">
        <v>786</v>
      </c>
    </row>
    <row r="1233" spans="1:2" ht="13.5" x14ac:dyDescent="0.25">
      <c r="A1233" s="93" t="s">
        <v>363</v>
      </c>
      <c r="B1233" s="103" t="s">
        <v>1136</v>
      </c>
    </row>
    <row r="1234" spans="1:2" ht="13.5" x14ac:dyDescent="0.25">
      <c r="A1234" s="93" t="s">
        <v>363</v>
      </c>
      <c r="B1234" s="103" t="s">
        <v>1408</v>
      </c>
    </row>
    <row r="1235" spans="1:2" ht="13.5" x14ac:dyDescent="0.25">
      <c r="A1235" s="93" t="s">
        <v>363</v>
      </c>
      <c r="B1235" s="103" t="s">
        <v>1409</v>
      </c>
    </row>
    <row r="1236" spans="1:2" ht="13.5" x14ac:dyDescent="0.25">
      <c r="A1236" s="93" t="s">
        <v>363</v>
      </c>
      <c r="B1236" s="103" t="s">
        <v>1410</v>
      </c>
    </row>
    <row r="1237" spans="1:2" x14ac:dyDescent="0.2">
      <c r="A1237" s="93" t="s">
        <v>361</v>
      </c>
      <c r="B1237" s="101" t="s">
        <v>1392</v>
      </c>
    </row>
    <row r="1238" spans="1:2" ht="13.5" x14ac:dyDescent="0.25">
      <c r="A1238" s="93" t="s">
        <v>363</v>
      </c>
      <c r="B1238" s="103" t="s">
        <v>1411</v>
      </c>
    </row>
    <row r="1239" spans="1:2" ht="13.5" x14ac:dyDescent="0.25">
      <c r="A1239" s="93" t="s">
        <v>363</v>
      </c>
      <c r="B1239" s="103" t="s">
        <v>1412</v>
      </c>
    </row>
    <row r="1240" spans="1:2" ht="13.5" x14ac:dyDescent="0.25">
      <c r="A1240" s="93" t="s">
        <v>363</v>
      </c>
      <c r="B1240" s="103" t="s">
        <v>1413</v>
      </c>
    </row>
    <row r="1241" spans="1:2" ht="13.5" x14ac:dyDescent="0.25">
      <c r="A1241" s="93" t="s">
        <v>363</v>
      </c>
      <c r="B1241" s="103" t="s">
        <v>1414</v>
      </c>
    </row>
    <row r="1242" spans="1:2" ht="13.5" x14ac:dyDescent="0.25">
      <c r="A1242" s="93" t="s">
        <v>363</v>
      </c>
      <c r="B1242" s="103" t="s">
        <v>1415</v>
      </c>
    </row>
    <row r="1243" spans="1:2" ht="13.5" x14ac:dyDescent="0.25">
      <c r="A1243" s="93" t="s">
        <v>363</v>
      </c>
      <c r="B1243" s="103" t="s">
        <v>939</v>
      </c>
    </row>
    <row r="1244" spans="1:2" ht="13.5" x14ac:dyDescent="0.25">
      <c r="A1244" s="93" t="s">
        <v>363</v>
      </c>
      <c r="B1244" s="103" t="s">
        <v>1416</v>
      </c>
    </row>
    <row r="1245" spans="1:2" ht="13.5" x14ac:dyDescent="0.25">
      <c r="A1245" s="93" t="s">
        <v>363</v>
      </c>
      <c r="B1245" s="103" t="s">
        <v>1417</v>
      </c>
    </row>
    <row r="1246" spans="1:2" ht="13.5" x14ac:dyDescent="0.25">
      <c r="A1246" s="93" t="s">
        <v>363</v>
      </c>
      <c r="B1246" s="103" t="s">
        <v>1418</v>
      </c>
    </row>
    <row r="1247" spans="1:2" ht="13.5" x14ac:dyDescent="0.25">
      <c r="A1247" s="93" t="s">
        <v>363</v>
      </c>
      <c r="B1247" s="103" t="s">
        <v>1392</v>
      </c>
    </row>
    <row r="1248" spans="1:2" x14ac:dyDescent="0.2">
      <c r="A1248" s="93" t="s">
        <v>361</v>
      </c>
      <c r="B1248" s="101" t="s">
        <v>1419</v>
      </c>
    </row>
    <row r="1249" spans="1:2" ht="13.5" x14ac:dyDescent="0.25">
      <c r="A1249" s="93" t="s">
        <v>363</v>
      </c>
      <c r="B1249" s="103" t="s">
        <v>1419</v>
      </c>
    </row>
    <row r="1250" spans="1:2" ht="13.5" x14ac:dyDescent="0.25">
      <c r="A1250" s="93" t="s">
        <v>363</v>
      </c>
      <c r="B1250" s="103" t="s">
        <v>1420</v>
      </c>
    </row>
    <row r="1251" spans="1:2" ht="13.5" x14ac:dyDescent="0.25">
      <c r="A1251" s="93" t="s">
        <v>363</v>
      </c>
      <c r="B1251" s="103" t="s">
        <v>1421</v>
      </c>
    </row>
    <row r="1252" spans="1:2" ht="13.5" x14ac:dyDescent="0.25">
      <c r="A1252" s="93" t="s">
        <v>363</v>
      </c>
      <c r="B1252" s="103" t="s">
        <v>1422</v>
      </c>
    </row>
    <row r="1253" spans="1:2" ht="13.5" x14ac:dyDescent="0.25">
      <c r="A1253" s="93" t="s">
        <v>363</v>
      </c>
      <c r="B1253" s="103" t="s">
        <v>1423</v>
      </c>
    </row>
    <row r="1254" spans="1:2" ht="13.5" x14ac:dyDescent="0.25">
      <c r="A1254" s="93" t="s">
        <v>363</v>
      </c>
      <c r="B1254" s="103" t="s">
        <v>1424</v>
      </c>
    </row>
    <row r="1255" spans="1:2" ht="13.5" x14ac:dyDescent="0.25">
      <c r="A1255" s="93" t="s">
        <v>363</v>
      </c>
      <c r="B1255" s="103" t="s">
        <v>1425</v>
      </c>
    </row>
    <row r="1256" spans="1:2" ht="13.5" x14ac:dyDescent="0.25">
      <c r="A1256" s="93" t="s">
        <v>363</v>
      </c>
      <c r="B1256" s="103" t="s">
        <v>1426</v>
      </c>
    </row>
    <row r="1257" spans="1:2" ht="13.5" x14ac:dyDescent="0.25">
      <c r="A1257" s="93" t="s">
        <v>363</v>
      </c>
      <c r="B1257" s="103" t="s">
        <v>1427</v>
      </c>
    </row>
    <row r="1258" spans="1:2" x14ac:dyDescent="0.2">
      <c r="A1258" s="93" t="s">
        <v>360</v>
      </c>
      <c r="B1258" s="98" t="s">
        <v>347</v>
      </c>
    </row>
    <row r="1259" spans="1:2" x14ac:dyDescent="0.2">
      <c r="A1259" s="93" t="s">
        <v>361</v>
      </c>
      <c r="B1259" s="101" t="s">
        <v>1428</v>
      </c>
    </row>
    <row r="1260" spans="1:2" ht="13.5" x14ac:dyDescent="0.25">
      <c r="A1260" s="93" t="s">
        <v>363</v>
      </c>
      <c r="B1260" s="103" t="s">
        <v>2531</v>
      </c>
    </row>
    <row r="1261" spans="1:2" ht="13.5" x14ac:dyDescent="0.25">
      <c r="A1261" s="93" t="s">
        <v>363</v>
      </c>
      <c r="B1261" s="103" t="s">
        <v>1429</v>
      </c>
    </row>
    <row r="1262" spans="1:2" ht="13.5" x14ac:dyDescent="0.25">
      <c r="A1262" s="93" t="s">
        <v>363</v>
      </c>
      <c r="B1262" s="103" t="s">
        <v>1430</v>
      </c>
    </row>
    <row r="1263" spans="1:2" ht="13.5" x14ac:dyDescent="0.25">
      <c r="A1263" s="93" t="s">
        <v>363</v>
      </c>
      <c r="B1263" s="103" t="s">
        <v>1431</v>
      </c>
    </row>
    <row r="1264" spans="1:2" ht="13.5" x14ac:dyDescent="0.25">
      <c r="A1264" s="93" t="s">
        <v>363</v>
      </c>
      <c r="B1264" s="103" t="s">
        <v>1013</v>
      </c>
    </row>
    <row r="1265" spans="1:2" ht="13.5" x14ac:dyDescent="0.25">
      <c r="A1265" s="93" t="s">
        <v>363</v>
      </c>
      <c r="B1265" s="103" t="s">
        <v>1432</v>
      </c>
    </row>
    <row r="1266" spans="1:2" ht="13.5" x14ac:dyDescent="0.25">
      <c r="A1266" s="93" t="s">
        <v>363</v>
      </c>
      <c r="B1266" s="103" t="s">
        <v>1433</v>
      </c>
    </row>
    <row r="1267" spans="1:2" ht="13.5" x14ac:dyDescent="0.25">
      <c r="A1267" s="93" t="s">
        <v>363</v>
      </c>
      <c r="B1267" s="103" t="s">
        <v>1434</v>
      </c>
    </row>
    <row r="1268" spans="1:2" ht="13.5" x14ac:dyDescent="0.25">
      <c r="A1268" s="93" t="s">
        <v>363</v>
      </c>
      <c r="B1268" s="103" t="s">
        <v>1435</v>
      </c>
    </row>
    <row r="1269" spans="1:2" ht="13.5" x14ac:dyDescent="0.25">
      <c r="A1269" s="93" t="s">
        <v>363</v>
      </c>
      <c r="B1269" s="103" t="s">
        <v>1436</v>
      </c>
    </row>
    <row r="1270" spans="1:2" ht="13.5" x14ac:dyDescent="0.25">
      <c r="A1270" s="93" t="s">
        <v>363</v>
      </c>
      <c r="B1270" s="103" t="s">
        <v>1437</v>
      </c>
    </row>
    <row r="1271" spans="1:2" x14ac:dyDescent="0.2">
      <c r="A1271" s="93" t="s">
        <v>361</v>
      </c>
      <c r="B1271" s="101" t="s">
        <v>1438</v>
      </c>
    </row>
    <row r="1272" spans="1:2" ht="13.5" x14ac:dyDescent="0.25">
      <c r="A1272" s="93" t="s">
        <v>363</v>
      </c>
      <c r="B1272" s="103" t="s">
        <v>1438</v>
      </c>
    </row>
    <row r="1273" spans="1:2" ht="13.5" x14ac:dyDescent="0.25">
      <c r="A1273" s="93" t="s">
        <v>363</v>
      </c>
      <c r="B1273" s="103" t="s">
        <v>1439</v>
      </c>
    </row>
    <row r="1274" spans="1:2" ht="13.5" x14ac:dyDescent="0.25">
      <c r="A1274" s="93" t="s">
        <v>363</v>
      </c>
      <c r="B1274" s="103" t="s">
        <v>1440</v>
      </c>
    </row>
    <row r="1275" spans="1:2" ht="13.5" x14ac:dyDescent="0.25">
      <c r="A1275" s="93" t="s">
        <v>363</v>
      </c>
      <c r="B1275" s="103" t="s">
        <v>1441</v>
      </c>
    </row>
    <row r="1276" spans="1:2" ht="13.5" x14ac:dyDescent="0.25">
      <c r="A1276" s="93" t="s">
        <v>363</v>
      </c>
      <c r="B1276" s="103" t="s">
        <v>1442</v>
      </c>
    </row>
    <row r="1277" spans="1:2" ht="13.5" x14ac:dyDescent="0.25">
      <c r="A1277" s="93" t="s">
        <v>363</v>
      </c>
      <c r="B1277" s="103" t="s">
        <v>1443</v>
      </c>
    </row>
    <row r="1278" spans="1:2" ht="13.5" x14ac:dyDescent="0.25">
      <c r="A1278" s="93" t="s">
        <v>363</v>
      </c>
      <c r="B1278" s="103" t="s">
        <v>1444</v>
      </c>
    </row>
    <row r="1279" spans="1:2" ht="13.5" x14ac:dyDescent="0.25">
      <c r="A1279" s="93" t="s">
        <v>363</v>
      </c>
      <c r="B1279" s="103" t="s">
        <v>1445</v>
      </c>
    </row>
    <row r="1280" spans="1:2" x14ac:dyDescent="0.2">
      <c r="A1280" s="93" t="s">
        <v>361</v>
      </c>
      <c r="B1280" s="101" t="s">
        <v>995</v>
      </c>
    </row>
    <row r="1281" spans="1:2" ht="13.5" x14ac:dyDescent="0.25">
      <c r="A1281" s="93" t="s">
        <v>363</v>
      </c>
      <c r="B1281" s="103" t="s">
        <v>995</v>
      </c>
    </row>
    <row r="1282" spans="1:2" ht="13.5" x14ac:dyDescent="0.25">
      <c r="A1282" s="93" t="s">
        <v>363</v>
      </c>
      <c r="B1282" s="103" t="s">
        <v>968</v>
      </c>
    </row>
    <row r="1283" spans="1:2" ht="13.5" x14ac:dyDescent="0.25">
      <c r="A1283" s="93" t="s">
        <v>363</v>
      </c>
      <c r="B1283" s="103" t="s">
        <v>1446</v>
      </c>
    </row>
    <row r="1284" spans="1:2" ht="13.5" x14ac:dyDescent="0.25">
      <c r="A1284" s="93" t="s">
        <v>363</v>
      </c>
      <c r="B1284" s="103" t="s">
        <v>1447</v>
      </c>
    </row>
    <row r="1285" spans="1:2" ht="13.5" x14ac:dyDescent="0.25">
      <c r="A1285" s="93" t="s">
        <v>363</v>
      </c>
      <c r="B1285" s="103" t="s">
        <v>1448</v>
      </c>
    </row>
    <row r="1286" spans="1:2" ht="13.5" x14ac:dyDescent="0.25">
      <c r="A1286" s="93" t="s">
        <v>363</v>
      </c>
      <c r="B1286" s="103" t="s">
        <v>1449</v>
      </c>
    </row>
    <row r="1287" spans="1:2" x14ac:dyDescent="0.2">
      <c r="A1287" s="93" t="s">
        <v>361</v>
      </c>
      <c r="B1287" s="101" t="s">
        <v>1450</v>
      </c>
    </row>
    <row r="1288" spans="1:2" ht="13.5" x14ac:dyDescent="0.25">
      <c r="A1288" s="93" t="s">
        <v>363</v>
      </c>
      <c r="B1288" s="103" t="s">
        <v>1450</v>
      </c>
    </row>
    <row r="1289" spans="1:2" ht="13.5" x14ac:dyDescent="0.25">
      <c r="A1289" s="93" t="s">
        <v>363</v>
      </c>
      <c r="B1289" s="103" t="s">
        <v>1451</v>
      </c>
    </row>
    <row r="1290" spans="1:2" ht="13.5" x14ac:dyDescent="0.25">
      <c r="A1290" s="93" t="s">
        <v>363</v>
      </c>
      <c r="B1290" s="103" t="s">
        <v>1288</v>
      </c>
    </row>
    <row r="1291" spans="1:2" x14ac:dyDescent="0.2">
      <c r="A1291" s="93" t="s">
        <v>361</v>
      </c>
      <c r="B1291" s="101" t="s">
        <v>1372</v>
      </c>
    </row>
    <row r="1292" spans="1:2" ht="13.5" x14ac:dyDescent="0.25">
      <c r="A1292" s="93" t="s">
        <v>363</v>
      </c>
      <c r="B1292" s="103" t="s">
        <v>1372</v>
      </c>
    </row>
    <row r="1293" spans="1:2" ht="13.5" x14ac:dyDescent="0.25">
      <c r="A1293" s="93" t="s">
        <v>363</v>
      </c>
      <c r="B1293" s="103" t="s">
        <v>1452</v>
      </c>
    </row>
    <row r="1294" spans="1:2" ht="13.5" x14ac:dyDescent="0.25">
      <c r="A1294" s="93" t="s">
        <v>363</v>
      </c>
      <c r="B1294" s="103" t="s">
        <v>1453</v>
      </c>
    </row>
    <row r="1295" spans="1:2" ht="13.5" x14ac:dyDescent="0.25">
      <c r="A1295" s="93" t="s">
        <v>363</v>
      </c>
      <c r="B1295" s="103" t="s">
        <v>1454</v>
      </c>
    </row>
    <row r="1296" spans="1:2" x14ac:dyDescent="0.2">
      <c r="A1296" s="93" t="s">
        <v>361</v>
      </c>
      <c r="B1296" s="101" t="s">
        <v>1455</v>
      </c>
    </row>
    <row r="1297" spans="1:2" ht="13.5" x14ac:dyDescent="0.25">
      <c r="A1297" s="93" t="s">
        <v>363</v>
      </c>
      <c r="B1297" s="103" t="s">
        <v>1455</v>
      </c>
    </row>
    <row r="1298" spans="1:2" ht="13.5" x14ac:dyDescent="0.25">
      <c r="A1298" s="93" t="s">
        <v>363</v>
      </c>
      <c r="B1298" s="103" t="s">
        <v>1456</v>
      </c>
    </row>
    <row r="1299" spans="1:2" ht="13.5" x14ac:dyDescent="0.25">
      <c r="A1299" s="93" t="s">
        <v>363</v>
      </c>
      <c r="B1299" s="103" t="s">
        <v>1457</v>
      </c>
    </row>
    <row r="1300" spans="1:2" ht="13.5" x14ac:dyDescent="0.25">
      <c r="A1300" s="93" t="s">
        <v>363</v>
      </c>
      <c r="B1300" s="103" t="s">
        <v>1458</v>
      </c>
    </row>
    <row r="1301" spans="1:2" ht="13.5" x14ac:dyDescent="0.25">
      <c r="A1301" s="93" t="s">
        <v>363</v>
      </c>
      <c r="B1301" s="103" t="s">
        <v>1459</v>
      </c>
    </row>
    <row r="1302" spans="1:2" ht="13.5" x14ac:dyDescent="0.25">
      <c r="A1302" s="93" t="s">
        <v>363</v>
      </c>
      <c r="B1302" s="103" t="s">
        <v>1460</v>
      </c>
    </row>
    <row r="1303" spans="1:2" ht="13.5" x14ac:dyDescent="0.25">
      <c r="A1303" s="93" t="s">
        <v>363</v>
      </c>
      <c r="B1303" s="103" t="s">
        <v>1461</v>
      </c>
    </row>
    <row r="1304" spans="1:2" ht="13.5" x14ac:dyDescent="0.25">
      <c r="A1304" s="93" t="s">
        <v>363</v>
      </c>
      <c r="B1304" s="103" t="s">
        <v>1462</v>
      </c>
    </row>
    <row r="1305" spans="1:2" ht="13.5" x14ac:dyDescent="0.25">
      <c r="A1305" s="93" t="s">
        <v>363</v>
      </c>
      <c r="B1305" s="103" t="s">
        <v>1463</v>
      </c>
    </row>
    <row r="1306" spans="1:2" ht="13.5" x14ac:dyDescent="0.25">
      <c r="A1306" s="93" t="s">
        <v>363</v>
      </c>
      <c r="B1306" s="103" t="s">
        <v>1464</v>
      </c>
    </row>
    <row r="1307" spans="1:2" x14ac:dyDescent="0.2">
      <c r="A1307" s="93" t="s">
        <v>361</v>
      </c>
      <c r="B1307" s="101" t="s">
        <v>1465</v>
      </c>
    </row>
    <row r="1308" spans="1:2" ht="13.5" x14ac:dyDescent="0.25">
      <c r="A1308" s="93" t="s">
        <v>363</v>
      </c>
      <c r="B1308" s="103" t="s">
        <v>1466</v>
      </c>
    </row>
    <row r="1309" spans="1:2" ht="13.5" x14ac:dyDescent="0.25">
      <c r="A1309" s="93" t="s">
        <v>363</v>
      </c>
      <c r="B1309" s="103" t="s">
        <v>1467</v>
      </c>
    </row>
    <row r="1310" spans="1:2" ht="13.5" x14ac:dyDescent="0.25">
      <c r="A1310" s="93" t="s">
        <v>363</v>
      </c>
      <c r="B1310" s="103" t="s">
        <v>1468</v>
      </c>
    </row>
    <row r="1311" spans="1:2" ht="13.5" x14ac:dyDescent="0.25">
      <c r="A1311" s="93" t="s">
        <v>363</v>
      </c>
      <c r="B1311" s="103" t="s">
        <v>1465</v>
      </c>
    </row>
    <row r="1312" spans="1:2" ht="13.5" x14ac:dyDescent="0.25">
      <c r="A1312" s="93" t="s">
        <v>363</v>
      </c>
      <c r="B1312" s="103" t="s">
        <v>1469</v>
      </c>
    </row>
    <row r="1313" spans="1:2" x14ac:dyDescent="0.2">
      <c r="A1313" s="93" t="s">
        <v>361</v>
      </c>
      <c r="B1313" s="101" t="s">
        <v>1470</v>
      </c>
    </row>
    <row r="1314" spans="1:2" ht="13.5" x14ac:dyDescent="0.25">
      <c r="A1314" s="93" t="s">
        <v>363</v>
      </c>
      <c r="B1314" s="103" t="s">
        <v>1471</v>
      </c>
    </row>
    <row r="1315" spans="1:2" ht="13.5" x14ac:dyDescent="0.25">
      <c r="A1315" s="93" t="s">
        <v>363</v>
      </c>
      <c r="B1315" s="105" t="s">
        <v>1472</v>
      </c>
    </row>
    <row r="1316" spans="1:2" ht="13.5" x14ac:dyDescent="0.25">
      <c r="A1316" s="93" t="s">
        <v>363</v>
      </c>
      <c r="B1316" s="103" t="s">
        <v>1473</v>
      </c>
    </row>
    <row r="1317" spans="1:2" ht="13.5" x14ac:dyDescent="0.25">
      <c r="A1317" s="93" t="s">
        <v>363</v>
      </c>
      <c r="B1317" s="103" t="s">
        <v>1474</v>
      </c>
    </row>
    <row r="1318" spans="1:2" ht="13.5" x14ac:dyDescent="0.25">
      <c r="A1318" s="93" t="s">
        <v>363</v>
      </c>
      <c r="B1318" s="103" t="s">
        <v>1475</v>
      </c>
    </row>
    <row r="1319" spans="1:2" ht="13.5" x14ac:dyDescent="0.25">
      <c r="A1319" s="93" t="s">
        <v>363</v>
      </c>
      <c r="B1319" s="103" t="s">
        <v>1476</v>
      </c>
    </row>
    <row r="1320" spans="1:2" ht="13.5" x14ac:dyDescent="0.25">
      <c r="A1320" s="93" t="s">
        <v>363</v>
      </c>
      <c r="B1320" s="103" t="s">
        <v>1477</v>
      </c>
    </row>
    <row r="1321" spans="1:2" ht="13.5" x14ac:dyDescent="0.25">
      <c r="A1321" s="93" t="s">
        <v>363</v>
      </c>
      <c r="B1321" s="103" t="s">
        <v>1478</v>
      </c>
    </row>
    <row r="1322" spans="1:2" ht="13.5" x14ac:dyDescent="0.25">
      <c r="A1322" s="93" t="s">
        <v>363</v>
      </c>
      <c r="B1322" s="103" t="s">
        <v>1470</v>
      </c>
    </row>
    <row r="1323" spans="1:2" ht="13.5" x14ac:dyDescent="0.25">
      <c r="A1323" s="93" t="s">
        <v>363</v>
      </c>
      <c r="B1323" s="103" t="s">
        <v>1479</v>
      </c>
    </row>
    <row r="1324" spans="1:2" ht="13.5" x14ac:dyDescent="0.25">
      <c r="A1324" s="93" t="s">
        <v>363</v>
      </c>
      <c r="B1324" s="103" t="s">
        <v>1480</v>
      </c>
    </row>
    <row r="1325" spans="1:2" ht="13.5" x14ac:dyDescent="0.25">
      <c r="A1325" s="93" t="s">
        <v>363</v>
      </c>
      <c r="B1325" s="103" t="s">
        <v>1481</v>
      </c>
    </row>
    <row r="1326" spans="1:2" ht="13.5" x14ac:dyDescent="0.25">
      <c r="A1326" s="93" t="s">
        <v>363</v>
      </c>
      <c r="B1326" s="103" t="s">
        <v>1482</v>
      </c>
    </row>
    <row r="1327" spans="1:2" x14ac:dyDescent="0.2">
      <c r="A1327" s="93" t="s">
        <v>361</v>
      </c>
      <c r="B1327" s="101" t="s">
        <v>1483</v>
      </c>
    </row>
    <row r="1328" spans="1:2" ht="13.5" x14ac:dyDescent="0.25">
      <c r="A1328" s="93" t="s">
        <v>363</v>
      </c>
      <c r="B1328" s="103" t="s">
        <v>1484</v>
      </c>
    </row>
    <row r="1329" spans="1:2" ht="13.5" x14ac:dyDescent="0.25">
      <c r="A1329" s="93" t="s">
        <v>363</v>
      </c>
      <c r="B1329" s="103" t="s">
        <v>1485</v>
      </c>
    </row>
    <row r="1330" spans="1:2" ht="13.5" x14ac:dyDescent="0.25">
      <c r="A1330" s="93" t="s">
        <v>363</v>
      </c>
      <c r="B1330" s="103" t="s">
        <v>1486</v>
      </c>
    </row>
    <row r="1331" spans="1:2" ht="13.5" x14ac:dyDescent="0.25">
      <c r="A1331" s="93" t="s">
        <v>363</v>
      </c>
      <c r="B1331" s="103" t="s">
        <v>1487</v>
      </c>
    </row>
    <row r="1332" spans="1:2" ht="13.5" x14ac:dyDescent="0.25">
      <c r="A1332" s="93" t="s">
        <v>363</v>
      </c>
      <c r="B1332" s="103" t="s">
        <v>1488</v>
      </c>
    </row>
    <row r="1333" spans="1:2" ht="13.5" x14ac:dyDescent="0.25">
      <c r="A1333" s="93" t="s">
        <v>363</v>
      </c>
      <c r="B1333" s="103" t="s">
        <v>1489</v>
      </c>
    </row>
    <row r="1334" spans="1:2" ht="13.5" x14ac:dyDescent="0.25">
      <c r="A1334" s="93" t="s">
        <v>363</v>
      </c>
      <c r="B1334" s="103" t="s">
        <v>1490</v>
      </c>
    </row>
    <row r="1335" spans="1:2" ht="13.5" x14ac:dyDescent="0.25">
      <c r="A1335" s="93" t="s">
        <v>363</v>
      </c>
      <c r="B1335" s="103" t="s">
        <v>1491</v>
      </c>
    </row>
    <row r="1336" spans="1:2" x14ac:dyDescent="0.2">
      <c r="A1336" s="93" t="s">
        <v>361</v>
      </c>
      <c r="B1336" s="101" t="s">
        <v>1492</v>
      </c>
    </row>
    <row r="1337" spans="1:2" ht="13.5" x14ac:dyDescent="0.25">
      <c r="A1337" s="93" t="s">
        <v>363</v>
      </c>
      <c r="B1337" s="103" t="s">
        <v>1492</v>
      </c>
    </row>
    <row r="1338" spans="1:2" ht="13.5" x14ac:dyDescent="0.25">
      <c r="A1338" s="93" t="s">
        <v>363</v>
      </c>
      <c r="B1338" s="103" t="s">
        <v>1493</v>
      </c>
    </row>
    <row r="1339" spans="1:2" ht="13.5" x14ac:dyDescent="0.25">
      <c r="A1339" s="93" t="s">
        <v>363</v>
      </c>
      <c r="B1339" s="103" t="s">
        <v>1494</v>
      </c>
    </row>
    <row r="1340" spans="1:2" ht="13.5" x14ac:dyDescent="0.25">
      <c r="A1340" s="93" t="s">
        <v>363</v>
      </c>
      <c r="B1340" s="103" t="s">
        <v>1495</v>
      </c>
    </row>
    <row r="1341" spans="1:2" ht="13.5" x14ac:dyDescent="0.25">
      <c r="A1341" s="93" t="s">
        <v>363</v>
      </c>
      <c r="B1341" s="103" t="s">
        <v>1042</v>
      </c>
    </row>
    <row r="1342" spans="1:2" ht="13.5" x14ac:dyDescent="0.25">
      <c r="A1342" s="93" t="s">
        <v>363</v>
      </c>
      <c r="B1342" s="103" t="s">
        <v>1496</v>
      </c>
    </row>
    <row r="1343" spans="1:2" ht="13.5" x14ac:dyDescent="0.25">
      <c r="A1343" s="93" t="s">
        <v>363</v>
      </c>
      <c r="B1343" s="103" t="s">
        <v>1497</v>
      </c>
    </row>
    <row r="1344" spans="1:2" ht="13.5" x14ac:dyDescent="0.25">
      <c r="A1344" s="93" t="s">
        <v>363</v>
      </c>
      <c r="B1344" s="103" t="s">
        <v>1498</v>
      </c>
    </row>
    <row r="1345" spans="1:2" x14ac:dyDescent="0.2">
      <c r="A1345" s="93" t="s">
        <v>361</v>
      </c>
      <c r="B1345" s="101" t="s">
        <v>1499</v>
      </c>
    </row>
    <row r="1346" spans="1:2" ht="13.5" x14ac:dyDescent="0.25">
      <c r="A1346" s="93" t="s">
        <v>363</v>
      </c>
      <c r="B1346" s="103" t="s">
        <v>1500</v>
      </c>
    </row>
    <row r="1347" spans="1:2" ht="13.5" x14ac:dyDescent="0.25">
      <c r="A1347" s="93" t="s">
        <v>363</v>
      </c>
      <c r="B1347" s="103" t="s">
        <v>548</v>
      </c>
    </row>
    <row r="1348" spans="1:2" ht="13.5" x14ac:dyDescent="0.25">
      <c r="A1348" s="93" t="s">
        <v>363</v>
      </c>
      <c r="B1348" s="103" t="s">
        <v>1501</v>
      </c>
    </row>
    <row r="1349" spans="1:2" ht="13.5" x14ac:dyDescent="0.25">
      <c r="A1349" s="93" t="s">
        <v>363</v>
      </c>
      <c r="B1349" s="103" t="s">
        <v>1502</v>
      </c>
    </row>
    <row r="1350" spans="1:2" x14ac:dyDescent="0.2">
      <c r="A1350" s="93" t="s">
        <v>361</v>
      </c>
      <c r="B1350" s="101" t="s">
        <v>1503</v>
      </c>
    </row>
    <row r="1351" spans="1:2" ht="13.5" x14ac:dyDescent="0.25">
      <c r="A1351" s="93" t="s">
        <v>363</v>
      </c>
      <c r="B1351" s="103" t="s">
        <v>1503</v>
      </c>
    </row>
    <row r="1352" spans="1:2" ht="13.5" x14ac:dyDescent="0.25">
      <c r="A1352" s="93" t="s">
        <v>363</v>
      </c>
      <c r="B1352" s="103" t="s">
        <v>1504</v>
      </c>
    </row>
    <row r="1353" spans="1:2" ht="13.5" x14ac:dyDescent="0.25">
      <c r="A1353" s="93" t="s">
        <v>363</v>
      </c>
      <c r="B1353" s="103" t="s">
        <v>1505</v>
      </c>
    </row>
    <row r="1354" spans="1:2" x14ac:dyDescent="0.2">
      <c r="A1354" s="93" t="s">
        <v>360</v>
      </c>
      <c r="B1354" s="98" t="s">
        <v>348</v>
      </c>
    </row>
    <row r="1355" spans="1:2" x14ac:dyDescent="0.2">
      <c r="A1355" s="93" t="s">
        <v>361</v>
      </c>
      <c r="B1355" s="101" t="s">
        <v>1506</v>
      </c>
    </row>
    <row r="1356" spans="1:2" ht="13.5" x14ac:dyDescent="0.25">
      <c r="A1356" s="93" t="s">
        <v>363</v>
      </c>
      <c r="B1356" s="103" t="s">
        <v>1506</v>
      </c>
    </row>
    <row r="1357" spans="1:2" ht="13.5" x14ac:dyDescent="0.25">
      <c r="A1357" s="93" t="s">
        <v>363</v>
      </c>
      <c r="B1357" s="103" t="s">
        <v>1507</v>
      </c>
    </row>
    <row r="1358" spans="1:2" ht="13.5" x14ac:dyDescent="0.25">
      <c r="A1358" s="93" t="s">
        <v>363</v>
      </c>
      <c r="B1358" s="103" t="s">
        <v>1508</v>
      </c>
    </row>
    <row r="1359" spans="1:2" ht="13.5" x14ac:dyDescent="0.25">
      <c r="A1359" s="93" t="s">
        <v>363</v>
      </c>
      <c r="B1359" s="103" t="s">
        <v>1509</v>
      </c>
    </row>
    <row r="1360" spans="1:2" ht="13.5" x14ac:dyDescent="0.25">
      <c r="A1360" s="93" t="s">
        <v>363</v>
      </c>
      <c r="B1360" s="103" t="s">
        <v>1510</v>
      </c>
    </row>
    <row r="1361" spans="1:2" ht="13.5" x14ac:dyDescent="0.25">
      <c r="A1361" s="93" t="s">
        <v>363</v>
      </c>
      <c r="B1361" s="103" t="s">
        <v>1511</v>
      </c>
    </row>
    <row r="1362" spans="1:2" ht="13.5" x14ac:dyDescent="0.25">
      <c r="A1362" s="93" t="s">
        <v>363</v>
      </c>
      <c r="B1362" s="105" t="s">
        <v>1512</v>
      </c>
    </row>
    <row r="1363" spans="1:2" ht="13.5" x14ac:dyDescent="0.25">
      <c r="A1363" s="93" t="s">
        <v>363</v>
      </c>
      <c r="B1363" s="103" t="s">
        <v>1513</v>
      </c>
    </row>
    <row r="1364" spans="1:2" ht="13.5" x14ac:dyDescent="0.25">
      <c r="A1364" s="93" t="s">
        <v>363</v>
      </c>
      <c r="B1364" s="103" t="s">
        <v>1514</v>
      </c>
    </row>
    <row r="1365" spans="1:2" ht="13.5" x14ac:dyDescent="0.25">
      <c r="A1365" s="93" t="s">
        <v>363</v>
      </c>
      <c r="B1365" s="103" t="s">
        <v>1515</v>
      </c>
    </row>
    <row r="1366" spans="1:2" ht="13.5" x14ac:dyDescent="0.25">
      <c r="A1366" s="93" t="s">
        <v>363</v>
      </c>
      <c r="B1366" s="103" t="s">
        <v>1516</v>
      </c>
    </row>
    <row r="1367" spans="1:2" ht="13.5" x14ac:dyDescent="0.25">
      <c r="A1367" s="93" t="s">
        <v>363</v>
      </c>
      <c r="B1367" s="103" t="s">
        <v>1517</v>
      </c>
    </row>
    <row r="1368" spans="1:2" ht="13.5" x14ac:dyDescent="0.25">
      <c r="A1368" s="93" t="s">
        <v>363</v>
      </c>
      <c r="B1368" s="103" t="s">
        <v>1518</v>
      </c>
    </row>
    <row r="1369" spans="1:2" ht="13.5" x14ac:dyDescent="0.25">
      <c r="A1369" s="93" t="s">
        <v>363</v>
      </c>
      <c r="B1369" s="103" t="s">
        <v>437</v>
      </c>
    </row>
    <row r="1370" spans="1:2" ht="13.5" x14ac:dyDescent="0.25">
      <c r="A1370" s="93" t="s">
        <v>363</v>
      </c>
      <c r="B1370" s="103" t="s">
        <v>1519</v>
      </c>
    </row>
    <row r="1371" spans="1:2" ht="13.5" x14ac:dyDescent="0.25">
      <c r="A1371" s="93" t="s">
        <v>363</v>
      </c>
      <c r="B1371" s="103" t="s">
        <v>1520</v>
      </c>
    </row>
    <row r="1372" spans="1:2" ht="13.5" x14ac:dyDescent="0.25">
      <c r="A1372" s="93" t="s">
        <v>363</v>
      </c>
      <c r="B1372" s="103" t="s">
        <v>1521</v>
      </c>
    </row>
    <row r="1373" spans="1:2" ht="13.5" x14ac:dyDescent="0.25">
      <c r="A1373" s="93" t="s">
        <v>363</v>
      </c>
      <c r="B1373" s="103" t="s">
        <v>1522</v>
      </c>
    </row>
    <row r="1374" spans="1:2" ht="13.5" x14ac:dyDescent="0.25">
      <c r="A1374" s="93" t="s">
        <v>363</v>
      </c>
      <c r="B1374" s="103" t="s">
        <v>1523</v>
      </c>
    </row>
    <row r="1375" spans="1:2" ht="13.5" x14ac:dyDescent="0.25">
      <c r="A1375" s="93" t="s">
        <v>363</v>
      </c>
      <c r="B1375" s="103" t="s">
        <v>1524</v>
      </c>
    </row>
    <row r="1376" spans="1:2" x14ac:dyDescent="0.2">
      <c r="A1376" s="93" t="s">
        <v>361</v>
      </c>
      <c r="B1376" s="101" t="s">
        <v>1525</v>
      </c>
    </row>
    <row r="1377" spans="1:2" ht="13.5" x14ac:dyDescent="0.25">
      <c r="A1377" s="93" t="s">
        <v>363</v>
      </c>
      <c r="B1377" s="103" t="s">
        <v>1525</v>
      </c>
    </row>
    <row r="1378" spans="1:2" ht="13.5" x14ac:dyDescent="0.25">
      <c r="A1378" s="93" t="s">
        <v>363</v>
      </c>
      <c r="B1378" s="103" t="s">
        <v>1526</v>
      </c>
    </row>
    <row r="1379" spans="1:2" ht="13.5" x14ac:dyDescent="0.25">
      <c r="A1379" s="93" t="s">
        <v>363</v>
      </c>
      <c r="B1379" s="103" t="s">
        <v>1527</v>
      </c>
    </row>
    <row r="1380" spans="1:2" ht="13.5" x14ac:dyDescent="0.25">
      <c r="A1380" s="93" t="s">
        <v>363</v>
      </c>
      <c r="B1380" s="103" t="s">
        <v>1528</v>
      </c>
    </row>
    <row r="1381" spans="1:2" ht="13.5" x14ac:dyDescent="0.25">
      <c r="A1381" s="93" t="s">
        <v>363</v>
      </c>
      <c r="B1381" s="103" t="s">
        <v>1529</v>
      </c>
    </row>
    <row r="1382" spans="1:2" ht="13.5" x14ac:dyDescent="0.25">
      <c r="A1382" s="93" t="s">
        <v>363</v>
      </c>
      <c r="B1382" s="103" t="s">
        <v>1288</v>
      </c>
    </row>
    <row r="1383" spans="1:2" x14ac:dyDescent="0.2">
      <c r="A1383" s="93" t="s">
        <v>361</v>
      </c>
      <c r="B1383" s="101" t="s">
        <v>348</v>
      </c>
    </row>
    <row r="1384" spans="1:2" ht="13.5" x14ac:dyDescent="0.25">
      <c r="A1384" s="93" t="s">
        <v>363</v>
      </c>
      <c r="B1384" s="103" t="s">
        <v>348</v>
      </c>
    </row>
    <row r="1385" spans="1:2" ht="13.5" x14ac:dyDescent="0.25">
      <c r="A1385" s="93" t="s">
        <v>363</v>
      </c>
      <c r="B1385" s="103" t="s">
        <v>1530</v>
      </c>
    </row>
    <row r="1386" spans="1:2" ht="13.5" x14ac:dyDescent="0.25">
      <c r="A1386" s="93" t="s">
        <v>363</v>
      </c>
      <c r="B1386" s="103" t="s">
        <v>1531</v>
      </c>
    </row>
    <row r="1387" spans="1:2" ht="13.5" x14ac:dyDescent="0.25">
      <c r="A1387" s="93" t="s">
        <v>363</v>
      </c>
      <c r="B1387" s="103" t="s">
        <v>1532</v>
      </c>
    </row>
    <row r="1388" spans="1:2" ht="13.5" x14ac:dyDescent="0.25">
      <c r="A1388" s="93" t="s">
        <v>363</v>
      </c>
      <c r="B1388" s="103" t="s">
        <v>1533</v>
      </c>
    </row>
    <row r="1389" spans="1:2" ht="13.5" x14ac:dyDescent="0.25">
      <c r="A1389" s="93" t="s">
        <v>363</v>
      </c>
      <c r="B1389" s="103" t="s">
        <v>1534</v>
      </c>
    </row>
    <row r="1390" spans="1:2" ht="13.5" x14ac:dyDescent="0.25">
      <c r="A1390" s="93" t="s">
        <v>363</v>
      </c>
      <c r="B1390" s="103" t="s">
        <v>1535</v>
      </c>
    </row>
    <row r="1391" spans="1:2" ht="13.5" x14ac:dyDescent="0.25">
      <c r="A1391" s="93" t="s">
        <v>363</v>
      </c>
      <c r="B1391" s="103" t="s">
        <v>1536</v>
      </c>
    </row>
    <row r="1392" spans="1:2" ht="13.5" x14ac:dyDescent="0.25">
      <c r="A1392" s="93" t="s">
        <v>363</v>
      </c>
      <c r="B1392" s="103" t="s">
        <v>1537</v>
      </c>
    </row>
    <row r="1393" spans="1:2" ht="13.5" x14ac:dyDescent="0.25">
      <c r="A1393" s="93" t="s">
        <v>363</v>
      </c>
      <c r="B1393" s="103" t="s">
        <v>1289</v>
      </c>
    </row>
    <row r="1394" spans="1:2" ht="13.5" x14ac:dyDescent="0.25">
      <c r="A1394" s="93" t="s">
        <v>363</v>
      </c>
      <c r="B1394" s="103" t="s">
        <v>1469</v>
      </c>
    </row>
    <row r="1395" spans="1:2" ht="13.5" x14ac:dyDescent="0.25">
      <c r="A1395" s="93" t="s">
        <v>363</v>
      </c>
      <c r="B1395" s="103" t="s">
        <v>1538</v>
      </c>
    </row>
    <row r="1396" spans="1:2" x14ac:dyDescent="0.2">
      <c r="A1396" s="93" t="s">
        <v>360</v>
      </c>
      <c r="B1396" s="108" t="s">
        <v>1539</v>
      </c>
    </row>
    <row r="1397" spans="1:2" x14ac:dyDescent="0.2">
      <c r="A1397" s="93" t="s">
        <v>361</v>
      </c>
      <c r="B1397" s="101" t="s">
        <v>349</v>
      </c>
    </row>
    <row r="1398" spans="1:2" ht="13.5" x14ac:dyDescent="0.25">
      <c r="A1398" s="93" t="s">
        <v>363</v>
      </c>
      <c r="B1398" s="103" t="s">
        <v>349</v>
      </c>
    </row>
    <row r="1399" spans="1:2" ht="13.5" x14ac:dyDescent="0.25">
      <c r="A1399" s="93" t="s">
        <v>363</v>
      </c>
      <c r="B1399" s="103" t="s">
        <v>1540</v>
      </c>
    </row>
    <row r="1400" spans="1:2" ht="13.5" x14ac:dyDescent="0.25">
      <c r="A1400" s="93" t="s">
        <v>363</v>
      </c>
      <c r="B1400" s="103" t="s">
        <v>1541</v>
      </c>
    </row>
    <row r="1401" spans="1:2" ht="13.5" x14ac:dyDescent="0.25">
      <c r="A1401" s="93" t="s">
        <v>363</v>
      </c>
      <c r="B1401" s="103" t="s">
        <v>1542</v>
      </c>
    </row>
    <row r="1402" spans="1:2" ht="13.5" x14ac:dyDescent="0.25">
      <c r="A1402" s="93" t="s">
        <v>363</v>
      </c>
      <c r="B1402" s="103" t="s">
        <v>1543</v>
      </c>
    </row>
    <row r="1403" spans="1:2" ht="13.5" x14ac:dyDescent="0.25">
      <c r="A1403" s="93" t="s">
        <v>363</v>
      </c>
      <c r="B1403" s="103" t="s">
        <v>1544</v>
      </c>
    </row>
    <row r="1404" spans="1:2" ht="13.5" x14ac:dyDescent="0.25">
      <c r="A1404" s="93" t="s">
        <v>363</v>
      </c>
      <c r="B1404" s="103" t="s">
        <v>1545</v>
      </c>
    </row>
    <row r="1405" spans="1:2" ht="13.5" x14ac:dyDescent="0.25">
      <c r="A1405" s="93" t="s">
        <v>363</v>
      </c>
      <c r="B1405" s="103" t="s">
        <v>1546</v>
      </c>
    </row>
    <row r="1406" spans="1:2" ht="13.5" x14ac:dyDescent="0.25">
      <c r="A1406" s="93" t="s">
        <v>363</v>
      </c>
      <c r="B1406" s="103" t="s">
        <v>1547</v>
      </c>
    </row>
    <row r="1407" spans="1:2" ht="13.5" x14ac:dyDescent="0.25">
      <c r="A1407" s="93" t="s">
        <v>363</v>
      </c>
      <c r="B1407" s="103" t="s">
        <v>1346</v>
      </c>
    </row>
    <row r="1408" spans="1:2" ht="13.5" x14ac:dyDescent="0.25">
      <c r="A1408" s="93" t="s">
        <v>363</v>
      </c>
      <c r="B1408" s="103" t="s">
        <v>1548</v>
      </c>
    </row>
    <row r="1409" spans="1:2" ht="13.5" x14ac:dyDescent="0.25">
      <c r="A1409" s="93" t="s">
        <v>363</v>
      </c>
      <c r="B1409" s="105" t="s">
        <v>451</v>
      </c>
    </row>
    <row r="1410" spans="1:2" ht="13.5" x14ac:dyDescent="0.25">
      <c r="A1410" s="93" t="s">
        <v>363</v>
      </c>
      <c r="B1410" s="103" t="s">
        <v>1549</v>
      </c>
    </row>
    <row r="1411" spans="1:2" ht="13.5" x14ac:dyDescent="0.25">
      <c r="A1411" s="93" t="s">
        <v>363</v>
      </c>
      <c r="B1411" s="103" t="s">
        <v>1550</v>
      </c>
    </row>
    <row r="1412" spans="1:2" ht="13.5" x14ac:dyDescent="0.25">
      <c r="A1412" s="93" t="s">
        <v>363</v>
      </c>
      <c r="B1412" s="103" t="s">
        <v>1511</v>
      </c>
    </row>
    <row r="1413" spans="1:2" ht="13.5" x14ac:dyDescent="0.25">
      <c r="A1413" s="93" t="s">
        <v>363</v>
      </c>
      <c r="B1413" s="103" t="s">
        <v>1551</v>
      </c>
    </row>
    <row r="1414" spans="1:2" ht="13.5" x14ac:dyDescent="0.25">
      <c r="A1414" s="93" t="s">
        <v>363</v>
      </c>
      <c r="B1414" s="103" t="s">
        <v>1552</v>
      </c>
    </row>
    <row r="1415" spans="1:2" ht="13.5" x14ac:dyDescent="0.25">
      <c r="A1415" s="93" t="s">
        <v>363</v>
      </c>
      <c r="B1415" s="103" t="s">
        <v>1553</v>
      </c>
    </row>
    <row r="1416" spans="1:2" ht="13.5" x14ac:dyDescent="0.25">
      <c r="A1416" s="93" t="s">
        <v>363</v>
      </c>
      <c r="B1416" s="103" t="s">
        <v>1554</v>
      </c>
    </row>
    <row r="1417" spans="1:2" ht="13.5" x14ac:dyDescent="0.25">
      <c r="A1417" s="93" t="s">
        <v>363</v>
      </c>
      <c r="B1417" s="103" t="s">
        <v>1555</v>
      </c>
    </row>
    <row r="1418" spans="1:2" ht="13.5" x14ac:dyDescent="0.25">
      <c r="A1418" s="93" t="s">
        <v>363</v>
      </c>
      <c r="B1418" s="103" t="s">
        <v>1556</v>
      </c>
    </row>
    <row r="1419" spans="1:2" ht="13.5" x14ac:dyDescent="0.25">
      <c r="A1419" s="93" t="s">
        <v>363</v>
      </c>
      <c r="B1419" s="103" t="s">
        <v>697</v>
      </c>
    </row>
    <row r="1420" spans="1:2" ht="13.5" x14ac:dyDescent="0.25">
      <c r="A1420" s="93" t="s">
        <v>363</v>
      </c>
      <c r="B1420" s="103" t="s">
        <v>1557</v>
      </c>
    </row>
    <row r="1421" spans="1:2" ht="13.5" x14ac:dyDescent="0.25">
      <c r="A1421" s="93" t="s">
        <v>363</v>
      </c>
      <c r="B1421" s="103" t="s">
        <v>1558</v>
      </c>
    </row>
    <row r="1422" spans="1:2" ht="13.5" x14ac:dyDescent="0.25">
      <c r="A1422" s="93" t="s">
        <v>363</v>
      </c>
      <c r="B1422" s="103" t="s">
        <v>1559</v>
      </c>
    </row>
    <row r="1423" spans="1:2" ht="13.5" x14ac:dyDescent="0.25">
      <c r="A1423" s="93" t="s">
        <v>363</v>
      </c>
      <c r="B1423" s="103" t="s">
        <v>1560</v>
      </c>
    </row>
    <row r="1424" spans="1:2" ht="13.5" x14ac:dyDescent="0.25">
      <c r="A1424" s="93" t="s">
        <v>363</v>
      </c>
      <c r="B1424" s="103" t="s">
        <v>1561</v>
      </c>
    </row>
    <row r="1425" spans="1:2" ht="13.5" x14ac:dyDescent="0.25">
      <c r="A1425" s="93" t="s">
        <v>363</v>
      </c>
      <c r="B1425" s="103" t="s">
        <v>1562</v>
      </c>
    </row>
    <row r="1426" spans="1:2" ht="13.5" x14ac:dyDescent="0.25">
      <c r="A1426" s="93" t="s">
        <v>363</v>
      </c>
      <c r="B1426" s="103" t="s">
        <v>1563</v>
      </c>
    </row>
    <row r="1427" spans="1:2" ht="13.5" x14ac:dyDescent="0.25">
      <c r="A1427" s="93" t="s">
        <v>363</v>
      </c>
      <c r="B1427" s="103" t="s">
        <v>1564</v>
      </c>
    </row>
    <row r="1428" spans="1:2" ht="13.5" x14ac:dyDescent="0.25">
      <c r="A1428" s="93" t="s">
        <v>363</v>
      </c>
      <c r="B1428" s="103" t="s">
        <v>1189</v>
      </c>
    </row>
    <row r="1429" spans="1:2" ht="13.5" x14ac:dyDescent="0.25">
      <c r="A1429" s="93" t="s">
        <v>363</v>
      </c>
      <c r="B1429" s="103" t="s">
        <v>1565</v>
      </c>
    </row>
    <row r="1430" spans="1:2" ht="13.5" x14ac:dyDescent="0.25">
      <c r="A1430" s="93" t="s">
        <v>363</v>
      </c>
      <c r="B1430" s="103" t="s">
        <v>1566</v>
      </c>
    </row>
    <row r="1431" spans="1:2" ht="13.5" x14ac:dyDescent="0.25">
      <c r="A1431" s="93" t="s">
        <v>363</v>
      </c>
      <c r="B1431" s="103" t="s">
        <v>498</v>
      </c>
    </row>
    <row r="1432" spans="1:2" ht="13.5" x14ac:dyDescent="0.25">
      <c r="A1432" s="93" t="s">
        <v>363</v>
      </c>
      <c r="B1432" s="103" t="s">
        <v>1567</v>
      </c>
    </row>
    <row r="1433" spans="1:2" ht="13.5" x14ac:dyDescent="0.25">
      <c r="A1433" s="93" t="s">
        <v>363</v>
      </c>
      <c r="B1433" s="103" t="s">
        <v>831</v>
      </c>
    </row>
    <row r="1434" spans="1:2" ht="13.5" x14ac:dyDescent="0.25">
      <c r="A1434" s="93" t="s">
        <v>363</v>
      </c>
      <c r="B1434" s="103" t="s">
        <v>1568</v>
      </c>
    </row>
    <row r="1435" spans="1:2" ht="13.5" x14ac:dyDescent="0.25">
      <c r="A1435" s="93" t="s">
        <v>363</v>
      </c>
      <c r="B1435" s="103" t="s">
        <v>1569</v>
      </c>
    </row>
    <row r="1436" spans="1:2" ht="13.5" x14ac:dyDescent="0.25">
      <c r="A1436" s="93" t="s">
        <v>363</v>
      </c>
      <c r="B1436" s="103" t="s">
        <v>437</v>
      </c>
    </row>
    <row r="1437" spans="1:2" ht="13.5" x14ac:dyDescent="0.25">
      <c r="A1437" s="93" t="s">
        <v>363</v>
      </c>
      <c r="B1437" s="103" t="s">
        <v>1570</v>
      </c>
    </row>
    <row r="1438" spans="1:2" ht="13.5" x14ac:dyDescent="0.25">
      <c r="A1438" s="93" t="s">
        <v>363</v>
      </c>
      <c r="B1438" s="103" t="s">
        <v>1571</v>
      </c>
    </row>
    <row r="1439" spans="1:2" ht="13.5" x14ac:dyDescent="0.25">
      <c r="A1439" s="93" t="s">
        <v>363</v>
      </c>
      <c r="B1439" s="103" t="s">
        <v>1572</v>
      </c>
    </row>
    <row r="1440" spans="1:2" ht="13.5" x14ac:dyDescent="0.25">
      <c r="A1440" s="93" t="s">
        <v>363</v>
      </c>
      <c r="B1440" s="103" t="s">
        <v>1573</v>
      </c>
    </row>
    <row r="1441" spans="1:2" x14ac:dyDescent="0.2">
      <c r="A1441" s="93" t="s">
        <v>361</v>
      </c>
      <c r="B1441" s="101" t="s">
        <v>1574</v>
      </c>
    </row>
    <row r="1442" spans="1:2" ht="13.5" x14ac:dyDescent="0.25">
      <c r="A1442" s="93" t="s">
        <v>363</v>
      </c>
      <c r="B1442" s="103" t="s">
        <v>1574</v>
      </c>
    </row>
    <row r="1443" spans="1:2" ht="13.5" x14ac:dyDescent="0.25">
      <c r="A1443" s="93" t="s">
        <v>363</v>
      </c>
      <c r="B1443" s="103" t="s">
        <v>1575</v>
      </c>
    </row>
    <row r="1444" spans="1:2" ht="13.5" x14ac:dyDescent="0.25">
      <c r="A1444" s="93" t="s">
        <v>363</v>
      </c>
      <c r="B1444" s="103" t="s">
        <v>1576</v>
      </c>
    </row>
    <row r="1445" spans="1:2" ht="13.5" x14ac:dyDescent="0.25">
      <c r="A1445" s="93" t="s">
        <v>363</v>
      </c>
      <c r="B1445" s="103" t="s">
        <v>1577</v>
      </c>
    </row>
    <row r="1446" spans="1:2" ht="13.5" x14ac:dyDescent="0.25">
      <c r="A1446" s="93" t="s">
        <v>363</v>
      </c>
      <c r="B1446" s="103" t="s">
        <v>1578</v>
      </c>
    </row>
    <row r="1447" spans="1:2" x14ac:dyDescent="0.2">
      <c r="A1447" s="93" t="s">
        <v>361</v>
      </c>
      <c r="B1447" s="101" t="s">
        <v>1579</v>
      </c>
    </row>
    <row r="1448" spans="1:2" ht="13.5" x14ac:dyDescent="0.25">
      <c r="A1448" s="93" t="s">
        <v>363</v>
      </c>
      <c r="B1448" s="103" t="s">
        <v>1579</v>
      </c>
    </row>
    <row r="1449" spans="1:2" ht="13.5" x14ac:dyDescent="0.25">
      <c r="A1449" s="93" t="s">
        <v>363</v>
      </c>
      <c r="B1449" s="103" t="s">
        <v>1580</v>
      </c>
    </row>
    <row r="1450" spans="1:2" ht="13.5" x14ac:dyDescent="0.25">
      <c r="A1450" s="93" t="s">
        <v>363</v>
      </c>
      <c r="B1450" s="103" t="s">
        <v>1581</v>
      </c>
    </row>
    <row r="1451" spans="1:2" ht="13.5" x14ac:dyDescent="0.25">
      <c r="A1451" s="93" t="s">
        <v>363</v>
      </c>
      <c r="B1451" s="103" t="s">
        <v>1582</v>
      </c>
    </row>
    <row r="1452" spans="1:2" ht="13.5" x14ac:dyDescent="0.25">
      <c r="A1452" s="93" t="s">
        <v>363</v>
      </c>
      <c r="B1452" s="103" t="s">
        <v>1583</v>
      </c>
    </row>
    <row r="1453" spans="1:2" x14ac:dyDescent="0.2">
      <c r="A1453" s="93" t="s">
        <v>361</v>
      </c>
      <c r="B1453" s="101" t="s">
        <v>1584</v>
      </c>
    </row>
    <row r="1454" spans="1:2" ht="13.5" x14ac:dyDescent="0.25">
      <c r="A1454" s="93" t="s">
        <v>363</v>
      </c>
      <c r="B1454" s="103" t="s">
        <v>1584</v>
      </c>
    </row>
    <row r="1455" spans="1:2" ht="13.5" x14ac:dyDescent="0.25">
      <c r="A1455" s="93" t="s">
        <v>363</v>
      </c>
      <c r="B1455" s="103" t="s">
        <v>1585</v>
      </c>
    </row>
    <row r="1456" spans="1:2" ht="13.5" x14ac:dyDescent="0.25">
      <c r="A1456" s="93" t="s">
        <v>363</v>
      </c>
      <c r="B1456" s="105" t="s">
        <v>1586</v>
      </c>
    </row>
    <row r="1457" spans="1:2" ht="13.5" x14ac:dyDescent="0.25">
      <c r="A1457" s="93" t="s">
        <v>363</v>
      </c>
      <c r="B1457" s="103" t="s">
        <v>1587</v>
      </c>
    </row>
    <row r="1458" spans="1:2" ht="13.5" x14ac:dyDescent="0.25">
      <c r="A1458" s="93" t="s">
        <v>363</v>
      </c>
      <c r="B1458" s="103" t="s">
        <v>1588</v>
      </c>
    </row>
    <row r="1459" spans="1:2" ht="13.5" x14ac:dyDescent="0.25">
      <c r="A1459" s="93" t="s">
        <v>363</v>
      </c>
      <c r="B1459" s="103" t="s">
        <v>1257</v>
      </c>
    </row>
    <row r="1460" spans="1:2" ht="13.5" x14ac:dyDescent="0.25">
      <c r="A1460" s="93" t="s">
        <v>363</v>
      </c>
      <c r="B1460" s="103" t="s">
        <v>1589</v>
      </c>
    </row>
    <row r="1461" spans="1:2" x14ac:dyDescent="0.2">
      <c r="A1461" s="93" t="s">
        <v>361</v>
      </c>
      <c r="B1461" s="101" t="s">
        <v>1590</v>
      </c>
    </row>
    <row r="1462" spans="1:2" ht="13.5" x14ac:dyDescent="0.25">
      <c r="A1462" s="93" t="s">
        <v>363</v>
      </c>
      <c r="B1462" s="103" t="s">
        <v>1591</v>
      </c>
    </row>
    <row r="1463" spans="1:2" ht="13.5" x14ac:dyDescent="0.25">
      <c r="A1463" s="93" t="s">
        <v>363</v>
      </c>
      <c r="B1463" s="103" t="s">
        <v>1592</v>
      </c>
    </row>
    <row r="1464" spans="1:2" ht="13.5" x14ac:dyDescent="0.25">
      <c r="A1464" s="93" t="s">
        <v>363</v>
      </c>
      <c r="B1464" s="103" t="s">
        <v>1593</v>
      </c>
    </row>
    <row r="1465" spans="1:2" ht="13.5" x14ac:dyDescent="0.25">
      <c r="A1465" s="93" t="s">
        <v>363</v>
      </c>
      <c r="B1465" s="103" t="s">
        <v>1594</v>
      </c>
    </row>
    <row r="1466" spans="1:2" ht="13.5" x14ac:dyDescent="0.25">
      <c r="A1466" s="93" t="s">
        <v>363</v>
      </c>
      <c r="B1466" s="103" t="s">
        <v>1322</v>
      </c>
    </row>
    <row r="1467" spans="1:2" ht="13.5" x14ac:dyDescent="0.25">
      <c r="A1467" s="93" t="s">
        <v>363</v>
      </c>
      <c r="B1467" s="103" t="s">
        <v>1595</v>
      </c>
    </row>
    <row r="1468" spans="1:2" ht="13.5" x14ac:dyDescent="0.25">
      <c r="A1468" s="93" t="s">
        <v>363</v>
      </c>
      <c r="B1468" s="103" t="s">
        <v>1596</v>
      </c>
    </row>
    <row r="1469" spans="1:2" ht="13.5" x14ac:dyDescent="0.25">
      <c r="A1469" s="93" t="s">
        <v>363</v>
      </c>
      <c r="B1469" s="103" t="s">
        <v>1597</v>
      </c>
    </row>
    <row r="1470" spans="1:2" ht="13.5" x14ac:dyDescent="0.25">
      <c r="A1470" s="93" t="s">
        <v>363</v>
      </c>
      <c r="B1470" s="103" t="s">
        <v>1598</v>
      </c>
    </row>
    <row r="1471" spans="1:2" ht="13.5" x14ac:dyDescent="0.25">
      <c r="A1471" s="93" t="s">
        <v>363</v>
      </c>
      <c r="B1471" s="103" t="s">
        <v>1599</v>
      </c>
    </row>
    <row r="1472" spans="1:2" ht="13.5" x14ac:dyDescent="0.25">
      <c r="A1472" s="93" t="s">
        <v>363</v>
      </c>
      <c r="B1472" s="103" t="s">
        <v>1600</v>
      </c>
    </row>
    <row r="1473" spans="1:2" ht="13.5" x14ac:dyDescent="0.25">
      <c r="A1473" s="93" t="s">
        <v>363</v>
      </c>
      <c r="B1473" s="103" t="s">
        <v>1601</v>
      </c>
    </row>
    <row r="1474" spans="1:2" ht="13.5" x14ac:dyDescent="0.25">
      <c r="A1474" s="93" t="s">
        <v>363</v>
      </c>
      <c r="B1474" s="103" t="s">
        <v>684</v>
      </c>
    </row>
    <row r="1475" spans="1:2" ht="13.5" x14ac:dyDescent="0.25">
      <c r="A1475" s="93" t="s">
        <v>363</v>
      </c>
      <c r="B1475" s="103" t="s">
        <v>498</v>
      </c>
    </row>
    <row r="1476" spans="1:2" ht="13.5" x14ac:dyDescent="0.25">
      <c r="A1476" s="93" t="s">
        <v>363</v>
      </c>
      <c r="B1476" s="103" t="s">
        <v>1602</v>
      </c>
    </row>
    <row r="1477" spans="1:2" ht="13.5" x14ac:dyDescent="0.25">
      <c r="A1477" s="93" t="s">
        <v>363</v>
      </c>
      <c r="B1477" s="103" t="s">
        <v>1603</v>
      </c>
    </row>
    <row r="1478" spans="1:2" x14ac:dyDescent="0.2">
      <c r="A1478" s="93" t="s">
        <v>361</v>
      </c>
      <c r="B1478" s="101" t="s">
        <v>1604</v>
      </c>
    </row>
    <row r="1479" spans="1:2" ht="13.5" x14ac:dyDescent="0.25">
      <c r="A1479" s="93" t="s">
        <v>363</v>
      </c>
      <c r="B1479" s="103" t="s">
        <v>1604</v>
      </c>
    </row>
    <row r="1480" spans="1:2" ht="13.5" x14ac:dyDescent="0.25">
      <c r="A1480" s="93" t="s">
        <v>363</v>
      </c>
      <c r="B1480" s="103" t="s">
        <v>1605</v>
      </c>
    </row>
    <row r="1481" spans="1:2" ht="13.5" x14ac:dyDescent="0.25">
      <c r="A1481" s="93" t="s">
        <v>363</v>
      </c>
      <c r="B1481" s="103" t="s">
        <v>1606</v>
      </c>
    </row>
    <row r="1482" spans="1:2" ht="13.5" x14ac:dyDescent="0.25">
      <c r="A1482" s="93" t="s">
        <v>363</v>
      </c>
      <c r="B1482" s="103" t="s">
        <v>1607</v>
      </c>
    </row>
    <row r="1483" spans="1:2" ht="13.5" x14ac:dyDescent="0.25">
      <c r="A1483" s="93" t="s">
        <v>363</v>
      </c>
      <c r="B1483" s="103" t="s">
        <v>989</v>
      </c>
    </row>
    <row r="1484" spans="1:2" ht="13.5" x14ac:dyDescent="0.25">
      <c r="A1484" s="93" t="s">
        <v>363</v>
      </c>
      <c r="B1484" s="103" t="s">
        <v>1608</v>
      </c>
    </row>
    <row r="1485" spans="1:2" ht="13.5" x14ac:dyDescent="0.25">
      <c r="A1485" s="93" t="s">
        <v>363</v>
      </c>
      <c r="B1485" s="103" t="s">
        <v>1609</v>
      </c>
    </row>
    <row r="1486" spans="1:2" ht="13.5" x14ac:dyDescent="0.25">
      <c r="A1486" s="93" t="s">
        <v>363</v>
      </c>
      <c r="B1486" s="103" t="s">
        <v>1610</v>
      </c>
    </row>
    <row r="1487" spans="1:2" ht="13.5" x14ac:dyDescent="0.25">
      <c r="A1487" s="93" t="s">
        <v>363</v>
      </c>
      <c r="B1487" s="103" t="s">
        <v>1611</v>
      </c>
    </row>
    <row r="1488" spans="1:2" ht="13.5" x14ac:dyDescent="0.25">
      <c r="A1488" s="93" t="s">
        <v>363</v>
      </c>
      <c r="B1488" s="103" t="s">
        <v>1612</v>
      </c>
    </row>
    <row r="1489" spans="1:2" ht="13.5" x14ac:dyDescent="0.25">
      <c r="A1489" s="93" t="s">
        <v>363</v>
      </c>
      <c r="B1489" s="103" t="s">
        <v>1613</v>
      </c>
    </row>
    <row r="1490" spans="1:2" ht="13.5" x14ac:dyDescent="0.25">
      <c r="A1490" s="93" t="s">
        <v>363</v>
      </c>
      <c r="B1490" s="103" t="s">
        <v>1614</v>
      </c>
    </row>
    <row r="1491" spans="1:2" x14ac:dyDescent="0.2">
      <c r="A1491" s="93" t="s">
        <v>361</v>
      </c>
      <c r="B1491" s="101" t="s">
        <v>1615</v>
      </c>
    </row>
    <row r="1492" spans="1:2" ht="13.5" x14ac:dyDescent="0.25">
      <c r="A1492" s="93" t="s">
        <v>363</v>
      </c>
      <c r="B1492" s="103" t="s">
        <v>1616</v>
      </c>
    </row>
    <row r="1493" spans="1:2" ht="13.5" x14ac:dyDescent="0.25">
      <c r="A1493" s="93" t="s">
        <v>363</v>
      </c>
      <c r="B1493" s="103" t="s">
        <v>1617</v>
      </c>
    </row>
    <row r="1494" spans="1:2" ht="13.5" x14ac:dyDescent="0.25">
      <c r="A1494" s="93" t="s">
        <v>363</v>
      </c>
      <c r="B1494" s="103" t="s">
        <v>1618</v>
      </c>
    </row>
    <row r="1495" spans="1:2" ht="13.5" x14ac:dyDescent="0.25">
      <c r="A1495" s="93" t="s">
        <v>363</v>
      </c>
      <c r="B1495" s="103" t="s">
        <v>1619</v>
      </c>
    </row>
    <row r="1496" spans="1:2" ht="13.5" x14ac:dyDescent="0.25">
      <c r="A1496" s="93" t="s">
        <v>363</v>
      </c>
      <c r="B1496" s="103" t="s">
        <v>1620</v>
      </c>
    </row>
    <row r="1497" spans="1:2" ht="13.5" x14ac:dyDescent="0.25">
      <c r="A1497" s="93" t="s">
        <v>363</v>
      </c>
      <c r="B1497" s="103" t="s">
        <v>1128</v>
      </c>
    </row>
    <row r="1498" spans="1:2" ht="13.5" x14ac:dyDescent="0.25">
      <c r="A1498" s="93" t="s">
        <v>363</v>
      </c>
      <c r="B1498" s="103" t="s">
        <v>1621</v>
      </c>
    </row>
    <row r="1499" spans="1:2" ht="13.5" x14ac:dyDescent="0.25">
      <c r="A1499" s="93" t="s">
        <v>363</v>
      </c>
      <c r="B1499" s="103" t="s">
        <v>1622</v>
      </c>
    </row>
    <row r="1500" spans="1:2" ht="13.5" x14ac:dyDescent="0.25">
      <c r="A1500" s="93" t="s">
        <v>363</v>
      </c>
      <c r="B1500" s="103" t="s">
        <v>1615</v>
      </c>
    </row>
    <row r="1501" spans="1:2" ht="13.5" x14ac:dyDescent="0.25">
      <c r="A1501" s="93" t="s">
        <v>363</v>
      </c>
      <c r="B1501" s="103" t="s">
        <v>1623</v>
      </c>
    </row>
    <row r="1502" spans="1:2" ht="13.5" x14ac:dyDescent="0.25">
      <c r="A1502" s="93" t="s">
        <v>363</v>
      </c>
      <c r="B1502" s="103" t="s">
        <v>1624</v>
      </c>
    </row>
    <row r="1503" spans="1:2" ht="13.5" x14ac:dyDescent="0.25">
      <c r="A1503" s="93" t="s">
        <v>363</v>
      </c>
      <c r="B1503" s="105" t="s">
        <v>1625</v>
      </c>
    </row>
    <row r="1504" spans="1:2" ht="13.5" x14ac:dyDescent="0.25">
      <c r="A1504" s="93" t="s">
        <v>363</v>
      </c>
      <c r="B1504" s="103" t="s">
        <v>1626</v>
      </c>
    </row>
    <row r="1505" spans="1:2" ht="13.5" x14ac:dyDescent="0.25">
      <c r="A1505" s="93" t="s">
        <v>363</v>
      </c>
      <c r="B1505" s="103" t="s">
        <v>1627</v>
      </c>
    </row>
    <row r="1506" spans="1:2" ht="13.5" x14ac:dyDescent="0.25">
      <c r="A1506" s="93" t="s">
        <v>363</v>
      </c>
      <c r="B1506" s="103" t="s">
        <v>1628</v>
      </c>
    </row>
    <row r="1507" spans="1:2" ht="13.5" x14ac:dyDescent="0.25">
      <c r="A1507" s="93" t="s">
        <v>363</v>
      </c>
      <c r="B1507" s="103" t="s">
        <v>684</v>
      </c>
    </row>
    <row r="1508" spans="1:2" ht="13.5" x14ac:dyDescent="0.25">
      <c r="A1508" s="93" t="s">
        <v>363</v>
      </c>
      <c r="B1508" s="103" t="s">
        <v>1629</v>
      </c>
    </row>
    <row r="1509" spans="1:2" ht="13.5" x14ac:dyDescent="0.25">
      <c r="A1509" s="93" t="s">
        <v>363</v>
      </c>
      <c r="B1509" s="103" t="s">
        <v>1630</v>
      </c>
    </row>
    <row r="1510" spans="1:2" ht="13.5" x14ac:dyDescent="0.25">
      <c r="A1510" s="93" t="s">
        <v>363</v>
      </c>
      <c r="B1510" s="103" t="s">
        <v>1631</v>
      </c>
    </row>
    <row r="1511" spans="1:2" ht="13.5" x14ac:dyDescent="0.25">
      <c r="A1511" s="93" t="s">
        <v>363</v>
      </c>
      <c r="B1511" s="103" t="s">
        <v>1632</v>
      </c>
    </row>
    <row r="1512" spans="1:2" ht="13.5" x14ac:dyDescent="0.25">
      <c r="A1512" s="93" t="s">
        <v>363</v>
      </c>
      <c r="B1512" s="103" t="s">
        <v>1633</v>
      </c>
    </row>
    <row r="1513" spans="1:2" ht="13.5" x14ac:dyDescent="0.25">
      <c r="A1513" s="93" t="s">
        <v>363</v>
      </c>
      <c r="B1513" s="103" t="s">
        <v>1634</v>
      </c>
    </row>
    <row r="1514" spans="1:2" ht="13.5" x14ac:dyDescent="0.25">
      <c r="A1514" s="93" t="s">
        <v>363</v>
      </c>
      <c r="B1514" s="103" t="s">
        <v>1635</v>
      </c>
    </row>
    <row r="1515" spans="1:2" ht="13.5" x14ac:dyDescent="0.25">
      <c r="A1515" s="93" t="s">
        <v>363</v>
      </c>
      <c r="B1515" s="103" t="s">
        <v>1636</v>
      </c>
    </row>
    <row r="1516" spans="1:2" ht="13.5" x14ac:dyDescent="0.25">
      <c r="A1516" s="93" t="s">
        <v>363</v>
      </c>
      <c r="B1516" s="103" t="s">
        <v>1637</v>
      </c>
    </row>
    <row r="1517" spans="1:2" ht="13.5" x14ac:dyDescent="0.25">
      <c r="A1517" s="93" t="s">
        <v>363</v>
      </c>
      <c r="B1517" s="103" t="s">
        <v>1638</v>
      </c>
    </row>
    <row r="1518" spans="1:2" ht="13.5" x14ac:dyDescent="0.25">
      <c r="A1518" s="93" t="s">
        <v>363</v>
      </c>
      <c r="B1518" s="103" t="s">
        <v>1639</v>
      </c>
    </row>
    <row r="1519" spans="1:2" ht="13.5" x14ac:dyDescent="0.25">
      <c r="A1519" s="93" t="s">
        <v>363</v>
      </c>
      <c r="B1519" s="103" t="s">
        <v>1640</v>
      </c>
    </row>
    <row r="1520" spans="1:2" ht="13.5" x14ac:dyDescent="0.25">
      <c r="A1520" s="93" t="s">
        <v>363</v>
      </c>
      <c r="B1520" s="103" t="s">
        <v>1641</v>
      </c>
    </row>
    <row r="1521" spans="1:2" ht="13.5" x14ac:dyDescent="0.25">
      <c r="A1521" s="93" t="s">
        <v>363</v>
      </c>
      <c r="B1521" s="103" t="s">
        <v>1642</v>
      </c>
    </row>
    <row r="1522" spans="1:2" ht="13.5" x14ac:dyDescent="0.25">
      <c r="A1522" s="93" t="s">
        <v>363</v>
      </c>
      <c r="B1522" s="103" t="s">
        <v>1643</v>
      </c>
    </row>
    <row r="1523" spans="1:2" ht="13.5" x14ac:dyDescent="0.25">
      <c r="A1523" s="93" t="s">
        <v>363</v>
      </c>
      <c r="B1523" s="103" t="s">
        <v>1644</v>
      </c>
    </row>
    <row r="1524" spans="1:2" x14ac:dyDescent="0.2">
      <c r="A1524" s="93" t="s">
        <v>361</v>
      </c>
      <c r="B1524" s="101" t="s">
        <v>1645</v>
      </c>
    </row>
    <row r="1525" spans="1:2" ht="13.5" x14ac:dyDescent="0.25">
      <c r="A1525" s="93" t="s">
        <v>363</v>
      </c>
      <c r="B1525" s="103" t="s">
        <v>1646</v>
      </c>
    </row>
    <row r="1526" spans="1:2" ht="13.5" x14ac:dyDescent="0.25">
      <c r="A1526" s="93" t="s">
        <v>363</v>
      </c>
      <c r="B1526" s="103" t="s">
        <v>1647</v>
      </c>
    </row>
    <row r="1527" spans="1:2" ht="13.5" x14ac:dyDescent="0.25">
      <c r="A1527" s="93" t="s">
        <v>363</v>
      </c>
      <c r="B1527" s="103" t="s">
        <v>1648</v>
      </c>
    </row>
    <row r="1528" spans="1:2" ht="13.5" x14ac:dyDescent="0.25">
      <c r="A1528" s="93" t="s">
        <v>363</v>
      </c>
      <c r="B1528" s="103" t="s">
        <v>1649</v>
      </c>
    </row>
    <row r="1529" spans="1:2" ht="13.5" x14ac:dyDescent="0.25">
      <c r="A1529" s="93" t="s">
        <v>363</v>
      </c>
      <c r="B1529" s="103" t="s">
        <v>1650</v>
      </c>
    </row>
    <row r="1530" spans="1:2" ht="13.5" x14ac:dyDescent="0.25">
      <c r="A1530" s="93" t="s">
        <v>363</v>
      </c>
      <c r="B1530" s="103" t="s">
        <v>1645</v>
      </c>
    </row>
    <row r="1531" spans="1:2" ht="13.5" x14ac:dyDescent="0.25">
      <c r="A1531" s="93" t="s">
        <v>363</v>
      </c>
      <c r="B1531" s="103" t="s">
        <v>846</v>
      </c>
    </row>
    <row r="1532" spans="1:2" ht="13.5" x14ac:dyDescent="0.25">
      <c r="A1532" s="93" t="s">
        <v>363</v>
      </c>
      <c r="B1532" s="103" t="s">
        <v>1651</v>
      </c>
    </row>
    <row r="1533" spans="1:2" ht="13.5" x14ac:dyDescent="0.25">
      <c r="A1533" s="93" t="s">
        <v>363</v>
      </c>
      <c r="B1533" s="103" t="s">
        <v>1652</v>
      </c>
    </row>
    <row r="1534" spans="1:2" ht="13.5" x14ac:dyDescent="0.25">
      <c r="A1534" s="93" t="s">
        <v>363</v>
      </c>
      <c r="B1534" s="103" t="s">
        <v>1653</v>
      </c>
    </row>
    <row r="1535" spans="1:2" ht="13.5" x14ac:dyDescent="0.25">
      <c r="A1535" s="93" t="s">
        <v>363</v>
      </c>
      <c r="B1535" s="103" t="s">
        <v>1654</v>
      </c>
    </row>
    <row r="1536" spans="1:2" ht="13.5" x14ac:dyDescent="0.25">
      <c r="A1536" s="93" t="s">
        <v>363</v>
      </c>
      <c r="B1536" s="103" t="s">
        <v>1655</v>
      </c>
    </row>
    <row r="1537" spans="1:2" x14ac:dyDescent="0.2">
      <c r="A1537" s="93" t="s">
        <v>361</v>
      </c>
      <c r="B1537" s="101" t="s">
        <v>1656</v>
      </c>
    </row>
    <row r="1538" spans="1:2" ht="13.5" x14ac:dyDescent="0.25">
      <c r="A1538" s="93" t="s">
        <v>363</v>
      </c>
      <c r="B1538" s="103" t="s">
        <v>1656</v>
      </c>
    </row>
    <row r="1539" spans="1:2" ht="13.5" x14ac:dyDescent="0.25">
      <c r="A1539" s="93" t="s">
        <v>363</v>
      </c>
      <c r="B1539" s="103" t="s">
        <v>1657</v>
      </c>
    </row>
    <row r="1540" spans="1:2" ht="13.5" x14ac:dyDescent="0.25">
      <c r="A1540" s="93" t="s">
        <v>363</v>
      </c>
      <c r="B1540" s="103" t="s">
        <v>1658</v>
      </c>
    </row>
    <row r="1541" spans="1:2" ht="13.5" x14ac:dyDescent="0.25">
      <c r="A1541" s="93" t="s">
        <v>363</v>
      </c>
      <c r="B1541" s="103" t="s">
        <v>1659</v>
      </c>
    </row>
    <row r="1542" spans="1:2" ht="13.5" x14ac:dyDescent="0.25">
      <c r="A1542" s="93" t="s">
        <v>363</v>
      </c>
      <c r="B1542" s="103" t="s">
        <v>1660</v>
      </c>
    </row>
    <row r="1543" spans="1:2" ht="13.5" x14ac:dyDescent="0.25">
      <c r="A1543" s="93" t="s">
        <v>363</v>
      </c>
      <c r="B1543" s="103" t="s">
        <v>1661</v>
      </c>
    </row>
    <row r="1544" spans="1:2" x14ac:dyDescent="0.2">
      <c r="A1544" s="93" t="s">
        <v>361</v>
      </c>
      <c r="B1544" s="101" t="s">
        <v>1393</v>
      </c>
    </row>
    <row r="1545" spans="1:2" ht="13.5" x14ac:dyDescent="0.25">
      <c r="A1545" s="93" t="s">
        <v>363</v>
      </c>
      <c r="B1545" s="103" t="s">
        <v>1393</v>
      </c>
    </row>
    <row r="1546" spans="1:2" ht="13.5" x14ac:dyDescent="0.25">
      <c r="A1546" s="93" t="s">
        <v>363</v>
      </c>
      <c r="B1546" s="103" t="s">
        <v>1662</v>
      </c>
    </row>
    <row r="1547" spans="1:2" ht="13.5" x14ac:dyDescent="0.25">
      <c r="A1547" s="93" t="s">
        <v>363</v>
      </c>
      <c r="B1547" s="103" t="s">
        <v>1663</v>
      </c>
    </row>
    <row r="1548" spans="1:2" ht="13.5" x14ac:dyDescent="0.25">
      <c r="A1548" s="93" t="s">
        <v>363</v>
      </c>
      <c r="B1548" s="103" t="s">
        <v>1664</v>
      </c>
    </row>
    <row r="1549" spans="1:2" ht="13.5" x14ac:dyDescent="0.25">
      <c r="A1549" s="93" t="s">
        <v>363</v>
      </c>
      <c r="B1549" s="103" t="s">
        <v>1665</v>
      </c>
    </row>
    <row r="1550" spans="1:2" ht="13.5" x14ac:dyDescent="0.25">
      <c r="A1550" s="93" t="s">
        <v>363</v>
      </c>
      <c r="B1550" s="105" t="s">
        <v>1666</v>
      </c>
    </row>
    <row r="1551" spans="1:2" ht="13.5" x14ac:dyDescent="0.25">
      <c r="A1551" s="93" t="s">
        <v>363</v>
      </c>
      <c r="B1551" s="103" t="s">
        <v>1667</v>
      </c>
    </row>
    <row r="1552" spans="1:2" ht="13.5" x14ac:dyDescent="0.25">
      <c r="A1552" s="93" t="s">
        <v>363</v>
      </c>
      <c r="B1552" s="103" t="s">
        <v>1668</v>
      </c>
    </row>
    <row r="1553" spans="1:2" ht="13.5" x14ac:dyDescent="0.25">
      <c r="A1553" s="93" t="s">
        <v>363</v>
      </c>
      <c r="B1553" s="103" t="s">
        <v>1669</v>
      </c>
    </row>
    <row r="1554" spans="1:2" ht="13.5" x14ac:dyDescent="0.25">
      <c r="A1554" s="93" t="s">
        <v>363</v>
      </c>
      <c r="B1554" s="103" t="s">
        <v>554</v>
      </c>
    </row>
    <row r="1555" spans="1:2" ht="13.5" x14ac:dyDescent="0.25">
      <c r="A1555" s="93" t="s">
        <v>363</v>
      </c>
      <c r="B1555" s="103" t="s">
        <v>1670</v>
      </c>
    </row>
    <row r="1556" spans="1:2" ht="13.5" x14ac:dyDescent="0.25">
      <c r="A1556" s="93" t="s">
        <v>363</v>
      </c>
      <c r="B1556" s="103" t="s">
        <v>1671</v>
      </c>
    </row>
    <row r="1557" spans="1:2" ht="13.5" x14ac:dyDescent="0.25">
      <c r="A1557" s="93" t="s">
        <v>363</v>
      </c>
      <c r="B1557" s="103" t="s">
        <v>1672</v>
      </c>
    </row>
    <row r="1558" spans="1:2" ht="13.5" x14ac:dyDescent="0.25">
      <c r="A1558" s="93" t="s">
        <v>363</v>
      </c>
      <c r="B1558" s="103" t="s">
        <v>1673</v>
      </c>
    </row>
    <row r="1559" spans="1:2" ht="13.5" x14ac:dyDescent="0.25">
      <c r="A1559" s="93" t="s">
        <v>363</v>
      </c>
      <c r="B1559" s="103" t="s">
        <v>1674</v>
      </c>
    </row>
    <row r="1560" spans="1:2" ht="13.5" x14ac:dyDescent="0.25">
      <c r="A1560" s="93" t="s">
        <v>363</v>
      </c>
      <c r="B1560" s="103" t="s">
        <v>1675</v>
      </c>
    </row>
    <row r="1561" spans="1:2" ht="13.5" x14ac:dyDescent="0.25">
      <c r="A1561" s="93" t="s">
        <v>363</v>
      </c>
      <c r="B1561" s="103" t="s">
        <v>1676</v>
      </c>
    </row>
    <row r="1562" spans="1:2" ht="13.5" x14ac:dyDescent="0.25">
      <c r="A1562" s="93" t="s">
        <v>363</v>
      </c>
      <c r="B1562" s="103" t="s">
        <v>1625</v>
      </c>
    </row>
    <row r="1563" spans="1:2" ht="13.5" x14ac:dyDescent="0.25">
      <c r="A1563" s="93" t="s">
        <v>363</v>
      </c>
      <c r="B1563" s="103" t="s">
        <v>1677</v>
      </c>
    </row>
    <row r="1564" spans="1:2" ht="13.5" x14ac:dyDescent="0.25">
      <c r="A1564" s="93" t="s">
        <v>363</v>
      </c>
      <c r="B1564" s="103" t="s">
        <v>1678</v>
      </c>
    </row>
    <row r="1565" spans="1:2" ht="13.5" x14ac:dyDescent="0.25">
      <c r="A1565" s="93" t="s">
        <v>363</v>
      </c>
      <c r="B1565" s="103" t="s">
        <v>697</v>
      </c>
    </row>
    <row r="1566" spans="1:2" ht="13.5" x14ac:dyDescent="0.25">
      <c r="A1566" s="93" t="s">
        <v>363</v>
      </c>
      <c r="B1566" s="103" t="s">
        <v>1679</v>
      </c>
    </row>
    <row r="1567" spans="1:2" ht="13.5" x14ac:dyDescent="0.25">
      <c r="A1567" s="93" t="s">
        <v>363</v>
      </c>
      <c r="B1567" s="103" t="s">
        <v>1680</v>
      </c>
    </row>
    <row r="1568" spans="1:2" ht="13.5" x14ac:dyDescent="0.25">
      <c r="A1568" s="93" t="s">
        <v>363</v>
      </c>
      <c r="B1568" s="103" t="s">
        <v>1681</v>
      </c>
    </row>
    <row r="1569" spans="1:2" ht="13.5" x14ac:dyDescent="0.25">
      <c r="A1569" s="93" t="s">
        <v>363</v>
      </c>
      <c r="B1569" s="103" t="s">
        <v>1682</v>
      </c>
    </row>
    <row r="1570" spans="1:2" ht="13.5" x14ac:dyDescent="0.25">
      <c r="A1570" s="93" t="s">
        <v>363</v>
      </c>
      <c r="B1570" s="103" t="s">
        <v>1683</v>
      </c>
    </row>
    <row r="1571" spans="1:2" ht="13.5" x14ac:dyDescent="0.25">
      <c r="A1571" s="93" t="s">
        <v>363</v>
      </c>
      <c r="B1571" s="103" t="s">
        <v>1684</v>
      </c>
    </row>
    <row r="1572" spans="1:2" ht="13.5" x14ac:dyDescent="0.25">
      <c r="A1572" s="93" t="s">
        <v>363</v>
      </c>
      <c r="B1572" s="103" t="s">
        <v>1685</v>
      </c>
    </row>
    <row r="1573" spans="1:2" ht="13.5" x14ac:dyDescent="0.25">
      <c r="A1573" s="93" t="s">
        <v>363</v>
      </c>
      <c r="B1573" s="103" t="s">
        <v>1686</v>
      </c>
    </row>
    <row r="1574" spans="1:2" ht="13.5" x14ac:dyDescent="0.25">
      <c r="A1574" s="93" t="s">
        <v>363</v>
      </c>
      <c r="B1574" s="103" t="s">
        <v>1687</v>
      </c>
    </row>
    <row r="1575" spans="1:2" ht="13.5" x14ac:dyDescent="0.25">
      <c r="A1575" s="93" t="s">
        <v>363</v>
      </c>
      <c r="B1575" s="103" t="s">
        <v>1688</v>
      </c>
    </row>
    <row r="1576" spans="1:2" ht="13.5" x14ac:dyDescent="0.25">
      <c r="A1576" s="93" t="s">
        <v>363</v>
      </c>
      <c r="B1576" s="103" t="s">
        <v>1689</v>
      </c>
    </row>
    <row r="1577" spans="1:2" ht="13.5" x14ac:dyDescent="0.25">
      <c r="A1577" s="93" t="s">
        <v>363</v>
      </c>
      <c r="B1577" s="103" t="s">
        <v>1690</v>
      </c>
    </row>
    <row r="1578" spans="1:2" x14ac:dyDescent="0.2">
      <c r="A1578" s="93" t="s">
        <v>360</v>
      </c>
      <c r="B1578" s="98" t="s">
        <v>350</v>
      </c>
    </row>
    <row r="1579" spans="1:2" x14ac:dyDescent="0.2">
      <c r="A1579" s="93" t="s">
        <v>361</v>
      </c>
      <c r="B1579" s="101" t="s">
        <v>1691</v>
      </c>
    </row>
    <row r="1580" spans="1:2" ht="13.5" x14ac:dyDescent="0.25">
      <c r="A1580" s="93" t="s">
        <v>363</v>
      </c>
      <c r="B1580" s="103" t="s">
        <v>1692</v>
      </c>
    </row>
    <row r="1581" spans="1:2" ht="13.5" x14ac:dyDescent="0.25">
      <c r="A1581" s="93" t="s">
        <v>363</v>
      </c>
      <c r="B1581" s="103" t="s">
        <v>1693</v>
      </c>
    </row>
    <row r="1582" spans="1:2" ht="13.5" x14ac:dyDescent="0.25">
      <c r="A1582" s="93" t="s">
        <v>363</v>
      </c>
      <c r="B1582" s="103" t="s">
        <v>1694</v>
      </c>
    </row>
    <row r="1583" spans="1:2" ht="13.5" x14ac:dyDescent="0.25">
      <c r="A1583" s="93" t="s">
        <v>363</v>
      </c>
      <c r="B1583" s="103" t="s">
        <v>1695</v>
      </c>
    </row>
    <row r="1584" spans="1:2" ht="13.5" x14ac:dyDescent="0.25">
      <c r="A1584" s="93" t="s">
        <v>363</v>
      </c>
      <c r="B1584" s="103" t="s">
        <v>1696</v>
      </c>
    </row>
    <row r="1585" spans="1:2" ht="13.5" x14ac:dyDescent="0.25">
      <c r="A1585" s="93" t="s">
        <v>363</v>
      </c>
      <c r="B1585" s="103" t="s">
        <v>1697</v>
      </c>
    </row>
    <row r="1586" spans="1:2" ht="13.5" x14ac:dyDescent="0.25">
      <c r="A1586" s="93" t="s">
        <v>363</v>
      </c>
      <c r="B1586" s="103" t="s">
        <v>1698</v>
      </c>
    </row>
    <row r="1587" spans="1:2" ht="13.5" x14ac:dyDescent="0.25">
      <c r="A1587" s="93" t="s">
        <v>363</v>
      </c>
      <c r="B1587" s="103" t="s">
        <v>1699</v>
      </c>
    </row>
    <row r="1588" spans="1:2" ht="13.5" x14ac:dyDescent="0.25">
      <c r="A1588" s="93" t="s">
        <v>363</v>
      </c>
      <c r="B1588" s="103" t="s">
        <v>1700</v>
      </c>
    </row>
    <row r="1589" spans="1:2" ht="13.5" x14ac:dyDescent="0.25">
      <c r="A1589" s="93" t="s">
        <v>363</v>
      </c>
      <c r="B1589" s="103" t="s">
        <v>1701</v>
      </c>
    </row>
    <row r="1590" spans="1:2" ht="13.5" x14ac:dyDescent="0.25">
      <c r="A1590" s="93" t="s">
        <v>363</v>
      </c>
      <c r="B1590" s="103" t="s">
        <v>876</v>
      </c>
    </row>
    <row r="1591" spans="1:2" ht="13.5" x14ac:dyDescent="0.25">
      <c r="A1591" s="93" t="s">
        <v>363</v>
      </c>
      <c r="B1591" s="103" t="s">
        <v>805</v>
      </c>
    </row>
    <row r="1592" spans="1:2" ht="13.5" x14ac:dyDescent="0.25">
      <c r="A1592" s="93" t="s">
        <v>363</v>
      </c>
      <c r="B1592" s="103" t="s">
        <v>1702</v>
      </c>
    </row>
    <row r="1593" spans="1:2" x14ac:dyDescent="0.2">
      <c r="A1593" s="93" t="s">
        <v>361</v>
      </c>
      <c r="B1593" s="101" t="s">
        <v>1703</v>
      </c>
    </row>
    <row r="1594" spans="1:2" ht="13.5" x14ac:dyDescent="0.25">
      <c r="A1594" s="93" t="s">
        <v>363</v>
      </c>
      <c r="B1594" s="103" t="s">
        <v>1704</v>
      </c>
    </row>
    <row r="1595" spans="1:2" ht="13.5" x14ac:dyDescent="0.25">
      <c r="A1595" s="93" t="s">
        <v>363</v>
      </c>
      <c r="B1595" s="103" t="s">
        <v>1705</v>
      </c>
    </row>
    <row r="1596" spans="1:2" ht="13.5" x14ac:dyDescent="0.25">
      <c r="A1596" s="93" t="s">
        <v>363</v>
      </c>
      <c r="B1596" s="105" t="s">
        <v>1706</v>
      </c>
    </row>
    <row r="1597" spans="1:2" ht="13.5" x14ac:dyDescent="0.25">
      <c r="A1597" s="93" t="s">
        <v>363</v>
      </c>
      <c r="B1597" s="103" t="s">
        <v>1512</v>
      </c>
    </row>
    <row r="1598" spans="1:2" ht="13.5" x14ac:dyDescent="0.25">
      <c r="A1598" s="93" t="s">
        <v>363</v>
      </c>
      <c r="B1598" s="103" t="s">
        <v>538</v>
      </c>
    </row>
    <row r="1599" spans="1:2" ht="13.5" x14ac:dyDescent="0.25">
      <c r="A1599" s="93" t="s">
        <v>363</v>
      </c>
      <c r="B1599" s="103" t="s">
        <v>1707</v>
      </c>
    </row>
    <row r="1600" spans="1:2" x14ac:dyDescent="0.2">
      <c r="A1600" s="93" t="s">
        <v>361</v>
      </c>
      <c r="B1600" s="101" t="s">
        <v>350</v>
      </c>
    </row>
    <row r="1601" spans="1:2" ht="13.5" x14ac:dyDescent="0.25">
      <c r="A1601" s="93" t="s">
        <v>363</v>
      </c>
      <c r="B1601" s="103" t="s">
        <v>1708</v>
      </c>
    </row>
    <row r="1602" spans="1:2" ht="13.5" x14ac:dyDescent="0.25">
      <c r="A1602" s="93" t="s">
        <v>363</v>
      </c>
      <c r="B1602" s="103" t="s">
        <v>1709</v>
      </c>
    </row>
    <row r="1603" spans="1:2" ht="13.5" x14ac:dyDescent="0.25">
      <c r="A1603" s="93" t="s">
        <v>363</v>
      </c>
      <c r="B1603" s="103" t="s">
        <v>1710</v>
      </c>
    </row>
    <row r="1604" spans="1:2" ht="13.5" x14ac:dyDescent="0.25">
      <c r="A1604" s="93" t="s">
        <v>363</v>
      </c>
      <c r="B1604" s="103" t="s">
        <v>1711</v>
      </c>
    </row>
    <row r="1605" spans="1:2" ht="13.5" x14ac:dyDescent="0.25">
      <c r="A1605" s="93" t="s">
        <v>363</v>
      </c>
      <c r="B1605" s="103" t="s">
        <v>1712</v>
      </c>
    </row>
    <row r="1606" spans="1:2" x14ac:dyDescent="0.2">
      <c r="A1606" s="93" t="s">
        <v>361</v>
      </c>
      <c r="B1606" s="101" t="s">
        <v>1713</v>
      </c>
    </row>
    <row r="1607" spans="1:2" ht="13.5" x14ac:dyDescent="0.25">
      <c r="A1607" s="93" t="s">
        <v>363</v>
      </c>
      <c r="B1607" s="103" t="s">
        <v>1714</v>
      </c>
    </row>
    <row r="1608" spans="1:2" ht="13.5" x14ac:dyDescent="0.25">
      <c r="A1608" s="93" t="s">
        <v>363</v>
      </c>
      <c r="B1608" s="103" t="s">
        <v>1715</v>
      </c>
    </row>
    <row r="1609" spans="1:2" ht="13.5" x14ac:dyDescent="0.25">
      <c r="A1609" s="93" t="s">
        <v>363</v>
      </c>
      <c r="B1609" s="103" t="s">
        <v>1716</v>
      </c>
    </row>
    <row r="1610" spans="1:2" ht="13.5" x14ac:dyDescent="0.25">
      <c r="A1610" s="93" t="s">
        <v>363</v>
      </c>
      <c r="B1610" s="103" t="s">
        <v>1007</v>
      </c>
    </row>
    <row r="1611" spans="1:2" x14ac:dyDescent="0.2">
      <c r="A1611" s="93" t="s">
        <v>361</v>
      </c>
      <c r="B1611" s="101" t="s">
        <v>1717</v>
      </c>
    </row>
    <row r="1612" spans="1:2" ht="13.5" x14ac:dyDescent="0.25">
      <c r="A1612" s="93" t="s">
        <v>363</v>
      </c>
      <c r="B1612" s="103" t="s">
        <v>1717</v>
      </c>
    </row>
    <row r="1613" spans="1:2" ht="13.5" x14ac:dyDescent="0.25">
      <c r="A1613" s="93" t="s">
        <v>363</v>
      </c>
      <c r="B1613" s="103" t="s">
        <v>1718</v>
      </c>
    </row>
    <row r="1614" spans="1:2" ht="13.5" x14ac:dyDescent="0.25">
      <c r="A1614" s="93" t="s">
        <v>363</v>
      </c>
      <c r="B1614" s="103" t="s">
        <v>1719</v>
      </c>
    </row>
    <row r="1615" spans="1:2" ht="13.5" x14ac:dyDescent="0.25">
      <c r="A1615" s="93" t="s">
        <v>363</v>
      </c>
      <c r="B1615" s="103" t="s">
        <v>1720</v>
      </c>
    </row>
    <row r="1616" spans="1:2" ht="13.5" x14ac:dyDescent="0.25">
      <c r="A1616" s="93" t="s">
        <v>363</v>
      </c>
      <c r="B1616" s="103" t="s">
        <v>1721</v>
      </c>
    </row>
    <row r="1617" spans="1:2" ht="13.5" x14ac:dyDescent="0.25">
      <c r="A1617" s="93" t="s">
        <v>363</v>
      </c>
      <c r="B1617" s="103" t="s">
        <v>1722</v>
      </c>
    </row>
    <row r="1618" spans="1:2" ht="13.5" x14ac:dyDescent="0.25">
      <c r="A1618" s="93" t="s">
        <v>363</v>
      </c>
      <c r="B1618" s="103" t="s">
        <v>1723</v>
      </c>
    </row>
    <row r="1619" spans="1:2" ht="13.5" x14ac:dyDescent="0.25">
      <c r="A1619" s="93" t="s">
        <v>363</v>
      </c>
      <c r="B1619" s="103" t="s">
        <v>1724</v>
      </c>
    </row>
    <row r="1620" spans="1:2" ht="13.5" x14ac:dyDescent="0.25">
      <c r="A1620" s="93" t="s">
        <v>363</v>
      </c>
      <c r="B1620" s="103" t="s">
        <v>1725</v>
      </c>
    </row>
    <row r="1621" spans="1:2" ht="13.5" x14ac:dyDescent="0.25">
      <c r="A1621" s="93" t="s">
        <v>363</v>
      </c>
      <c r="B1621" s="103" t="s">
        <v>1726</v>
      </c>
    </row>
    <row r="1622" spans="1:2" ht="13.5" x14ac:dyDescent="0.25">
      <c r="A1622" s="93" t="s">
        <v>363</v>
      </c>
      <c r="B1622" s="103" t="s">
        <v>1727</v>
      </c>
    </row>
    <row r="1623" spans="1:2" x14ac:dyDescent="0.2">
      <c r="A1623" s="93" t="s">
        <v>361</v>
      </c>
      <c r="B1623" s="101" t="s">
        <v>359</v>
      </c>
    </row>
    <row r="1624" spans="1:2" ht="13.5" x14ac:dyDescent="0.25">
      <c r="A1624" s="93" t="s">
        <v>363</v>
      </c>
      <c r="B1624" s="103" t="s">
        <v>1728</v>
      </c>
    </row>
    <row r="1625" spans="1:2" ht="13.5" x14ac:dyDescent="0.25">
      <c r="A1625" s="93" t="s">
        <v>363</v>
      </c>
      <c r="B1625" s="103" t="s">
        <v>1729</v>
      </c>
    </row>
    <row r="1626" spans="1:2" ht="13.5" x14ac:dyDescent="0.25">
      <c r="A1626" s="93" t="s">
        <v>363</v>
      </c>
      <c r="B1626" s="103" t="s">
        <v>1730</v>
      </c>
    </row>
    <row r="1627" spans="1:2" ht="13.5" x14ac:dyDescent="0.25">
      <c r="A1627" s="93" t="s">
        <v>363</v>
      </c>
      <c r="B1627" s="103" t="s">
        <v>1401</v>
      </c>
    </row>
    <row r="1628" spans="1:2" ht="13.5" x14ac:dyDescent="0.25">
      <c r="A1628" s="93" t="s">
        <v>363</v>
      </c>
      <c r="B1628" s="103" t="s">
        <v>1731</v>
      </c>
    </row>
    <row r="1629" spans="1:2" ht="13.5" x14ac:dyDescent="0.25">
      <c r="A1629" s="93" t="s">
        <v>363</v>
      </c>
      <c r="B1629" s="103" t="s">
        <v>1732</v>
      </c>
    </row>
    <row r="1630" spans="1:2" x14ac:dyDescent="0.2">
      <c r="A1630" s="93" t="s">
        <v>361</v>
      </c>
      <c r="B1630" s="101" t="s">
        <v>1733</v>
      </c>
    </row>
    <row r="1631" spans="1:2" ht="13.5" x14ac:dyDescent="0.25">
      <c r="A1631" s="93" t="s">
        <v>363</v>
      </c>
      <c r="B1631" s="103" t="s">
        <v>1574</v>
      </c>
    </row>
    <row r="1632" spans="1:2" ht="13.5" x14ac:dyDescent="0.25">
      <c r="A1632" s="93" t="s">
        <v>363</v>
      </c>
      <c r="B1632" s="103" t="s">
        <v>1734</v>
      </c>
    </row>
    <row r="1633" spans="1:2" ht="13.5" x14ac:dyDescent="0.25">
      <c r="A1633" s="93" t="s">
        <v>363</v>
      </c>
      <c r="B1633" s="103" t="s">
        <v>1735</v>
      </c>
    </row>
    <row r="1634" spans="1:2" ht="13.5" x14ac:dyDescent="0.25">
      <c r="A1634" s="93" t="s">
        <v>363</v>
      </c>
      <c r="B1634" s="103" t="s">
        <v>1736</v>
      </c>
    </row>
    <row r="1635" spans="1:2" ht="13.5" x14ac:dyDescent="0.25">
      <c r="A1635" s="93" t="s">
        <v>363</v>
      </c>
      <c r="B1635" s="103" t="s">
        <v>1737</v>
      </c>
    </row>
    <row r="1636" spans="1:2" ht="13.5" x14ac:dyDescent="0.25">
      <c r="A1636" s="93" t="s">
        <v>363</v>
      </c>
      <c r="B1636" s="103" t="s">
        <v>1738</v>
      </c>
    </row>
    <row r="1637" spans="1:2" x14ac:dyDescent="0.2">
      <c r="A1637" s="93" t="s">
        <v>360</v>
      </c>
      <c r="B1637" s="98" t="s">
        <v>351</v>
      </c>
    </row>
    <row r="1638" spans="1:2" x14ac:dyDescent="0.2">
      <c r="A1638" s="93" t="s">
        <v>361</v>
      </c>
      <c r="B1638" s="101" t="s">
        <v>1739</v>
      </c>
    </row>
    <row r="1639" spans="1:2" ht="13.5" x14ac:dyDescent="0.25">
      <c r="A1639" s="93" t="s">
        <v>363</v>
      </c>
      <c r="B1639" s="103" t="s">
        <v>1739</v>
      </c>
    </row>
    <row r="1640" spans="1:2" ht="13.5" x14ac:dyDescent="0.25">
      <c r="A1640" s="93" t="s">
        <v>363</v>
      </c>
      <c r="B1640" s="103" t="s">
        <v>1740</v>
      </c>
    </row>
    <row r="1641" spans="1:2" ht="13.5" x14ac:dyDescent="0.25">
      <c r="A1641" s="93" t="s">
        <v>363</v>
      </c>
      <c r="B1641" s="103" t="s">
        <v>1741</v>
      </c>
    </row>
    <row r="1642" spans="1:2" ht="13.5" x14ac:dyDescent="0.25">
      <c r="A1642" s="93" t="s">
        <v>363</v>
      </c>
      <c r="B1642" s="103" t="s">
        <v>1742</v>
      </c>
    </row>
    <row r="1643" spans="1:2" x14ac:dyDescent="0.2">
      <c r="A1643" s="93" t="s">
        <v>361</v>
      </c>
      <c r="B1643" s="106" t="s">
        <v>1743</v>
      </c>
    </row>
    <row r="1644" spans="1:2" ht="13.5" x14ac:dyDescent="0.25">
      <c r="A1644" s="93" t="s">
        <v>363</v>
      </c>
      <c r="B1644" s="103" t="s">
        <v>1744</v>
      </c>
    </row>
    <row r="1645" spans="1:2" ht="13.5" x14ac:dyDescent="0.25">
      <c r="A1645" s="93" t="s">
        <v>363</v>
      </c>
      <c r="B1645" s="103" t="s">
        <v>1745</v>
      </c>
    </row>
    <row r="1646" spans="1:2" ht="13.5" x14ac:dyDescent="0.25">
      <c r="A1646" s="93" t="s">
        <v>363</v>
      </c>
      <c r="B1646" s="103" t="s">
        <v>1746</v>
      </c>
    </row>
    <row r="1647" spans="1:2" ht="13.5" x14ac:dyDescent="0.25">
      <c r="A1647" s="93" t="s">
        <v>363</v>
      </c>
      <c r="B1647" s="103" t="s">
        <v>1747</v>
      </c>
    </row>
    <row r="1648" spans="1:2" x14ac:dyDescent="0.2">
      <c r="A1648" s="93" t="s">
        <v>361</v>
      </c>
      <c r="B1648" s="101" t="s">
        <v>1748</v>
      </c>
    </row>
    <row r="1649" spans="1:2" ht="13.5" x14ac:dyDescent="0.25">
      <c r="A1649" s="93" t="s">
        <v>363</v>
      </c>
      <c r="B1649" s="103" t="s">
        <v>1749</v>
      </c>
    </row>
    <row r="1650" spans="1:2" ht="13.5" x14ac:dyDescent="0.25">
      <c r="A1650" s="93" t="s">
        <v>363</v>
      </c>
      <c r="B1650" s="103" t="s">
        <v>1750</v>
      </c>
    </row>
    <row r="1651" spans="1:2" ht="13.5" x14ac:dyDescent="0.25">
      <c r="A1651" s="93" t="s">
        <v>363</v>
      </c>
      <c r="B1651" s="103" t="s">
        <v>1748</v>
      </c>
    </row>
    <row r="1652" spans="1:2" x14ac:dyDescent="0.2">
      <c r="A1652" s="93" t="s">
        <v>360</v>
      </c>
      <c r="B1652" s="98" t="s">
        <v>352</v>
      </c>
    </row>
    <row r="1653" spans="1:2" x14ac:dyDescent="0.2">
      <c r="A1653" s="93" t="s">
        <v>361</v>
      </c>
      <c r="B1653" s="101" t="s">
        <v>1751</v>
      </c>
    </row>
    <row r="1654" spans="1:2" ht="13.5" x14ac:dyDescent="0.25">
      <c r="A1654" s="93" t="s">
        <v>363</v>
      </c>
      <c r="B1654" s="103" t="s">
        <v>352</v>
      </c>
    </row>
    <row r="1655" spans="1:2" ht="13.5" x14ac:dyDescent="0.25">
      <c r="A1655" s="93" t="s">
        <v>363</v>
      </c>
      <c r="B1655" s="103" t="s">
        <v>1752</v>
      </c>
    </row>
    <row r="1656" spans="1:2" ht="13.5" x14ac:dyDescent="0.25">
      <c r="A1656" s="93" t="s">
        <v>363</v>
      </c>
      <c r="B1656" s="103" t="s">
        <v>1753</v>
      </c>
    </row>
    <row r="1657" spans="1:2" ht="13.5" x14ac:dyDescent="0.25">
      <c r="A1657" s="93" t="s">
        <v>363</v>
      </c>
      <c r="B1657" s="103" t="s">
        <v>1754</v>
      </c>
    </row>
    <row r="1658" spans="1:2" ht="13.5" x14ac:dyDescent="0.25">
      <c r="A1658" s="93" t="s">
        <v>363</v>
      </c>
      <c r="B1658" s="103" t="s">
        <v>419</v>
      </c>
    </row>
    <row r="1659" spans="1:2" ht="13.5" x14ac:dyDescent="0.25">
      <c r="A1659" s="93" t="s">
        <v>363</v>
      </c>
      <c r="B1659" s="103" t="s">
        <v>1755</v>
      </c>
    </row>
    <row r="1660" spans="1:2" x14ac:dyDescent="0.2">
      <c r="A1660" s="93" t="s">
        <v>361</v>
      </c>
      <c r="B1660" s="101" t="s">
        <v>1756</v>
      </c>
    </row>
    <row r="1661" spans="1:2" ht="13.5" x14ac:dyDescent="0.25">
      <c r="A1661" s="93" t="s">
        <v>363</v>
      </c>
      <c r="B1661" s="103" t="s">
        <v>1757</v>
      </c>
    </row>
    <row r="1662" spans="1:2" ht="13.5" x14ac:dyDescent="0.25">
      <c r="A1662" s="93" t="s">
        <v>363</v>
      </c>
      <c r="B1662" s="103" t="s">
        <v>1758</v>
      </c>
    </row>
    <row r="1663" spans="1:2" ht="13.5" x14ac:dyDescent="0.25">
      <c r="A1663" s="93" t="s">
        <v>363</v>
      </c>
      <c r="B1663" s="103" t="s">
        <v>1759</v>
      </c>
    </row>
    <row r="1664" spans="1:2" ht="13.5" x14ac:dyDescent="0.25">
      <c r="A1664" s="93" t="s">
        <v>363</v>
      </c>
      <c r="B1664" s="103" t="s">
        <v>1760</v>
      </c>
    </row>
    <row r="1665" spans="1:2" ht="13.5" x14ac:dyDescent="0.25">
      <c r="A1665" s="93" t="s">
        <v>363</v>
      </c>
      <c r="B1665" s="103" t="s">
        <v>1761</v>
      </c>
    </row>
    <row r="1666" spans="1:2" ht="13.5" x14ac:dyDescent="0.25">
      <c r="A1666" s="93" t="s">
        <v>363</v>
      </c>
      <c r="B1666" s="103" t="s">
        <v>1762</v>
      </c>
    </row>
    <row r="1667" spans="1:2" ht="13.5" x14ac:dyDescent="0.25">
      <c r="A1667" s="93" t="s">
        <v>363</v>
      </c>
      <c r="B1667" s="103" t="s">
        <v>1763</v>
      </c>
    </row>
    <row r="1668" spans="1:2" ht="13.5" x14ac:dyDescent="0.25">
      <c r="A1668" s="93" t="s">
        <v>363</v>
      </c>
      <c r="B1668" s="103" t="s">
        <v>1764</v>
      </c>
    </row>
    <row r="1669" spans="1:2" ht="13.5" x14ac:dyDescent="0.25">
      <c r="A1669" s="93" t="s">
        <v>363</v>
      </c>
      <c r="B1669" s="103" t="s">
        <v>1765</v>
      </c>
    </row>
    <row r="1670" spans="1:2" ht="13.5" x14ac:dyDescent="0.25">
      <c r="A1670" s="93" t="s">
        <v>363</v>
      </c>
      <c r="B1670" s="103" t="s">
        <v>1766</v>
      </c>
    </row>
    <row r="1671" spans="1:2" ht="13.5" x14ac:dyDescent="0.25">
      <c r="A1671" s="93" t="s">
        <v>363</v>
      </c>
      <c r="B1671" s="103" t="s">
        <v>1767</v>
      </c>
    </row>
    <row r="1672" spans="1:2" x14ac:dyDescent="0.2">
      <c r="A1672" s="93" t="s">
        <v>361</v>
      </c>
      <c r="B1672" s="101" t="s">
        <v>1768</v>
      </c>
    </row>
    <row r="1673" spans="1:2" ht="13.5" x14ac:dyDescent="0.25">
      <c r="A1673" s="93" t="s">
        <v>363</v>
      </c>
      <c r="B1673" s="103" t="s">
        <v>1768</v>
      </c>
    </row>
    <row r="1674" spans="1:2" ht="13.5" x14ac:dyDescent="0.25">
      <c r="A1674" s="93" t="s">
        <v>363</v>
      </c>
      <c r="B1674" s="103" t="s">
        <v>1769</v>
      </c>
    </row>
    <row r="1675" spans="1:2" ht="13.5" x14ac:dyDescent="0.25">
      <c r="A1675" s="93" t="s">
        <v>363</v>
      </c>
      <c r="B1675" s="103" t="s">
        <v>1770</v>
      </c>
    </row>
    <row r="1676" spans="1:2" x14ac:dyDescent="0.2">
      <c r="A1676" s="93" t="s">
        <v>360</v>
      </c>
      <c r="B1676" s="98" t="s">
        <v>353</v>
      </c>
    </row>
    <row r="1677" spans="1:2" x14ac:dyDescent="0.2">
      <c r="A1677" s="93" t="s">
        <v>361</v>
      </c>
      <c r="B1677" s="101" t="s">
        <v>353</v>
      </c>
    </row>
    <row r="1678" spans="1:2" ht="13.5" x14ac:dyDescent="0.25">
      <c r="A1678" s="93" t="s">
        <v>363</v>
      </c>
      <c r="B1678" s="103" t="s">
        <v>1771</v>
      </c>
    </row>
    <row r="1679" spans="1:2" ht="13.5" x14ac:dyDescent="0.25">
      <c r="A1679" s="93" t="s">
        <v>363</v>
      </c>
      <c r="B1679" s="103" t="s">
        <v>1772</v>
      </c>
    </row>
    <row r="1680" spans="1:2" ht="13.5" x14ac:dyDescent="0.25">
      <c r="A1680" s="93" t="s">
        <v>363</v>
      </c>
      <c r="B1680" s="103" t="s">
        <v>1773</v>
      </c>
    </row>
    <row r="1681" spans="1:2" ht="13.5" x14ac:dyDescent="0.25">
      <c r="A1681" s="93" t="s">
        <v>363</v>
      </c>
      <c r="B1681" s="103" t="s">
        <v>1774</v>
      </c>
    </row>
    <row r="1682" spans="1:2" ht="13.5" x14ac:dyDescent="0.25">
      <c r="A1682" s="93" t="s">
        <v>363</v>
      </c>
      <c r="B1682" s="103" t="s">
        <v>1775</v>
      </c>
    </row>
    <row r="1683" spans="1:2" ht="13.5" x14ac:dyDescent="0.25">
      <c r="A1683" s="93" t="s">
        <v>363</v>
      </c>
      <c r="B1683" s="103" t="s">
        <v>1776</v>
      </c>
    </row>
    <row r="1684" spans="1:2" ht="13.5" x14ac:dyDescent="0.25">
      <c r="A1684" s="93" t="s">
        <v>363</v>
      </c>
      <c r="B1684" s="103" t="s">
        <v>1101</v>
      </c>
    </row>
    <row r="1685" spans="1:2" ht="13.5" x14ac:dyDescent="0.25">
      <c r="A1685" s="93" t="s">
        <v>363</v>
      </c>
      <c r="B1685" s="103" t="s">
        <v>1777</v>
      </c>
    </row>
    <row r="1686" spans="1:2" ht="13.5" x14ac:dyDescent="0.25">
      <c r="A1686" s="93" t="s">
        <v>363</v>
      </c>
      <c r="B1686" s="103" t="s">
        <v>1778</v>
      </c>
    </row>
    <row r="1687" spans="1:2" ht="13.5" x14ac:dyDescent="0.25">
      <c r="A1687" s="93" t="s">
        <v>363</v>
      </c>
      <c r="B1687" s="103" t="s">
        <v>1779</v>
      </c>
    </row>
    <row r="1688" spans="1:2" ht="13.5" x14ac:dyDescent="0.25">
      <c r="A1688" s="93" t="s">
        <v>363</v>
      </c>
      <c r="B1688" s="103" t="s">
        <v>1780</v>
      </c>
    </row>
    <row r="1689" spans="1:2" ht="13.5" x14ac:dyDescent="0.25">
      <c r="A1689" s="93" t="s">
        <v>363</v>
      </c>
      <c r="B1689" s="103" t="s">
        <v>1781</v>
      </c>
    </row>
    <row r="1690" spans="1:2" ht="13.5" x14ac:dyDescent="0.25">
      <c r="A1690" s="93" t="s">
        <v>363</v>
      </c>
      <c r="B1690" s="105" t="s">
        <v>1427</v>
      </c>
    </row>
    <row r="1691" spans="1:2" ht="13.5" x14ac:dyDescent="0.25">
      <c r="B1691" s="107"/>
    </row>
    <row r="1692" spans="1:2" x14ac:dyDescent="0.2">
      <c r="A1692" s="93" t="s">
        <v>361</v>
      </c>
      <c r="B1692" s="101" t="s">
        <v>1782</v>
      </c>
    </row>
    <row r="1693" spans="1:2" ht="13.5" x14ac:dyDescent="0.25">
      <c r="A1693" s="93" t="s">
        <v>363</v>
      </c>
      <c r="B1693" s="103" t="s">
        <v>1783</v>
      </c>
    </row>
    <row r="1694" spans="1:2" ht="13.5" x14ac:dyDescent="0.25">
      <c r="A1694" s="93" t="s">
        <v>363</v>
      </c>
      <c r="B1694" s="103" t="s">
        <v>1784</v>
      </c>
    </row>
    <row r="1695" spans="1:2" ht="13.5" x14ac:dyDescent="0.25">
      <c r="A1695" s="93" t="s">
        <v>363</v>
      </c>
      <c r="B1695" s="103" t="s">
        <v>1785</v>
      </c>
    </row>
    <row r="1696" spans="1:2" ht="13.5" x14ac:dyDescent="0.25">
      <c r="A1696" s="93" t="s">
        <v>363</v>
      </c>
      <c r="B1696" s="103" t="s">
        <v>1786</v>
      </c>
    </row>
    <row r="1697" spans="1:2" ht="13.5" x14ac:dyDescent="0.25">
      <c r="A1697" s="93" t="s">
        <v>363</v>
      </c>
      <c r="B1697" s="103" t="s">
        <v>1787</v>
      </c>
    </row>
    <row r="1698" spans="1:2" ht="13.5" x14ac:dyDescent="0.25">
      <c r="A1698" s="93" t="s">
        <v>363</v>
      </c>
      <c r="B1698" s="103" t="s">
        <v>1788</v>
      </c>
    </row>
    <row r="1699" spans="1:2" ht="13.5" x14ac:dyDescent="0.25">
      <c r="A1699" s="93" t="s">
        <v>363</v>
      </c>
      <c r="B1699" s="103" t="s">
        <v>1789</v>
      </c>
    </row>
    <row r="1700" spans="1:2" ht="13.5" x14ac:dyDescent="0.25">
      <c r="A1700" s="93" t="s">
        <v>363</v>
      </c>
      <c r="B1700" s="103" t="s">
        <v>686</v>
      </c>
    </row>
    <row r="1701" spans="1:2" x14ac:dyDescent="0.2">
      <c r="A1701" s="93" t="s">
        <v>361</v>
      </c>
      <c r="B1701" s="101" t="s">
        <v>1790</v>
      </c>
    </row>
    <row r="1702" spans="1:2" ht="13.5" x14ac:dyDescent="0.25">
      <c r="A1702" s="93" t="s">
        <v>363</v>
      </c>
      <c r="B1702" s="103" t="s">
        <v>1790</v>
      </c>
    </row>
    <row r="1703" spans="1:2" ht="13.5" x14ac:dyDescent="0.25">
      <c r="A1703" s="93" t="s">
        <v>363</v>
      </c>
      <c r="B1703" s="103" t="s">
        <v>1791</v>
      </c>
    </row>
    <row r="1704" spans="1:2" ht="13.5" x14ac:dyDescent="0.25">
      <c r="A1704" s="93" t="s">
        <v>363</v>
      </c>
      <c r="B1704" s="103" t="s">
        <v>1792</v>
      </c>
    </row>
    <row r="1705" spans="1:2" ht="13.5" x14ac:dyDescent="0.25">
      <c r="A1705" s="93" t="s">
        <v>363</v>
      </c>
      <c r="B1705" s="103" t="s">
        <v>1793</v>
      </c>
    </row>
    <row r="1706" spans="1:2" ht="13.5" x14ac:dyDescent="0.25">
      <c r="A1706" s="93" t="s">
        <v>363</v>
      </c>
      <c r="B1706" s="103" t="s">
        <v>1794</v>
      </c>
    </row>
    <row r="1707" spans="1:2" ht="13.5" x14ac:dyDescent="0.25">
      <c r="A1707" s="93" t="s">
        <v>363</v>
      </c>
      <c r="B1707" s="103" t="s">
        <v>1795</v>
      </c>
    </row>
    <row r="1708" spans="1:2" ht="13.5" x14ac:dyDescent="0.25">
      <c r="A1708" s="93" t="s">
        <v>363</v>
      </c>
      <c r="B1708" s="103" t="s">
        <v>1796</v>
      </c>
    </row>
    <row r="1709" spans="1:2" x14ac:dyDescent="0.2">
      <c r="A1709" s="93" t="s">
        <v>360</v>
      </c>
      <c r="B1709" s="98" t="s">
        <v>354</v>
      </c>
    </row>
    <row r="1710" spans="1:2" x14ac:dyDescent="0.2">
      <c r="A1710" s="93" t="s">
        <v>361</v>
      </c>
      <c r="B1710" s="101" t="s">
        <v>354</v>
      </c>
    </row>
    <row r="1711" spans="1:2" ht="13.5" x14ac:dyDescent="0.25">
      <c r="A1711" s="93" t="s">
        <v>363</v>
      </c>
      <c r="B1711" s="103" t="s">
        <v>354</v>
      </c>
    </row>
    <row r="1712" spans="1:2" ht="13.5" x14ac:dyDescent="0.25">
      <c r="A1712" s="93" t="s">
        <v>363</v>
      </c>
      <c r="B1712" s="103" t="s">
        <v>738</v>
      </c>
    </row>
    <row r="1713" spans="1:2" ht="13.5" x14ac:dyDescent="0.25">
      <c r="A1713" s="93" t="s">
        <v>363</v>
      </c>
      <c r="B1713" s="103" t="s">
        <v>1797</v>
      </c>
    </row>
    <row r="1714" spans="1:2" ht="13.5" x14ac:dyDescent="0.25">
      <c r="A1714" s="93" t="s">
        <v>363</v>
      </c>
      <c r="B1714" s="103" t="s">
        <v>1798</v>
      </c>
    </row>
    <row r="1715" spans="1:2" ht="13.5" x14ac:dyDescent="0.25">
      <c r="A1715" s="93" t="s">
        <v>363</v>
      </c>
      <c r="B1715" s="103" t="s">
        <v>1799</v>
      </c>
    </row>
    <row r="1716" spans="1:2" ht="13.5" x14ac:dyDescent="0.25">
      <c r="A1716" s="93" t="s">
        <v>363</v>
      </c>
      <c r="B1716" s="103" t="s">
        <v>1800</v>
      </c>
    </row>
    <row r="1717" spans="1:2" ht="13.5" x14ac:dyDescent="0.25">
      <c r="A1717" s="93" t="s">
        <v>363</v>
      </c>
      <c r="B1717" s="103" t="s">
        <v>786</v>
      </c>
    </row>
    <row r="1718" spans="1:2" ht="13.5" x14ac:dyDescent="0.25">
      <c r="A1718" s="93" t="s">
        <v>363</v>
      </c>
      <c r="B1718" s="103" t="s">
        <v>1801</v>
      </c>
    </row>
    <row r="1719" spans="1:2" ht="13.5" x14ac:dyDescent="0.25">
      <c r="A1719" s="93" t="s">
        <v>363</v>
      </c>
      <c r="B1719" s="103" t="s">
        <v>1802</v>
      </c>
    </row>
    <row r="1720" spans="1:2" x14ac:dyDescent="0.2">
      <c r="A1720" s="93" t="s">
        <v>361</v>
      </c>
      <c r="B1720" s="101" t="s">
        <v>1803</v>
      </c>
    </row>
    <row r="1721" spans="1:2" ht="13.5" x14ac:dyDescent="0.25">
      <c r="A1721" s="93" t="s">
        <v>363</v>
      </c>
      <c r="B1721" s="103" t="s">
        <v>1803</v>
      </c>
    </row>
    <row r="1722" spans="1:2" ht="13.5" x14ac:dyDescent="0.25">
      <c r="A1722" s="93" t="s">
        <v>363</v>
      </c>
      <c r="B1722" s="103" t="s">
        <v>1804</v>
      </c>
    </row>
    <row r="1723" spans="1:2" ht="13.5" x14ac:dyDescent="0.25">
      <c r="A1723" s="93" t="s">
        <v>363</v>
      </c>
      <c r="B1723" s="103" t="s">
        <v>1805</v>
      </c>
    </row>
    <row r="1724" spans="1:2" ht="13.5" x14ac:dyDescent="0.25">
      <c r="A1724" s="93" t="s">
        <v>363</v>
      </c>
      <c r="B1724" s="103" t="s">
        <v>1512</v>
      </c>
    </row>
    <row r="1725" spans="1:2" ht="13.5" x14ac:dyDescent="0.25">
      <c r="A1725" s="93" t="s">
        <v>363</v>
      </c>
      <c r="B1725" s="103" t="s">
        <v>1806</v>
      </c>
    </row>
    <row r="1726" spans="1:2" ht="13.5" x14ac:dyDescent="0.25">
      <c r="A1726" s="93" t="s">
        <v>363</v>
      </c>
      <c r="B1726" s="103" t="s">
        <v>1807</v>
      </c>
    </row>
    <row r="1727" spans="1:2" ht="13.5" x14ac:dyDescent="0.25">
      <c r="A1727" s="93" t="s">
        <v>363</v>
      </c>
      <c r="B1727" s="103" t="s">
        <v>1808</v>
      </c>
    </row>
    <row r="1728" spans="1:2" ht="13.5" x14ac:dyDescent="0.25">
      <c r="A1728" s="93" t="s">
        <v>363</v>
      </c>
      <c r="B1728" s="103" t="s">
        <v>1809</v>
      </c>
    </row>
    <row r="1729" spans="1:2" ht="13.5" x14ac:dyDescent="0.25">
      <c r="A1729" s="93" t="s">
        <v>363</v>
      </c>
      <c r="B1729" s="103" t="s">
        <v>1810</v>
      </c>
    </row>
    <row r="1730" spans="1:2" ht="13.5" x14ac:dyDescent="0.25">
      <c r="A1730" s="93" t="s">
        <v>363</v>
      </c>
      <c r="B1730" s="103" t="s">
        <v>1811</v>
      </c>
    </row>
    <row r="1731" spans="1:2" x14ac:dyDescent="0.2">
      <c r="A1731" s="93" t="s">
        <v>361</v>
      </c>
      <c r="B1731" s="101" t="s">
        <v>1792</v>
      </c>
    </row>
    <row r="1732" spans="1:2" ht="13.5" x14ac:dyDescent="0.25">
      <c r="A1732" s="93" t="s">
        <v>363</v>
      </c>
      <c r="B1732" s="103" t="s">
        <v>1792</v>
      </c>
    </row>
    <row r="1733" spans="1:2" ht="13.5" x14ac:dyDescent="0.25">
      <c r="A1733" s="93" t="s">
        <v>363</v>
      </c>
      <c r="B1733" s="103" t="s">
        <v>1812</v>
      </c>
    </row>
    <row r="1734" spans="1:2" ht="13.5" x14ac:dyDescent="0.25">
      <c r="A1734" s="93" t="s">
        <v>363</v>
      </c>
      <c r="B1734" s="103" t="s">
        <v>1813</v>
      </c>
    </row>
    <row r="1735" spans="1:2" ht="13.5" x14ac:dyDescent="0.25">
      <c r="A1735" s="93" t="s">
        <v>363</v>
      </c>
      <c r="B1735" s="103" t="s">
        <v>1814</v>
      </c>
    </row>
    <row r="1736" spans="1:2" ht="13.5" x14ac:dyDescent="0.25">
      <c r="A1736" s="93" t="s">
        <v>363</v>
      </c>
      <c r="B1736" s="103" t="s">
        <v>1815</v>
      </c>
    </row>
    <row r="1737" spans="1:2" ht="13.5" x14ac:dyDescent="0.25">
      <c r="A1737" s="93" t="s">
        <v>363</v>
      </c>
      <c r="B1737" s="103" t="s">
        <v>1816</v>
      </c>
    </row>
    <row r="1738" spans="1:2" ht="13.5" x14ac:dyDescent="0.25">
      <c r="A1738" s="93" t="s">
        <v>363</v>
      </c>
      <c r="B1738" s="105" t="s">
        <v>1817</v>
      </c>
    </row>
    <row r="1739" spans="1:2" ht="13.5" x14ac:dyDescent="0.25">
      <c r="A1739" s="93" t="s">
        <v>363</v>
      </c>
      <c r="B1739" s="103" t="s">
        <v>1818</v>
      </c>
    </row>
    <row r="1740" spans="1:2" x14ac:dyDescent="0.2">
      <c r="A1740" s="93" t="s">
        <v>361</v>
      </c>
      <c r="B1740" s="101" t="s">
        <v>1819</v>
      </c>
    </row>
    <row r="1741" spans="1:2" ht="13.5" x14ac:dyDescent="0.25">
      <c r="A1741" s="93" t="s">
        <v>363</v>
      </c>
      <c r="B1741" s="103" t="s">
        <v>1820</v>
      </c>
    </row>
    <row r="1742" spans="1:2" ht="13.5" x14ac:dyDescent="0.25">
      <c r="A1742" s="93" t="s">
        <v>363</v>
      </c>
      <c r="B1742" s="103" t="s">
        <v>1821</v>
      </c>
    </row>
    <row r="1743" spans="1:2" ht="13.5" x14ac:dyDescent="0.25">
      <c r="A1743" s="93" t="s">
        <v>363</v>
      </c>
      <c r="B1743" s="103" t="s">
        <v>1822</v>
      </c>
    </row>
    <row r="1744" spans="1:2" ht="13.5" x14ac:dyDescent="0.25">
      <c r="A1744" s="93" t="s">
        <v>363</v>
      </c>
      <c r="B1744" s="103" t="s">
        <v>1823</v>
      </c>
    </row>
    <row r="1745" spans="1:2" ht="13.5" x14ac:dyDescent="0.25">
      <c r="A1745" s="93" t="s">
        <v>363</v>
      </c>
      <c r="B1745" s="103" t="s">
        <v>1819</v>
      </c>
    </row>
    <row r="1746" spans="1:2" ht="13.5" x14ac:dyDescent="0.25">
      <c r="A1746" s="93" t="s">
        <v>363</v>
      </c>
      <c r="B1746" s="103" t="s">
        <v>1824</v>
      </c>
    </row>
    <row r="1747" spans="1:2" ht="13.5" x14ac:dyDescent="0.25">
      <c r="A1747" s="93" t="s">
        <v>363</v>
      </c>
      <c r="B1747" s="103" t="s">
        <v>1825</v>
      </c>
    </row>
    <row r="1748" spans="1:2" ht="13.5" x14ac:dyDescent="0.25">
      <c r="A1748" s="93" t="s">
        <v>363</v>
      </c>
      <c r="B1748" s="103" t="s">
        <v>1826</v>
      </c>
    </row>
    <row r="1749" spans="1:2" ht="13.5" x14ac:dyDescent="0.25">
      <c r="A1749" s="93" t="s">
        <v>363</v>
      </c>
      <c r="B1749" s="103" t="s">
        <v>1827</v>
      </c>
    </row>
    <row r="1750" spans="1:2" ht="13.5" x14ac:dyDescent="0.25">
      <c r="A1750" s="93" t="s">
        <v>363</v>
      </c>
      <c r="B1750" s="103" t="s">
        <v>1828</v>
      </c>
    </row>
    <row r="1751" spans="1:2" x14ac:dyDescent="0.2">
      <c r="A1751" s="93" t="s">
        <v>361</v>
      </c>
      <c r="B1751" s="101" t="s">
        <v>1829</v>
      </c>
    </row>
    <row r="1752" spans="1:2" ht="13.5" x14ac:dyDescent="0.25">
      <c r="A1752" s="93" t="s">
        <v>363</v>
      </c>
      <c r="B1752" s="103" t="s">
        <v>1829</v>
      </c>
    </row>
    <row r="1753" spans="1:2" ht="13.5" x14ac:dyDescent="0.25">
      <c r="A1753" s="93" t="s">
        <v>363</v>
      </c>
      <c r="B1753" s="103" t="s">
        <v>1830</v>
      </c>
    </row>
    <row r="1754" spans="1:2" ht="13.5" x14ac:dyDescent="0.25">
      <c r="A1754" s="93" t="s">
        <v>363</v>
      </c>
      <c r="B1754" s="103" t="s">
        <v>1831</v>
      </c>
    </row>
    <row r="1755" spans="1:2" ht="13.5" x14ac:dyDescent="0.25">
      <c r="A1755" s="93" t="s">
        <v>363</v>
      </c>
      <c r="B1755" s="103" t="s">
        <v>1832</v>
      </c>
    </row>
    <row r="1756" spans="1:2" ht="13.5" x14ac:dyDescent="0.25">
      <c r="A1756" s="93" t="s">
        <v>363</v>
      </c>
      <c r="B1756" s="103" t="s">
        <v>1833</v>
      </c>
    </row>
    <row r="1757" spans="1:2" ht="13.5" x14ac:dyDescent="0.25">
      <c r="A1757" s="93" t="s">
        <v>363</v>
      </c>
      <c r="B1757" s="103" t="s">
        <v>1834</v>
      </c>
    </row>
    <row r="1758" spans="1:2" ht="13.5" x14ac:dyDescent="0.25">
      <c r="A1758" s="93" t="s">
        <v>363</v>
      </c>
      <c r="B1758" s="103" t="s">
        <v>1835</v>
      </c>
    </row>
    <row r="1759" spans="1:2" x14ac:dyDescent="0.2">
      <c r="A1759" s="93" t="s">
        <v>361</v>
      </c>
      <c r="B1759" s="101" t="s">
        <v>1836</v>
      </c>
    </row>
    <row r="1760" spans="1:2" ht="13.5" x14ac:dyDescent="0.25">
      <c r="A1760" s="93" t="s">
        <v>363</v>
      </c>
      <c r="B1760" s="103" t="s">
        <v>1836</v>
      </c>
    </row>
    <row r="1761" spans="1:2" ht="13.5" x14ac:dyDescent="0.25">
      <c r="A1761" s="93" t="s">
        <v>363</v>
      </c>
      <c r="B1761" s="103" t="s">
        <v>971</v>
      </c>
    </row>
    <row r="1762" spans="1:2" ht="13.5" x14ac:dyDescent="0.25">
      <c r="A1762" s="93" t="s">
        <v>363</v>
      </c>
      <c r="B1762" s="103" t="s">
        <v>1837</v>
      </c>
    </row>
    <row r="1763" spans="1:2" ht="13.5" x14ac:dyDescent="0.25">
      <c r="A1763" s="93" t="s">
        <v>363</v>
      </c>
      <c r="B1763" s="103" t="s">
        <v>1838</v>
      </c>
    </row>
    <row r="1764" spans="1:2" ht="13.5" x14ac:dyDescent="0.25">
      <c r="A1764" s="93" t="s">
        <v>363</v>
      </c>
      <c r="B1764" s="103" t="s">
        <v>1839</v>
      </c>
    </row>
    <row r="1765" spans="1:2" ht="13.5" x14ac:dyDescent="0.25">
      <c r="A1765" s="93" t="s">
        <v>363</v>
      </c>
      <c r="B1765" s="103" t="s">
        <v>1840</v>
      </c>
    </row>
    <row r="1766" spans="1:2" ht="13.5" x14ac:dyDescent="0.25">
      <c r="A1766" s="93" t="s">
        <v>363</v>
      </c>
      <c r="B1766" s="103" t="s">
        <v>1841</v>
      </c>
    </row>
    <row r="1767" spans="1:2" ht="13.5" x14ac:dyDescent="0.25">
      <c r="A1767" s="93" t="s">
        <v>363</v>
      </c>
      <c r="B1767" s="103" t="s">
        <v>1824</v>
      </c>
    </row>
    <row r="1768" spans="1:2" x14ac:dyDescent="0.2">
      <c r="A1768" s="93" t="s">
        <v>361</v>
      </c>
      <c r="B1768" s="101" t="s">
        <v>1842</v>
      </c>
    </row>
    <row r="1769" spans="1:2" ht="13.5" x14ac:dyDescent="0.25">
      <c r="A1769" s="93" t="s">
        <v>363</v>
      </c>
      <c r="B1769" s="103" t="s">
        <v>1843</v>
      </c>
    </row>
    <row r="1770" spans="1:2" ht="13.5" x14ac:dyDescent="0.25">
      <c r="A1770" s="93" t="s">
        <v>363</v>
      </c>
      <c r="B1770" s="103" t="s">
        <v>1844</v>
      </c>
    </row>
    <row r="1771" spans="1:2" ht="13.5" x14ac:dyDescent="0.25">
      <c r="A1771" s="93" t="s">
        <v>363</v>
      </c>
      <c r="B1771" s="103" t="s">
        <v>1845</v>
      </c>
    </row>
    <row r="1772" spans="1:2" ht="13.5" x14ac:dyDescent="0.25">
      <c r="A1772" s="93" t="s">
        <v>363</v>
      </c>
      <c r="B1772" s="103" t="s">
        <v>1846</v>
      </c>
    </row>
    <row r="1773" spans="1:2" ht="13.5" x14ac:dyDescent="0.25">
      <c r="A1773" s="93" t="s">
        <v>363</v>
      </c>
      <c r="B1773" s="103" t="s">
        <v>1847</v>
      </c>
    </row>
    <row r="1774" spans="1:2" ht="13.5" x14ac:dyDescent="0.25">
      <c r="A1774" s="93" t="s">
        <v>363</v>
      </c>
      <c r="B1774" s="103" t="s">
        <v>1848</v>
      </c>
    </row>
    <row r="1775" spans="1:2" x14ac:dyDescent="0.2">
      <c r="A1775" s="93" t="s">
        <v>361</v>
      </c>
      <c r="B1775" s="101" t="s">
        <v>1849</v>
      </c>
    </row>
    <row r="1776" spans="1:2" ht="13.5" x14ac:dyDescent="0.25">
      <c r="A1776" s="93" t="s">
        <v>363</v>
      </c>
      <c r="B1776" s="103" t="s">
        <v>1849</v>
      </c>
    </row>
    <row r="1777" spans="1:2" ht="13.5" x14ac:dyDescent="0.25">
      <c r="A1777" s="93" t="s">
        <v>363</v>
      </c>
      <c r="B1777" s="103" t="s">
        <v>1850</v>
      </c>
    </row>
    <row r="1778" spans="1:2" ht="13.5" x14ac:dyDescent="0.25">
      <c r="A1778" s="93" t="s">
        <v>363</v>
      </c>
      <c r="B1778" s="103" t="s">
        <v>1851</v>
      </c>
    </row>
    <row r="1779" spans="1:2" ht="13.5" x14ac:dyDescent="0.25">
      <c r="A1779" s="93" t="s">
        <v>363</v>
      </c>
      <c r="B1779" s="103" t="s">
        <v>1852</v>
      </c>
    </row>
    <row r="1780" spans="1:2" ht="13.5" x14ac:dyDescent="0.25">
      <c r="A1780" s="93" t="s">
        <v>363</v>
      </c>
      <c r="B1780" s="103" t="s">
        <v>1853</v>
      </c>
    </row>
    <row r="1781" spans="1:2" ht="13.5" x14ac:dyDescent="0.25">
      <c r="A1781" s="93" t="s">
        <v>363</v>
      </c>
      <c r="B1781" s="103" t="s">
        <v>1854</v>
      </c>
    </row>
    <row r="1782" spans="1:2" x14ac:dyDescent="0.2">
      <c r="A1782" s="93" t="s">
        <v>360</v>
      </c>
      <c r="B1782" s="98" t="s">
        <v>355</v>
      </c>
    </row>
    <row r="1783" spans="1:2" x14ac:dyDescent="0.2">
      <c r="A1783" s="93" t="s">
        <v>361</v>
      </c>
      <c r="B1783" s="101" t="s">
        <v>355</v>
      </c>
    </row>
    <row r="1784" spans="1:2" ht="13.5" x14ac:dyDescent="0.25">
      <c r="A1784" s="93" t="s">
        <v>363</v>
      </c>
      <c r="B1784" s="103" t="s">
        <v>355</v>
      </c>
    </row>
    <row r="1785" spans="1:2" ht="13.5" x14ac:dyDescent="0.25">
      <c r="A1785" s="93" t="s">
        <v>363</v>
      </c>
      <c r="B1785" s="105" t="s">
        <v>1855</v>
      </c>
    </row>
    <row r="1786" spans="1:2" ht="13.5" x14ac:dyDescent="0.25">
      <c r="A1786" s="93" t="s">
        <v>363</v>
      </c>
      <c r="B1786" s="103" t="s">
        <v>1856</v>
      </c>
    </row>
    <row r="1787" spans="1:2" ht="13.5" x14ac:dyDescent="0.25">
      <c r="A1787" s="93" t="s">
        <v>363</v>
      </c>
      <c r="B1787" s="103" t="s">
        <v>1857</v>
      </c>
    </row>
    <row r="1788" spans="1:2" ht="13.5" x14ac:dyDescent="0.25">
      <c r="A1788" s="93" t="s">
        <v>363</v>
      </c>
      <c r="B1788" s="103" t="s">
        <v>1858</v>
      </c>
    </row>
    <row r="1789" spans="1:2" ht="13.5" x14ac:dyDescent="0.25">
      <c r="A1789" s="93" t="s">
        <v>363</v>
      </c>
      <c r="B1789" s="103" t="s">
        <v>1859</v>
      </c>
    </row>
    <row r="1790" spans="1:2" ht="13.5" x14ac:dyDescent="0.25">
      <c r="A1790" s="93" t="s">
        <v>363</v>
      </c>
      <c r="B1790" s="103" t="s">
        <v>1860</v>
      </c>
    </row>
    <row r="1791" spans="1:2" ht="13.5" x14ac:dyDescent="0.25">
      <c r="A1791" s="93" t="s">
        <v>363</v>
      </c>
      <c r="B1791" s="103" t="s">
        <v>534</v>
      </c>
    </row>
    <row r="1792" spans="1:2" ht="13.5" x14ac:dyDescent="0.25">
      <c r="A1792" s="93" t="s">
        <v>363</v>
      </c>
      <c r="B1792" s="103" t="s">
        <v>1861</v>
      </c>
    </row>
    <row r="1793" spans="1:2" ht="13.5" x14ac:dyDescent="0.25">
      <c r="A1793" s="93" t="s">
        <v>363</v>
      </c>
      <c r="B1793" s="103" t="s">
        <v>1862</v>
      </c>
    </row>
    <row r="1794" spans="1:2" ht="13.5" x14ac:dyDescent="0.25">
      <c r="A1794" s="93" t="s">
        <v>363</v>
      </c>
      <c r="B1794" s="103" t="s">
        <v>1863</v>
      </c>
    </row>
    <row r="1795" spans="1:2" ht="13.5" x14ac:dyDescent="0.25">
      <c r="A1795" s="93" t="s">
        <v>363</v>
      </c>
      <c r="B1795" s="103" t="s">
        <v>1864</v>
      </c>
    </row>
    <row r="1796" spans="1:2" ht="13.5" x14ac:dyDescent="0.25">
      <c r="A1796" s="93" t="s">
        <v>363</v>
      </c>
      <c r="B1796" s="103" t="s">
        <v>684</v>
      </c>
    </row>
    <row r="1797" spans="1:2" ht="13.5" x14ac:dyDescent="0.25">
      <c r="A1797" s="93" t="s">
        <v>363</v>
      </c>
      <c r="B1797" s="103" t="s">
        <v>1865</v>
      </c>
    </row>
    <row r="1798" spans="1:2" ht="13.5" x14ac:dyDescent="0.25">
      <c r="A1798" s="93" t="s">
        <v>363</v>
      </c>
      <c r="B1798" s="103" t="s">
        <v>1866</v>
      </c>
    </row>
    <row r="1799" spans="1:2" x14ac:dyDescent="0.2">
      <c r="A1799" s="93" t="s">
        <v>361</v>
      </c>
      <c r="B1799" s="101" t="s">
        <v>1665</v>
      </c>
    </row>
    <row r="1800" spans="1:2" ht="13.5" x14ac:dyDescent="0.25">
      <c r="A1800" s="93" t="s">
        <v>363</v>
      </c>
      <c r="B1800" s="103" t="s">
        <v>1665</v>
      </c>
    </row>
    <row r="1801" spans="1:2" ht="13.5" x14ac:dyDescent="0.25">
      <c r="A1801" s="93" t="s">
        <v>363</v>
      </c>
      <c r="B1801" s="103" t="s">
        <v>1867</v>
      </c>
    </row>
    <row r="1802" spans="1:2" ht="13.5" x14ac:dyDescent="0.25">
      <c r="A1802" s="93" t="s">
        <v>363</v>
      </c>
      <c r="B1802" s="103" t="s">
        <v>1868</v>
      </c>
    </row>
    <row r="1803" spans="1:2" ht="13.5" x14ac:dyDescent="0.25">
      <c r="A1803" s="93" t="s">
        <v>363</v>
      </c>
      <c r="B1803" s="103" t="s">
        <v>1869</v>
      </c>
    </row>
    <row r="1804" spans="1:2" ht="13.5" x14ac:dyDescent="0.25">
      <c r="A1804" s="93" t="s">
        <v>363</v>
      </c>
      <c r="B1804" s="103" t="s">
        <v>1870</v>
      </c>
    </row>
    <row r="1805" spans="1:2" ht="13.5" x14ac:dyDescent="0.25">
      <c r="A1805" s="93" t="s">
        <v>363</v>
      </c>
      <c r="B1805" s="103" t="s">
        <v>1871</v>
      </c>
    </row>
    <row r="1806" spans="1:2" ht="13.5" x14ac:dyDescent="0.25">
      <c r="A1806" s="93" t="s">
        <v>363</v>
      </c>
      <c r="B1806" s="103" t="s">
        <v>1872</v>
      </c>
    </row>
    <row r="1807" spans="1:2" ht="13.5" x14ac:dyDescent="0.25">
      <c r="A1807" s="93" t="s">
        <v>363</v>
      </c>
      <c r="B1807" s="103" t="s">
        <v>1873</v>
      </c>
    </row>
    <row r="1808" spans="1:2" ht="13.5" x14ac:dyDescent="0.25">
      <c r="A1808" s="93" t="s">
        <v>363</v>
      </c>
      <c r="B1808" s="103" t="s">
        <v>1874</v>
      </c>
    </row>
    <row r="1809" spans="1:2" ht="13.5" x14ac:dyDescent="0.25">
      <c r="A1809" s="93" t="s">
        <v>363</v>
      </c>
      <c r="B1809" s="103" t="s">
        <v>1875</v>
      </c>
    </row>
    <row r="1810" spans="1:2" ht="13.5" x14ac:dyDescent="0.25">
      <c r="A1810" s="93" t="s">
        <v>363</v>
      </c>
      <c r="B1810" s="103" t="s">
        <v>1876</v>
      </c>
    </row>
    <row r="1811" spans="1:2" ht="13.5" x14ac:dyDescent="0.25">
      <c r="A1811" s="93" t="s">
        <v>363</v>
      </c>
      <c r="B1811" s="103" t="s">
        <v>1469</v>
      </c>
    </row>
    <row r="1812" spans="1:2" ht="13.5" x14ac:dyDescent="0.25">
      <c r="A1812" s="93" t="s">
        <v>363</v>
      </c>
      <c r="B1812" s="103" t="s">
        <v>1877</v>
      </c>
    </row>
    <row r="1813" spans="1:2" ht="13.5" x14ac:dyDescent="0.25">
      <c r="A1813" s="93" t="s">
        <v>363</v>
      </c>
      <c r="B1813" s="103" t="s">
        <v>1878</v>
      </c>
    </row>
    <row r="1814" spans="1:2" ht="13.5" x14ac:dyDescent="0.25">
      <c r="A1814" s="93" t="s">
        <v>363</v>
      </c>
      <c r="B1814" s="103" t="s">
        <v>1879</v>
      </c>
    </row>
    <row r="1815" spans="1:2" x14ac:dyDescent="0.2">
      <c r="A1815" s="93" t="s">
        <v>361</v>
      </c>
      <c r="B1815" s="101" t="s">
        <v>1880</v>
      </c>
    </row>
    <row r="1816" spans="1:2" ht="13.5" x14ac:dyDescent="0.25">
      <c r="A1816" s="93" t="s">
        <v>363</v>
      </c>
      <c r="B1816" s="103" t="s">
        <v>1881</v>
      </c>
    </row>
    <row r="1817" spans="1:2" ht="13.5" x14ac:dyDescent="0.25">
      <c r="A1817" s="93" t="s">
        <v>363</v>
      </c>
      <c r="B1817" s="103" t="s">
        <v>1882</v>
      </c>
    </row>
    <row r="1818" spans="1:2" ht="13.5" x14ac:dyDescent="0.25">
      <c r="A1818" s="93" t="s">
        <v>363</v>
      </c>
      <c r="B1818" s="103" t="s">
        <v>1883</v>
      </c>
    </row>
    <row r="1819" spans="1:2" ht="13.5" x14ac:dyDescent="0.25">
      <c r="A1819" s="93" t="s">
        <v>363</v>
      </c>
      <c r="B1819" s="103" t="s">
        <v>1884</v>
      </c>
    </row>
    <row r="1820" spans="1:2" ht="13.5" x14ac:dyDescent="0.25">
      <c r="A1820" s="93" t="s">
        <v>363</v>
      </c>
      <c r="B1820" s="103" t="s">
        <v>1885</v>
      </c>
    </row>
    <row r="1821" spans="1:2" ht="13.5" x14ac:dyDescent="0.25">
      <c r="A1821" s="93" t="s">
        <v>363</v>
      </c>
      <c r="B1821" s="103" t="s">
        <v>1886</v>
      </c>
    </row>
    <row r="1822" spans="1:2" ht="13.5" x14ac:dyDescent="0.25">
      <c r="A1822" s="93" t="s">
        <v>363</v>
      </c>
      <c r="B1822" s="103" t="s">
        <v>1887</v>
      </c>
    </row>
    <row r="1823" spans="1:2" ht="13.5" x14ac:dyDescent="0.25">
      <c r="A1823" s="93" t="s">
        <v>363</v>
      </c>
      <c r="B1823" s="103" t="s">
        <v>1888</v>
      </c>
    </row>
    <row r="1824" spans="1:2" ht="13.5" x14ac:dyDescent="0.25">
      <c r="A1824" s="93" t="s">
        <v>363</v>
      </c>
      <c r="B1824" s="103" t="s">
        <v>1889</v>
      </c>
    </row>
    <row r="1825" spans="1:2" ht="13.5" x14ac:dyDescent="0.25">
      <c r="A1825" s="93" t="s">
        <v>363</v>
      </c>
      <c r="B1825" s="103" t="s">
        <v>1890</v>
      </c>
    </row>
    <row r="1826" spans="1:2" x14ac:dyDescent="0.2">
      <c r="A1826" s="93" t="s">
        <v>361</v>
      </c>
      <c r="B1826" s="101" t="s">
        <v>1859</v>
      </c>
    </row>
    <row r="1827" spans="1:2" ht="13.5" x14ac:dyDescent="0.25">
      <c r="A1827" s="93" t="s">
        <v>363</v>
      </c>
      <c r="B1827" s="103" t="s">
        <v>1891</v>
      </c>
    </row>
    <row r="1828" spans="1:2" ht="13.5" x14ac:dyDescent="0.25">
      <c r="A1828" s="93" t="s">
        <v>363</v>
      </c>
      <c r="B1828" s="103" t="s">
        <v>1892</v>
      </c>
    </row>
    <row r="1829" spans="1:2" ht="13.5" x14ac:dyDescent="0.25">
      <c r="A1829" s="93" t="s">
        <v>363</v>
      </c>
      <c r="B1829" s="103" t="s">
        <v>1893</v>
      </c>
    </row>
    <row r="1830" spans="1:2" ht="13.5" x14ac:dyDescent="0.25">
      <c r="A1830" s="93" t="s">
        <v>363</v>
      </c>
      <c r="B1830" s="103" t="s">
        <v>1894</v>
      </c>
    </row>
    <row r="1831" spans="1:2" ht="13.5" x14ac:dyDescent="0.25">
      <c r="A1831" s="93" t="s">
        <v>363</v>
      </c>
      <c r="B1831" s="103" t="s">
        <v>1895</v>
      </c>
    </row>
    <row r="1832" spans="1:2" ht="13.5" x14ac:dyDescent="0.25">
      <c r="A1832" s="93" t="s">
        <v>363</v>
      </c>
      <c r="B1832" s="105" t="s">
        <v>1896</v>
      </c>
    </row>
    <row r="1833" spans="1:2" ht="13.5" x14ac:dyDescent="0.25">
      <c r="A1833" s="93" t="s">
        <v>363</v>
      </c>
      <c r="B1833" s="103" t="s">
        <v>1897</v>
      </c>
    </row>
    <row r="1834" spans="1:2" x14ac:dyDescent="0.2">
      <c r="A1834" s="93" t="s">
        <v>361</v>
      </c>
      <c r="B1834" s="101" t="s">
        <v>1898</v>
      </c>
    </row>
    <row r="1835" spans="1:2" ht="13.5" x14ac:dyDescent="0.25">
      <c r="A1835" s="93" t="s">
        <v>363</v>
      </c>
      <c r="B1835" s="103" t="s">
        <v>1899</v>
      </c>
    </row>
    <row r="1836" spans="1:2" ht="13.5" x14ac:dyDescent="0.25">
      <c r="A1836" s="93" t="s">
        <v>363</v>
      </c>
      <c r="B1836" s="103" t="s">
        <v>1900</v>
      </c>
    </row>
    <row r="1837" spans="1:2" ht="13.5" x14ac:dyDescent="0.25">
      <c r="A1837" s="93" t="s">
        <v>363</v>
      </c>
      <c r="B1837" s="103" t="s">
        <v>1901</v>
      </c>
    </row>
    <row r="1838" spans="1:2" ht="13.5" x14ac:dyDescent="0.25">
      <c r="A1838" s="93" t="s">
        <v>363</v>
      </c>
      <c r="B1838" s="103" t="s">
        <v>437</v>
      </c>
    </row>
    <row r="1839" spans="1:2" ht="13.5" x14ac:dyDescent="0.25">
      <c r="A1839" s="93" t="s">
        <v>363</v>
      </c>
      <c r="B1839" s="103" t="s">
        <v>1902</v>
      </c>
    </row>
    <row r="1840" spans="1:2" x14ac:dyDescent="0.2">
      <c r="A1840" s="93" t="s">
        <v>361</v>
      </c>
      <c r="B1840" s="101" t="s">
        <v>1903</v>
      </c>
    </row>
    <row r="1841" spans="1:2" ht="13.5" x14ac:dyDescent="0.25">
      <c r="A1841" s="93" t="s">
        <v>363</v>
      </c>
      <c r="B1841" s="103" t="s">
        <v>1903</v>
      </c>
    </row>
    <row r="1842" spans="1:2" ht="13.5" x14ac:dyDescent="0.25">
      <c r="A1842" s="93" t="s">
        <v>363</v>
      </c>
      <c r="B1842" s="103" t="s">
        <v>1904</v>
      </c>
    </row>
    <row r="1843" spans="1:2" ht="13.5" x14ac:dyDescent="0.25">
      <c r="A1843" s="93" t="s">
        <v>363</v>
      </c>
      <c r="B1843" s="103" t="s">
        <v>1905</v>
      </c>
    </row>
    <row r="1844" spans="1:2" ht="13.5" x14ac:dyDescent="0.25">
      <c r="A1844" s="93" t="s">
        <v>363</v>
      </c>
      <c r="B1844" s="103" t="s">
        <v>1906</v>
      </c>
    </row>
    <row r="1845" spans="1:2" ht="13.5" x14ac:dyDescent="0.25">
      <c r="A1845" s="93" t="s">
        <v>363</v>
      </c>
      <c r="B1845" s="103" t="s">
        <v>1907</v>
      </c>
    </row>
    <row r="1846" spans="1:2" ht="13.5" x14ac:dyDescent="0.25">
      <c r="A1846" s="93" t="s">
        <v>363</v>
      </c>
      <c r="B1846" s="103" t="s">
        <v>1908</v>
      </c>
    </row>
    <row r="1847" spans="1:2" ht="13.5" x14ac:dyDescent="0.25">
      <c r="A1847" s="93" t="s">
        <v>363</v>
      </c>
      <c r="B1847" s="103" t="s">
        <v>1909</v>
      </c>
    </row>
    <row r="1848" spans="1:2" ht="13.5" x14ac:dyDescent="0.25">
      <c r="A1848" s="93" t="s">
        <v>363</v>
      </c>
      <c r="B1848" s="103" t="s">
        <v>1910</v>
      </c>
    </row>
    <row r="1849" spans="1:2" x14ac:dyDescent="0.2">
      <c r="A1849" s="93" t="s">
        <v>361</v>
      </c>
      <c r="B1849" s="101" t="s">
        <v>867</v>
      </c>
    </row>
    <row r="1850" spans="1:2" ht="13.5" x14ac:dyDescent="0.25">
      <c r="A1850" s="93" t="s">
        <v>363</v>
      </c>
      <c r="B1850" s="103" t="s">
        <v>867</v>
      </c>
    </row>
    <row r="1851" spans="1:2" ht="13.5" x14ac:dyDescent="0.25">
      <c r="A1851" s="93" t="s">
        <v>363</v>
      </c>
      <c r="B1851" s="103" t="s">
        <v>1911</v>
      </c>
    </row>
    <row r="1852" spans="1:2" ht="13.5" x14ac:dyDescent="0.25">
      <c r="A1852" s="93" t="s">
        <v>363</v>
      </c>
      <c r="B1852" s="103" t="s">
        <v>1912</v>
      </c>
    </row>
    <row r="1853" spans="1:2" ht="13.5" x14ac:dyDescent="0.25">
      <c r="A1853" s="93" t="s">
        <v>363</v>
      </c>
      <c r="B1853" s="103" t="s">
        <v>1913</v>
      </c>
    </row>
    <row r="1854" spans="1:2" ht="13.5" x14ac:dyDescent="0.25">
      <c r="A1854" s="93" t="s">
        <v>363</v>
      </c>
      <c r="B1854" s="103" t="s">
        <v>1914</v>
      </c>
    </row>
    <row r="1855" spans="1:2" ht="13.5" x14ac:dyDescent="0.25">
      <c r="A1855" s="93" t="s">
        <v>363</v>
      </c>
      <c r="B1855" s="103" t="s">
        <v>1136</v>
      </c>
    </row>
    <row r="1856" spans="1:2" ht="13.5" x14ac:dyDescent="0.25">
      <c r="A1856" s="93" t="s">
        <v>363</v>
      </c>
      <c r="B1856" s="103" t="s">
        <v>1915</v>
      </c>
    </row>
    <row r="1857" spans="1:2" ht="13.5" x14ac:dyDescent="0.25">
      <c r="A1857" s="93" t="s">
        <v>363</v>
      </c>
      <c r="B1857" s="103" t="s">
        <v>977</v>
      </c>
    </row>
    <row r="1858" spans="1:2" ht="13.5" x14ac:dyDescent="0.25">
      <c r="A1858" s="93" t="s">
        <v>363</v>
      </c>
      <c r="B1858" s="103" t="s">
        <v>853</v>
      </c>
    </row>
    <row r="1859" spans="1:2" ht="13.5" x14ac:dyDescent="0.25">
      <c r="A1859" s="93" t="s">
        <v>363</v>
      </c>
      <c r="B1859" s="103" t="s">
        <v>1916</v>
      </c>
    </row>
    <row r="1860" spans="1:2" x14ac:dyDescent="0.2">
      <c r="A1860" s="93" t="s">
        <v>361</v>
      </c>
      <c r="B1860" s="101" t="s">
        <v>1917</v>
      </c>
    </row>
    <row r="1861" spans="1:2" ht="13.5" x14ac:dyDescent="0.25">
      <c r="A1861" s="93" t="s">
        <v>363</v>
      </c>
      <c r="B1861" s="103" t="s">
        <v>1664</v>
      </c>
    </row>
    <row r="1862" spans="1:2" ht="13.5" x14ac:dyDescent="0.25">
      <c r="A1862" s="93" t="s">
        <v>363</v>
      </c>
      <c r="B1862" s="103" t="s">
        <v>1918</v>
      </c>
    </row>
    <row r="1863" spans="1:2" ht="13.5" x14ac:dyDescent="0.25">
      <c r="A1863" s="93" t="s">
        <v>363</v>
      </c>
      <c r="B1863" s="103" t="s">
        <v>1919</v>
      </c>
    </row>
    <row r="1864" spans="1:2" ht="13.5" x14ac:dyDescent="0.25">
      <c r="A1864" s="93" t="s">
        <v>363</v>
      </c>
      <c r="B1864" s="103" t="s">
        <v>1920</v>
      </c>
    </row>
    <row r="1865" spans="1:2" ht="13.5" x14ac:dyDescent="0.25">
      <c r="A1865" s="93" t="s">
        <v>363</v>
      </c>
      <c r="B1865" s="103" t="s">
        <v>1921</v>
      </c>
    </row>
    <row r="1866" spans="1:2" ht="13.5" x14ac:dyDescent="0.25">
      <c r="A1866" s="93" t="s">
        <v>363</v>
      </c>
      <c r="B1866" s="103" t="s">
        <v>1922</v>
      </c>
    </row>
    <row r="1867" spans="1:2" ht="13.5" x14ac:dyDescent="0.25">
      <c r="A1867" s="93" t="s">
        <v>363</v>
      </c>
      <c r="B1867" s="103" t="s">
        <v>1923</v>
      </c>
    </row>
    <row r="1868" spans="1:2" ht="13.5" x14ac:dyDescent="0.25">
      <c r="A1868" s="93" t="s">
        <v>363</v>
      </c>
      <c r="B1868" s="103" t="s">
        <v>437</v>
      </c>
    </row>
    <row r="1869" spans="1:2" ht="13.5" x14ac:dyDescent="0.25">
      <c r="A1869" s="93" t="s">
        <v>363</v>
      </c>
      <c r="B1869" s="103" t="s">
        <v>1924</v>
      </c>
    </row>
    <row r="1870" spans="1:2" x14ac:dyDescent="0.2">
      <c r="A1870" s="93" t="s">
        <v>361</v>
      </c>
      <c r="B1870" s="101" t="s">
        <v>1925</v>
      </c>
    </row>
    <row r="1871" spans="1:2" ht="13.5" x14ac:dyDescent="0.25">
      <c r="A1871" s="93" t="s">
        <v>363</v>
      </c>
      <c r="B1871" s="103" t="s">
        <v>1925</v>
      </c>
    </row>
    <row r="1872" spans="1:2" ht="13.5" x14ac:dyDescent="0.25">
      <c r="A1872" s="93" t="s">
        <v>363</v>
      </c>
      <c r="B1872" s="103" t="s">
        <v>1926</v>
      </c>
    </row>
    <row r="1873" spans="1:2" ht="13.5" x14ac:dyDescent="0.25">
      <c r="A1873" s="93" t="s">
        <v>363</v>
      </c>
      <c r="B1873" s="103" t="s">
        <v>1927</v>
      </c>
    </row>
    <row r="1874" spans="1:2" ht="13.5" x14ac:dyDescent="0.25">
      <c r="A1874" s="93" t="s">
        <v>363</v>
      </c>
      <c r="B1874" s="103" t="s">
        <v>1928</v>
      </c>
    </row>
    <row r="1875" spans="1:2" x14ac:dyDescent="0.2">
      <c r="A1875" s="93" t="s">
        <v>361</v>
      </c>
      <c r="B1875" s="101" t="s">
        <v>1929</v>
      </c>
    </row>
    <row r="1876" spans="1:2" ht="13.5" x14ac:dyDescent="0.25">
      <c r="A1876" s="93" t="s">
        <v>363</v>
      </c>
      <c r="B1876" s="103" t="s">
        <v>1930</v>
      </c>
    </row>
    <row r="1877" spans="1:2" ht="13.5" x14ac:dyDescent="0.25">
      <c r="A1877" s="93" t="s">
        <v>363</v>
      </c>
      <c r="B1877" s="103" t="s">
        <v>1931</v>
      </c>
    </row>
    <row r="1878" spans="1:2" ht="13.5" x14ac:dyDescent="0.25">
      <c r="A1878" s="93" t="s">
        <v>363</v>
      </c>
      <c r="B1878" s="103" t="s">
        <v>1932</v>
      </c>
    </row>
    <row r="1879" spans="1:2" ht="13.5" x14ac:dyDescent="0.25">
      <c r="A1879" s="93" t="s">
        <v>363</v>
      </c>
      <c r="B1879" s="105" t="s">
        <v>1933</v>
      </c>
    </row>
    <row r="1880" spans="1:2" ht="13.5" x14ac:dyDescent="0.25">
      <c r="A1880" s="93" t="s">
        <v>363</v>
      </c>
      <c r="B1880" s="103" t="s">
        <v>1934</v>
      </c>
    </row>
    <row r="1881" spans="1:2" x14ac:dyDescent="0.2">
      <c r="A1881" s="93" t="s">
        <v>361</v>
      </c>
      <c r="B1881" s="101" t="s">
        <v>1935</v>
      </c>
    </row>
    <row r="1882" spans="1:2" ht="13.5" x14ac:dyDescent="0.25">
      <c r="A1882" s="93" t="s">
        <v>363</v>
      </c>
      <c r="B1882" s="103" t="s">
        <v>1936</v>
      </c>
    </row>
    <row r="1883" spans="1:2" ht="13.5" x14ac:dyDescent="0.25">
      <c r="A1883" s="93" t="s">
        <v>363</v>
      </c>
      <c r="B1883" s="103" t="s">
        <v>561</v>
      </c>
    </row>
    <row r="1884" spans="1:2" ht="13.5" x14ac:dyDescent="0.25">
      <c r="A1884" s="93" t="s">
        <v>363</v>
      </c>
      <c r="B1884" s="103" t="s">
        <v>1937</v>
      </c>
    </row>
    <row r="1885" spans="1:2" ht="13.5" x14ac:dyDescent="0.25">
      <c r="A1885" s="93" t="s">
        <v>363</v>
      </c>
      <c r="B1885" s="103" t="s">
        <v>1938</v>
      </c>
    </row>
    <row r="1886" spans="1:2" x14ac:dyDescent="0.2">
      <c r="A1886" s="93" t="s">
        <v>361</v>
      </c>
      <c r="B1886" s="101" t="s">
        <v>1939</v>
      </c>
    </row>
    <row r="1887" spans="1:2" ht="13.5" x14ac:dyDescent="0.25">
      <c r="A1887" s="93" t="s">
        <v>363</v>
      </c>
      <c r="B1887" s="103" t="s">
        <v>1939</v>
      </c>
    </row>
    <row r="1888" spans="1:2" ht="13.5" x14ac:dyDescent="0.25">
      <c r="A1888" s="93" t="s">
        <v>363</v>
      </c>
      <c r="B1888" s="103" t="s">
        <v>1940</v>
      </c>
    </row>
    <row r="1889" spans="1:2" ht="13.5" x14ac:dyDescent="0.25">
      <c r="A1889" s="93" t="s">
        <v>363</v>
      </c>
      <c r="B1889" s="103" t="s">
        <v>1941</v>
      </c>
    </row>
    <row r="1890" spans="1:2" ht="13.5" x14ac:dyDescent="0.25">
      <c r="A1890" s="93" t="s">
        <v>363</v>
      </c>
      <c r="B1890" s="103" t="s">
        <v>1942</v>
      </c>
    </row>
    <row r="1891" spans="1:2" ht="13.5" x14ac:dyDescent="0.25">
      <c r="A1891" s="93" t="s">
        <v>363</v>
      </c>
      <c r="B1891" s="103" t="s">
        <v>1943</v>
      </c>
    </row>
    <row r="1892" spans="1:2" ht="13.5" x14ac:dyDescent="0.25">
      <c r="A1892" s="93" t="s">
        <v>363</v>
      </c>
      <c r="B1892" s="103" t="s">
        <v>1944</v>
      </c>
    </row>
    <row r="1893" spans="1:2" ht="13.5" x14ac:dyDescent="0.25">
      <c r="A1893" s="93" t="s">
        <v>363</v>
      </c>
      <c r="B1893" s="103" t="s">
        <v>1945</v>
      </c>
    </row>
    <row r="1894" spans="1:2" ht="13.5" x14ac:dyDescent="0.25">
      <c r="A1894" s="93" t="s">
        <v>363</v>
      </c>
      <c r="B1894" s="103" t="s">
        <v>1946</v>
      </c>
    </row>
    <row r="1895" spans="1:2" ht="13.5" x14ac:dyDescent="0.25">
      <c r="A1895" s="93" t="s">
        <v>363</v>
      </c>
      <c r="B1895" s="103" t="s">
        <v>1947</v>
      </c>
    </row>
    <row r="1896" spans="1:2" ht="13.5" x14ac:dyDescent="0.25">
      <c r="A1896" s="93" t="s">
        <v>363</v>
      </c>
      <c r="B1896" s="103" t="s">
        <v>1948</v>
      </c>
    </row>
    <row r="1897" spans="1:2" x14ac:dyDescent="0.2">
      <c r="A1897" s="93" t="s">
        <v>361</v>
      </c>
      <c r="B1897" s="101" t="s">
        <v>1949</v>
      </c>
    </row>
    <row r="1898" spans="1:2" ht="13.5" x14ac:dyDescent="0.25">
      <c r="A1898" s="93" t="s">
        <v>363</v>
      </c>
      <c r="B1898" s="103" t="s">
        <v>1949</v>
      </c>
    </row>
    <row r="1899" spans="1:2" ht="13.5" x14ac:dyDescent="0.25">
      <c r="A1899" s="93" t="s">
        <v>363</v>
      </c>
      <c r="B1899" s="103" t="s">
        <v>1950</v>
      </c>
    </row>
    <row r="1900" spans="1:2" ht="13.5" x14ac:dyDescent="0.25">
      <c r="A1900" s="93" t="s">
        <v>363</v>
      </c>
      <c r="B1900" s="103" t="s">
        <v>1951</v>
      </c>
    </row>
    <row r="1901" spans="1:2" ht="13.5" x14ac:dyDescent="0.25">
      <c r="A1901" s="93" t="s">
        <v>363</v>
      </c>
      <c r="B1901" s="103" t="s">
        <v>1952</v>
      </c>
    </row>
    <row r="1902" spans="1:2" ht="13.5" x14ac:dyDescent="0.25">
      <c r="A1902" s="93" t="s">
        <v>363</v>
      </c>
      <c r="B1902" s="103" t="s">
        <v>1953</v>
      </c>
    </row>
    <row r="1903" spans="1:2" ht="13.5" x14ac:dyDescent="0.25">
      <c r="A1903" s="93" t="s">
        <v>363</v>
      </c>
      <c r="B1903" s="103" t="s">
        <v>1954</v>
      </c>
    </row>
    <row r="1904" spans="1:2" ht="13.5" x14ac:dyDescent="0.25">
      <c r="A1904" s="93" t="s">
        <v>363</v>
      </c>
      <c r="B1904" s="103" t="s">
        <v>1955</v>
      </c>
    </row>
    <row r="1905" spans="1:2" x14ac:dyDescent="0.2">
      <c r="A1905" s="93" t="s">
        <v>360</v>
      </c>
      <c r="B1905" s="98" t="s">
        <v>356</v>
      </c>
    </row>
    <row r="1906" spans="1:2" x14ac:dyDescent="0.2">
      <c r="A1906" s="93" t="s">
        <v>361</v>
      </c>
      <c r="B1906" s="101" t="s">
        <v>1956</v>
      </c>
    </row>
    <row r="1907" spans="1:2" ht="13.5" x14ac:dyDescent="0.25">
      <c r="A1907" s="93" t="s">
        <v>363</v>
      </c>
      <c r="B1907" s="103" t="s">
        <v>1956</v>
      </c>
    </row>
    <row r="1908" spans="1:2" ht="13.5" x14ac:dyDescent="0.25">
      <c r="A1908" s="93" t="s">
        <v>363</v>
      </c>
      <c r="B1908" s="103" t="s">
        <v>1957</v>
      </c>
    </row>
    <row r="1909" spans="1:2" ht="13.5" x14ac:dyDescent="0.25">
      <c r="A1909" s="93" t="s">
        <v>363</v>
      </c>
      <c r="B1909" s="103" t="s">
        <v>1958</v>
      </c>
    </row>
    <row r="1910" spans="1:2" ht="13.5" x14ac:dyDescent="0.25">
      <c r="A1910" s="93" t="s">
        <v>363</v>
      </c>
      <c r="B1910" s="103" t="s">
        <v>1959</v>
      </c>
    </row>
    <row r="1911" spans="1:2" ht="13.5" x14ac:dyDescent="0.25">
      <c r="A1911" s="93" t="s">
        <v>363</v>
      </c>
      <c r="B1911" s="103" t="s">
        <v>1960</v>
      </c>
    </row>
    <row r="1912" spans="1:2" ht="13.5" x14ac:dyDescent="0.25">
      <c r="A1912" s="93" t="s">
        <v>363</v>
      </c>
      <c r="B1912" s="103" t="s">
        <v>1961</v>
      </c>
    </row>
    <row r="1913" spans="1:2" x14ac:dyDescent="0.2">
      <c r="A1913" s="93" t="s">
        <v>361</v>
      </c>
      <c r="B1913" s="101" t="s">
        <v>971</v>
      </c>
    </row>
    <row r="1914" spans="1:2" ht="13.5" x14ac:dyDescent="0.25">
      <c r="A1914" s="93" t="s">
        <v>363</v>
      </c>
      <c r="B1914" s="103" t="s">
        <v>971</v>
      </c>
    </row>
    <row r="1915" spans="1:2" ht="13.5" x14ac:dyDescent="0.25">
      <c r="A1915" s="93" t="s">
        <v>363</v>
      </c>
      <c r="B1915" s="103" t="s">
        <v>1962</v>
      </c>
    </row>
    <row r="1916" spans="1:2" ht="13.5" x14ac:dyDescent="0.25">
      <c r="A1916" s="93" t="s">
        <v>363</v>
      </c>
      <c r="B1916" s="103" t="s">
        <v>1963</v>
      </c>
    </row>
    <row r="1917" spans="1:2" ht="13.5" x14ac:dyDescent="0.25">
      <c r="A1917" s="93" t="s">
        <v>363</v>
      </c>
      <c r="B1917" s="103" t="s">
        <v>1964</v>
      </c>
    </row>
    <row r="1918" spans="1:2" ht="13.5" x14ac:dyDescent="0.25">
      <c r="A1918" s="93" t="s">
        <v>363</v>
      </c>
      <c r="B1918" s="103" t="s">
        <v>1007</v>
      </c>
    </row>
    <row r="1919" spans="1:2" ht="13.5" x14ac:dyDescent="0.25">
      <c r="A1919" s="93" t="s">
        <v>363</v>
      </c>
      <c r="B1919" s="103" t="s">
        <v>1223</v>
      </c>
    </row>
    <row r="1920" spans="1:2" x14ac:dyDescent="0.2">
      <c r="A1920" s="93" t="s">
        <v>361</v>
      </c>
      <c r="B1920" s="101" t="s">
        <v>1965</v>
      </c>
    </row>
    <row r="1921" spans="1:2" ht="13.5" x14ac:dyDescent="0.25">
      <c r="A1921" s="93" t="s">
        <v>363</v>
      </c>
      <c r="B1921" s="103" t="s">
        <v>1966</v>
      </c>
    </row>
    <row r="1922" spans="1:2" ht="13.5" x14ac:dyDescent="0.25">
      <c r="A1922" s="93" t="s">
        <v>363</v>
      </c>
      <c r="B1922" s="103" t="s">
        <v>1967</v>
      </c>
    </row>
    <row r="1923" spans="1:2" ht="13.5" x14ac:dyDescent="0.25">
      <c r="A1923" s="93" t="s">
        <v>363</v>
      </c>
      <c r="B1923" s="103" t="s">
        <v>356</v>
      </c>
    </row>
    <row r="1924" spans="1:2" ht="13.5" x14ac:dyDescent="0.25">
      <c r="A1924" s="93" t="s">
        <v>363</v>
      </c>
      <c r="B1924" s="103" t="s">
        <v>437</v>
      </c>
    </row>
    <row r="1925" spans="1:2" ht="13.5" x14ac:dyDescent="0.25">
      <c r="A1925" s="93" t="s">
        <v>363</v>
      </c>
      <c r="B1925" s="103" t="s">
        <v>1968</v>
      </c>
    </row>
    <row r="1926" spans="1:2" x14ac:dyDescent="0.2">
      <c r="A1926" s="93" t="s">
        <v>361</v>
      </c>
      <c r="B1926" s="106" t="s">
        <v>1964</v>
      </c>
    </row>
    <row r="1927" spans="1:2" ht="13.5" x14ac:dyDescent="0.25">
      <c r="A1927" s="93" t="s">
        <v>363</v>
      </c>
      <c r="B1927" s="103" t="s">
        <v>1969</v>
      </c>
    </row>
    <row r="1928" spans="1:2" ht="13.5" x14ac:dyDescent="0.25">
      <c r="A1928" s="93" t="s">
        <v>363</v>
      </c>
      <c r="B1928" s="103" t="s">
        <v>1970</v>
      </c>
    </row>
    <row r="1929" spans="1:2" ht="13.5" x14ac:dyDescent="0.25">
      <c r="A1929" s="93" t="s">
        <v>363</v>
      </c>
      <c r="B1929" s="103" t="s">
        <v>1971</v>
      </c>
    </row>
    <row r="1930" spans="1:2" ht="13.5" x14ac:dyDescent="0.25">
      <c r="A1930" s="93" t="s">
        <v>363</v>
      </c>
      <c r="B1930" s="103" t="s">
        <v>1972</v>
      </c>
    </row>
    <row r="1931" spans="1:2" ht="13.5" x14ac:dyDescent="0.25">
      <c r="A1931" s="93" t="s">
        <v>363</v>
      </c>
      <c r="B1931" s="103" t="s">
        <v>1973</v>
      </c>
    </row>
    <row r="1932" spans="1:2" ht="13.5" x14ac:dyDescent="0.25">
      <c r="A1932" s="93" t="s">
        <v>363</v>
      </c>
      <c r="B1932" s="103" t="s">
        <v>1974</v>
      </c>
    </row>
    <row r="1933" spans="1:2" x14ac:dyDescent="0.2">
      <c r="A1933" s="93" t="s">
        <v>361</v>
      </c>
      <c r="B1933" s="101" t="s">
        <v>1975</v>
      </c>
    </row>
    <row r="1934" spans="1:2" ht="13.5" x14ac:dyDescent="0.25">
      <c r="A1934" s="93" t="s">
        <v>363</v>
      </c>
      <c r="B1934" s="103" t="s">
        <v>1975</v>
      </c>
    </row>
    <row r="1935" spans="1:2" ht="13.5" x14ac:dyDescent="0.25">
      <c r="A1935" s="93" t="s">
        <v>363</v>
      </c>
      <c r="B1935" s="103" t="s">
        <v>1976</v>
      </c>
    </row>
    <row r="1936" spans="1:2" ht="13.5" x14ac:dyDescent="0.25">
      <c r="A1936" s="93" t="s">
        <v>363</v>
      </c>
      <c r="B1936" s="103" t="s">
        <v>1977</v>
      </c>
    </row>
    <row r="1937" spans="1:2" ht="13.5" x14ac:dyDescent="0.25">
      <c r="A1937" s="93" t="s">
        <v>363</v>
      </c>
      <c r="B1937" s="103" t="s">
        <v>1978</v>
      </c>
    </row>
    <row r="1938" spans="1:2" ht="13.5" x14ac:dyDescent="0.25">
      <c r="A1938" s="93" t="s">
        <v>363</v>
      </c>
      <c r="B1938" s="103" t="s">
        <v>1979</v>
      </c>
    </row>
    <row r="1939" spans="1:2" ht="13.5" x14ac:dyDescent="0.25">
      <c r="A1939" s="93" t="s">
        <v>363</v>
      </c>
      <c r="B1939" s="103" t="s">
        <v>1980</v>
      </c>
    </row>
    <row r="1940" spans="1:2" ht="13.5" x14ac:dyDescent="0.25">
      <c r="A1940" s="93" t="s">
        <v>363</v>
      </c>
      <c r="B1940" s="103" t="s">
        <v>1981</v>
      </c>
    </row>
    <row r="1941" spans="1:2" ht="13.5" x14ac:dyDescent="0.25">
      <c r="A1941" s="93" t="s">
        <v>363</v>
      </c>
      <c r="B1941" s="103" t="s">
        <v>1982</v>
      </c>
    </row>
    <row r="1942" spans="1:2" ht="13.5" x14ac:dyDescent="0.25">
      <c r="A1942" s="93" t="s">
        <v>363</v>
      </c>
      <c r="B1942" s="103" t="s">
        <v>1983</v>
      </c>
    </row>
    <row r="1943" spans="1:2" ht="13.5" x14ac:dyDescent="0.25">
      <c r="A1943" s="93" t="s">
        <v>363</v>
      </c>
      <c r="B1943" s="103" t="s">
        <v>1984</v>
      </c>
    </row>
    <row r="1944" spans="1:2" ht="13.5" x14ac:dyDescent="0.25">
      <c r="A1944" s="93" t="s">
        <v>363</v>
      </c>
      <c r="B1944" s="103" t="s">
        <v>1985</v>
      </c>
    </row>
    <row r="1945" spans="1:2" x14ac:dyDescent="0.2">
      <c r="A1945" s="93" t="s">
        <v>361</v>
      </c>
      <c r="B1945" s="101" t="s">
        <v>720</v>
      </c>
    </row>
    <row r="1946" spans="1:2" ht="13.5" x14ac:dyDescent="0.25">
      <c r="A1946" s="93" t="s">
        <v>363</v>
      </c>
      <c r="B1946" s="103" t="s">
        <v>1986</v>
      </c>
    </row>
    <row r="1947" spans="1:2" ht="13.5" x14ac:dyDescent="0.25">
      <c r="A1947" s="93" t="s">
        <v>363</v>
      </c>
      <c r="B1947" s="103" t="s">
        <v>1987</v>
      </c>
    </row>
    <row r="1948" spans="1:2" ht="13.5" x14ac:dyDescent="0.25">
      <c r="A1948" s="93" t="s">
        <v>363</v>
      </c>
      <c r="B1948" s="103" t="s">
        <v>1988</v>
      </c>
    </row>
    <row r="1949" spans="1:2" ht="13.5" x14ac:dyDescent="0.25">
      <c r="A1949" s="93" t="s">
        <v>363</v>
      </c>
      <c r="B1949" s="103" t="s">
        <v>1989</v>
      </c>
    </row>
    <row r="1950" spans="1:2" ht="13.5" x14ac:dyDescent="0.25">
      <c r="A1950" s="93" t="s">
        <v>363</v>
      </c>
      <c r="B1950" s="103" t="s">
        <v>1990</v>
      </c>
    </row>
    <row r="1951" spans="1:2" x14ac:dyDescent="0.2">
      <c r="A1951" s="93" t="s">
        <v>361</v>
      </c>
      <c r="B1951" s="101" t="s">
        <v>1991</v>
      </c>
    </row>
    <row r="1952" spans="1:2" ht="13.5" x14ac:dyDescent="0.25">
      <c r="A1952" s="93" t="s">
        <v>363</v>
      </c>
      <c r="B1952" s="103" t="s">
        <v>1991</v>
      </c>
    </row>
    <row r="1953" spans="1:2" ht="13.5" x14ac:dyDescent="0.25">
      <c r="A1953" s="93" t="s">
        <v>363</v>
      </c>
      <c r="B1953" s="103" t="s">
        <v>1821</v>
      </c>
    </row>
    <row r="1954" spans="1:2" ht="13.5" x14ac:dyDescent="0.25">
      <c r="A1954" s="93" t="s">
        <v>363</v>
      </c>
      <c r="B1954" s="103" t="s">
        <v>1992</v>
      </c>
    </row>
    <row r="1955" spans="1:2" ht="13.5" x14ac:dyDescent="0.25">
      <c r="A1955" s="93" t="s">
        <v>363</v>
      </c>
      <c r="B1955" s="103" t="s">
        <v>1993</v>
      </c>
    </row>
    <row r="1956" spans="1:2" ht="13.5" x14ac:dyDescent="0.25">
      <c r="A1956" s="93" t="s">
        <v>363</v>
      </c>
      <c r="B1956" s="103" t="s">
        <v>1994</v>
      </c>
    </row>
    <row r="1957" spans="1:2" ht="13.5" x14ac:dyDescent="0.25">
      <c r="A1957" s="93" t="s">
        <v>363</v>
      </c>
      <c r="B1957" s="103" t="s">
        <v>419</v>
      </c>
    </row>
    <row r="1958" spans="1:2" ht="13.5" x14ac:dyDescent="0.25">
      <c r="A1958" s="93" t="s">
        <v>363</v>
      </c>
      <c r="B1958" s="103" t="s">
        <v>1995</v>
      </c>
    </row>
    <row r="1959" spans="1:2" ht="13.5" x14ac:dyDescent="0.25">
      <c r="A1959" s="93" t="s">
        <v>363</v>
      </c>
      <c r="B1959" s="103" t="s">
        <v>1996</v>
      </c>
    </row>
    <row r="1960" spans="1:2" ht="13.5" x14ac:dyDescent="0.25">
      <c r="A1960" s="93" t="s">
        <v>363</v>
      </c>
      <c r="B1960" s="103" t="s">
        <v>1997</v>
      </c>
    </row>
    <row r="1961" spans="1:2" ht="13.5" x14ac:dyDescent="0.25">
      <c r="A1961" s="93" t="s">
        <v>363</v>
      </c>
      <c r="B1961" s="103" t="s">
        <v>1998</v>
      </c>
    </row>
    <row r="1962" spans="1:2" x14ac:dyDescent="0.2">
      <c r="A1962" s="93" t="s">
        <v>361</v>
      </c>
      <c r="B1962" s="101" t="s">
        <v>1999</v>
      </c>
    </row>
    <row r="1963" spans="1:2" ht="13.5" x14ac:dyDescent="0.25">
      <c r="A1963" s="93" t="s">
        <v>363</v>
      </c>
      <c r="B1963" s="103" t="s">
        <v>1999</v>
      </c>
    </row>
    <row r="1964" spans="1:2" ht="13.5" x14ac:dyDescent="0.25">
      <c r="A1964" s="93" t="s">
        <v>363</v>
      </c>
      <c r="B1964" s="103" t="s">
        <v>2000</v>
      </c>
    </row>
    <row r="1965" spans="1:2" ht="13.5" x14ac:dyDescent="0.25">
      <c r="A1965" s="93" t="s">
        <v>363</v>
      </c>
      <c r="B1965" s="103" t="s">
        <v>2001</v>
      </c>
    </row>
    <row r="1966" spans="1:2" ht="13.5" x14ac:dyDescent="0.25">
      <c r="A1966" s="93" t="s">
        <v>363</v>
      </c>
      <c r="B1966" s="103" t="s">
        <v>2002</v>
      </c>
    </row>
    <row r="1967" spans="1:2" ht="13.5" x14ac:dyDescent="0.25">
      <c r="A1967" s="93" t="s">
        <v>363</v>
      </c>
      <c r="B1967" s="103" t="s">
        <v>2003</v>
      </c>
    </row>
    <row r="1968" spans="1:2" ht="13.5" x14ac:dyDescent="0.25">
      <c r="A1968" s="93" t="s">
        <v>363</v>
      </c>
      <c r="B1968" s="103" t="s">
        <v>2004</v>
      </c>
    </row>
    <row r="1969" spans="1:2" ht="13.5" x14ac:dyDescent="0.25">
      <c r="A1969" s="93" t="s">
        <v>363</v>
      </c>
      <c r="B1969" s="103" t="s">
        <v>2005</v>
      </c>
    </row>
    <row r="1970" spans="1:2" ht="13.5" x14ac:dyDescent="0.25">
      <c r="A1970" s="93" t="s">
        <v>363</v>
      </c>
      <c r="B1970" s="103" t="s">
        <v>2006</v>
      </c>
    </row>
    <row r="1971" spans="1:2" ht="13.5" x14ac:dyDescent="0.25">
      <c r="A1971" s="93" t="s">
        <v>363</v>
      </c>
      <c r="B1971" s="103" t="s">
        <v>2007</v>
      </c>
    </row>
    <row r="1972" spans="1:2" x14ac:dyDescent="0.2">
      <c r="A1972" s="93" t="s">
        <v>361</v>
      </c>
      <c r="B1972" s="101" t="s">
        <v>356</v>
      </c>
    </row>
    <row r="1973" spans="1:2" ht="13.5" x14ac:dyDescent="0.25">
      <c r="A1973" s="93" t="s">
        <v>363</v>
      </c>
      <c r="B1973" s="105" t="s">
        <v>2008</v>
      </c>
    </row>
    <row r="1974" spans="1:2" ht="13.5" x14ac:dyDescent="0.25">
      <c r="A1974" s="93" t="s">
        <v>363</v>
      </c>
      <c r="B1974" s="103" t="s">
        <v>2009</v>
      </c>
    </row>
    <row r="1975" spans="1:2" ht="13.5" x14ac:dyDescent="0.25">
      <c r="A1975" s="93" t="s">
        <v>363</v>
      </c>
      <c r="B1975" s="103" t="s">
        <v>2010</v>
      </c>
    </row>
    <row r="1976" spans="1:2" ht="13.5" x14ac:dyDescent="0.25">
      <c r="A1976" s="93" t="s">
        <v>363</v>
      </c>
      <c r="B1976" s="103" t="s">
        <v>2011</v>
      </c>
    </row>
    <row r="1977" spans="1:2" ht="13.5" x14ac:dyDescent="0.25">
      <c r="A1977" s="93" t="s">
        <v>363</v>
      </c>
      <c r="B1977" s="103" t="s">
        <v>2012</v>
      </c>
    </row>
    <row r="1978" spans="1:2" ht="13.5" x14ac:dyDescent="0.25">
      <c r="A1978" s="93" t="s">
        <v>363</v>
      </c>
      <c r="B1978" s="103" t="s">
        <v>1429</v>
      </c>
    </row>
    <row r="1979" spans="1:2" ht="13.5" x14ac:dyDescent="0.25">
      <c r="A1979" s="93" t="s">
        <v>363</v>
      </c>
      <c r="B1979" s="103" t="s">
        <v>2013</v>
      </c>
    </row>
    <row r="1980" spans="1:2" ht="13.5" x14ac:dyDescent="0.25">
      <c r="A1980" s="93" t="s">
        <v>363</v>
      </c>
      <c r="B1980" s="103" t="s">
        <v>2014</v>
      </c>
    </row>
    <row r="1981" spans="1:2" ht="13.5" x14ac:dyDescent="0.25">
      <c r="A1981" s="93" t="s">
        <v>363</v>
      </c>
      <c r="B1981" s="103" t="s">
        <v>2015</v>
      </c>
    </row>
    <row r="1982" spans="1:2" ht="13.5" x14ac:dyDescent="0.25">
      <c r="A1982" s="93" t="s">
        <v>363</v>
      </c>
      <c r="B1982" s="103" t="s">
        <v>2016</v>
      </c>
    </row>
    <row r="1983" spans="1:2" ht="13.5" x14ac:dyDescent="0.25">
      <c r="A1983" s="93" t="s">
        <v>363</v>
      </c>
      <c r="B1983" s="103" t="s">
        <v>2017</v>
      </c>
    </row>
    <row r="1984" spans="1:2" ht="13.5" x14ac:dyDescent="0.25">
      <c r="A1984" s="93" t="s">
        <v>363</v>
      </c>
      <c r="B1984" s="103" t="s">
        <v>684</v>
      </c>
    </row>
    <row r="1985" spans="1:2" ht="13.5" x14ac:dyDescent="0.25">
      <c r="A1985" s="93" t="s">
        <v>363</v>
      </c>
      <c r="B1985" s="103" t="s">
        <v>2018</v>
      </c>
    </row>
    <row r="1986" spans="1:2" ht="13.5" x14ac:dyDescent="0.25">
      <c r="A1986" s="93" t="s">
        <v>363</v>
      </c>
      <c r="B1986" s="103" t="s">
        <v>2019</v>
      </c>
    </row>
    <row r="1987" spans="1:2" x14ac:dyDescent="0.2">
      <c r="A1987" s="93" t="s">
        <v>361</v>
      </c>
      <c r="B1987" s="101" t="s">
        <v>2020</v>
      </c>
    </row>
    <row r="1988" spans="1:2" ht="13.5" x14ac:dyDescent="0.25">
      <c r="A1988" s="93" t="s">
        <v>363</v>
      </c>
      <c r="B1988" s="103" t="s">
        <v>2020</v>
      </c>
    </row>
    <row r="1989" spans="1:2" ht="13.5" x14ac:dyDescent="0.25">
      <c r="A1989" s="93" t="s">
        <v>363</v>
      </c>
      <c r="B1989" s="103" t="s">
        <v>2021</v>
      </c>
    </row>
    <row r="1990" spans="1:2" ht="13.5" x14ac:dyDescent="0.25">
      <c r="A1990" s="93" t="s">
        <v>363</v>
      </c>
      <c r="B1990" s="103" t="s">
        <v>2022</v>
      </c>
    </row>
    <row r="1991" spans="1:2" ht="13.5" x14ac:dyDescent="0.25">
      <c r="A1991" s="93" t="s">
        <v>363</v>
      </c>
      <c r="B1991" s="103" t="s">
        <v>2023</v>
      </c>
    </row>
    <row r="1992" spans="1:2" ht="13.5" x14ac:dyDescent="0.25">
      <c r="A1992" s="93" t="s">
        <v>363</v>
      </c>
      <c r="B1992" s="103" t="s">
        <v>2024</v>
      </c>
    </row>
    <row r="1993" spans="1:2" x14ac:dyDescent="0.2">
      <c r="A1993" s="93" t="s">
        <v>360</v>
      </c>
      <c r="B1993" s="98" t="s">
        <v>357</v>
      </c>
    </row>
    <row r="1994" spans="1:2" x14ac:dyDescent="0.2">
      <c r="A1994" s="93" t="s">
        <v>361</v>
      </c>
      <c r="B1994" s="101" t="s">
        <v>357</v>
      </c>
    </row>
    <row r="1995" spans="1:2" ht="13.5" x14ac:dyDescent="0.25">
      <c r="A1995" s="93" t="s">
        <v>363</v>
      </c>
      <c r="B1995" s="103" t="s">
        <v>357</v>
      </c>
    </row>
    <row r="1996" spans="1:2" ht="13.5" x14ac:dyDescent="0.25">
      <c r="A1996" s="93" t="s">
        <v>363</v>
      </c>
      <c r="B1996" s="103" t="s">
        <v>2025</v>
      </c>
    </row>
    <row r="1997" spans="1:2" ht="13.5" x14ac:dyDescent="0.25">
      <c r="A1997" s="93" t="s">
        <v>363</v>
      </c>
      <c r="B1997" s="103" t="s">
        <v>2026</v>
      </c>
    </row>
    <row r="1998" spans="1:2" ht="13.5" x14ac:dyDescent="0.25">
      <c r="A1998" s="93" t="s">
        <v>363</v>
      </c>
      <c r="B1998" s="103" t="s">
        <v>2027</v>
      </c>
    </row>
    <row r="1999" spans="1:2" ht="13.5" x14ac:dyDescent="0.25">
      <c r="A1999" s="93" t="s">
        <v>363</v>
      </c>
      <c r="B1999" s="103" t="s">
        <v>2028</v>
      </c>
    </row>
    <row r="2000" spans="1:2" ht="13.5" x14ac:dyDescent="0.25">
      <c r="A2000" s="93" t="s">
        <v>363</v>
      </c>
      <c r="B2000" s="103" t="s">
        <v>2029</v>
      </c>
    </row>
    <row r="2001" spans="1:2" ht="13.5" x14ac:dyDescent="0.25">
      <c r="A2001" s="93" t="s">
        <v>363</v>
      </c>
      <c r="B2001" s="103" t="s">
        <v>1136</v>
      </c>
    </row>
    <row r="2002" spans="1:2" ht="13.5" x14ac:dyDescent="0.25">
      <c r="A2002" s="93" t="s">
        <v>363</v>
      </c>
      <c r="B2002" s="103" t="s">
        <v>2030</v>
      </c>
    </row>
    <row r="2003" spans="1:2" ht="13.5" x14ac:dyDescent="0.25">
      <c r="A2003" s="93" t="s">
        <v>363</v>
      </c>
      <c r="B2003" s="103" t="s">
        <v>2031</v>
      </c>
    </row>
    <row r="2004" spans="1:2" ht="13.5" x14ac:dyDescent="0.25">
      <c r="A2004" s="93" t="s">
        <v>363</v>
      </c>
      <c r="B2004" s="103" t="s">
        <v>2032</v>
      </c>
    </row>
    <row r="2005" spans="1:2" x14ac:dyDescent="0.2">
      <c r="A2005" s="93" t="s">
        <v>361</v>
      </c>
      <c r="B2005" s="101" t="s">
        <v>2033</v>
      </c>
    </row>
    <row r="2006" spans="1:2" ht="13.5" x14ac:dyDescent="0.25">
      <c r="A2006" s="93" t="s">
        <v>363</v>
      </c>
      <c r="B2006" s="103" t="s">
        <v>2033</v>
      </c>
    </row>
    <row r="2007" spans="1:2" ht="13.5" x14ac:dyDescent="0.25">
      <c r="A2007" s="93" t="s">
        <v>363</v>
      </c>
      <c r="B2007" s="103" t="s">
        <v>2034</v>
      </c>
    </row>
    <row r="2008" spans="1:2" ht="13.5" x14ac:dyDescent="0.25">
      <c r="A2008" s="93" t="s">
        <v>363</v>
      </c>
      <c r="B2008" s="103" t="s">
        <v>2035</v>
      </c>
    </row>
    <row r="2009" spans="1:2" ht="13.5" x14ac:dyDescent="0.25">
      <c r="A2009" s="93" t="s">
        <v>363</v>
      </c>
      <c r="B2009" s="103" t="s">
        <v>2036</v>
      </c>
    </row>
    <row r="2010" spans="1:2" ht="13.5" x14ac:dyDescent="0.25">
      <c r="A2010" s="93" t="s">
        <v>363</v>
      </c>
      <c r="B2010" s="103" t="s">
        <v>2037</v>
      </c>
    </row>
    <row r="2011" spans="1:2" ht="13.5" x14ac:dyDescent="0.25">
      <c r="A2011" s="93" t="s">
        <v>363</v>
      </c>
      <c r="B2011" s="103" t="s">
        <v>2038</v>
      </c>
    </row>
    <row r="2012" spans="1:2" x14ac:dyDescent="0.2">
      <c r="A2012" s="93" t="s">
        <v>361</v>
      </c>
      <c r="B2012" s="101" t="s">
        <v>2039</v>
      </c>
    </row>
    <row r="2013" spans="1:2" ht="13.5" x14ac:dyDescent="0.25">
      <c r="A2013" s="93" t="s">
        <v>363</v>
      </c>
      <c r="B2013" s="103" t="s">
        <v>2040</v>
      </c>
    </row>
    <row r="2014" spans="1:2" ht="13.5" x14ac:dyDescent="0.25">
      <c r="A2014" s="93" t="s">
        <v>363</v>
      </c>
      <c r="B2014" s="103" t="s">
        <v>2041</v>
      </c>
    </row>
    <row r="2015" spans="1:2" ht="13.5" x14ac:dyDescent="0.25">
      <c r="A2015" s="93" t="s">
        <v>363</v>
      </c>
      <c r="B2015" s="103" t="s">
        <v>2042</v>
      </c>
    </row>
    <row r="2016" spans="1:2" x14ac:dyDescent="0.2">
      <c r="A2016" s="93" t="s">
        <v>361</v>
      </c>
      <c r="B2016" s="101" t="s">
        <v>2043</v>
      </c>
    </row>
    <row r="2017" spans="1:2" ht="13.5" x14ac:dyDescent="0.25">
      <c r="A2017" s="93" t="s">
        <v>363</v>
      </c>
      <c r="B2017" s="103" t="s">
        <v>2043</v>
      </c>
    </row>
    <row r="2018" spans="1:2" ht="13.5" x14ac:dyDescent="0.25">
      <c r="A2018" s="93" t="s">
        <v>363</v>
      </c>
      <c r="B2018" s="103" t="s">
        <v>2044</v>
      </c>
    </row>
    <row r="2019" spans="1:2" ht="13.5" x14ac:dyDescent="0.25">
      <c r="A2019" s="93" t="s">
        <v>363</v>
      </c>
      <c r="B2019" s="103" t="s">
        <v>2045</v>
      </c>
    </row>
    <row r="2020" spans="1:2" ht="13.5" x14ac:dyDescent="0.25">
      <c r="A2020" s="93" t="s">
        <v>363</v>
      </c>
      <c r="B2020" s="105" t="s">
        <v>2046</v>
      </c>
    </row>
    <row r="2021" spans="1:2" ht="13.5" x14ac:dyDescent="0.25">
      <c r="A2021" s="93" t="s">
        <v>363</v>
      </c>
      <c r="B2021" s="103" t="s">
        <v>2047</v>
      </c>
    </row>
    <row r="2022" spans="1:2" ht="13.5" x14ac:dyDescent="0.25">
      <c r="A2022" s="93" t="s">
        <v>363</v>
      </c>
      <c r="B2022" s="103" t="s">
        <v>2048</v>
      </c>
    </row>
    <row r="2023" spans="1:2" ht="13.5" x14ac:dyDescent="0.25">
      <c r="A2023" s="93" t="s">
        <v>363</v>
      </c>
      <c r="B2023" s="103" t="s">
        <v>2049</v>
      </c>
    </row>
    <row r="2024" spans="1:2" ht="13.5" x14ac:dyDescent="0.25">
      <c r="A2024" s="93" t="s">
        <v>363</v>
      </c>
      <c r="B2024" s="103" t="s">
        <v>2050</v>
      </c>
    </row>
    <row r="2025" spans="1:2" x14ac:dyDescent="0.2">
      <c r="A2025" s="93" t="s">
        <v>360</v>
      </c>
      <c r="B2025" s="98" t="s">
        <v>358</v>
      </c>
    </row>
    <row r="2026" spans="1:2" x14ac:dyDescent="0.2">
      <c r="A2026" s="93" t="s">
        <v>361</v>
      </c>
      <c r="B2026" s="101" t="s">
        <v>358</v>
      </c>
    </row>
    <row r="2027" spans="1:2" ht="12" customHeight="1" x14ac:dyDescent="0.25">
      <c r="A2027" s="93" t="s">
        <v>363</v>
      </c>
      <c r="B2027" s="103" t="s">
        <v>358</v>
      </c>
    </row>
    <row r="2028" spans="1:2" ht="12" customHeight="1" x14ac:dyDescent="0.25">
      <c r="A2028" s="93" t="s">
        <v>363</v>
      </c>
      <c r="B2028" s="103" t="s">
        <v>2051</v>
      </c>
    </row>
    <row r="2029" spans="1:2" ht="12" customHeight="1" x14ac:dyDescent="0.25">
      <c r="A2029" s="93" t="s">
        <v>363</v>
      </c>
      <c r="B2029" s="103" t="s">
        <v>2052</v>
      </c>
    </row>
    <row r="2030" spans="1:2" ht="12" customHeight="1" x14ac:dyDescent="0.25">
      <c r="A2030" s="93" t="s">
        <v>363</v>
      </c>
      <c r="B2030" s="103" t="s">
        <v>2053</v>
      </c>
    </row>
    <row r="2031" spans="1:2" ht="12" customHeight="1" x14ac:dyDescent="0.25">
      <c r="A2031" s="93" t="s">
        <v>363</v>
      </c>
      <c r="B2031" s="103" t="s">
        <v>2054</v>
      </c>
    </row>
    <row r="2032" spans="1:2" ht="12" customHeight="1" x14ac:dyDescent="0.25">
      <c r="A2032" s="93" t="s">
        <v>363</v>
      </c>
      <c r="B2032" s="103" t="s">
        <v>2055</v>
      </c>
    </row>
    <row r="2033" spans="1:2" x14ac:dyDescent="0.2">
      <c r="A2033" s="93" t="s">
        <v>361</v>
      </c>
      <c r="B2033" s="101" t="s">
        <v>2056</v>
      </c>
    </row>
    <row r="2034" spans="1:2" ht="13.5" x14ac:dyDescent="0.25">
      <c r="A2034" s="93" t="s">
        <v>363</v>
      </c>
      <c r="B2034" s="103" t="s">
        <v>2057</v>
      </c>
    </row>
    <row r="2035" spans="1:2" ht="13.5" x14ac:dyDescent="0.25">
      <c r="A2035" s="93" t="s">
        <v>363</v>
      </c>
      <c r="B2035" s="103" t="s">
        <v>2058</v>
      </c>
    </row>
    <row r="2036" spans="1:2" ht="13.5" x14ac:dyDescent="0.25">
      <c r="A2036" s="93" t="s">
        <v>363</v>
      </c>
      <c r="B2036" s="103" t="s">
        <v>2059</v>
      </c>
    </row>
    <row r="2037" spans="1:2" x14ac:dyDescent="0.2">
      <c r="A2037" s="93" t="s">
        <v>361</v>
      </c>
      <c r="B2037" s="101" t="s">
        <v>2060</v>
      </c>
    </row>
    <row r="2038" spans="1:2" ht="13.5" x14ac:dyDescent="0.25">
      <c r="A2038" s="93" t="s">
        <v>363</v>
      </c>
      <c r="B2038" s="103" t="s">
        <v>2060</v>
      </c>
    </row>
    <row r="2039" spans="1:2" ht="13.5" x14ac:dyDescent="0.25">
      <c r="A2039" s="93" t="s">
        <v>363</v>
      </c>
      <c r="B2039" s="103" t="s">
        <v>2061</v>
      </c>
    </row>
    <row r="2040" spans="1:2" ht="13.5" x14ac:dyDescent="0.25">
      <c r="A2040" s="93" t="s">
        <v>363</v>
      </c>
      <c r="B2040" s="103" t="s">
        <v>2062</v>
      </c>
    </row>
    <row r="2041" spans="1:2" ht="13.5" x14ac:dyDescent="0.25">
      <c r="A2041" s="93" t="s">
        <v>363</v>
      </c>
      <c r="B2041" s="103" t="s">
        <v>2063</v>
      </c>
    </row>
    <row r="2042" spans="1:2" x14ac:dyDescent="0.2">
      <c r="A2042" s="93" t="s">
        <v>360</v>
      </c>
      <c r="B2042" s="98" t="s">
        <v>359</v>
      </c>
    </row>
    <row r="2043" spans="1:2" x14ac:dyDescent="0.2">
      <c r="A2043" s="93" t="s">
        <v>361</v>
      </c>
      <c r="B2043" s="101" t="s">
        <v>2064</v>
      </c>
    </row>
    <row r="2044" spans="1:2" ht="13.5" x14ac:dyDescent="0.25">
      <c r="A2044" s="93" t="s">
        <v>363</v>
      </c>
      <c r="B2044" s="103" t="s">
        <v>2065</v>
      </c>
    </row>
    <row r="2045" spans="1:2" ht="13.5" x14ac:dyDescent="0.25">
      <c r="A2045" s="93" t="s">
        <v>363</v>
      </c>
      <c r="B2045" s="103" t="s">
        <v>2066</v>
      </c>
    </row>
    <row r="2046" spans="1:2" ht="13.5" x14ac:dyDescent="0.25">
      <c r="A2046" s="93" t="s">
        <v>363</v>
      </c>
      <c r="B2046" s="103" t="s">
        <v>2067</v>
      </c>
    </row>
    <row r="2047" spans="1:2" ht="13.5" x14ac:dyDescent="0.25">
      <c r="A2047" s="93" t="s">
        <v>363</v>
      </c>
      <c r="B2047" s="103" t="s">
        <v>2068</v>
      </c>
    </row>
    <row r="2048" spans="1:2" ht="13.5" x14ac:dyDescent="0.25">
      <c r="A2048" s="93" t="s">
        <v>363</v>
      </c>
      <c r="B2048" s="103" t="s">
        <v>2069</v>
      </c>
    </row>
    <row r="2049" spans="1:5" ht="13.5" x14ac:dyDescent="0.25">
      <c r="A2049" s="93" t="s">
        <v>363</v>
      </c>
      <c r="B2049" s="103" t="s">
        <v>2070</v>
      </c>
    </row>
    <row r="2050" spans="1:5" ht="13.5" x14ac:dyDescent="0.25">
      <c r="A2050" s="93" t="s">
        <v>363</v>
      </c>
      <c r="B2050" s="103" t="s">
        <v>2071</v>
      </c>
    </row>
    <row r="2051" spans="1:5" x14ac:dyDescent="0.2">
      <c r="A2051" s="93" t="s">
        <v>361</v>
      </c>
      <c r="B2051" s="101" t="s">
        <v>2072</v>
      </c>
    </row>
    <row r="2052" spans="1:5" ht="13.5" x14ac:dyDescent="0.25">
      <c r="A2052" s="93" t="s">
        <v>363</v>
      </c>
      <c r="B2052" s="103" t="s">
        <v>2073</v>
      </c>
    </row>
    <row r="2053" spans="1:5" ht="13.5" x14ac:dyDescent="0.25">
      <c r="A2053" s="93" t="s">
        <v>363</v>
      </c>
      <c r="B2053" s="103" t="s">
        <v>2074</v>
      </c>
    </row>
    <row r="2054" spans="1:5" ht="13.5" x14ac:dyDescent="0.25">
      <c r="A2054" s="93" t="s">
        <v>363</v>
      </c>
      <c r="B2054" s="103" t="s">
        <v>2075</v>
      </c>
    </row>
    <row r="2055" spans="1:5" ht="13.5" x14ac:dyDescent="0.25">
      <c r="A2055" s="93" t="s">
        <v>363</v>
      </c>
      <c r="B2055" s="103" t="s">
        <v>2076</v>
      </c>
    </row>
    <row r="2056" spans="1:5" x14ac:dyDescent="0.2">
      <c r="A2056" s="93" t="s">
        <v>361</v>
      </c>
      <c r="B2056" s="101" t="s">
        <v>2077</v>
      </c>
    </row>
    <row r="2057" spans="1:5" ht="11.25" customHeight="1" x14ac:dyDescent="0.25">
      <c r="A2057" s="93" t="s">
        <v>363</v>
      </c>
      <c r="B2057" s="103" t="s">
        <v>2077</v>
      </c>
    </row>
    <row r="2058" spans="1:5" ht="11.25" customHeight="1" x14ac:dyDescent="0.25">
      <c r="A2058" s="93" t="s">
        <v>363</v>
      </c>
      <c r="B2058" s="103" t="s">
        <v>2078</v>
      </c>
    </row>
    <row r="2059" spans="1:5" ht="11.25" customHeight="1" x14ac:dyDescent="0.25">
      <c r="A2059" s="93" t="s">
        <v>363</v>
      </c>
      <c r="B2059" s="103" t="s">
        <v>2079</v>
      </c>
    </row>
    <row r="2060" spans="1:5" x14ac:dyDescent="0.2">
      <c r="A2060" s="93" t="s">
        <v>361</v>
      </c>
      <c r="B2060" s="101" t="s">
        <v>2080</v>
      </c>
      <c r="E2060" s="150"/>
    </row>
    <row r="2061" spans="1:5" ht="13.5" x14ac:dyDescent="0.25">
      <c r="A2061" s="93" t="s">
        <v>363</v>
      </c>
      <c r="B2061" s="105" t="s">
        <v>2080</v>
      </c>
    </row>
    <row r="2062" spans="1:5" ht="10.5" customHeight="1" x14ac:dyDescent="0.2">
      <c r="A2062" s="95"/>
      <c r="B2062" s="112"/>
    </row>
    <row r="2063" spans="1:5" ht="10.5" customHeight="1" x14ac:dyDescent="0.2">
      <c r="A2063" s="95"/>
      <c r="B2063" s="109"/>
    </row>
    <row r="2064" spans="1:5" ht="10.5" customHeight="1" x14ac:dyDescent="0.2">
      <c r="A2064" s="95"/>
      <c r="B2064" s="109"/>
    </row>
    <row r="2065" spans="1:2" ht="10.5" customHeight="1" x14ac:dyDescent="0.2">
      <c r="A2065" s="95"/>
      <c r="B2065" s="109"/>
    </row>
    <row r="2066" spans="1:2" ht="10.5" customHeight="1" x14ac:dyDescent="0.2">
      <c r="A2066" s="95"/>
      <c r="B2066" s="109"/>
    </row>
    <row r="2067" spans="1:2" ht="10.5" customHeight="1" x14ac:dyDescent="0.2">
      <c r="A2067" s="95"/>
      <c r="B2067" s="109"/>
    </row>
    <row r="2068" spans="1:2" ht="16.5" customHeight="1" x14ac:dyDescent="0.2">
      <c r="A2068" s="95"/>
      <c r="B2068" s="113"/>
    </row>
    <row r="2069" spans="1:2" ht="12.75" customHeight="1" x14ac:dyDescent="0.2">
      <c r="A2069" s="95"/>
      <c r="B2069" s="110"/>
    </row>
    <row r="2070" spans="1:2" ht="10.5" customHeight="1" x14ac:dyDescent="0.2">
      <c r="A2070" s="95"/>
      <c r="B2070" s="110"/>
    </row>
    <row r="2071" spans="1:2" x14ac:dyDescent="0.2">
      <c r="A2071" s="95"/>
      <c r="B2071" s="111"/>
    </row>
    <row r="2072" spans="1:2" x14ac:dyDescent="0.2">
      <c r="A2072" s="95"/>
      <c r="B2072" s="111"/>
    </row>
    <row r="2073" spans="1:2" x14ac:dyDescent="0.2">
      <c r="A2073" s="95"/>
      <c r="B2073" s="111"/>
    </row>
    <row r="2074" spans="1:2" x14ac:dyDescent="0.2">
      <c r="A2074" s="95"/>
      <c r="B2074" s="111"/>
    </row>
    <row r="2075" spans="1:2" x14ac:dyDescent="0.2">
      <c r="A2075" s="95"/>
      <c r="B2075" s="111"/>
    </row>
    <row r="2076" spans="1:2" x14ac:dyDescent="0.2">
      <c r="A2076" s="95"/>
      <c r="B2076" s="111"/>
    </row>
    <row r="2077" spans="1:2" x14ac:dyDescent="0.2">
      <c r="A2077" s="95"/>
      <c r="B2077" s="111"/>
    </row>
    <row r="2078" spans="1:2" x14ac:dyDescent="0.2">
      <c r="A2078" s="95"/>
      <c r="B2078" s="111"/>
    </row>
    <row r="2079" spans="1:2" x14ac:dyDescent="0.2">
      <c r="A2079" s="95"/>
      <c r="B2079" s="111"/>
    </row>
    <row r="2080" spans="1:2" x14ac:dyDescent="0.2">
      <c r="A2080" s="95"/>
      <c r="B2080" s="111"/>
    </row>
    <row r="2081" spans="1:2" x14ac:dyDescent="0.2">
      <c r="A2081" s="95"/>
      <c r="B2081" s="111"/>
    </row>
    <row r="2082" spans="1:2" x14ac:dyDescent="0.2">
      <c r="A2082" s="95"/>
      <c r="B2082" s="111"/>
    </row>
    <row r="2083" spans="1:2" x14ac:dyDescent="0.2">
      <c r="A2083" s="95"/>
      <c r="B2083" s="111"/>
    </row>
    <row r="2084" spans="1:2" x14ac:dyDescent="0.2">
      <c r="A2084" s="95"/>
      <c r="B2084" s="111"/>
    </row>
    <row r="2085" spans="1:2" x14ac:dyDescent="0.2">
      <c r="A2085" s="95"/>
      <c r="B2085" s="111"/>
    </row>
    <row r="2086" spans="1:2" x14ac:dyDescent="0.2">
      <c r="A2086" s="95"/>
      <c r="B2086" s="111"/>
    </row>
    <row r="2087" spans="1:2" x14ac:dyDescent="0.2">
      <c r="A2087" s="95"/>
      <c r="B2087" s="111"/>
    </row>
    <row r="2088" spans="1:2" x14ac:dyDescent="0.2">
      <c r="A2088" s="95"/>
      <c r="B2088" s="111"/>
    </row>
    <row r="2089" spans="1:2" x14ac:dyDescent="0.2">
      <c r="A2089" s="95"/>
      <c r="B2089" s="111"/>
    </row>
    <row r="2090" spans="1:2" x14ac:dyDescent="0.2">
      <c r="A2090" s="95"/>
      <c r="B2090" s="111"/>
    </row>
    <row r="2091" spans="1:2" x14ac:dyDescent="0.2">
      <c r="A2091" s="95"/>
      <c r="B2091" s="111"/>
    </row>
    <row r="2092" spans="1:2" x14ac:dyDescent="0.2">
      <c r="A2092" s="95"/>
      <c r="B2092" s="111"/>
    </row>
    <row r="2093" spans="1:2" x14ac:dyDescent="0.2">
      <c r="A2093" s="95"/>
      <c r="B2093" s="111"/>
    </row>
    <row r="2094" spans="1:2" x14ac:dyDescent="0.2">
      <c r="A2094" s="95"/>
      <c r="B2094" s="111"/>
    </row>
    <row r="2095" spans="1:2" x14ac:dyDescent="0.2">
      <c r="A2095" s="95"/>
      <c r="B2095" s="111"/>
    </row>
    <row r="2096" spans="1:2" x14ac:dyDescent="0.2">
      <c r="A2096" s="95"/>
      <c r="B2096" s="111"/>
    </row>
    <row r="2097" spans="1:2" x14ac:dyDescent="0.2">
      <c r="A2097" s="95"/>
      <c r="B2097" s="111"/>
    </row>
    <row r="2098" spans="1:2" x14ac:dyDescent="0.2">
      <c r="A2098" s="95"/>
      <c r="B2098" s="111"/>
    </row>
    <row r="2099" spans="1:2" x14ac:dyDescent="0.2">
      <c r="A2099" s="95"/>
      <c r="B2099" s="111"/>
    </row>
    <row r="2100" spans="1:2" x14ac:dyDescent="0.2">
      <c r="A2100" s="95"/>
      <c r="B2100" s="111"/>
    </row>
    <row r="2101" spans="1:2" x14ac:dyDescent="0.2">
      <c r="A2101" s="95"/>
      <c r="B2101" s="111"/>
    </row>
    <row r="2102" spans="1:2" x14ac:dyDescent="0.2">
      <c r="A2102" s="95"/>
      <c r="B2102" s="111"/>
    </row>
    <row r="2103" spans="1:2" x14ac:dyDescent="0.2">
      <c r="A2103" s="95"/>
      <c r="B2103" s="111"/>
    </row>
    <row r="2104" spans="1:2" x14ac:dyDescent="0.2">
      <c r="A2104" s="95"/>
      <c r="B2104" s="111"/>
    </row>
    <row r="2105" spans="1:2" x14ac:dyDescent="0.2">
      <c r="A2105" s="95"/>
      <c r="B2105" s="111"/>
    </row>
    <row r="2106" spans="1:2" x14ac:dyDescent="0.2">
      <c r="A2106" s="95"/>
      <c r="B2106" s="111"/>
    </row>
    <row r="2107" spans="1:2" x14ac:dyDescent="0.2">
      <c r="A2107" s="95"/>
      <c r="B2107" s="111"/>
    </row>
    <row r="2108" spans="1:2" x14ac:dyDescent="0.2">
      <c r="A2108" s="95"/>
      <c r="B2108" s="111"/>
    </row>
    <row r="2109" spans="1:2" x14ac:dyDescent="0.2">
      <c r="A2109" s="95"/>
      <c r="B2109" s="111"/>
    </row>
    <row r="2110" spans="1:2" x14ac:dyDescent="0.2">
      <c r="A2110" s="95"/>
      <c r="B2110" s="111"/>
    </row>
    <row r="2111" spans="1:2" x14ac:dyDescent="0.2">
      <c r="A2111" s="95"/>
      <c r="B2111" s="111"/>
    </row>
    <row r="2112" spans="1:2" x14ac:dyDescent="0.2">
      <c r="A2112" s="95"/>
      <c r="B2112" s="111"/>
    </row>
    <row r="2113" spans="1:2" x14ac:dyDescent="0.2">
      <c r="A2113" s="95"/>
      <c r="B2113" s="111"/>
    </row>
    <row r="2114" spans="1:2" x14ac:dyDescent="0.2">
      <c r="A2114" s="95"/>
      <c r="B2114" s="111"/>
    </row>
    <row r="2115" spans="1:2" x14ac:dyDescent="0.2">
      <c r="A2115" s="95"/>
      <c r="B2115" s="111"/>
    </row>
    <row r="2116" spans="1:2" x14ac:dyDescent="0.2">
      <c r="A2116" s="95"/>
      <c r="B2116" s="111"/>
    </row>
    <row r="2117" spans="1:2" x14ac:dyDescent="0.2">
      <c r="A2117" s="95"/>
      <c r="B2117" s="111"/>
    </row>
    <row r="2118" spans="1:2" x14ac:dyDescent="0.2">
      <c r="A2118" s="95"/>
      <c r="B2118" s="111"/>
    </row>
    <row r="2119" spans="1:2" x14ac:dyDescent="0.2">
      <c r="A2119" s="95"/>
      <c r="B2119" s="111"/>
    </row>
    <row r="2120" spans="1:2" x14ac:dyDescent="0.2">
      <c r="A2120" s="95"/>
      <c r="B2120" s="111"/>
    </row>
    <row r="2121" spans="1:2" x14ac:dyDescent="0.2">
      <c r="A2121" s="95"/>
      <c r="B2121" s="111"/>
    </row>
    <row r="2122" spans="1:2" x14ac:dyDescent="0.2">
      <c r="A2122" s="95"/>
      <c r="B2122" s="111"/>
    </row>
    <row r="2123" spans="1:2" x14ac:dyDescent="0.2">
      <c r="A2123" s="95"/>
      <c r="B2123" s="111"/>
    </row>
    <row r="2124" spans="1:2" x14ac:dyDescent="0.2">
      <c r="A2124" s="95"/>
      <c r="B2124" s="111"/>
    </row>
    <row r="2125" spans="1:2" x14ac:dyDescent="0.2">
      <c r="A2125" s="95"/>
      <c r="B2125" s="111"/>
    </row>
    <row r="2126" spans="1:2" x14ac:dyDescent="0.2">
      <c r="A2126" s="95"/>
      <c r="B2126" s="111"/>
    </row>
    <row r="2127" spans="1:2" x14ac:dyDescent="0.2">
      <c r="A2127" s="95"/>
      <c r="B2127" s="111"/>
    </row>
    <row r="2128" spans="1:2" x14ac:dyDescent="0.2">
      <c r="A2128" s="95"/>
      <c r="B2128" s="111"/>
    </row>
    <row r="2129" spans="1:2" x14ac:dyDescent="0.2">
      <c r="A2129" s="95"/>
      <c r="B2129" s="111"/>
    </row>
    <row r="2130" spans="1:2" x14ac:dyDescent="0.2">
      <c r="A2130" s="95"/>
      <c r="B2130" s="111"/>
    </row>
    <row r="2131" spans="1:2" x14ac:dyDescent="0.2">
      <c r="A2131" s="95"/>
      <c r="B2131" s="111"/>
    </row>
    <row r="2132" spans="1:2" x14ac:dyDescent="0.2">
      <c r="A2132" s="95"/>
      <c r="B2132" s="111"/>
    </row>
    <row r="2133" spans="1:2" x14ac:dyDescent="0.2">
      <c r="A2133" s="95"/>
      <c r="B2133" s="111"/>
    </row>
    <row r="2134" spans="1:2" x14ac:dyDescent="0.2">
      <c r="A2134" s="95"/>
      <c r="B2134" s="111"/>
    </row>
    <row r="2135" spans="1:2" x14ac:dyDescent="0.2">
      <c r="A2135" s="95"/>
      <c r="B2135" s="111"/>
    </row>
    <row r="2136" spans="1:2" x14ac:dyDescent="0.2">
      <c r="A2136" s="95"/>
      <c r="B2136" s="111"/>
    </row>
    <row r="2137" spans="1:2" x14ac:dyDescent="0.2">
      <c r="A2137" s="95"/>
      <c r="B2137" s="111"/>
    </row>
    <row r="2138" spans="1:2" x14ac:dyDescent="0.2">
      <c r="A2138" s="95"/>
      <c r="B2138" s="111"/>
    </row>
    <row r="2139" spans="1:2" x14ac:dyDescent="0.2">
      <c r="A2139" s="95"/>
      <c r="B2139" s="111"/>
    </row>
    <row r="2140" spans="1:2" x14ac:dyDescent="0.2">
      <c r="A2140" s="95"/>
      <c r="B2140" s="111"/>
    </row>
    <row r="2141" spans="1:2" x14ac:dyDescent="0.2">
      <c r="A2141" s="95"/>
      <c r="B2141" s="111"/>
    </row>
    <row r="2142" spans="1:2" x14ac:dyDescent="0.2">
      <c r="A2142" s="95"/>
      <c r="B2142" s="111"/>
    </row>
    <row r="2143" spans="1:2" x14ac:dyDescent="0.2">
      <c r="A2143" s="95"/>
      <c r="B2143" s="111"/>
    </row>
    <row r="2144" spans="1:2" x14ac:dyDescent="0.2">
      <c r="A2144" s="95"/>
      <c r="B2144" s="111"/>
    </row>
    <row r="2145" spans="1:2" x14ac:dyDescent="0.2">
      <c r="A2145" s="95"/>
      <c r="B2145" s="111"/>
    </row>
    <row r="2146" spans="1:2" x14ac:dyDescent="0.2">
      <c r="A2146" s="95"/>
      <c r="B2146" s="111"/>
    </row>
    <row r="2147" spans="1:2" x14ac:dyDescent="0.2">
      <c r="A2147" s="95"/>
      <c r="B2147" s="111"/>
    </row>
    <row r="2148" spans="1:2" x14ac:dyDescent="0.2">
      <c r="A2148" s="95"/>
      <c r="B2148" s="111"/>
    </row>
    <row r="2149" spans="1:2" x14ac:dyDescent="0.2">
      <c r="A2149" s="95"/>
      <c r="B2149" s="111"/>
    </row>
    <row r="2150" spans="1:2" x14ac:dyDescent="0.2">
      <c r="A2150" s="95"/>
      <c r="B2150" s="111"/>
    </row>
    <row r="2151" spans="1:2" x14ac:dyDescent="0.2">
      <c r="A2151" s="95"/>
      <c r="B2151" s="111"/>
    </row>
    <row r="2152" spans="1:2" x14ac:dyDescent="0.2">
      <c r="A2152" s="95"/>
      <c r="B2152" s="111"/>
    </row>
    <row r="2153" spans="1:2" x14ac:dyDescent="0.2">
      <c r="A2153" s="95"/>
      <c r="B2153" s="111"/>
    </row>
    <row r="2154" spans="1:2" x14ac:dyDescent="0.2">
      <c r="A2154" s="95"/>
      <c r="B2154" s="111"/>
    </row>
    <row r="2155" spans="1:2" x14ac:dyDescent="0.2">
      <c r="A2155" s="95"/>
      <c r="B2155" s="111"/>
    </row>
    <row r="2156" spans="1:2" x14ac:dyDescent="0.2">
      <c r="A2156" s="95"/>
      <c r="B2156" s="111"/>
    </row>
    <row r="2157" spans="1:2" x14ac:dyDescent="0.2">
      <c r="A2157" s="95"/>
      <c r="B2157" s="111"/>
    </row>
    <row r="2158" spans="1:2" x14ac:dyDescent="0.2">
      <c r="A2158" s="95"/>
      <c r="B2158" s="111"/>
    </row>
    <row r="2159" spans="1:2" x14ac:dyDescent="0.2">
      <c r="A2159" s="95"/>
      <c r="B2159" s="111"/>
    </row>
    <row r="2160" spans="1:2" x14ac:dyDescent="0.2">
      <c r="A2160" s="95"/>
      <c r="B2160" s="111"/>
    </row>
    <row r="2161" spans="1:2" x14ac:dyDescent="0.2">
      <c r="A2161" s="95"/>
      <c r="B2161" s="111"/>
    </row>
    <row r="2162" spans="1:2" x14ac:dyDescent="0.2">
      <c r="A2162" s="95"/>
      <c r="B2162" s="111"/>
    </row>
    <row r="2163" spans="1:2" x14ac:dyDescent="0.2">
      <c r="A2163" s="95"/>
      <c r="B2163" s="111"/>
    </row>
    <row r="2164" spans="1:2" x14ac:dyDescent="0.2">
      <c r="A2164" s="95"/>
      <c r="B2164" s="111"/>
    </row>
    <row r="2165" spans="1:2" x14ac:dyDescent="0.2">
      <c r="A2165" s="95"/>
      <c r="B2165" s="111"/>
    </row>
    <row r="2166" spans="1:2" x14ac:dyDescent="0.2">
      <c r="A2166" s="95"/>
      <c r="B2166" s="111"/>
    </row>
    <row r="2167" spans="1:2" x14ac:dyDescent="0.2">
      <c r="A2167" s="95"/>
      <c r="B2167" s="111"/>
    </row>
    <row r="2168" spans="1:2" x14ac:dyDescent="0.2">
      <c r="A2168" s="95"/>
      <c r="B2168" s="111"/>
    </row>
    <row r="2169" spans="1:2" x14ac:dyDescent="0.2">
      <c r="A2169" s="95"/>
      <c r="B2169" s="111"/>
    </row>
    <row r="2170" spans="1:2" x14ac:dyDescent="0.2">
      <c r="A2170" s="95"/>
      <c r="B2170" s="111"/>
    </row>
    <row r="2171" spans="1:2" x14ac:dyDescent="0.2">
      <c r="A2171" s="95"/>
      <c r="B2171" s="111"/>
    </row>
    <row r="2172" spans="1:2" x14ac:dyDescent="0.2">
      <c r="A2172" s="95"/>
      <c r="B2172" s="111"/>
    </row>
    <row r="2173" spans="1:2" x14ac:dyDescent="0.2">
      <c r="A2173" s="95"/>
      <c r="B2173" s="111"/>
    </row>
    <row r="2174" spans="1:2" x14ac:dyDescent="0.2">
      <c r="A2174" s="95"/>
      <c r="B2174" s="111"/>
    </row>
    <row r="2175" spans="1:2" x14ac:dyDescent="0.2">
      <c r="A2175" s="95"/>
      <c r="B2175" s="111"/>
    </row>
    <row r="2176" spans="1:2" x14ac:dyDescent="0.2">
      <c r="A2176" s="95"/>
      <c r="B2176" s="111"/>
    </row>
    <row r="2177" spans="1:2" x14ac:dyDescent="0.2">
      <c r="A2177" s="95"/>
      <c r="B2177" s="111"/>
    </row>
    <row r="2178" spans="1:2" x14ac:dyDescent="0.2">
      <c r="A2178" s="95"/>
      <c r="B2178" s="111"/>
    </row>
    <row r="2179" spans="1:2" x14ac:dyDescent="0.2">
      <c r="A2179" s="95"/>
      <c r="B2179" s="111"/>
    </row>
    <row r="2180" spans="1:2" x14ac:dyDescent="0.2">
      <c r="A2180" s="95"/>
      <c r="B2180" s="111"/>
    </row>
    <row r="2181" spans="1:2" x14ac:dyDescent="0.2">
      <c r="A2181" s="95"/>
      <c r="B2181" s="111"/>
    </row>
    <row r="2182" spans="1:2" x14ac:dyDescent="0.2">
      <c r="A2182" s="95"/>
      <c r="B2182" s="111"/>
    </row>
    <row r="2183" spans="1:2" x14ac:dyDescent="0.2">
      <c r="A2183" s="95"/>
      <c r="B2183" s="111"/>
    </row>
    <row r="2184" spans="1:2" x14ac:dyDescent="0.2">
      <c r="A2184" s="95"/>
      <c r="B2184" s="111"/>
    </row>
    <row r="2185" spans="1:2" x14ac:dyDescent="0.2">
      <c r="A2185" s="95"/>
      <c r="B2185" s="111"/>
    </row>
    <row r="2186" spans="1:2" x14ac:dyDescent="0.2">
      <c r="A2186" s="95"/>
      <c r="B2186" s="111"/>
    </row>
    <row r="2187" spans="1:2" x14ac:dyDescent="0.2">
      <c r="A2187" s="95"/>
      <c r="B2187" s="111"/>
    </row>
    <row r="2188" spans="1:2" x14ac:dyDescent="0.2">
      <c r="A2188" s="95"/>
      <c r="B2188" s="111"/>
    </row>
    <row r="2189" spans="1:2" x14ac:dyDescent="0.2">
      <c r="A2189" s="95"/>
      <c r="B2189" s="111"/>
    </row>
    <row r="2190" spans="1:2" x14ac:dyDescent="0.2">
      <c r="A2190" s="95"/>
      <c r="B2190" s="111"/>
    </row>
    <row r="2191" spans="1:2" x14ac:dyDescent="0.2">
      <c r="A2191" s="95"/>
      <c r="B2191" s="111"/>
    </row>
    <row r="2192" spans="1:2" x14ac:dyDescent="0.2">
      <c r="A2192" s="95"/>
      <c r="B2192" s="111"/>
    </row>
    <row r="2193" spans="1:2" x14ac:dyDescent="0.2">
      <c r="A2193" s="95"/>
      <c r="B2193" s="111"/>
    </row>
    <row r="2194" spans="1:2" x14ac:dyDescent="0.2">
      <c r="A2194" s="95"/>
      <c r="B2194" s="111"/>
    </row>
    <row r="2195" spans="1:2" x14ac:dyDescent="0.2">
      <c r="A2195" s="95"/>
      <c r="B2195" s="111"/>
    </row>
    <row r="2196" spans="1:2" x14ac:dyDescent="0.2">
      <c r="A2196" s="95"/>
      <c r="B2196" s="111"/>
    </row>
    <row r="2197" spans="1:2" x14ac:dyDescent="0.2">
      <c r="A2197" s="95"/>
      <c r="B2197" s="111"/>
    </row>
    <row r="2198" spans="1:2" x14ac:dyDescent="0.2">
      <c r="A2198" s="95"/>
      <c r="B2198" s="111"/>
    </row>
    <row r="2199" spans="1:2" x14ac:dyDescent="0.2">
      <c r="A2199" s="95"/>
      <c r="B2199" s="111"/>
    </row>
    <row r="2200" spans="1:2" x14ac:dyDescent="0.2">
      <c r="A2200" s="95"/>
      <c r="B2200" s="111"/>
    </row>
    <row r="2201" spans="1:2" x14ac:dyDescent="0.2">
      <c r="A2201" s="95"/>
      <c r="B2201" s="111"/>
    </row>
    <row r="2202" spans="1:2" x14ac:dyDescent="0.2">
      <c r="A2202" s="95"/>
      <c r="B2202" s="111"/>
    </row>
    <row r="2203" spans="1:2" x14ac:dyDescent="0.2">
      <c r="A2203" s="95"/>
      <c r="B2203" s="111"/>
    </row>
    <row r="2204" spans="1:2" x14ac:dyDescent="0.2">
      <c r="A2204" s="95"/>
      <c r="B2204" s="111"/>
    </row>
    <row r="2205" spans="1:2" x14ac:dyDescent="0.2">
      <c r="A2205" s="95"/>
      <c r="B2205" s="111"/>
    </row>
    <row r="2206" spans="1:2" x14ac:dyDescent="0.2">
      <c r="A2206" s="95"/>
      <c r="B2206" s="111"/>
    </row>
    <row r="2207" spans="1:2" x14ac:dyDescent="0.2">
      <c r="A2207" s="95"/>
      <c r="B2207" s="111"/>
    </row>
    <row r="2208" spans="1:2" x14ac:dyDescent="0.2">
      <c r="A2208" s="95"/>
      <c r="B2208" s="111"/>
    </row>
    <row r="2209" spans="1:2" x14ac:dyDescent="0.2">
      <c r="A2209" s="95"/>
      <c r="B2209" s="111"/>
    </row>
    <row r="2210" spans="1:2" x14ac:dyDescent="0.2">
      <c r="A2210" s="95"/>
      <c r="B2210" s="111"/>
    </row>
    <row r="2211" spans="1:2" x14ac:dyDescent="0.2">
      <c r="A2211" s="95"/>
      <c r="B2211" s="111"/>
    </row>
    <row r="2212" spans="1:2" x14ac:dyDescent="0.2">
      <c r="A2212" s="95"/>
      <c r="B2212" s="111"/>
    </row>
    <row r="2213" spans="1:2" x14ac:dyDescent="0.2">
      <c r="A2213" s="95"/>
      <c r="B2213" s="111"/>
    </row>
    <row r="2214" spans="1:2" x14ac:dyDescent="0.2">
      <c r="A2214" s="95"/>
      <c r="B2214" s="111"/>
    </row>
    <row r="2215" spans="1:2" x14ac:dyDescent="0.2">
      <c r="A2215" s="95"/>
      <c r="B2215" s="111"/>
    </row>
    <row r="2216" spans="1:2" x14ac:dyDescent="0.2">
      <c r="A2216" s="95"/>
      <c r="B2216" s="111"/>
    </row>
    <row r="2217" spans="1:2" x14ac:dyDescent="0.2">
      <c r="A2217" s="95"/>
      <c r="B2217" s="111"/>
    </row>
    <row r="2218" spans="1:2" x14ac:dyDescent="0.2">
      <c r="A2218" s="95"/>
      <c r="B2218" s="111"/>
    </row>
    <row r="2219" spans="1:2" x14ac:dyDescent="0.2">
      <c r="A2219" s="95"/>
      <c r="B2219" s="111"/>
    </row>
    <row r="2220" spans="1:2" x14ac:dyDescent="0.2">
      <c r="A2220" s="95"/>
      <c r="B2220" s="111"/>
    </row>
    <row r="2221" spans="1:2" x14ac:dyDescent="0.2">
      <c r="A2221" s="95"/>
      <c r="B2221" s="111"/>
    </row>
    <row r="2222" spans="1:2" x14ac:dyDescent="0.2">
      <c r="A2222" s="95"/>
      <c r="B2222" s="111"/>
    </row>
    <row r="2223" spans="1:2" x14ac:dyDescent="0.2">
      <c r="A2223" s="95"/>
      <c r="B2223" s="111"/>
    </row>
    <row r="2224" spans="1:2" x14ac:dyDescent="0.2">
      <c r="A2224" s="95"/>
      <c r="B2224" s="111"/>
    </row>
    <row r="2225" spans="1:2" x14ac:dyDescent="0.2">
      <c r="A2225" s="95"/>
      <c r="B2225" s="111"/>
    </row>
    <row r="2226" spans="1:2" x14ac:dyDescent="0.2">
      <c r="A2226" s="95"/>
      <c r="B2226" s="111"/>
    </row>
    <row r="2227" spans="1:2" x14ac:dyDescent="0.2">
      <c r="A2227" s="95"/>
      <c r="B2227" s="111"/>
    </row>
    <row r="2228" spans="1:2" x14ac:dyDescent="0.2">
      <c r="A2228" s="95"/>
      <c r="B2228" s="111"/>
    </row>
    <row r="2229" spans="1:2" x14ac:dyDescent="0.2">
      <c r="A2229" s="95"/>
      <c r="B2229" s="111"/>
    </row>
    <row r="2230" spans="1:2" x14ac:dyDescent="0.2">
      <c r="A2230" s="95"/>
      <c r="B2230" s="111"/>
    </row>
    <row r="2231" spans="1:2" x14ac:dyDescent="0.2">
      <c r="A2231" s="95"/>
      <c r="B2231" s="111"/>
    </row>
    <row r="2232" spans="1:2" x14ac:dyDescent="0.2">
      <c r="A2232" s="95"/>
      <c r="B2232" s="111"/>
    </row>
    <row r="2233" spans="1:2" x14ac:dyDescent="0.2">
      <c r="A2233" s="95"/>
      <c r="B2233" s="111"/>
    </row>
    <row r="2234" spans="1:2" x14ac:dyDescent="0.2">
      <c r="A2234" s="95"/>
      <c r="B2234" s="111"/>
    </row>
    <row r="2235" spans="1:2" x14ac:dyDescent="0.2">
      <c r="A2235" s="95"/>
      <c r="B2235" s="111"/>
    </row>
    <row r="2236" spans="1:2" x14ac:dyDescent="0.2">
      <c r="A2236" s="95"/>
      <c r="B2236" s="111"/>
    </row>
    <row r="2237" spans="1:2" x14ac:dyDescent="0.2">
      <c r="A2237" s="95"/>
      <c r="B2237" s="111"/>
    </row>
    <row r="2238" spans="1:2" x14ac:dyDescent="0.2">
      <c r="A2238" s="95"/>
      <c r="B2238" s="111"/>
    </row>
    <row r="2239" spans="1:2" x14ac:dyDescent="0.2">
      <c r="A2239" s="95"/>
      <c r="B2239" s="111"/>
    </row>
    <row r="2240" spans="1:2" x14ac:dyDescent="0.2">
      <c r="A2240" s="95"/>
      <c r="B2240" s="111"/>
    </row>
    <row r="2241" spans="1:2" x14ac:dyDescent="0.2">
      <c r="A2241" s="95"/>
      <c r="B2241" s="111"/>
    </row>
    <row r="2242" spans="1:2" x14ac:dyDescent="0.2">
      <c r="A2242" s="95"/>
      <c r="B2242" s="111"/>
    </row>
    <row r="2243" spans="1:2" x14ac:dyDescent="0.2">
      <c r="A2243" s="95"/>
      <c r="B2243" s="111"/>
    </row>
    <row r="2244" spans="1:2" x14ac:dyDescent="0.2">
      <c r="A2244" s="95"/>
      <c r="B2244" s="111"/>
    </row>
    <row r="2245" spans="1:2" x14ac:dyDescent="0.2">
      <c r="A2245" s="95"/>
      <c r="B2245" s="111"/>
    </row>
    <row r="2246" spans="1:2" x14ac:dyDescent="0.2">
      <c r="A2246" s="95"/>
      <c r="B2246" s="111"/>
    </row>
    <row r="2247" spans="1:2" x14ac:dyDescent="0.2">
      <c r="A2247" s="95"/>
      <c r="B2247" s="111"/>
    </row>
    <row r="2248" spans="1:2" x14ac:dyDescent="0.2">
      <c r="A2248" s="95"/>
      <c r="B2248" s="111"/>
    </row>
    <row r="2249" spans="1:2" x14ac:dyDescent="0.2">
      <c r="A2249" s="95"/>
      <c r="B2249" s="111"/>
    </row>
    <row r="2250" spans="1:2" x14ac:dyDescent="0.2">
      <c r="A2250" s="95"/>
      <c r="B2250" s="111"/>
    </row>
    <row r="2251" spans="1:2" x14ac:dyDescent="0.2">
      <c r="A2251" s="95"/>
      <c r="B2251" s="111"/>
    </row>
    <row r="2252" spans="1:2" x14ac:dyDescent="0.2">
      <c r="A2252" s="95"/>
      <c r="B2252" s="111"/>
    </row>
    <row r="2253" spans="1:2" x14ac:dyDescent="0.2">
      <c r="A2253" s="95"/>
      <c r="B2253" s="111"/>
    </row>
    <row r="2254" spans="1:2" x14ac:dyDescent="0.2">
      <c r="A2254" s="95"/>
      <c r="B2254" s="111"/>
    </row>
    <row r="2255" spans="1:2" x14ac:dyDescent="0.2">
      <c r="A2255" s="95"/>
      <c r="B2255" s="111"/>
    </row>
    <row r="2256" spans="1:2" x14ac:dyDescent="0.2">
      <c r="A2256" s="95"/>
      <c r="B2256" s="111"/>
    </row>
    <row r="2257" spans="1:2" x14ac:dyDescent="0.2">
      <c r="A2257" s="95"/>
      <c r="B2257" s="111"/>
    </row>
    <row r="2258" spans="1:2" x14ac:dyDescent="0.2">
      <c r="A2258" s="95"/>
      <c r="B2258" s="111"/>
    </row>
    <row r="2259" spans="1:2" x14ac:dyDescent="0.2">
      <c r="A2259" s="95"/>
      <c r="B2259" s="111"/>
    </row>
    <row r="2260" spans="1:2" x14ac:dyDescent="0.2">
      <c r="A2260" s="95"/>
      <c r="B2260" s="111"/>
    </row>
    <row r="2261" spans="1:2" x14ac:dyDescent="0.2">
      <c r="A2261" s="95"/>
      <c r="B2261" s="111"/>
    </row>
    <row r="2262" spans="1:2" x14ac:dyDescent="0.2">
      <c r="A2262" s="95"/>
      <c r="B2262" s="111"/>
    </row>
    <row r="2263" spans="1:2" x14ac:dyDescent="0.2">
      <c r="A2263" s="95"/>
      <c r="B2263" s="111"/>
    </row>
    <row r="2264" spans="1:2" x14ac:dyDescent="0.2">
      <c r="A2264" s="95"/>
      <c r="B2264" s="111"/>
    </row>
    <row r="2265" spans="1:2" x14ac:dyDescent="0.2">
      <c r="A2265" s="95"/>
      <c r="B2265" s="111"/>
    </row>
    <row r="2266" spans="1:2" x14ac:dyDescent="0.2">
      <c r="A2266" s="95"/>
      <c r="B2266" s="111"/>
    </row>
    <row r="2267" spans="1:2" x14ac:dyDescent="0.2">
      <c r="A2267" s="95"/>
      <c r="B2267" s="111"/>
    </row>
    <row r="2268" spans="1:2" x14ac:dyDescent="0.2">
      <c r="A2268" s="95"/>
      <c r="B2268" s="111"/>
    </row>
    <row r="2269" spans="1:2" x14ac:dyDescent="0.2">
      <c r="A2269" s="95"/>
      <c r="B2269" s="111"/>
    </row>
    <row r="2270" spans="1:2" x14ac:dyDescent="0.2">
      <c r="A2270" s="95"/>
      <c r="B2270" s="111"/>
    </row>
    <row r="2271" spans="1:2" x14ac:dyDescent="0.2">
      <c r="A2271" s="95"/>
      <c r="B2271" s="111"/>
    </row>
    <row r="2272" spans="1:2" x14ac:dyDescent="0.2">
      <c r="A2272" s="95"/>
      <c r="B2272" s="111"/>
    </row>
    <row r="2273" spans="1:2" x14ac:dyDescent="0.2">
      <c r="A2273" s="95"/>
      <c r="B2273" s="111"/>
    </row>
    <row r="2274" spans="1:2" x14ac:dyDescent="0.2">
      <c r="A2274" s="95"/>
      <c r="B2274" s="111"/>
    </row>
    <row r="2275" spans="1:2" x14ac:dyDescent="0.2">
      <c r="A2275" s="95"/>
      <c r="B2275" s="111"/>
    </row>
    <row r="2276" spans="1:2" x14ac:dyDescent="0.2">
      <c r="A2276" s="95"/>
      <c r="B2276" s="111"/>
    </row>
    <row r="2277" spans="1:2" x14ac:dyDescent="0.2">
      <c r="A2277" s="95"/>
      <c r="B2277" s="111"/>
    </row>
    <row r="2278" spans="1:2" x14ac:dyDescent="0.2">
      <c r="A2278" s="95"/>
      <c r="B2278" s="111"/>
    </row>
    <row r="2279" spans="1:2" x14ac:dyDescent="0.2">
      <c r="A2279" s="95"/>
      <c r="B2279" s="111"/>
    </row>
    <row r="2280" spans="1:2" x14ac:dyDescent="0.2">
      <c r="A2280" s="95"/>
      <c r="B2280" s="111"/>
    </row>
    <row r="2281" spans="1:2" x14ac:dyDescent="0.2">
      <c r="A2281" s="95"/>
      <c r="B2281" s="111"/>
    </row>
    <row r="2282" spans="1:2" x14ac:dyDescent="0.2">
      <c r="A2282" s="95"/>
      <c r="B2282" s="111"/>
    </row>
    <row r="2283" spans="1:2" x14ac:dyDescent="0.2">
      <c r="A2283" s="95"/>
      <c r="B2283" s="111"/>
    </row>
    <row r="2284" spans="1:2" x14ac:dyDescent="0.2">
      <c r="A2284" s="95"/>
      <c r="B2284" s="111"/>
    </row>
    <row r="2285" spans="1:2" x14ac:dyDescent="0.2">
      <c r="A2285" s="95"/>
      <c r="B2285" s="111"/>
    </row>
    <row r="2286" spans="1:2" x14ac:dyDescent="0.2">
      <c r="A2286" s="95"/>
      <c r="B2286" s="111"/>
    </row>
    <row r="2287" spans="1:2" x14ac:dyDescent="0.2">
      <c r="A2287" s="95"/>
      <c r="B2287" s="111"/>
    </row>
    <row r="2288" spans="1:2" x14ac:dyDescent="0.2">
      <c r="A2288" s="95"/>
      <c r="B2288" s="111"/>
    </row>
    <row r="2289" spans="1:2" x14ac:dyDescent="0.2">
      <c r="A2289" s="95"/>
      <c r="B2289" s="111"/>
    </row>
    <row r="2290" spans="1:2" x14ac:dyDescent="0.2">
      <c r="A2290" s="95"/>
      <c r="B2290" s="111"/>
    </row>
    <row r="2291" spans="1:2" x14ac:dyDescent="0.2">
      <c r="A2291" s="95"/>
      <c r="B2291" s="111"/>
    </row>
    <row r="2292" spans="1:2" x14ac:dyDescent="0.2">
      <c r="A2292" s="95"/>
      <c r="B2292" s="111"/>
    </row>
    <row r="2293" spans="1:2" x14ac:dyDescent="0.2">
      <c r="A2293" s="95"/>
      <c r="B2293" s="111"/>
    </row>
    <row r="2294" spans="1:2" x14ac:dyDescent="0.2">
      <c r="A2294" s="95"/>
      <c r="B2294" s="111"/>
    </row>
    <row r="2295" spans="1:2" x14ac:dyDescent="0.2">
      <c r="A2295" s="95"/>
      <c r="B2295" s="111"/>
    </row>
    <row r="2296" spans="1:2" x14ac:dyDescent="0.2">
      <c r="A2296" s="95"/>
      <c r="B2296" s="111"/>
    </row>
    <row r="2297" spans="1:2" x14ac:dyDescent="0.2">
      <c r="A2297" s="95"/>
      <c r="B2297" s="111"/>
    </row>
    <row r="2298" spans="1:2" x14ac:dyDescent="0.2">
      <c r="A2298" s="95"/>
      <c r="B2298" s="111"/>
    </row>
    <row r="2299" spans="1:2" x14ac:dyDescent="0.2">
      <c r="A2299" s="95"/>
      <c r="B2299" s="111"/>
    </row>
    <row r="2300" spans="1:2" x14ac:dyDescent="0.2">
      <c r="A2300" s="95"/>
      <c r="B2300" s="111"/>
    </row>
    <row r="2301" spans="1:2" x14ac:dyDescent="0.2">
      <c r="A2301" s="95"/>
      <c r="B2301" s="111"/>
    </row>
    <row r="2302" spans="1:2" x14ac:dyDescent="0.2">
      <c r="A2302" s="95"/>
      <c r="B2302" s="111"/>
    </row>
    <row r="2303" spans="1:2" x14ac:dyDescent="0.2">
      <c r="A2303" s="95"/>
      <c r="B2303" s="111"/>
    </row>
    <row r="2304" spans="1:2" x14ac:dyDescent="0.2">
      <c r="A2304" s="95"/>
      <c r="B2304" s="111"/>
    </row>
    <row r="2305" spans="1:2" x14ac:dyDescent="0.2">
      <c r="A2305" s="95"/>
      <c r="B2305" s="111"/>
    </row>
    <row r="2306" spans="1:2" x14ac:dyDescent="0.2">
      <c r="A2306" s="95"/>
      <c r="B2306" s="111"/>
    </row>
    <row r="2307" spans="1:2" x14ac:dyDescent="0.2">
      <c r="A2307" s="95"/>
      <c r="B2307" s="111"/>
    </row>
    <row r="2308" spans="1:2" x14ac:dyDescent="0.2">
      <c r="A2308" s="95"/>
      <c r="B2308" s="111"/>
    </row>
    <row r="2309" spans="1:2" x14ac:dyDescent="0.2">
      <c r="A2309" s="95"/>
      <c r="B2309" s="111"/>
    </row>
    <row r="2310" spans="1:2" x14ac:dyDescent="0.2">
      <c r="A2310" s="95"/>
      <c r="B2310" s="111"/>
    </row>
    <row r="2311" spans="1:2" x14ac:dyDescent="0.2">
      <c r="A2311" s="95"/>
      <c r="B2311" s="111"/>
    </row>
    <row r="2312" spans="1:2" x14ac:dyDescent="0.2">
      <c r="A2312" s="95"/>
      <c r="B2312" s="111"/>
    </row>
    <row r="2313" spans="1:2" x14ac:dyDescent="0.2">
      <c r="A2313" s="95"/>
      <c r="B2313" s="111"/>
    </row>
    <row r="2314" spans="1:2" x14ac:dyDescent="0.2">
      <c r="A2314" s="95"/>
      <c r="B2314" s="111"/>
    </row>
    <row r="2315" spans="1:2" x14ac:dyDescent="0.2">
      <c r="A2315" s="95"/>
      <c r="B2315" s="111"/>
    </row>
    <row r="2316" spans="1:2" x14ac:dyDescent="0.2">
      <c r="A2316" s="95"/>
      <c r="B2316" s="111"/>
    </row>
    <row r="2317" spans="1:2" x14ac:dyDescent="0.2">
      <c r="A2317" s="95"/>
      <c r="B2317" s="111"/>
    </row>
    <row r="2318" spans="1:2" x14ac:dyDescent="0.2">
      <c r="A2318" s="95"/>
      <c r="B2318" s="111"/>
    </row>
    <row r="2319" spans="1:2" x14ac:dyDescent="0.2">
      <c r="A2319" s="95"/>
      <c r="B2319" s="111"/>
    </row>
    <row r="2320" spans="1:2" x14ac:dyDescent="0.2">
      <c r="A2320" s="95"/>
      <c r="B2320" s="111"/>
    </row>
    <row r="2321" spans="1:2" x14ac:dyDescent="0.2">
      <c r="A2321" s="95"/>
      <c r="B2321" s="111"/>
    </row>
    <row r="2322" spans="1:2" x14ac:dyDescent="0.2">
      <c r="A2322" s="95"/>
      <c r="B2322" s="111"/>
    </row>
    <row r="2323" spans="1:2" x14ac:dyDescent="0.2">
      <c r="A2323" s="95"/>
      <c r="B2323" s="111"/>
    </row>
    <row r="2324" spans="1:2" x14ac:dyDescent="0.2">
      <c r="A2324" s="95"/>
      <c r="B2324" s="111"/>
    </row>
    <row r="2325" spans="1:2" x14ac:dyDescent="0.2">
      <c r="A2325" s="95"/>
      <c r="B2325" s="111"/>
    </row>
    <row r="2326" spans="1:2" x14ac:dyDescent="0.2">
      <c r="A2326" s="95"/>
      <c r="B2326" s="111"/>
    </row>
    <row r="2327" spans="1:2" x14ac:dyDescent="0.2">
      <c r="A2327" s="95"/>
      <c r="B2327" s="111"/>
    </row>
    <row r="2328" spans="1:2" x14ac:dyDescent="0.2">
      <c r="A2328" s="95"/>
      <c r="B2328" s="111"/>
    </row>
    <row r="2329" spans="1:2" x14ac:dyDescent="0.2">
      <c r="A2329" s="95"/>
      <c r="B2329" s="111"/>
    </row>
    <row r="2330" spans="1:2" x14ac:dyDescent="0.2">
      <c r="A2330" s="95"/>
      <c r="B2330" s="111"/>
    </row>
    <row r="2331" spans="1:2" x14ac:dyDescent="0.2">
      <c r="A2331" s="95"/>
      <c r="B2331" s="111"/>
    </row>
    <row r="2332" spans="1:2" x14ac:dyDescent="0.2">
      <c r="A2332" s="95"/>
      <c r="B2332" s="111"/>
    </row>
    <row r="2333" spans="1:2" x14ac:dyDescent="0.2">
      <c r="A2333" s="95"/>
      <c r="B2333" s="111"/>
    </row>
    <row r="2334" spans="1:2" x14ac:dyDescent="0.2">
      <c r="A2334" s="95"/>
      <c r="B2334" s="111"/>
    </row>
    <row r="2335" spans="1:2" x14ac:dyDescent="0.2">
      <c r="A2335" s="95"/>
      <c r="B2335" s="111"/>
    </row>
    <row r="2336" spans="1:2" x14ac:dyDescent="0.2">
      <c r="A2336" s="95"/>
      <c r="B2336" s="111"/>
    </row>
    <row r="2337" spans="1:2" x14ac:dyDescent="0.2">
      <c r="A2337" s="95"/>
      <c r="B2337" s="111"/>
    </row>
    <row r="2338" spans="1:2" x14ac:dyDescent="0.2">
      <c r="A2338" s="95"/>
      <c r="B2338" s="111"/>
    </row>
    <row r="2339" spans="1:2" x14ac:dyDescent="0.2">
      <c r="A2339" s="95"/>
      <c r="B2339" s="111"/>
    </row>
    <row r="2340" spans="1:2" x14ac:dyDescent="0.2">
      <c r="A2340" s="95"/>
      <c r="B2340" s="111"/>
    </row>
    <row r="2341" spans="1:2" x14ac:dyDescent="0.2">
      <c r="A2341" s="95"/>
      <c r="B2341" s="111"/>
    </row>
    <row r="2342" spans="1:2" x14ac:dyDescent="0.2">
      <c r="A2342" s="95"/>
      <c r="B2342" s="111"/>
    </row>
    <row r="2343" spans="1:2" x14ac:dyDescent="0.2">
      <c r="A2343" s="95"/>
      <c r="B2343" s="111"/>
    </row>
    <row r="2344" spans="1:2" x14ac:dyDescent="0.2">
      <c r="A2344" s="95"/>
      <c r="B2344" s="111"/>
    </row>
    <row r="2345" spans="1:2" x14ac:dyDescent="0.2">
      <c r="A2345" s="95"/>
      <c r="B2345" s="111"/>
    </row>
    <row r="2346" spans="1:2" x14ac:dyDescent="0.2">
      <c r="A2346" s="95"/>
      <c r="B2346" s="111"/>
    </row>
    <row r="2347" spans="1:2" x14ac:dyDescent="0.2">
      <c r="A2347" s="95"/>
      <c r="B2347" s="111"/>
    </row>
    <row r="2348" spans="1:2" x14ac:dyDescent="0.2">
      <c r="A2348" s="95"/>
      <c r="B2348" s="111"/>
    </row>
    <row r="2349" spans="1:2" x14ac:dyDescent="0.2">
      <c r="A2349" s="95"/>
      <c r="B2349" s="111"/>
    </row>
    <row r="2350" spans="1:2" x14ac:dyDescent="0.2">
      <c r="A2350" s="95"/>
      <c r="B2350" s="111"/>
    </row>
    <row r="2351" spans="1:2" x14ac:dyDescent="0.2">
      <c r="A2351" s="95"/>
      <c r="B2351" s="111"/>
    </row>
    <row r="2352" spans="1:2" x14ac:dyDescent="0.2">
      <c r="A2352" s="95"/>
      <c r="B2352" s="111"/>
    </row>
    <row r="2353" spans="1:2" x14ac:dyDescent="0.2">
      <c r="A2353" s="95"/>
      <c r="B2353" s="111"/>
    </row>
    <row r="2354" spans="1:2" x14ac:dyDescent="0.2">
      <c r="A2354" s="95"/>
      <c r="B2354" s="111"/>
    </row>
    <row r="2355" spans="1:2" x14ac:dyDescent="0.2">
      <c r="A2355" s="95"/>
      <c r="B2355" s="111"/>
    </row>
    <row r="2356" spans="1:2" x14ac:dyDescent="0.2">
      <c r="A2356" s="95"/>
      <c r="B2356" s="111"/>
    </row>
    <row r="2357" spans="1:2" x14ac:dyDescent="0.2">
      <c r="A2357" s="95"/>
      <c r="B2357" s="111"/>
    </row>
    <row r="2358" spans="1:2" x14ac:dyDescent="0.2">
      <c r="A2358" s="95"/>
      <c r="B2358" s="111"/>
    </row>
    <row r="2359" spans="1:2" x14ac:dyDescent="0.2">
      <c r="A2359" s="95"/>
      <c r="B2359" s="111"/>
    </row>
    <row r="2360" spans="1:2" x14ac:dyDescent="0.2">
      <c r="A2360" s="95"/>
      <c r="B2360" s="111"/>
    </row>
    <row r="2361" spans="1:2" x14ac:dyDescent="0.2">
      <c r="A2361" s="95"/>
      <c r="B2361" s="111"/>
    </row>
    <row r="2362" spans="1:2" x14ac:dyDescent="0.2">
      <c r="A2362" s="95"/>
      <c r="B2362" s="111"/>
    </row>
    <row r="2363" spans="1:2" x14ac:dyDescent="0.2">
      <c r="A2363" s="95"/>
      <c r="B2363" s="111"/>
    </row>
    <row r="2364" spans="1:2" x14ac:dyDescent="0.2">
      <c r="A2364" s="95"/>
      <c r="B2364" s="111"/>
    </row>
    <row r="2365" spans="1:2" x14ac:dyDescent="0.2">
      <c r="A2365" s="95"/>
      <c r="B2365" s="111"/>
    </row>
    <row r="2366" spans="1:2" x14ac:dyDescent="0.2">
      <c r="A2366" s="95"/>
      <c r="B2366" s="111"/>
    </row>
    <row r="2367" spans="1:2" x14ac:dyDescent="0.2">
      <c r="A2367" s="95"/>
      <c r="B2367" s="111"/>
    </row>
    <row r="2368" spans="1:2" x14ac:dyDescent="0.2">
      <c r="A2368" s="95"/>
      <c r="B2368" s="111"/>
    </row>
    <row r="2369" spans="1:2" x14ac:dyDescent="0.2">
      <c r="A2369" s="95"/>
      <c r="B2369" s="111"/>
    </row>
    <row r="2370" spans="1:2" x14ac:dyDescent="0.2">
      <c r="A2370" s="95"/>
      <c r="B2370" s="111"/>
    </row>
    <row r="2371" spans="1:2" x14ac:dyDescent="0.2">
      <c r="A2371" s="95"/>
      <c r="B2371" s="111"/>
    </row>
    <row r="2372" spans="1:2" x14ac:dyDescent="0.2">
      <c r="A2372" s="95"/>
      <c r="B2372" s="111"/>
    </row>
    <row r="2373" spans="1:2" x14ac:dyDescent="0.2">
      <c r="A2373" s="95"/>
      <c r="B2373" s="111"/>
    </row>
    <row r="2374" spans="1:2" x14ac:dyDescent="0.2">
      <c r="A2374" s="95"/>
      <c r="B2374" s="111"/>
    </row>
    <row r="2375" spans="1:2" x14ac:dyDescent="0.2">
      <c r="A2375" s="95"/>
      <c r="B2375" s="111"/>
    </row>
    <row r="2376" spans="1:2" x14ac:dyDescent="0.2">
      <c r="A2376" s="95"/>
      <c r="B2376" s="111"/>
    </row>
    <row r="2377" spans="1:2" x14ac:dyDescent="0.2">
      <c r="A2377" s="95"/>
      <c r="B2377" s="111"/>
    </row>
    <row r="2378" spans="1:2" x14ac:dyDescent="0.2">
      <c r="A2378" s="95"/>
      <c r="B2378" s="111"/>
    </row>
    <row r="2379" spans="1:2" x14ac:dyDescent="0.2">
      <c r="A2379" s="95"/>
      <c r="B2379" s="111"/>
    </row>
    <row r="2380" spans="1:2" x14ac:dyDescent="0.2">
      <c r="A2380" s="95"/>
      <c r="B2380" s="111"/>
    </row>
    <row r="2381" spans="1:2" x14ac:dyDescent="0.2">
      <c r="A2381" s="95"/>
      <c r="B2381" s="111"/>
    </row>
    <row r="2382" spans="1:2" x14ac:dyDescent="0.2">
      <c r="A2382" s="95"/>
      <c r="B2382" s="111"/>
    </row>
    <row r="2383" spans="1:2" x14ac:dyDescent="0.2">
      <c r="A2383" s="95"/>
      <c r="B2383" s="111"/>
    </row>
    <row r="2384" spans="1:2" x14ac:dyDescent="0.2">
      <c r="A2384" s="95"/>
      <c r="B2384" s="111"/>
    </row>
    <row r="2385" spans="1:2" x14ac:dyDescent="0.2">
      <c r="A2385" s="95"/>
      <c r="B2385" s="111"/>
    </row>
    <row r="2386" spans="1:2" x14ac:dyDescent="0.2">
      <c r="A2386" s="95"/>
      <c r="B2386" s="111"/>
    </row>
    <row r="2387" spans="1:2" x14ac:dyDescent="0.2">
      <c r="A2387" s="95"/>
      <c r="B2387" s="111"/>
    </row>
    <row r="2388" spans="1:2" x14ac:dyDescent="0.2">
      <c r="A2388" s="95"/>
      <c r="B2388" s="111"/>
    </row>
    <row r="2389" spans="1:2" x14ac:dyDescent="0.2">
      <c r="A2389" s="95"/>
      <c r="B2389" s="111"/>
    </row>
    <row r="2390" spans="1:2" x14ac:dyDescent="0.2">
      <c r="A2390" s="95"/>
      <c r="B2390" s="111"/>
    </row>
    <row r="2391" spans="1:2" x14ac:dyDescent="0.2">
      <c r="A2391" s="95"/>
      <c r="B2391" s="111"/>
    </row>
    <row r="2392" spans="1:2" x14ac:dyDescent="0.2">
      <c r="A2392" s="95"/>
      <c r="B2392" s="111"/>
    </row>
    <row r="2393" spans="1:2" x14ac:dyDescent="0.2">
      <c r="A2393" s="95"/>
      <c r="B2393" s="111"/>
    </row>
    <row r="2394" spans="1:2" x14ac:dyDescent="0.2">
      <c r="A2394" s="95"/>
      <c r="B2394" s="111"/>
    </row>
    <row r="2395" spans="1:2" x14ac:dyDescent="0.2">
      <c r="A2395" s="95"/>
      <c r="B2395" s="111"/>
    </row>
    <row r="2396" spans="1:2" x14ac:dyDescent="0.2">
      <c r="A2396" s="95"/>
      <c r="B2396" s="111"/>
    </row>
    <row r="2397" spans="1:2" x14ac:dyDescent="0.2">
      <c r="A2397" s="95"/>
      <c r="B2397" s="111"/>
    </row>
    <row r="2398" spans="1:2" x14ac:dyDescent="0.2">
      <c r="A2398" s="95"/>
      <c r="B2398" s="111"/>
    </row>
    <row r="2399" spans="1:2" x14ac:dyDescent="0.2">
      <c r="A2399" s="95"/>
      <c r="B2399" s="111"/>
    </row>
    <row r="2400" spans="1:2" x14ac:dyDescent="0.2">
      <c r="A2400" s="95"/>
      <c r="B2400" s="111"/>
    </row>
    <row r="2401" spans="1:2" x14ac:dyDescent="0.2">
      <c r="A2401" s="95"/>
      <c r="B2401" s="111"/>
    </row>
    <row r="2402" spans="1:2" x14ac:dyDescent="0.2">
      <c r="A2402" s="95"/>
      <c r="B2402" s="111"/>
    </row>
    <row r="2403" spans="1:2" x14ac:dyDescent="0.2">
      <c r="A2403" s="95"/>
      <c r="B2403" s="111"/>
    </row>
    <row r="2404" spans="1:2" x14ac:dyDescent="0.2">
      <c r="A2404" s="95"/>
      <c r="B2404" s="111"/>
    </row>
    <row r="2405" spans="1:2" x14ac:dyDescent="0.2">
      <c r="A2405" s="95"/>
      <c r="B2405" s="111"/>
    </row>
    <row r="2406" spans="1:2" x14ac:dyDescent="0.2">
      <c r="A2406" s="95"/>
      <c r="B2406" s="111"/>
    </row>
    <row r="2407" spans="1:2" x14ac:dyDescent="0.2">
      <c r="A2407" s="95"/>
      <c r="B2407" s="111"/>
    </row>
    <row r="2408" spans="1:2" x14ac:dyDescent="0.2">
      <c r="A2408" s="95"/>
      <c r="B2408" s="111"/>
    </row>
    <row r="2409" spans="1:2" x14ac:dyDescent="0.2">
      <c r="A2409" s="95"/>
      <c r="B2409" s="111"/>
    </row>
    <row r="2410" spans="1:2" x14ac:dyDescent="0.2">
      <c r="A2410" s="95"/>
      <c r="B2410" s="111"/>
    </row>
    <row r="2411" spans="1:2" x14ac:dyDescent="0.2">
      <c r="A2411" s="95"/>
      <c r="B2411" s="111"/>
    </row>
    <row r="2412" spans="1:2" x14ac:dyDescent="0.2">
      <c r="A2412" s="95"/>
      <c r="B2412" s="111"/>
    </row>
    <row r="2413" spans="1:2" x14ac:dyDescent="0.2">
      <c r="A2413" s="95"/>
      <c r="B2413" s="111"/>
    </row>
    <row r="2414" spans="1:2" x14ac:dyDescent="0.2">
      <c r="A2414" s="95"/>
      <c r="B2414" s="111"/>
    </row>
    <row r="2415" spans="1:2" x14ac:dyDescent="0.2">
      <c r="A2415" s="95"/>
      <c r="B2415" s="111"/>
    </row>
    <row r="2416" spans="1:2" x14ac:dyDescent="0.2">
      <c r="A2416" s="95"/>
      <c r="B2416" s="111"/>
    </row>
    <row r="2417" spans="1:2" x14ac:dyDescent="0.2">
      <c r="A2417" s="95"/>
      <c r="B2417" s="111"/>
    </row>
    <row r="2418" spans="1:2" x14ac:dyDescent="0.2">
      <c r="A2418" s="95"/>
      <c r="B2418" s="111"/>
    </row>
    <row r="2419" spans="1:2" x14ac:dyDescent="0.2">
      <c r="A2419" s="95"/>
      <c r="B2419" s="111"/>
    </row>
    <row r="2420" spans="1:2" x14ac:dyDescent="0.2">
      <c r="A2420" s="95"/>
      <c r="B2420" s="111"/>
    </row>
    <row r="2421" spans="1:2" x14ac:dyDescent="0.2">
      <c r="A2421" s="95"/>
      <c r="B2421" s="111"/>
    </row>
    <row r="2422" spans="1:2" x14ac:dyDescent="0.2">
      <c r="A2422" s="95"/>
      <c r="B2422" s="111"/>
    </row>
    <row r="2423" spans="1:2" x14ac:dyDescent="0.2">
      <c r="A2423" s="95"/>
      <c r="B2423" s="111"/>
    </row>
    <row r="2424" spans="1:2" x14ac:dyDescent="0.2">
      <c r="A2424" s="95"/>
      <c r="B2424" s="111"/>
    </row>
    <row r="2425" spans="1:2" x14ac:dyDescent="0.2">
      <c r="A2425" s="95"/>
      <c r="B2425" s="111"/>
    </row>
    <row r="2426" spans="1:2" x14ac:dyDescent="0.2">
      <c r="A2426" s="95"/>
      <c r="B2426" s="111"/>
    </row>
    <row r="2427" spans="1:2" x14ac:dyDescent="0.2">
      <c r="A2427" s="95"/>
      <c r="B2427" s="111"/>
    </row>
    <row r="2428" spans="1:2" x14ac:dyDescent="0.2">
      <c r="A2428" s="95"/>
      <c r="B2428" s="111"/>
    </row>
    <row r="2429" spans="1:2" x14ac:dyDescent="0.2">
      <c r="A2429" s="95"/>
      <c r="B2429" s="111"/>
    </row>
    <row r="2430" spans="1:2" x14ac:dyDescent="0.2">
      <c r="A2430" s="95"/>
      <c r="B2430" s="111"/>
    </row>
    <row r="2431" spans="1:2" x14ac:dyDescent="0.2">
      <c r="A2431" s="95"/>
      <c r="B2431" s="111"/>
    </row>
    <row r="2432" spans="1:2" x14ac:dyDescent="0.2">
      <c r="A2432" s="95"/>
      <c r="B2432" s="111"/>
    </row>
    <row r="2433" spans="1:2" x14ac:dyDescent="0.2">
      <c r="A2433" s="95"/>
      <c r="B2433" s="111"/>
    </row>
    <row r="2434" spans="1:2" x14ac:dyDescent="0.2">
      <c r="A2434" s="95"/>
      <c r="B2434" s="111"/>
    </row>
    <row r="2435" spans="1:2" x14ac:dyDescent="0.2">
      <c r="A2435" s="95"/>
      <c r="B2435" s="111"/>
    </row>
    <row r="2436" spans="1:2" x14ac:dyDescent="0.2">
      <c r="A2436" s="95"/>
      <c r="B2436" s="111"/>
    </row>
    <row r="2437" spans="1:2" x14ac:dyDescent="0.2">
      <c r="A2437" s="95"/>
      <c r="B2437" s="111"/>
    </row>
    <row r="2438" spans="1:2" x14ac:dyDescent="0.2">
      <c r="A2438" s="95"/>
      <c r="B2438" s="111"/>
    </row>
    <row r="2439" spans="1:2" x14ac:dyDescent="0.2">
      <c r="A2439" s="95"/>
      <c r="B2439" s="111"/>
    </row>
    <row r="2440" spans="1:2" x14ac:dyDescent="0.2">
      <c r="A2440" s="95"/>
      <c r="B2440" s="111"/>
    </row>
    <row r="2441" spans="1:2" x14ac:dyDescent="0.2">
      <c r="A2441" s="95"/>
      <c r="B2441" s="111"/>
    </row>
    <row r="2442" spans="1:2" x14ac:dyDescent="0.2">
      <c r="A2442" s="95"/>
      <c r="B2442" s="111"/>
    </row>
    <row r="2443" spans="1:2" x14ac:dyDescent="0.2">
      <c r="A2443" s="95"/>
      <c r="B2443" s="111"/>
    </row>
    <row r="2444" spans="1:2" x14ac:dyDescent="0.2">
      <c r="A2444" s="95"/>
      <c r="B2444" s="111"/>
    </row>
    <row r="2445" spans="1:2" x14ac:dyDescent="0.2">
      <c r="A2445" s="95"/>
      <c r="B2445" s="111"/>
    </row>
    <row r="2446" spans="1:2" x14ac:dyDescent="0.2">
      <c r="A2446" s="95"/>
      <c r="B2446" s="111"/>
    </row>
    <row r="2447" spans="1:2" x14ac:dyDescent="0.2">
      <c r="A2447" s="95"/>
      <c r="B2447" s="111"/>
    </row>
    <row r="2448" spans="1:2" x14ac:dyDescent="0.2">
      <c r="A2448" s="95"/>
      <c r="B2448" s="111"/>
    </row>
    <row r="2449" spans="1:2" x14ac:dyDescent="0.2">
      <c r="A2449" s="95"/>
      <c r="B2449" s="111"/>
    </row>
    <row r="2450" spans="1:2" x14ac:dyDescent="0.2">
      <c r="A2450" s="95"/>
      <c r="B2450" s="111"/>
    </row>
    <row r="2451" spans="1:2" x14ac:dyDescent="0.2">
      <c r="A2451" s="95"/>
      <c r="B2451" s="111"/>
    </row>
    <row r="2452" spans="1:2" x14ac:dyDescent="0.2">
      <c r="A2452" s="95"/>
      <c r="B2452" s="111"/>
    </row>
    <row r="2453" spans="1:2" x14ac:dyDescent="0.2">
      <c r="A2453" s="95"/>
      <c r="B2453" s="111"/>
    </row>
    <row r="2454" spans="1:2" x14ac:dyDescent="0.2">
      <c r="A2454" s="95"/>
      <c r="B2454" s="111"/>
    </row>
    <row r="2455" spans="1:2" x14ac:dyDescent="0.2">
      <c r="A2455" s="95"/>
      <c r="B2455" s="111"/>
    </row>
    <row r="2456" spans="1:2" x14ac:dyDescent="0.2">
      <c r="A2456" s="95"/>
      <c r="B2456" s="111"/>
    </row>
    <row r="2457" spans="1:2" x14ac:dyDescent="0.2">
      <c r="A2457" s="95"/>
      <c r="B2457" s="111"/>
    </row>
    <row r="2458" spans="1:2" x14ac:dyDescent="0.2">
      <c r="A2458" s="95"/>
      <c r="B2458" s="111"/>
    </row>
    <row r="2459" spans="1:2" x14ac:dyDescent="0.2">
      <c r="A2459" s="95"/>
      <c r="B2459" s="111"/>
    </row>
    <row r="2460" spans="1:2" x14ac:dyDescent="0.2">
      <c r="A2460" s="95"/>
      <c r="B2460" s="111"/>
    </row>
    <row r="2461" spans="1:2" x14ac:dyDescent="0.2">
      <c r="A2461" s="95"/>
      <c r="B2461" s="111"/>
    </row>
    <row r="2462" spans="1:2" x14ac:dyDescent="0.2">
      <c r="A2462" s="95"/>
      <c r="B2462" s="111"/>
    </row>
    <row r="2463" spans="1:2" x14ac:dyDescent="0.2">
      <c r="A2463" s="95"/>
      <c r="B2463" s="111"/>
    </row>
    <row r="2464" spans="1:2" x14ac:dyDescent="0.2">
      <c r="A2464" s="95"/>
      <c r="B2464" s="111"/>
    </row>
    <row r="2465" spans="1:2" x14ac:dyDescent="0.2">
      <c r="A2465" s="95"/>
      <c r="B2465" s="111"/>
    </row>
    <row r="2466" spans="1:2" x14ac:dyDescent="0.2">
      <c r="A2466" s="95"/>
      <c r="B2466" s="111"/>
    </row>
    <row r="2467" spans="1:2" x14ac:dyDescent="0.2">
      <c r="A2467" s="95"/>
      <c r="B2467" s="111"/>
    </row>
    <row r="2468" spans="1:2" x14ac:dyDescent="0.2">
      <c r="A2468" s="95"/>
      <c r="B2468" s="111"/>
    </row>
    <row r="2469" spans="1:2" x14ac:dyDescent="0.2">
      <c r="A2469" s="95"/>
      <c r="B2469" s="111"/>
    </row>
    <row r="2470" spans="1:2" x14ac:dyDescent="0.2">
      <c r="A2470" s="95"/>
      <c r="B2470" s="111"/>
    </row>
    <row r="2471" spans="1:2" x14ac:dyDescent="0.2">
      <c r="A2471" s="95"/>
      <c r="B2471" s="111"/>
    </row>
    <row r="2472" spans="1:2" x14ac:dyDescent="0.2">
      <c r="A2472" s="95"/>
      <c r="B2472" s="111"/>
    </row>
    <row r="2473" spans="1:2" x14ac:dyDescent="0.2">
      <c r="A2473" s="95"/>
      <c r="B2473" s="111"/>
    </row>
    <row r="2474" spans="1:2" x14ac:dyDescent="0.2">
      <c r="A2474" s="95"/>
      <c r="B2474" s="111"/>
    </row>
    <row r="2475" spans="1:2" x14ac:dyDescent="0.2">
      <c r="A2475" s="95"/>
      <c r="B2475" s="111"/>
    </row>
    <row r="2476" spans="1:2" x14ac:dyDescent="0.2">
      <c r="A2476" s="95"/>
      <c r="B2476" s="111"/>
    </row>
    <row r="2477" spans="1:2" x14ac:dyDescent="0.2">
      <c r="A2477" s="95"/>
      <c r="B2477" s="111"/>
    </row>
    <row r="2478" spans="1:2" x14ac:dyDescent="0.2">
      <c r="A2478" s="95"/>
      <c r="B2478" s="111"/>
    </row>
    <row r="2479" spans="1:2" x14ac:dyDescent="0.2">
      <c r="A2479" s="95"/>
      <c r="B2479" s="111"/>
    </row>
    <row r="2480" spans="1:2" x14ac:dyDescent="0.2">
      <c r="A2480" s="95"/>
      <c r="B2480" s="111"/>
    </row>
    <row r="2481" spans="1:2" x14ac:dyDescent="0.2">
      <c r="A2481" s="95"/>
      <c r="B2481" s="111"/>
    </row>
    <row r="2482" spans="1:2" x14ac:dyDescent="0.2">
      <c r="A2482" s="95"/>
      <c r="B2482" s="111"/>
    </row>
    <row r="2483" spans="1:2" x14ac:dyDescent="0.2">
      <c r="A2483" s="95"/>
      <c r="B2483" s="111"/>
    </row>
    <row r="2484" spans="1:2" x14ac:dyDescent="0.2">
      <c r="A2484" s="95"/>
      <c r="B2484" s="111"/>
    </row>
    <row r="2485" spans="1:2" x14ac:dyDescent="0.2">
      <c r="A2485" s="95"/>
      <c r="B2485" s="111"/>
    </row>
    <row r="2486" spans="1:2" x14ac:dyDescent="0.2">
      <c r="A2486" s="95"/>
      <c r="B2486" s="111"/>
    </row>
    <row r="2487" spans="1:2" x14ac:dyDescent="0.2">
      <c r="A2487" s="95"/>
      <c r="B2487" s="111"/>
    </row>
    <row r="2488" spans="1:2" x14ac:dyDescent="0.2">
      <c r="A2488" s="95"/>
      <c r="B2488" s="111"/>
    </row>
    <row r="2489" spans="1:2" x14ac:dyDescent="0.2">
      <c r="A2489" s="95"/>
      <c r="B2489" s="111"/>
    </row>
    <row r="2490" spans="1:2" x14ac:dyDescent="0.2">
      <c r="A2490" s="95"/>
      <c r="B2490" s="111"/>
    </row>
    <row r="2491" spans="1:2" x14ac:dyDescent="0.2">
      <c r="A2491" s="95"/>
      <c r="B2491" s="111"/>
    </row>
    <row r="2492" spans="1:2" x14ac:dyDescent="0.2">
      <c r="A2492" s="95"/>
      <c r="B2492" s="111"/>
    </row>
    <row r="2493" spans="1:2" x14ac:dyDescent="0.2">
      <c r="A2493" s="95"/>
      <c r="B2493" s="111"/>
    </row>
    <row r="2494" spans="1:2" x14ac:dyDescent="0.2">
      <c r="A2494" s="95"/>
      <c r="B2494" s="111"/>
    </row>
    <row r="2495" spans="1:2" x14ac:dyDescent="0.2">
      <c r="A2495" s="95"/>
      <c r="B2495" s="111"/>
    </row>
    <row r="2496" spans="1:2" x14ac:dyDescent="0.2">
      <c r="A2496" s="95"/>
      <c r="B2496" s="111"/>
    </row>
    <row r="2497" spans="1:2" x14ac:dyDescent="0.2">
      <c r="A2497" s="95"/>
      <c r="B2497" s="111"/>
    </row>
    <row r="2498" spans="1:2" x14ac:dyDescent="0.2">
      <c r="A2498" s="95"/>
      <c r="B2498" s="111"/>
    </row>
    <row r="2499" spans="1:2" x14ac:dyDescent="0.2">
      <c r="A2499" s="95"/>
      <c r="B2499" s="111"/>
    </row>
    <row r="2500" spans="1:2" x14ac:dyDescent="0.2">
      <c r="A2500" s="95"/>
      <c r="B2500" s="111"/>
    </row>
    <row r="2501" spans="1:2" x14ac:dyDescent="0.2">
      <c r="A2501" s="95"/>
      <c r="B2501" s="111"/>
    </row>
    <row r="2502" spans="1:2" x14ac:dyDescent="0.2">
      <c r="A2502" s="95"/>
      <c r="B2502" s="111"/>
    </row>
    <row r="2503" spans="1:2" x14ac:dyDescent="0.2">
      <c r="A2503" s="95"/>
      <c r="B2503" s="111"/>
    </row>
    <row r="2504" spans="1:2" x14ac:dyDescent="0.2">
      <c r="A2504" s="95"/>
      <c r="B2504" s="111"/>
    </row>
    <row r="2505" spans="1:2" x14ac:dyDescent="0.2">
      <c r="A2505" s="95"/>
      <c r="B2505" s="111"/>
    </row>
    <row r="2506" spans="1:2" x14ac:dyDescent="0.2">
      <c r="A2506" s="95"/>
      <c r="B2506" s="111"/>
    </row>
    <row r="2507" spans="1:2" x14ac:dyDescent="0.2">
      <c r="A2507" s="95"/>
      <c r="B2507" s="111"/>
    </row>
    <row r="2508" spans="1:2" x14ac:dyDescent="0.2">
      <c r="A2508" s="95"/>
      <c r="B2508" s="111"/>
    </row>
    <row r="2509" spans="1:2" x14ac:dyDescent="0.2">
      <c r="A2509" s="95"/>
      <c r="B2509" s="111"/>
    </row>
    <row r="2510" spans="1:2" x14ac:dyDescent="0.2">
      <c r="A2510" s="95"/>
      <c r="B2510" s="111"/>
    </row>
    <row r="2511" spans="1:2" x14ac:dyDescent="0.2">
      <c r="A2511" s="95"/>
      <c r="B2511" s="111"/>
    </row>
    <row r="2512" spans="1:2" x14ac:dyDescent="0.2">
      <c r="A2512" s="95"/>
      <c r="B2512" s="111"/>
    </row>
    <row r="2513" spans="1:2" x14ac:dyDescent="0.2">
      <c r="A2513" s="95"/>
      <c r="B2513" s="111"/>
    </row>
    <row r="2514" spans="1:2" x14ac:dyDescent="0.2">
      <c r="A2514" s="95"/>
      <c r="B2514" s="111"/>
    </row>
    <row r="2515" spans="1:2" x14ac:dyDescent="0.2">
      <c r="A2515" s="95"/>
      <c r="B2515" s="111"/>
    </row>
    <row r="2516" spans="1:2" x14ac:dyDescent="0.2">
      <c r="A2516" s="95"/>
      <c r="B2516" s="111"/>
    </row>
    <row r="2517" spans="1:2" x14ac:dyDescent="0.2">
      <c r="A2517" s="95"/>
      <c r="B2517" s="111"/>
    </row>
    <row r="2518" spans="1:2" x14ac:dyDescent="0.2">
      <c r="A2518" s="95"/>
      <c r="B2518" s="111"/>
    </row>
    <row r="2519" spans="1:2" x14ac:dyDescent="0.2">
      <c r="A2519" s="95"/>
      <c r="B2519" s="111"/>
    </row>
    <row r="2520" spans="1:2" x14ac:dyDescent="0.2">
      <c r="A2520" s="95"/>
      <c r="B2520" s="111"/>
    </row>
    <row r="2521" spans="1:2" x14ac:dyDescent="0.2">
      <c r="A2521" s="95"/>
      <c r="B2521" s="111"/>
    </row>
    <row r="2522" spans="1:2" x14ac:dyDescent="0.2">
      <c r="A2522" s="95"/>
      <c r="B2522" s="111"/>
    </row>
    <row r="2523" spans="1:2" x14ac:dyDescent="0.2">
      <c r="A2523" s="95"/>
      <c r="B2523" s="111"/>
    </row>
    <row r="2524" spans="1:2" x14ac:dyDescent="0.2">
      <c r="A2524" s="95"/>
      <c r="B2524" s="111"/>
    </row>
    <row r="2525" spans="1:2" x14ac:dyDescent="0.2">
      <c r="A2525" s="95"/>
      <c r="B2525" s="111"/>
    </row>
    <row r="2526" spans="1:2" x14ac:dyDescent="0.2">
      <c r="A2526" s="95"/>
      <c r="B2526" s="111"/>
    </row>
    <row r="2527" spans="1:2" x14ac:dyDescent="0.2">
      <c r="A2527" s="95"/>
      <c r="B2527" s="111"/>
    </row>
    <row r="2528" spans="1:2" x14ac:dyDescent="0.2">
      <c r="A2528" s="95"/>
      <c r="B2528" s="111"/>
    </row>
    <row r="2529" spans="1:2" x14ac:dyDescent="0.2">
      <c r="A2529" s="95"/>
      <c r="B2529" s="111"/>
    </row>
    <row r="2530" spans="1:2" x14ac:dyDescent="0.2">
      <c r="A2530" s="95"/>
      <c r="B2530" s="111"/>
    </row>
    <row r="2531" spans="1:2" x14ac:dyDescent="0.2">
      <c r="A2531" s="95"/>
      <c r="B2531" s="111"/>
    </row>
    <row r="2532" spans="1:2" x14ac:dyDescent="0.2">
      <c r="A2532" s="95"/>
      <c r="B2532" s="111"/>
    </row>
    <row r="2533" spans="1:2" x14ac:dyDescent="0.2">
      <c r="A2533" s="95"/>
      <c r="B2533" s="111"/>
    </row>
    <row r="2534" spans="1:2" x14ac:dyDescent="0.2">
      <c r="A2534" s="95"/>
      <c r="B2534" s="111"/>
    </row>
    <row r="2535" spans="1:2" x14ac:dyDescent="0.2">
      <c r="A2535" s="95"/>
      <c r="B2535" s="111"/>
    </row>
    <row r="2536" spans="1:2" x14ac:dyDescent="0.2">
      <c r="A2536" s="95"/>
      <c r="B2536" s="111"/>
    </row>
    <row r="2537" spans="1:2" x14ac:dyDescent="0.2">
      <c r="A2537" s="95"/>
      <c r="B2537" s="111"/>
    </row>
    <row r="2538" spans="1:2" x14ac:dyDescent="0.2">
      <c r="A2538" s="95"/>
      <c r="B2538" s="111"/>
    </row>
    <row r="2539" spans="1:2" x14ac:dyDescent="0.2">
      <c r="A2539" s="95"/>
      <c r="B2539" s="111"/>
    </row>
    <row r="2540" spans="1:2" x14ac:dyDescent="0.2">
      <c r="A2540" s="95"/>
      <c r="B2540" s="111"/>
    </row>
    <row r="2541" spans="1:2" x14ac:dyDescent="0.2">
      <c r="A2541" s="95"/>
      <c r="B2541" s="111"/>
    </row>
    <row r="2542" spans="1:2" x14ac:dyDescent="0.2">
      <c r="A2542" s="95"/>
      <c r="B2542" s="111"/>
    </row>
    <row r="2543" spans="1:2" x14ac:dyDescent="0.2">
      <c r="A2543" s="95"/>
      <c r="B2543" s="111"/>
    </row>
    <row r="2544" spans="1:2" x14ac:dyDescent="0.2">
      <c r="A2544" s="95"/>
      <c r="B2544" s="111"/>
    </row>
    <row r="2545" spans="1:2" x14ac:dyDescent="0.2">
      <c r="A2545" s="95"/>
      <c r="B2545" s="111"/>
    </row>
    <row r="2546" spans="1:2" x14ac:dyDescent="0.2">
      <c r="A2546" s="95"/>
      <c r="B2546" s="111"/>
    </row>
    <row r="2547" spans="1:2" x14ac:dyDescent="0.2">
      <c r="A2547" s="95"/>
      <c r="B2547" s="111"/>
    </row>
    <row r="2548" spans="1:2" x14ac:dyDescent="0.2">
      <c r="A2548" s="95"/>
      <c r="B2548" s="111"/>
    </row>
    <row r="2549" spans="1:2" x14ac:dyDescent="0.2">
      <c r="A2549" s="95"/>
      <c r="B2549" s="111"/>
    </row>
    <row r="2550" spans="1:2" x14ac:dyDescent="0.2">
      <c r="A2550" s="95"/>
      <c r="B2550" s="111"/>
    </row>
    <row r="2551" spans="1:2" x14ac:dyDescent="0.2">
      <c r="A2551" s="95"/>
      <c r="B2551" s="111"/>
    </row>
    <row r="2552" spans="1:2" x14ac:dyDescent="0.2">
      <c r="A2552" s="95"/>
      <c r="B2552" s="111"/>
    </row>
    <row r="2553" spans="1:2" x14ac:dyDescent="0.2">
      <c r="A2553" s="95"/>
      <c r="B2553" s="111"/>
    </row>
    <row r="2554" spans="1:2" x14ac:dyDescent="0.2">
      <c r="A2554" s="95"/>
      <c r="B2554" s="111"/>
    </row>
    <row r="2555" spans="1:2" x14ac:dyDescent="0.2">
      <c r="A2555" s="95"/>
      <c r="B2555" s="111"/>
    </row>
    <row r="2556" spans="1:2" x14ac:dyDescent="0.2">
      <c r="A2556" s="95"/>
      <c r="B2556" s="111"/>
    </row>
    <row r="2557" spans="1:2" x14ac:dyDescent="0.2">
      <c r="A2557" s="95"/>
      <c r="B2557" s="111"/>
    </row>
    <row r="2558" spans="1:2" x14ac:dyDescent="0.2">
      <c r="A2558" s="95"/>
      <c r="B2558" s="111"/>
    </row>
    <row r="2559" spans="1:2" x14ac:dyDescent="0.2">
      <c r="A2559" s="95"/>
      <c r="B2559" s="111"/>
    </row>
    <row r="2560" spans="1:2" x14ac:dyDescent="0.2">
      <c r="A2560" s="95"/>
      <c r="B2560" s="111"/>
    </row>
    <row r="2561" spans="1:2" x14ac:dyDescent="0.2">
      <c r="A2561" s="95"/>
      <c r="B2561" s="111"/>
    </row>
    <row r="2562" spans="1:2" x14ac:dyDescent="0.2">
      <c r="A2562" s="95"/>
      <c r="B2562" s="111"/>
    </row>
    <row r="2563" spans="1:2" x14ac:dyDescent="0.2">
      <c r="A2563" s="95"/>
      <c r="B2563" s="111"/>
    </row>
    <row r="2564" spans="1:2" x14ac:dyDescent="0.2">
      <c r="A2564" s="95"/>
      <c r="B2564" s="111"/>
    </row>
    <row r="2565" spans="1:2" x14ac:dyDescent="0.2">
      <c r="A2565" s="95"/>
      <c r="B2565" s="111"/>
    </row>
    <row r="2566" spans="1:2" x14ac:dyDescent="0.2">
      <c r="A2566" s="95"/>
      <c r="B2566" s="111"/>
    </row>
    <row r="2567" spans="1:2" x14ac:dyDescent="0.2">
      <c r="A2567" s="95"/>
      <c r="B2567" s="111"/>
    </row>
    <row r="2568" spans="1:2" x14ac:dyDescent="0.2">
      <c r="A2568" s="95"/>
      <c r="B2568" s="111"/>
    </row>
    <row r="2569" spans="1:2" x14ac:dyDescent="0.2">
      <c r="A2569" s="95"/>
      <c r="B2569" s="111"/>
    </row>
    <row r="2570" spans="1:2" x14ac:dyDescent="0.2">
      <c r="A2570" s="95"/>
      <c r="B2570" s="111"/>
    </row>
    <row r="2571" spans="1:2" x14ac:dyDescent="0.2">
      <c r="A2571" s="95"/>
      <c r="B2571" s="111"/>
    </row>
    <row r="2572" spans="1:2" x14ac:dyDescent="0.2">
      <c r="A2572" s="95"/>
      <c r="B2572" s="111"/>
    </row>
    <row r="2573" spans="1:2" x14ac:dyDescent="0.2">
      <c r="A2573" s="95"/>
      <c r="B2573" s="111"/>
    </row>
    <row r="2574" spans="1:2" x14ac:dyDescent="0.2">
      <c r="A2574" s="95"/>
      <c r="B2574" s="111"/>
    </row>
    <row r="2575" spans="1:2" x14ac:dyDescent="0.2">
      <c r="A2575" s="95"/>
      <c r="B2575" s="111"/>
    </row>
    <row r="2576" spans="1:2" x14ac:dyDescent="0.2">
      <c r="A2576" s="95"/>
      <c r="B2576" s="111"/>
    </row>
    <row r="2577" spans="1:2" x14ac:dyDescent="0.2">
      <c r="A2577" s="95"/>
      <c r="B2577" s="111"/>
    </row>
    <row r="2578" spans="1:2" x14ac:dyDescent="0.2">
      <c r="A2578" s="95"/>
      <c r="B2578" s="111"/>
    </row>
    <row r="2579" spans="1:2" x14ac:dyDescent="0.2">
      <c r="A2579" s="95"/>
      <c r="B2579" s="111"/>
    </row>
    <row r="2580" spans="1:2" x14ac:dyDescent="0.2">
      <c r="A2580" s="95"/>
      <c r="B2580" s="111"/>
    </row>
    <row r="2581" spans="1:2" x14ac:dyDescent="0.2">
      <c r="A2581" s="95"/>
      <c r="B2581" s="111"/>
    </row>
    <row r="2582" spans="1:2" x14ac:dyDescent="0.2">
      <c r="A2582" s="95"/>
      <c r="B2582" s="111"/>
    </row>
    <row r="2583" spans="1:2" x14ac:dyDescent="0.2">
      <c r="A2583" s="95"/>
      <c r="B2583" s="111"/>
    </row>
    <row r="2584" spans="1:2" x14ac:dyDescent="0.2">
      <c r="A2584" s="95"/>
      <c r="B2584" s="111"/>
    </row>
    <row r="2585" spans="1:2" x14ac:dyDescent="0.2">
      <c r="A2585" s="95"/>
      <c r="B2585" s="111"/>
    </row>
    <row r="2586" spans="1:2" x14ac:dyDescent="0.2">
      <c r="A2586" s="95"/>
      <c r="B2586" s="111"/>
    </row>
    <row r="2587" spans="1:2" x14ac:dyDescent="0.2">
      <c r="A2587" s="95"/>
      <c r="B2587" s="111"/>
    </row>
    <row r="2588" spans="1:2" x14ac:dyDescent="0.2">
      <c r="A2588" s="95"/>
      <c r="B2588" s="111"/>
    </row>
    <row r="2589" spans="1:2" x14ac:dyDescent="0.2">
      <c r="A2589" s="95"/>
      <c r="B2589" s="111"/>
    </row>
    <row r="2590" spans="1:2" x14ac:dyDescent="0.2">
      <c r="A2590" s="95"/>
      <c r="B2590" s="111"/>
    </row>
    <row r="2591" spans="1:2" x14ac:dyDescent="0.2">
      <c r="A2591" s="95"/>
      <c r="B2591" s="111"/>
    </row>
    <row r="2592" spans="1:2" x14ac:dyDescent="0.2">
      <c r="A2592" s="95"/>
      <c r="B2592" s="111"/>
    </row>
    <row r="2593" spans="1:2" x14ac:dyDescent="0.2">
      <c r="A2593" s="95"/>
      <c r="B2593" s="111"/>
    </row>
    <row r="2594" spans="1:2" x14ac:dyDescent="0.2">
      <c r="A2594" s="95"/>
      <c r="B2594" s="111"/>
    </row>
    <row r="2595" spans="1:2" x14ac:dyDescent="0.2">
      <c r="A2595" s="95"/>
      <c r="B2595" s="111"/>
    </row>
    <row r="2596" spans="1:2" x14ac:dyDescent="0.2">
      <c r="A2596" s="95"/>
      <c r="B2596" s="111"/>
    </row>
    <row r="2597" spans="1:2" x14ac:dyDescent="0.2">
      <c r="A2597" s="95"/>
      <c r="B2597" s="111"/>
    </row>
    <row r="2598" spans="1:2" x14ac:dyDescent="0.2">
      <c r="A2598" s="95"/>
      <c r="B2598" s="111"/>
    </row>
    <row r="2599" spans="1:2" x14ac:dyDescent="0.2">
      <c r="A2599" s="95"/>
      <c r="B2599" s="111"/>
    </row>
    <row r="2600" spans="1:2" x14ac:dyDescent="0.2">
      <c r="A2600" s="95"/>
      <c r="B2600" s="111"/>
    </row>
    <row r="2601" spans="1:2" x14ac:dyDescent="0.2">
      <c r="A2601" s="95"/>
      <c r="B2601" s="111"/>
    </row>
    <row r="2602" spans="1:2" x14ac:dyDescent="0.2">
      <c r="A2602" s="95"/>
      <c r="B2602" s="111"/>
    </row>
    <row r="2603" spans="1:2" x14ac:dyDescent="0.2">
      <c r="A2603" s="95"/>
      <c r="B2603" s="111"/>
    </row>
    <row r="2604" spans="1:2" x14ac:dyDescent="0.2">
      <c r="A2604" s="95"/>
      <c r="B2604" s="111"/>
    </row>
    <row r="2605" spans="1:2" x14ac:dyDescent="0.2">
      <c r="A2605" s="95"/>
      <c r="B2605" s="111"/>
    </row>
    <row r="2606" spans="1:2" x14ac:dyDescent="0.2">
      <c r="A2606" s="95"/>
      <c r="B2606" s="111"/>
    </row>
    <row r="2607" spans="1:2" x14ac:dyDescent="0.2">
      <c r="A2607" s="95"/>
      <c r="B2607" s="111"/>
    </row>
    <row r="2608" spans="1:2" x14ac:dyDescent="0.2">
      <c r="A2608" s="95"/>
      <c r="B2608" s="111"/>
    </row>
    <row r="2609" spans="1:2" x14ac:dyDescent="0.2">
      <c r="A2609" s="95"/>
      <c r="B2609" s="111"/>
    </row>
    <row r="2610" spans="1:2" x14ac:dyDescent="0.2">
      <c r="A2610" s="95"/>
      <c r="B2610" s="111"/>
    </row>
    <row r="2611" spans="1:2" x14ac:dyDescent="0.2">
      <c r="A2611" s="95"/>
      <c r="B2611" s="111"/>
    </row>
    <row r="2612" spans="1:2" x14ac:dyDescent="0.2">
      <c r="A2612" s="95"/>
      <c r="B2612" s="111"/>
    </row>
    <row r="2613" spans="1:2" x14ac:dyDescent="0.2">
      <c r="A2613" s="95"/>
      <c r="B2613" s="111"/>
    </row>
    <row r="2614" spans="1:2" x14ac:dyDescent="0.2">
      <c r="A2614" s="95"/>
      <c r="B2614" s="111"/>
    </row>
    <row r="2615" spans="1:2" x14ac:dyDescent="0.2">
      <c r="A2615" s="95"/>
      <c r="B2615" s="111"/>
    </row>
    <row r="2616" spans="1:2" x14ac:dyDescent="0.2">
      <c r="A2616" s="95"/>
      <c r="B2616" s="111"/>
    </row>
    <row r="2617" spans="1:2" x14ac:dyDescent="0.2">
      <c r="A2617" s="95"/>
      <c r="B2617" s="111"/>
    </row>
    <row r="2618" spans="1:2" x14ac:dyDescent="0.2">
      <c r="A2618" s="95"/>
      <c r="B2618" s="111"/>
    </row>
    <row r="2619" spans="1:2" x14ac:dyDescent="0.2">
      <c r="A2619" s="95"/>
      <c r="B2619" s="111"/>
    </row>
    <row r="2620" spans="1:2" x14ac:dyDescent="0.2">
      <c r="A2620" s="95"/>
      <c r="B2620" s="111"/>
    </row>
    <row r="2621" spans="1:2" x14ac:dyDescent="0.2">
      <c r="A2621" s="95"/>
      <c r="B2621" s="111"/>
    </row>
    <row r="2622" spans="1:2" x14ac:dyDescent="0.2">
      <c r="A2622" s="95"/>
      <c r="B2622" s="111"/>
    </row>
    <row r="2623" spans="1:2" x14ac:dyDescent="0.2">
      <c r="A2623" s="95"/>
      <c r="B2623" s="111"/>
    </row>
    <row r="2624" spans="1:2" x14ac:dyDescent="0.2">
      <c r="A2624" s="95"/>
      <c r="B2624" s="111"/>
    </row>
    <row r="2625" spans="1:2" x14ac:dyDescent="0.2">
      <c r="A2625" s="95"/>
      <c r="B2625" s="111"/>
    </row>
    <row r="2626" spans="1:2" x14ac:dyDescent="0.2">
      <c r="A2626" s="95"/>
      <c r="B2626" s="111"/>
    </row>
    <row r="2627" spans="1:2" x14ac:dyDescent="0.2">
      <c r="A2627" s="95"/>
      <c r="B2627" s="111"/>
    </row>
    <row r="2628" spans="1:2" x14ac:dyDescent="0.2">
      <c r="A2628" s="95"/>
      <c r="B2628" s="111"/>
    </row>
    <row r="2629" spans="1:2" x14ac:dyDescent="0.2">
      <c r="A2629" s="95"/>
      <c r="B2629" s="111"/>
    </row>
    <row r="2630" spans="1:2" x14ac:dyDescent="0.2">
      <c r="A2630" s="95"/>
      <c r="B2630" s="111"/>
    </row>
    <row r="2631" spans="1:2" x14ac:dyDescent="0.2">
      <c r="A2631" s="95"/>
      <c r="B2631" s="111"/>
    </row>
    <row r="2632" spans="1:2" x14ac:dyDescent="0.2">
      <c r="A2632" s="95"/>
      <c r="B2632" s="111"/>
    </row>
    <row r="2633" spans="1:2" x14ac:dyDescent="0.2">
      <c r="A2633" s="95"/>
      <c r="B2633" s="111"/>
    </row>
    <row r="2634" spans="1:2" x14ac:dyDescent="0.2">
      <c r="A2634" s="95"/>
      <c r="B2634" s="111"/>
    </row>
    <row r="2635" spans="1:2" x14ac:dyDescent="0.2">
      <c r="A2635" s="95"/>
      <c r="B2635" s="111"/>
    </row>
    <row r="2636" spans="1:2" x14ac:dyDescent="0.2">
      <c r="A2636" s="95"/>
      <c r="B2636" s="111"/>
    </row>
    <row r="2637" spans="1:2" x14ac:dyDescent="0.2">
      <c r="A2637" s="95"/>
      <c r="B2637" s="111"/>
    </row>
    <row r="2638" spans="1:2" x14ac:dyDescent="0.2">
      <c r="A2638" s="95"/>
      <c r="B2638" s="111"/>
    </row>
    <row r="2639" spans="1:2" x14ac:dyDescent="0.2">
      <c r="A2639" s="95"/>
      <c r="B2639" s="111"/>
    </row>
    <row r="2640" spans="1:2" x14ac:dyDescent="0.2">
      <c r="A2640" s="95"/>
      <c r="B2640" s="111"/>
    </row>
    <row r="2641" spans="1:2" x14ac:dyDescent="0.2">
      <c r="A2641" s="95"/>
      <c r="B2641" s="111"/>
    </row>
    <row r="2642" spans="1:2" x14ac:dyDescent="0.2">
      <c r="A2642" s="95"/>
      <c r="B2642" s="111"/>
    </row>
    <row r="2643" spans="1:2" x14ac:dyDescent="0.2">
      <c r="A2643" s="95"/>
      <c r="B2643" s="111"/>
    </row>
    <row r="2644" spans="1:2" x14ac:dyDescent="0.2">
      <c r="A2644" s="95"/>
      <c r="B2644" s="111"/>
    </row>
    <row r="2645" spans="1:2" x14ac:dyDescent="0.2">
      <c r="A2645" s="95"/>
      <c r="B2645" s="111"/>
    </row>
    <row r="2646" spans="1:2" x14ac:dyDescent="0.2">
      <c r="A2646" s="95"/>
      <c r="B2646" s="111"/>
    </row>
    <row r="2647" spans="1:2" x14ac:dyDescent="0.2">
      <c r="A2647" s="95"/>
      <c r="B2647" s="111"/>
    </row>
    <row r="2648" spans="1:2" x14ac:dyDescent="0.2">
      <c r="A2648" s="95"/>
      <c r="B2648" s="111"/>
    </row>
    <row r="2649" spans="1:2" x14ac:dyDescent="0.2">
      <c r="A2649" s="95"/>
      <c r="B2649" s="111"/>
    </row>
    <row r="2650" spans="1:2" x14ac:dyDescent="0.2">
      <c r="A2650" s="95"/>
      <c r="B2650" s="111"/>
    </row>
    <row r="2651" spans="1:2" x14ac:dyDescent="0.2">
      <c r="A2651" s="95"/>
      <c r="B2651" s="111"/>
    </row>
    <row r="2652" spans="1:2" x14ac:dyDescent="0.2">
      <c r="A2652" s="95"/>
      <c r="B2652" s="111"/>
    </row>
    <row r="2653" spans="1:2" x14ac:dyDescent="0.2">
      <c r="A2653" s="95"/>
      <c r="B2653" s="111"/>
    </row>
    <row r="2654" spans="1:2" x14ac:dyDescent="0.2">
      <c r="A2654" s="95"/>
      <c r="B2654" s="111"/>
    </row>
    <row r="2655" spans="1:2" x14ac:dyDescent="0.2">
      <c r="A2655" s="95"/>
      <c r="B2655" s="111"/>
    </row>
    <row r="2656" spans="1:2" x14ac:dyDescent="0.2">
      <c r="A2656" s="95"/>
      <c r="B2656" s="111"/>
    </row>
    <row r="2657" spans="1:2" x14ac:dyDescent="0.2">
      <c r="A2657" s="95"/>
      <c r="B2657" s="111"/>
    </row>
    <row r="2658" spans="1:2" x14ac:dyDescent="0.2">
      <c r="A2658" s="95"/>
      <c r="B2658" s="111"/>
    </row>
    <row r="2659" spans="1:2" x14ac:dyDescent="0.2">
      <c r="A2659" s="95"/>
      <c r="B2659" s="111"/>
    </row>
    <row r="2660" spans="1:2" x14ac:dyDescent="0.2">
      <c r="A2660" s="95"/>
      <c r="B2660" s="111"/>
    </row>
    <row r="2661" spans="1:2" x14ac:dyDescent="0.2">
      <c r="A2661" s="95"/>
      <c r="B2661" s="111"/>
    </row>
    <row r="2662" spans="1:2" x14ac:dyDescent="0.2">
      <c r="A2662" s="95"/>
      <c r="B2662" s="111"/>
    </row>
    <row r="2663" spans="1:2" x14ac:dyDescent="0.2">
      <c r="A2663" s="95"/>
      <c r="B2663" s="111"/>
    </row>
    <row r="2664" spans="1:2" x14ac:dyDescent="0.2">
      <c r="A2664" s="95"/>
      <c r="B2664" s="111"/>
    </row>
    <row r="2665" spans="1:2" x14ac:dyDescent="0.2">
      <c r="A2665" s="95"/>
      <c r="B2665" s="111"/>
    </row>
    <row r="2666" spans="1:2" x14ac:dyDescent="0.2">
      <c r="A2666" s="95"/>
      <c r="B2666" s="111"/>
    </row>
    <row r="2667" spans="1:2" x14ac:dyDescent="0.2">
      <c r="A2667" s="95"/>
      <c r="B2667" s="111"/>
    </row>
    <row r="2668" spans="1:2" x14ac:dyDescent="0.2">
      <c r="A2668" s="95"/>
      <c r="B2668" s="111"/>
    </row>
    <row r="2669" spans="1:2" x14ac:dyDescent="0.2">
      <c r="A2669" s="95"/>
      <c r="B2669" s="111"/>
    </row>
    <row r="2670" spans="1:2" x14ac:dyDescent="0.2">
      <c r="A2670" s="95"/>
      <c r="B2670" s="111"/>
    </row>
    <row r="2671" spans="1:2" x14ac:dyDescent="0.2">
      <c r="A2671" s="95"/>
      <c r="B2671" s="111"/>
    </row>
    <row r="2672" spans="1:2" x14ac:dyDescent="0.2">
      <c r="A2672" s="95"/>
      <c r="B2672" s="111"/>
    </row>
    <row r="2673" spans="1:2" x14ac:dyDescent="0.2">
      <c r="A2673" s="95"/>
      <c r="B2673" s="111"/>
    </row>
    <row r="2674" spans="1:2" x14ac:dyDescent="0.2">
      <c r="A2674" s="95"/>
      <c r="B2674" s="111"/>
    </row>
    <row r="2675" spans="1:2" x14ac:dyDescent="0.2">
      <c r="A2675" s="95"/>
      <c r="B2675" s="111"/>
    </row>
    <row r="2676" spans="1:2" x14ac:dyDescent="0.2">
      <c r="A2676" s="95"/>
      <c r="B2676" s="111"/>
    </row>
    <row r="2677" spans="1:2" x14ac:dyDescent="0.2">
      <c r="A2677" s="95"/>
      <c r="B2677" s="111"/>
    </row>
    <row r="2678" spans="1:2" x14ac:dyDescent="0.2">
      <c r="A2678" s="95"/>
      <c r="B2678" s="111"/>
    </row>
    <row r="2679" spans="1:2" x14ac:dyDescent="0.2">
      <c r="A2679" s="95"/>
      <c r="B2679" s="111"/>
    </row>
    <row r="2680" spans="1:2" x14ac:dyDescent="0.2">
      <c r="A2680" s="95"/>
      <c r="B2680" s="111"/>
    </row>
    <row r="2681" spans="1:2" x14ac:dyDescent="0.2">
      <c r="A2681" s="95"/>
      <c r="B2681" s="111"/>
    </row>
    <row r="2682" spans="1:2" x14ac:dyDescent="0.2">
      <c r="A2682" s="95"/>
      <c r="B2682" s="111"/>
    </row>
    <row r="2683" spans="1:2" x14ac:dyDescent="0.2">
      <c r="A2683" s="95"/>
      <c r="B2683" s="111"/>
    </row>
    <row r="2684" spans="1:2" x14ac:dyDescent="0.2">
      <c r="A2684" s="95"/>
      <c r="B2684" s="111"/>
    </row>
    <row r="2685" spans="1:2" x14ac:dyDescent="0.2">
      <c r="A2685" s="95"/>
      <c r="B2685" s="111"/>
    </row>
    <row r="2686" spans="1:2" x14ac:dyDescent="0.2">
      <c r="A2686" s="95"/>
      <c r="B2686" s="111"/>
    </row>
    <row r="2687" spans="1:2" x14ac:dyDescent="0.2">
      <c r="A2687" s="95"/>
      <c r="B2687" s="111"/>
    </row>
    <row r="2688" spans="1:2" x14ac:dyDescent="0.2">
      <c r="A2688" s="95"/>
      <c r="B2688" s="111"/>
    </row>
    <row r="2689" spans="1:2" x14ac:dyDescent="0.2">
      <c r="A2689" s="95"/>
      <c r="B2689" s="111"/>
    </row>
    <row r="2690" spans="1:2" x14ac:dyDescent="0.2">
      <c r="A2690" s="95"/>
      <c r="B2690" s="111"/>
    </row>
    <row r="2691" spans="1:2" x14ac:dyDescent="0.2">
      <c r="A2691" s="95"/>
      <c r="B2691" s="111"/>
    </row>
    <row r="2692" spans="1:2" x14ac:dyDescent="0.2">
      <c r="A2692" s="95"/>
      <c r="B2692" s="111"/>
    </row>
    <row r="2693" spans="1:2" x14ac:dyDescent="0.2">
      <c r="A2693" s="95"/>
      <c r="B2693" s="111"/>
    </row>
    <row r="2694" spans="1:2" x14ac:dyDescent="0.2">
      <c r="A2694" s="95"/>
      <c r="B2694" s="111"/>
    </row>
    <row r="2695" spans="1:2" x14ac:dyDescent="0.2">
      <c r="A2695" s="95"/>
      <c r="B2695" s="111"/>
    </row>
    <row r="2696" spans="1:2" x14ac:dyDescent="0.2">
      <c r="A2696" s="95"/>
      <c r="B2696" s="111"/>
    </row>
    <row r="2697" spans="1:2" x14ac:dyDescent="0.2">
      <c r="A2697" s="95"/>
      <c r="B2697" s="111"/>
    </row>
    <row r="2698" spans="1:2" x14ac:dyDescent="0.2">
      <c r="A2698" s="95"/>
      <c r="B2698" s="111"/>
    </row>
    <row r="2699" spans="1:2" x14ac:dyDescent="0.2">
      <c r="A2699" s="95"/>
      <c r="B2699" s="111"/>
    </row>
    <row r="2700" spans="1:2" x14ac:dyDescent="0.2">
      <c r="A2700" s="95"/>
      <c r="B2700" s="111"/>
    </row>
    <row r="2701" spans="1:2" x14ac:dyDescent="0.2">
      <c r="A2701" s="95"/>
      <c r="B2701" s="111"/>
    </row>
    <row r="2702" spans="1:2" x14ac:dyDescent="0.2">
      <c r="A2702" s="95"/>
      <c r="B2702" s="111"/>
    </row>
    <row r="2703" spans="1:2" x14ac:dyDescent="0.2">
      <c r="A2703" s="95"/>
      <c r="B2703" s="111"/>
    </row>
    <row r="2704" spans="1:2" x14ac:dyDescent="0.2">
      <c r="A2704" s="95"/>
      <c r="B2704" s="111"/>
    </row>
    <row r="2705" spans="1:2" x14ac:dyDescent="0.2">
      <c r="A2705" s="95"/>
      <c r="B2705" s="111"/>
    </row>
    <row r="2706" spans="1:2" x14ac:dyDescent="0.2">
      <c r="A2706" s="95"/>
      <c r="B2706" s="111"/>
    </row>
    <row r="2707" spans="1:2" x14ac:dyDescent="0.2">
      <c r="A2707" s="95"/>
      <c r="B2707" s="111"/>
    </row>
    <row r="2708" spans="1:2" x14ac:dyDescent="0.2">
      <c r="A2708" s="95"/>
      <c r="B2708" s="111"/>
    </row>
    <row r="2709" spans="1:2" x14ac:dyDescent="0.2">
      <c r="A2709" s="95"/>
      <c r="B2709" s="111"/>
    </row>
    <row r="2710" spans="1:2" x14ac:dyDescent="0.2">
      <c r="A2710" s="95"/>
      <c r="B2710" s="111"/>
    </row>
    <row r="2711" spans="1:2" x14ac:dyDescent="0.2">
      <c r="A2711" s="95"/>
      <c r="B2711" s="111"/>
    </row>
    <row r="2712" spans="1:2" x14ac:dyDescent="0.2">
      <c r="A2712" s="95"/>
      <c r="B2712" s="111"/>
    </row>
    <row r="2713" spans="1:2" x14ac:dyDescent="0.2">
      <c r="A2713" s="95"/>
      <c r="B2713" s="111"/>
    </row>
    <row r="2714" spans="1:2" x14ac:dyDescent="0.2">
      <c r="A2714" s="95"/>
      <c r="B2714" s="111"/>
    </row>
    <row r="2715" spans="1:2" x14ac:dyDescent="0.2">
      <c r="A2715" s="95"/>
      <c r="B2715" s="111"/>
    </row>
    <row r="2716" spans="1:2" x14ac:dyDescent="0.2">
      <c r="A2716" s="95"/>
      <c r="B2716" s="111"/>
    </row>
    <row r="2717" spans="1:2" x14ac:dyDescent="0.2">
      <c r="A2717" s="95"/>
      <c r="B2717" s="111"/>
    </row>
    <row r="2718" spans="1:2" x14ac:dyDescent="0.2">
      <c r="A2718" s="95"/>
      <c r="B2718" s="111"/>
    </row>
    <row r="2719" spans="1:2" x14ac:dyDescent="0.2">
      <c r="A2719" s="95"/>
      <c r="B2719" s="111"/>
    </row>
    <row r="2720" spans="1:2" x14ac:dyDescent="0.2">
      <c r="A2720" s="95"/>
      <c r="B2720" s="111"/>
    </row>
    <row r="2721" spans="1:2" x14ac:dyDescent="0.2">
      <c r="A2721" s="95"/>
      <c r="B2721" s="111"/>
    </row>
    <row r="2722" spans="1:2" x14ac:dyDescent="0.2">
      <c r="A2722" s="95"/>
      <c r="B2722" s="111"/>
    </row>
    <row r="2723" spans="1:2" x14ac:dyDescent="0.2">
      <c r="A2723" s="95"/>
      <c r="B2723" s="111"/>
    </row>
    <row r="2724" spans="1:2" x14ac:dyDescent="0.2">
      <c r="A2724" s="95"/>
      <c r="B2724" s="111"/>
    </row>
    <row r="2725" spans="1:2" x14ac:dyDescent="0.2">
      <c r="A2725" s="95"/>
      <c r="B2725" s="111"/>
    </row>
    <row r="2726" spans="1:2" x14ac:dyDescent="0.2">
      <c r="A2726" s="95"/>
      <c r="B2726" s="111"/>
    </row>
    <row r="2727" spans="1:2" x14ac:dyDescent="0.2">
      <c r="A2727" s="95"/>
      <c r="B2727" s="111"/>
    </row>
    <row r="2728" spans="1:2" x14ac:dyDescent="0.2">
      <c r="A2728" s="95"/>
      <c r="B2728" s="111"/>
    </row>
    <row r="2729" spans="1:2" x14ac:dyDescent="0.2">
      <c r="A2729" s="95"/>
      <c r="B2729" s="111"/>
    </row>
    <row r="2730" spans="1:2" x14ac:dyDescent="0.2">
      <c r="A2730" s="95"/>
      <c r="B2730" s="111"/>
    </row>
    <row r="2731" spans="1:2" x14ac:dyDescent="0.2">
      <c r="A2731" s="95"/>
      <c r="B2731" s="111"/>
    </row>
    <row r="2732" spans="1:2" x14ac:dyDescent="0.2">
      <c r="A2732" s="95"/>
      <c r="B2732" s="111"/>
    </row>
    <row r="2733" spans="1:2" x14ac:dyDescent="0.2">
      <c r="A2733" s="95"/>
      <c r="B2733" s="111"/>
    </row>
    <row r="2734" spans="1:2" x14ac:dyDescent="0.2">
      <c r="A2734" s="95"/>
      <c r="B2734" s="111"/>
    </row>
    <row r="2735" spans="1:2" x14ac:dyDescent="0.2">
      <c r="A2735" s="95"/>
      <c r="B2735" s="111"/>
    </row>
    <row r="2736" spans="1:2" x14ac:dyDescent="0.2">
      <c r="A2736" s="95"/>
      <c r="B2736" s="111"/>
    </row>
    <row r="2737" spans="1:2" x14ac:dyDescent="0.2">
      <c r="A2737" s="95"/>
      <c r="B2737" s="111"/>
    </row>
    <row r="2738" spans="1:2" x14ac:dyDescent="0.2">
      <c r="A2738" s="95"/>
      <c r="B2738" s="111"/>
    </row>
    <row r="2739" spans="1:2" x14ac:dyDescent="0.2">
      <c r="A2739" s="95"/>
      <c r="B2739" s="111"/>
    </row>
    <row r="2740" spans="1:2" x14ac:dyDescent="0.2">
      <c r="A2740" s="95"/>
      <c r="B2740" s="111"/>
    </row>
    <row r="2741" spans="1:2" x14ac:dyDescent="0.2">
      <c r="A2741" s="95"/>
      <c r="B2741" s="111"/>
    </row>
    <row r="2742" spans="1:2" x14ac:dyDescent="0.2">
      <c r="A2742" s="95"/>
      <c r="B2742" s="111"/>
    </row>
    <row r="2743" spans="1:2" x14ac:dyDescent="0.2">
      <c r="A2743" s="95"/>
      <c r="B2743" s="111"/>
    </row>
    <row r="2744" spans="1:2" x14ac:dyDescent="0.2">
      <c r="A2744" s="95"/>
      <c r="B2744" s="111"/>
    </row>
    <row r="2745" spans="1:2" x14ac:dyDescent="0.2">
      <c r="A2745" s="95"/>
      <c r="B2745" s="111"/>
    </row>
    <row r="2746" spans="1:2" x14ac:dyDescent="0.2">
      <c r="A2746" s="95"/>
      <c r="B2746" s="111"/>
    </row>
    <row r="2747" spans="1:2" x14ac:dyDescent="0.2">
      <c r="A2747" s="95"/>
      <c r="B2747" s="111"/>
    </row>
    <row r="2748" spans="1:2" x14ac:dyDescent="0.2">
      <c r="A2748" s="95"/>
      <c r="B2748" s="111"/>
    </row>
    <row r="2749" spans="1:2" x14ac:dyDescent="0.2">
      <c r="A2749" s="95"/>
      <c r="B2749" s="111"/>
    </row>
    <row r="2750" spans="1:2" x14ac:dyDescent="0.2">
      <c r="A2750" s="95"/>
      <c r="B2750" s="111"/>
    </row>
    <row r="2751" spans="1:2" x14ac:dyDescent="0.2">
      <c r="A2751" s="95"/>
      <c r="B2751" s="111"/>
    </row>
    <row r="2752" spans="1:2" x14ac:dyDescent="0.2">
      <c r="A2752" s="95"/>
      <c r="B2752" s="111"/>
    </row>
    <row r="2753" spans="1:2" x14ac:dyDescent="0.2">
      <c r="A2753" s="95"/>
      <c r="B2753" s="111"/>
    </row>
    <row r="2754" spans="1:2" x14ac:dyDescent="0.2">
      <c r="A2754" s="95"/>
      <c r="B2754" s="111"/>
    </row>
    <row r="2755" spans="1:2" x14ac:dyDescent="0.2">
      <c r="A2755" s="95"/>
      <c r="B2755" s="111"/>
    </row>
    <row r="2756" spans="1:2" x14ac:dyDescent="0.2">
      <c r="A2756" s="95"/>
      <c r="B2756" s="111"/>
    </row>
    <row r="2757" spans="1:2" x14ac:dyDescent="0.2">
      <c r="A2757" s="95"/>
      <c r="B2757" s="111"/>
    </row>
    <row r="2758" spans="1:2" x14ac:dyDescent="0.2">
      <c r="A2758" s="95"/>
      <c r="B2758" s="111"/>
    </row>
    <row r="2759" spans="1:2" x14ac:dyDescent="0.2">
      <c r="A2759" s="95"/>
      <c r="B2759" s="111"/>
    </row>
    <row r="2760" spans="1:2" x14ac:dyDescent="0.2">
      <c r="A2760" s="95"/>
      <c r="B2760" s="111"/>
    </row>
    <row r="2761" spans="1:2" x14ac:dyDescent="0.2">
      <c r="A2761" s="95"/>
      <c r="B2761" s="111"/>
    </row>
    <row r="2762" spans="1:2" x14ac:dyDescent="0.2">
      <c r="A2762" s="95"/>
      <c r="B2762" s="111"/>
    </row>
    <row r="2763" spans="1:2" x14ac:dyDescent="0.2">
      <c r="A2763" s="95"/>
      <c r="B2763" s="111"/>
    </row>
    <row r="2764" spans="1:2" x14ac:dyDescent="0.2">
      <c r="A2764" s="95"/>
      <c r="B2764" s="111"/>
    </row>
    <row r="2765" spans="1:2" x14ac:dyDescent="0.2">
      <c r="A2765" s="95"/>
      <c r="B2765" s="111"/>
    </row>
    <row r="2766" spans="1:2" x14ac:dyDescent="0.2">
      <c r="A2766" s="95"/>
      <c r="B2766" s="111"/>
    </row>
    <row r="2767" spans="1:2" x14ac:dyDescent="0.2">
      <c r="A2767" s="95"/>
      <c r="B2767" s="111"/>
    </row>
    <row r="2768" spans="1:2" x14ac:dyDescent="0.2">
      <c r="A2768" s="95"/>
      <c r="B2768" s="111"/>
    </row>
    <row r="2769" spans="1:2" x14ac:dyDescent="0.2">
      <c r="A2769" s="95"/>
      <c r="B2769" s="111"/>
    </row>
    <row r="2770" spans="1:2" x14ac:dyDescent="0.2">
      <c r="A2770" s="95"/>
      <c r="B2770" s="111"/>
    </row>
    <row r="2771" spans="1:2" x14ac:dyDescent="0.2">
      <c r="A2771" s="95"/>
      <c r="B2771" s="111"/>
    </row>
    <row r="2772" spans="1:2" x14ac:dyDescent="0.2">
      <c r="A2772" s="95"/>
      <c r="B2772" s="111"/>
    </row>
    <row r="2773" spans="1:2" x14ac:dyDescent="0.2">
      <c r="A2773" s="95"/>
      <c r="B2773" s="111"/>
    </row>
    <row r="2774" spans="1:2" x14ac:dyDescent="0.2">
      <c r="A2774" s="95"/>
      <c r="B2774" s="111"/>
    </row>
    <row r="2775" spans="1:2" x14ac:dyDescent="0.2">
      <c r="A2775" s="95"/>
      <c r="B2775" s="111"/>
    </row>
    <row r="2776" spans="1:2" x14ac:dyDescent="0.2">
      <c r="A2776" s="95"/>
      <c r="B2776" s="111"/>
    </row>
    <row r="2777" spans="1:2" x14ac:dyDescent="0.2">
      <c r="A2777" s="95"/>
      <c r="B2777" s="111"/>
    </row>
    <row r="2778" spans="1:2" x14ac:dyDescent="0.2">
      <c r="A2778" s="95"/>
      <c r="B2778" s="111"/>
    </row>
    <row r="2779" spans="1:2" x14ac:dyDescent="0.2">
      <c r="A2779" s="95"/>
      <c r="B2779" s="111"/>
    </row>
    <row r="2780" spans="1:2" x14ac:dyDescent="0.2">
      <c r="A2780" s="95"/>
      <c r="B2780" s="111"/>
    </row>
    <row r="2781" spans="1:2" x14ac:dyDescent="0.2">
      <c r="A2781" s="95"/>
      <c r="B2781" s="111"/>
    </row>
    <row r="2782" spans="1:2" x14ac:dyDescent="0.2">
      <c r="A2782" s="95"/>
      <c r="B2782" s="111"/>
    </row>
    <row r="2783" spans="1:2" x14ac:dyDescent="0.2">
      <c r="A2783" s="95"/>
      <c r="B2783" s="111"/>
    </row>
    <row r="2784" spans="1:2" x14ac:dyDescent="0.2">
      <c r="A2784" s="95"/>
      <c r="B2784" s="111"/>
    </row>
    <row r="2785" spans="1:2" x14ac:dyDescent="0.2">
      <c r="A2785" s="95"/>
      <c r="B2785" s="111"/>
    </row>
    <row r="2786" spans="1:2" x14ac:dyDescent="0.2">
      <c r="A2786" s="95"/>
      <c r="B2786" s="111"/>
    </row>
    <row r="2787" spans="1:2" x14ac:dyDescent="0.2">
      <c r="A2787" s="95"/>
      <c r="B2787" s="111"/>
    </row>
    <row r="2788" spans="1:2" x14ac:dyDescent="0.2">
      <c r="A2788" s="95"/>
      <c r="B2788" s="111"/>
    </row>
    <row r="2789" spans="1:2" x14ac:dyDescent="0.2">
      <c r="A2789" s="95"/>
      <c r="B2789" s="111"/>
    </row>
    <row r="2790" spans="1:2" x14ac:dyDescent="0.2">
      <c r="A2790" s="95"/>
      <c r="B2790" s="111"/>
    </row>
    <row r="2791" spans="1:2" x14ac:dyDescent="0.2">
      <c r="A2791" s="95"/>
      <c r="B2791" s="111"/>
    </row>
    <row r="2792" spans="1:2" x14ac:dyDescent="0.2">
      <c r="A2792" s="95"/>
      <c r="B2792" s="111"/>
    </row>
    <row r="2793" spans="1:2" x14ac:dyDescent="0.2">
      <c r="A2793" s="95"/>
      <c r="B2793" s="111"/>
    </row>
    <row r="2794" spans="1:2" x14ac:dyDescent="0.2">
      <c r="A2794" s="95"/>
      <c r="B2794" s="111"/>
    </row>
    <row r="2795" spans="1:2" x14ac:dyDescent="0.2">
      <c r="A2795" s="95"/>
      <c r="B2795" s="111"/>
    </row>
    <row r="2796" spans="1:2" x14ac:dyDescent="0.2">
      <c r="A2796" s="95"/>
      <c r="B2796" s="111"/>
    </row>
    <row r="2797" spans="1:2" x14ac:dyDescent="0.2">
      <c r="A2797" s="95"/>
      <c r="B2797" s="111"/>
    </row>
    <row r="2798" spans="1:2" x14ac:dyDescent="0.2">
      <c r="A2798" s="95"/>
      <c r="B2798" s="111"/>
    </row>
    <row r="2799" spans="1:2" x14ac:dyDescent="0.2">
      <c r="A2799" s="95"/>
      <c r="B2799" s="111"/>
    </row>
    <row r="2800" spans="1:2" x14ac:dyDescent="0.2">
      <c r="A2800" s="95"/>
      <c r="B2800" s="111"/>
    </row>
    <row r="2801" spans="1:2" x14ac:dyDescent="0.2">
      <c r="A2801" s="95"/>
      <c r="B2801" s="111"/>
    </row>
    <row r="2802" spans="1:2" x14ac:dyDescent="0.2">
      <c r="A2802" s="95"/>
      <c r="B2802" s="111"/>
    </row>
    <row r="2803" spans="1:2" x14ac:dyDescent="0.2">
      <c r="A2803" s="95"/>
      <c r="B2803" s="111"/>
    </row>
    <row r="2804" spans="1:2" x14ac:dyDescent="0.2">
      <c r="A2804" s="95"/>
      <c r="B2804" s="111"/>
    </row>
    <row r="2805" spans="1:2" x14ac:dyDescent="0.2">
      <c r="A2805" s="95"/>
      <c r="B2805" s="111"/>
    </row>
    <row r="2806" spans="1:2" x14ac:dyDescent="0.2">
      <c r="A2806" s="95"/>
      <c r="B2806" s="111"/>
    </row>
    <row r="2807" spans="1:2" x14ac:dyDescent="0.2">
      <c r="A2807" s="95"/>
      <c r="B2807" s="111"/>
    </row>
    <row r="2808" spans="1:2" x14ac:dyDescent="0.2">
      <c r="A2808" s="95"/>
      <c r="B2808" s="111"/>
    </row>
    <row r="2809" spans="1:2" x14ac:dyDescent="0.2">
      <c r="A2809" s="95"/>
      <c r="B2809" s="111"/>
    </row>
    <row r="2810" spans="1:2" x14ac:dyDescent="0.2">
      <c r="A2810" s="95"/>
      <c r="B2810" s="111"/>
    </row>
    <row r="2811" spans="1:2" x14ac:dyDescent="0.2">
      <c r="A2811" s="95"/>
      <c r="B2811" s="111"/>
    </row>
    <row r="2812" spans="1:2" x14ac:dyDescent="0.2">
      <c r="A2812" s="95"/>
      <c r="B2812" s="111"/>
    </row>
    <row r="2813" spans="1:2" x14ac:dyDescent="0.2">
      <c r="A2813" s="95"/>
      <c r="B2813" s="111"/>
    </row>
    <row r="2814" spans="1:2" x14ac:dyDescent="0.2">
      <c r="A2814" s="95"/>
      <c r="B2814" s="111"/>
    </row>
    <row r="2815" spans="1:2" x14ac:dyDescent="0.2">
      <c r="A2815" s="95"/>
      <c r="B2815" s="111"/>
    </row>
    <row r="2816" spans="1:2" x14ac:dyDescent="0.2">
      <c r="A2816" s="95"/>
      <c r="B2816" s="111"/>
    </row>
    <row r="2817" spans="1:2" x14ac:dyDescent="0.2">
      <c r="A2817" s="95"/>
      <c r="B2817" s="111"/>
    </row>
    <row r="2818" spans="1:2" x14ac:dyDescent="0.2">
      <c r="A2818" s="95"/>
      <c r="B2818" s="111"/>
    </row>
    <row r="2819" spans="1:2" x14ac:dyDescent="0.2">
      <c r="A2819" s="95"/>
      <c r="B2819" s="111"/>
    </row>
    <row r="2820" spans="1:2" x14ac:dyDescent="0.2">
      <c r="A2820" s="95"/>
      <c r="B2820" s="111"/>
    </row>
    <row r="2821" spans="1:2" x14ac:dyDescent="0.2">
      <c r="A2821" s="95"/>
      <c r="B2821" s="111"/>
    </row>
    <row r="2822" spans="1:2" x14ac:dyDescent="0.2">
      <c r="A2822" s="95"/>
      <c r="B2822" s="111"/>
    </row>
    <row r="2823" spans="1:2" x14ac:dyDescent="0.2">
      <c r="A2823" s="95"/>
      <c r="B2823" s="111"/>
    </row>
    <row r="2824" spans="1:2" x14ac:dyDescent="0.2">
      <c r="A2824" s="95"/>
      <c r="B2824" s="111"/>
    </row>
    <row r="2825" spans="1:2" x14ac:dyDescent="0.2">
      <c r="A2825" s="95"/>
      <c r="B2825" s="111"/>
    </row>
    <row r="2826" spans="1:2" x14ac:dyDescent="0.2">
      <c r="A2826" s="95"/>
      <c r="B2826" s="111"/>
    </row>
    <row r="2827" spans="1:2" x14ac:dyDescent="0.2">
      <c r="A2827" s="95"/>
      <c r="B2827" s="111"/>
    </row>
    <row r="2828" spans="1:2" x14ac:dyDescent="0.2">
      <c r="A2828" s="95"/>
      <c r="B2828" s="111"/>
    </row>
    <row r="2829" spans="1:2" x14ac:dyDescent="0.2">
      <c r="A2829" s="95"/>
      <c r="B2829" s="111"/>
    </row>
    <row r="2830" spans="1:2" x14ac:dyDescent="0.2">
      <c r="A2830" s="95"/>
      <c r="B2830" s="111"/>
    </row>
    <row r="2831" spans="1:2" x14ac:dyDescent="0.2">
      <c r="A2831" s="95"/>
      <c r="B2831" s="111"/>
    </row>
    <row r="2832" spans="1:2" x14ac:dyDescent="0.2">
      <c r="A2832" s="95"/>
      <c r="B2832" s="111"/>
    </row>
    <row r="2833" spans="1:2" x14ac:dyDescent="0.2">
      <c r="A2833" s="95"/>
      <c r="B2833" s="111"/>
    </row>
    <row r="2834" spans="1:2" x14ac:dyDescent="0.2">
      <c r="A2834" s="95"/>
      <c r="B2834" s="111"/>
    </row>
    <row r="2835" spans="1:2" x14ac:dyDescent="0.2">
      <c r="A2835" s="95"/>
      <c r="B2835" s="111"/>
    </row>
    <row r="2836" spans="1:2" x14ac:dyDescent="0.2">
      <c r="A2836" s="95"/>
      <c r="B2836" s="111"/>
    </row>
    <row r="2837" spans="1:2" x14ac:dyDescent="0.2">
      <c r="A2837" s="95"/>
      <c r="B2837" s="111"/>
    </row>
    <row r="2838" spans="1:2" x14ac:dyDescent="0.2">
      <c r="A2838" s="95"/>
      <c r="B2838" s="111"/>
    </row>
    <row r="2839" spans="1:2" x14ac:dyDescent="0.2">
      <c r="A2839" s="95"/>
      <c r="B2839" s="111"/>
    </row>
    <row r="2840" spans="1:2" x14ac:dyDescent="0.2">
      <c r="A2840" s="95"/>
      <c r="B2840" s="111"/>
    </row>
    <row r="2841" spans="1:2" x14ac:dyDescent="0.2">
      <c r="A2841" s="95"/>
      <c r="B2841" s="111"/>
    </row>
    <row r="2842" spans="1:2" x14ac:dyDescent="0.2">
      <c r="A2842" s="95"/>
      <c r="B2842" s="111"/>
    </row>
    <row r="2843" spans="1:2" x14ac:dyDescent="0.2">
      <c r="A2843" s="95"/>
      <c r="B2843" s="111"/>
    </row>
    <row r="2844" spans="1:2" x14ac:dyDescent="0.2">
      <c r="A2844" s="95"/>
      <c r="B2844" s="111"/>
    </row>
    <row r="2845" spans="1:2" x14ac:dyDescent="0.2">
      <c r="A2845" s="95"/>
      <c r="B2845" s="111"/>
    </row>
    <row r="2846" spans="1:2" x14ac:dyDescent="0.2">
      <c r="A2846" s="95"/>
      <c r="B2846" s="111"/>
    </row>
    <row r="2847" spans="1:2" x14ac:dyDescent="0.2">
      <c r="A2847" s="95"/>
      <c r="B2847" s="111"/>
    </row>
    <row r="2848" spans="1:2" x14ac:dyDescent="0.2">
      <c r="A2848" s="95"/>
      <c r="B2848" s="111"/>
    </row>
    <row r="2849" spans="1:2" x14ac:dyDescent="0.2">
      <c r="A2849" s="95"/>
      <c r="B2849" s="111"/>
    </row>
    <row r="2850" spans="1:2" x14ac:dyDescent="0.2">
      <c r="A2850" s="95"/>
      <c r="B2850" s="111"/>
    </row>
    <row r="2851" spans="1:2" x14ac:dyDescent="0.2">
      <c r="A2851" s="95"/>
      <c r="B2851" s="111"/>
    </row>
    <row r="2852" spans="1:2" x14ac:dyDescent="0.2">
      <c r="A2852" s="95"/>
      <c r="B2852" s="111"/>
    </row>
    <row r="2853" spans="1:2" x14ac:dyDescent="0.2">
      <c r="A2853" s="95"/>
      <c r="B2853" s="111"/>
    </row>
    <row r="2854" spans="1:2" x14ac:dyDescent="0.2">
      <c r="A2854" s="95"/>
      <c r="B2854" s="111"/>
    </row>
    <row r="2855" spans="1:2" x14ac:dyDescent="0.2">
      <c r="A2855" s="95"/>
      <c r="B2855" s="111"/>
    </row>
    <row r="2856" spans="1:2" x14ac:dyDescent="0.2">
      <c r="A2856" s="95"/>
      <c r="B2856" s="111"/>
    </row>
    <row r="2857" spans="1:2" x14ac:dyDescent="0.2">
      <c r="A2857" s="95"/>
      <c r="B2857" s="111"/>
    </row>
    <row r="2858" spans="1:2" x14ac:dyDescent="0.2">
      <c r="A2858" s="95"/>
      <c r="B2858" s="111"/>
    </row>
    <row r="2859" spans="1:2" x14ac:dyDescent="0.2">
      <c r="A2859" s="95"/>
      <c r="B2859" s="111"/>
    </row>
    <row r="2860" spans="1:2" x14ac:dyDescent="0.2">
      <c r="A2860" s="95"/>
      <c r="B2860" s="111"/>
    </row>
    <row r="2861" spans="1:2" x14ac:dyDescent="0.2">
      <c r="A2861" s="95"/>
      <c r="B2861" s="111"/>
    </row>
    <row r="2862" spans="1:2" x14ac:dyDescent="0.2">
      <c r="A2862" s="95"/>
      <c r="B2862" s="111"/>
    </row>
    <row r="2863" spans="1:2" x14ac:dyDescent="0.2">
      <c r="A2863" s="95"/>
      <c r="B2863" s="111"/>
    </row>
    <row r="2864" spans="1:2" x14ac:dyDescent="0.2">
      <c r="A2864" s="95"/>
      <c r="B2864" s="111"/>
    </row>
    <row r="2865" spans="1:2" x14ac:dyDescent="0.2">
      <c r="A2865" s="95"/>
      <c r="B2865" s="111"/>
    </row>
    <row r="2866" spans="1:2" x14ac:dyDescent="0.2">
      <c r="A2866" s="95"/>
      <c r="B2866" s="111"/>
    </row>
    <row r="2867" spans="1:2" x14ac:dyDescent="0.2">
      <c r="A2867" s="95"/>
      <c r="B2867" s="111"/>
    </row>
    <row r="2868" spans="1:2" x14ac:dyDescent="0.2">
      <c r="A2868" s="95"/>
      <c r="B2868" s="111"/>
    </row>
    <row r="2869" spans="1:2" x14ac:dyDescent="0.2">
      <c r="A2869" s="95"/>
      <c r="B2869" s="111"/>
    </row>
    <row r="2870" spans="1:2" x14ac:dyDescent="0.2">
      <c r="A2870" s="95"/>
      <c r="B2870" s="111"/>
    </row>
    <row r="2871" spans="1:2" x14ac:dyDescent="0.2">
      <c r="A2871" s="95"/>
      <c r="B2871" s="111"/>
    </row>
    <row r="2872" spans="1:2" x14ac:dyDescent="0.2">
      <c r="A2872" s="95"/>
      <c r="B2872" s="111"/>
    </row>
    <row r="2873" spans="1:2" x14ac:dyDescent="0.2">
      <c r="A2873" s="95"/>
      <c r="B2873" s="111"/>
    </row>
    <row r="2874" spans="1:2" x14ac:dyDescent="0.2">
      <c r="A2874" s="95"/>
      <c r="B2874" s="111"/>
    </row>
    <row r="2875" spans="1:2" x14ac:dyDescent="0.2">
      <c r="A2875" s="95"/>
      <c r="B2875" s="111"/>
    </row>
    <row r="2876" spans="1:2" x14ac:dyDescent="0.2">
      <c r="A2876" s="95"/>
      <c r="B2876" s="111"/>
    </row>
    <row r="2877" spans="1:2" x14ac:dyDescent="0.2">
      <c r="A2877" s="95"/>
      <c r="B2877" s="111"/>
    </row>
    <row r="2878" spans="1:2" x14ac:dyDescent="0.2">
      <c r="A2878" s="95"/>
      <c r="B2878" s="111"/>
    </row>
    <row r="2879" spans="1:2" x14ac:dyDescent="0.2">
      <c r="A2879" s="95"/>
      <c r="B2879" s="111"/>
    </row>
    <row r="2880" spans="1:2" x14ac:dyDescent="0.2">
      <c r="A2880" s="95"/>
      <c r="B2880" s="111"/>
    </row>
    <row r="2881" spans="1:2" x14ac:dyDescent="0.2">
      <c r="A2881" s="95"/>
      <c r="B2881" s="111"/>
    </row>
    <row r="2882" spans="1:2" x14ac:dyDescent="0.2">
      <c r="A2882" s="95"/>
      <c r="B2882" s="111"/>
    </row>
    <row r="2883" spans="1:2" x14ac:dyDescent="0.2">
      <c r="A2883" s="95"/>
      <c r="B2883" s="111"/>
    </row>
    <row r="2884" spans="1:2" x14ac:dyDescent="0.2">
      <c r="A2884" s="95"/>
      <c r="B2884" s="111"/>
    </row>
    <row r="2885" spans="1:2" x14ac:dyDescent="0.2">
      <c r="A2885" s="95"/>
      <c r="B2885" s="111"/>
    </row>
    <row r="2886" spans="1:2" x14ac:dyDescent="0.2">
      <c r="A2886" s="95"/>
      <c r="B2886" s="111"/>
    </row>
    <row r="2887" spans="1:2" x14ac:dyDescent="0.2">
      <c r="A2887" s="95"/>
      <c r="B2887" s="111"/>
    </row>
    <row r="2888" spans="1:2" x14ac:dyDescent="0.2">
      <c r="A2888" s="95"/>
      <c r="B2888" s="111"/>
    </row>
    <row r="2889" spans="1:2" x14ac:dyDescent="0.2">
      <c r="A2889" s="95"/>
      <c r="B2889" s="111"/>
    </row>
    <row r="2890" spans="1:2" x14ac:dyDescent="0.2">
      <c r="A2890" s="95"/>
      <c r="B2890" s="111"/>
    </row>
    <row r="2891" spans="1:2" x14ac:dyDescent="0.2">
      <c r="A2891" s="95"/>
      <c r="B2891" s="111"/>
    </row>
    <row r="2892" spans="1:2" x14ac:dyDescent="0.2">
      <c r="A2892" s="95"/>
      <c r="B2892" s="111"/>
    </row>
    <row r="2893" spans="1:2" x14ac:dyDescent="0.2">
      <c r="A2893" s="95"/>
      <c r="B2893" s="111"/>
    </row>
    <row r="2894" spans="1:2" x14ac:dyDescent="0.2">
      <c r="A2894" s="95"/>
      <c r="B2894" s="111"/>
    </row>
    <row r="2895" spans="1:2" x14ac:dyDescent="0.2">
      <c r="A2895" s="95"/>
      <c r="B2895" s="111"/>
    </row>
    <row r="2896" spans="1:2" x14ac:dyDescent="0.2">
      <c r="A2896" s="95"/>
      <c r="B2896" s="111"/>
    </row>
    <row r="2897" spans="1:2" x14ac:dyDescent="0.2">
      <c r="A2897" s="95"/>
      <c r="B2897" s="111"/>
    </row>
    <row r="2898" spans="1:2" x14ac:dyDescent="0.2">
      <c r="A2898" s="95"/>
      <c r="B2898" s="111"/>
    </row>
    <row r="2899" spans="1:2" x14ac:dyDescent="0.2">
      <c r="A2899" s="95"/>
      <c r="B2899" s="111"/>
    </row>
    <row r="2900" spans="1:2" x14ac:dyDescent="0.2">
      <c r="A2900" s="95"/>
      <c r="B2900" s="111"/>
    </row>
    <row r="2901" spans="1:2" x14ac:dyDescent="0.2">
      <c r="A2901" s="95"/>
      <c r="B2901" s="111"/>
    </row>
    <row r="2902" spans="1:2" x14ac:dyDescent="0.2">
      <c r="A2902" s="95"/>
      <c r="B2902" s="111"/>
    </row>
    <row r="2903" spans="1:2" x14ac:dyDescent="0.2">
      <c r="A2903" s="95"/>
      <c r="B2903" s="111"/>
    </row>
    <row r="2904" spans="1:2" x14ac:dyDescent="0.2">
      <c r="A2904" s="95"/>
      <c r="B2904" s="111"/>
    </row>
    <row r="2905" spans="1:2" x14ac:dyDescent="0.2">
      <c r="A2905" s="95"/>
      <c r="B2905" s="111"/>
    </row>
    <row r="2906" spans="1:2" x14ac:dyDescent="0.2">
      <c r="A2906" s="95"/>
      <c r="B2906" s="111"/>
    </row>
    <row r="2907" spans="1:2" x14ac:dyDescent="0.2">
      <c r="A2907" s="95"/>
      <c r="B2907" s="111"/>
    </row>
    <row r="2908" spans="1:2" x14ac:dyDescent="0.2">
      <c r="A2908" s="95"/>
      <c r="B2908" s="111"/>
    </row>
    <row r="2909" spans="1:2" x14ac:dyDescent="0.2">
      <c r="A2909" s="95"/>
      <c r="B2909" s="111"/>
    </row>
    <row r="2910" spans="1:2" x14ac:dyDescent="0.2">
      <c r="A2910" s="95"/>
      <c r="B2910" s="111"/>
    </row>
    <row r="2911" spans="1:2" x14ac:dyDescent="0.2">
      <c r="A2911" s="95"/>
      <c r="B2911" s="111"/>
    </row>
    <row r="2912" spans="1:2" x14ac:dyDescent="0.2">
      <c r="A2912" s="95"/>
      <c r="B2912" s="111"/>
    </row>
    <row r="2913" spans="1:2" x14ac:dyDescent="0.2">
      <c r="A2913" s="95"/>
      <c r="B2913" s="111"/>
    </row>
    <row r="2914" spans="1:2" x14ac:dyDescent="0.2">
      <c r="A2914" s="95"/>
      <c r="B2914" s="111"/>
    </row>
    <row r="2915" spans="1:2" x14ac:dyDescent="0.2">
      <c r="A2915" s="95"/>
      <c r="B2915" s="111"/>
    </row>
    <row r="2916" spans="1:2" x14ac:dyDescent="0.2">
      <c r="A2916" s="95"/>
      <c r="B2916" s="111"/>
    </row>
    <row r="2917" spans="1:2" x14ac:dyDescent="0.2">
      <c r="A2917" s="95"/>
      <c r="B2917" s="111"/>
    </row>
    <row r="2918" spans="1:2" x14ac:dyDescent="0.2">
      <c r="A2918" s="95"/>
      <c r="B2918" s="111"/>
    </row>
    <row r="2919" spans="1:2" x14ac:dyDescent="0.2">
      <c r="A2919" s="95"/>
      <c r="B2919" s="111"/>
    </row>
    <row r="2920" spans="1:2" x14ac:dyDescent="0.2">
      <c r="A2920" s="95"/>
      <c r="B2920" s="111"/>
    </row>
    <row r="2921" spans="1:2" x14ac:dyDescent="0.2">
      <c r="A2921" s="95"/>
      <c r="B2921" s="111"/>
    </row>
    <row r="2922" spans="1:2" x14ac:dyDescent="0.2">
      <c r="A2922" s="95"/>
      <c r="B2922" s="111"/>
    </row>
    <row r="2923" spans="1:2" x14ac:dyDescent="0.2">
      <c r="A2923" s="95"/>
      <c r="B2923" s="111"/>
    </row>
    <row r="2924" spans="1:2" x14ac:dyDescent="0.2">
      <c r="A2924" s="95"/>
      <c r="B2924" s="111"/>
    </row>
    <row r="2925" spans="1:2" x14ac:dyDescent="0.2">
      <c r="A2925" s="95"/>
      <c r="B2925" s="111"/>
    </row>
    <row r="2926" spans="1:2" x14ac:dyDescent="0.2">
      <c r="A2926" s="95"/>
      <c r="B2926" s="111"/>
    </row>
    <row r="2927" spans="1:2" x14ac:dyDescent="0.2">
      <c r="A2927" s="95"/>
      <c r="B2927" s="111"/>
    </row>
    <row r="2928" spans="1:2" x14ac:dyDescent="0.2">
      <c r="A2928" s="95"/>
      <c r="B2928" s="111"/>
    </row>
    <row r="2929" spans="1:2" x14ac:dyDescent="0.2">
      <c r="A2929" s="95"/>
      <c r="B2929" s="111"/>
    </row>
    <row r="2930" spans="1:2" x14ac:dyDescent="0.2">
      <c r="A2930" s="95"/>
      <c r="B2930" s="111"/>
    </row>
    <row r="2931" spans="1:2" x14ac:dyDescent="0.2">
      <c r="A2931" s="95"/>
      <c r="B2931" s="111"/>
    </row>
    <row r="2932" spans="1:2" x14ac:dyDescent="0.2">
      <c r="A2932" s="95"/>
      <c r="B2932" s="111"/>
    </row>
    <row r="2933" spans="1:2" x14ac:dyDescent="0.2">
      <c r="A2933" s="95"/>
      <c r="B2933" s="111"/>
    </row>
    <row r="2934" spans="1:2" x14ac:dyDescent="0.2">
      <c r="A2934" s="95"/>
      <c r="B2934" s="111"/>
    </row>
    <row r="2935" spans="1:2" x14ac:dyDescent="0.2">
      <c r="A2935" s="95"/>
      <c r="B2935" s="111"/>
    </row>
    <row r="2936" spans="1:2" x14ac:dyDescent="0.2">
      <c r="A2936" s="95"/>
      <c r="B2936" s="111"/>
    </row>
    <row r="2937" spans="1:2" x14ac:dyDescent="0.2">
      <c r="A2937" s="95"/>
      <c r="B2937" s="111"/>
    </row>
    <row r="2938" spans="1:2" x14ac:dyDescent="0.2">
      <c r="A2938" s="95"/>
      <c r="B2938" s="111"/>
    </row>
    <row r="2939" spans="1:2" x14ac:dyDescent="0.2">
      <c r="A2939" s="95"/>
      <c r="B2939" s="111"/>
    </row>
    <row r="2940" spans="1:2" x14ac:dyDescent="0.2">
      <c r="A2940" s="95"/>
      <c r="B2940" s="111"/>
    </row>
    <row r="2941" spans="1:2" x14ac:dyDescent="0.2">
      <c r="A2941" s="95"/>
      <c r="B2941" s="111"/>
    </row>
    <row r="2942" spans="1:2" x14ac:dyDescent="0.2">
      <c r="A2942" s="95"/>
      <c r="B2942" s="111"/>
    </row>
    <row r="2943" spans="1:2" x14ac:dyDescent="0.2">
      <c r="A2943" s="95"/>
      <c r="B2943" s="111"/>
    </row>
    <row r="2944" spans="1:2" x14ac:dyDescent="0.2">
      <c r="A2944" s="95"/>
      <c r="B2944" s="111"/>
    </row>
    <row r="2945" spans="1:2" x14ac:dyDescent="0.2">
      <c r="A2945" s="95"/>
      <c r="B2945" s="111"/>
    </row>
    <row r="2946" spans="1:2" x14ac:dyDescent="0.2">
      <c r="A2946" s="95"/>
      <c r="B2946" s="111"/>
    </row>
    <row r="2947" spans="1:2" x14ac:dyDescent="0.2">
      <c r="A2947" s="95"/>
      <c r="B2947" s="111"/>
    </row>
    <row r="2948" spans="1:2" x14ac:dyDescent="0.2">
      <c r="A2948" s="95"/>
      <c r="B2948" s="111"/>
    </row>
    <row r="2949" spans="1:2" x14ac:dyDescent="0.2">
      <c r="A2949" s="95"/>
      <c r="B2949" s="111"/>
    </row>
    <row r="2950" spans="1:2" x14ac:dyDescent="0.2">
      <c r="A2950" s="95"/>
      <c r="B2950" s="111"/>
    </row>
    <row r="2951" spans="1:2" x14ac:dyDescent="0.2">
      <c r="A2951" s="95"/>
      <c r="B2951" s="111"/>
    </row>
    <row r="2952" spans="1:2" x14ac:dyDescent="0.2">
      <c r="A2952" s="95"/>
      <c r="B2952" s="111"/>
    </row>
    <row r="2953" spans="1:2" x14ac:dyDescent="0.2">
      <c r="A2953" s="95"/>
      <c r="B2953" s="111"/>
    </row>
    <row r="2954" spans="1:2" x14ac:dyDescent="0.2">
      <c r="A2954" s="95"/>
      <c r="B2954" s="111"/>
    </row>
    <row r="2955" spans="1:2" x14ac:dyDescent="0.2">
      <c r="A2955" s="95"/>
      <c r="B2955" s="111"/>
    </row>
    <row r="2956" spans="1:2" x14ac:dyDescent="0.2">
      <c r="A2956" s="95"/>
      <c r="B2956" s="111"/>
    </row>
    <row r="2957" spans="1:2" x14ac:dyDescent="0.2">
      <c r="A2957" s="95"/>
      <c r="B2957" s="111"/>
    </row>
    <row r="2958" spans="1:2" x14ac:dyDescent="0.2">
      <c r="A2958" s="95"/>
      <c r="B2958" s="111"/>
    </row>
    <row r="2959" spans="1:2" x14ac:dyDescent="0.2">
      <c r="A2959" s="95"/>
      <c r="B2959" s="111"/>
    </row>
    <row r="2960" spans="1:2" x14ac:dyDescent="0.2">
      <c r="A2960" s="95"/>
      <c r="B2960" s="111"/>
    </row>
    <row r="2961" spans="1:2" x14ac:dyDescent="0.2">
      <c r="A2961" s="95"/>
      <c r="B2961" s="111"/>
    </row>
    <row r="2962" spans="1:2" x14ac:dyDescent="0.2">
      <c r="A2962" s="95"/>
      <c r="B2962" s="111"/>
    </row>
    <row r="2963" spans="1:2" x14ac:dyDescent="0.2">
      <c r="A2963" s="95"/>
      <c r="B2963" s="111"/>
    </row>
    <row r="2964" spans="1:2" x14ac:dyDescent="0.2">
      <c r="A2964" s="95"/>
      <c r="B2964" s="111"/>
    </row>
    <row r="2965" spans="1:2" x14ac:dyDescent="0.2">
      <c r="A2965" s="95"/>
      <c r="B2965" s="111"/>
    </row>
    <row r="2966" spans="1:2" x14ac:dyDescent="0.2">
      <c r="A2966" s="95"/>
      <c r="B2966" s="111"/>
    </row>
    <row r="2967" spans="1:2" x14ac:dyDescent="0.2">
      <c r="A2967" s="95"/>
      <c r="B2967" s="111"/>
    </row>
    <row r="2968" spans="1:2" x14ac:dyDescent="0.2">
      <c r="A2968" s="95"/>
      <c r="B2968" s="111"/>
    </row>
    <row r="2969" spans="1:2" x14ac:dyDescent="0.2">
      <c r="A2969" s="95"/>
      <c r="B2969" s="111"/>
    </row>
    <row r="2970" spans="1:2" x14ac:dyDescent="0.2">
      <c r="A2970" s="95"/>
      <c r="B2970" s="111"/>
    </row>
    <row r="2971" spans="1:2" x14ac:dyDescent="0.2">
      <c r="A2971" s="95"/>
      <c r="B2971" s="111"/>
    </row>
    <row r="2972" spans="1:2" x14ac:dyDescent="0.2">
      <c r="A2972" s="95"/>
      <c r="B2972" s="111"/>
    </row>
    <row r="2973" spans="1:2" x14ac:dyDescent="0.2">
      <c r="A2973" s="95"/>
      <c r="B2973" s="111"/>
    </row>
    <row r="2974" spans="1:2" x14ac:dyDescent="0.2">
      <c r="A2974" s="95"/>
      <c r="B2974" s="111"/>
    </row>
    <row r="2975" spans="1:2" x14ac:dyDescent="0.2">
      <c r="A2975" s="95"/>
      <c r="B2975" s="111"/>
    </row>
    <row r="2976" spans="1:2" x14ac:dyDescent="0.2">
      <c r="A2976" s="95"/>
      <c r="B2976" s="111"/>
    </row>
    <row r="2977" spans="1:2" x14ac:dyDescent="0.2">
      <c r="A2977" s="95"/>
      <c r="B2977" s="111"/>
    </row>
    <row r="2978" spans="1:2" x14ac:dyDescent="0.2">
      <c r="A2978" s="95"/>
      <c r="B2978" s="111"/>
    </row>
    <row r="2979" spans="1:2" x14ac:dyDescent="0.2">
      <c r="A2979" s="95"/>
      <c r="B2979" s="111"/>
    </row>
    <row r="2980" spans="1:2" x14ac:dyDescent="0.2">
      <c r="A2980" s="95"/>
      <c r="B2980" s="111"/>
    </row>
    <row r="2981" spans="1:2" x14ac:dyDescent="0.2">
      <c r="A2981" s="95"/>
      <c r="B2981" s="111"/>
    </row>
    <row r="2982" spans="1:2" x14ac:dyDescent="0.2">
      <c r="A2982" s="95"/>
      <c r="B2982" s="111"/>
    </row>
    <row r="2983" spans="1:2" x14ac:dyDescent="0.2">
      <c r="A2983" s="95"/>
      <c r="B2983" s="111"/>
    </row>
    <row r="2984" spans="1:2" x14ac:dyDescent="0.2">
      <c r="A2984" s="95"/>
      <c r="B2984" s="111"/>
    </row>
    <row r="2985" spans="1:2" x14ac:dyDescent="0.2">
      <c r="A2985" s="95"/>
      <c r="B2985" s="111"/>
    </row>
    <row r="2986" spans="1:2" x14ac:dyDescent="0.2">
      <c r="A2986" s="95"/>
      <c r="B2986" s="111"/>
    </row>
    <row r="2987" spans="1:2" x14ac:dyDescent="0.2">
      <c r="A2987" s="95"/>
      <c r="B2987" s="111"/>
    </row>
    <row r="2988" spans="1:2" x14ac:dyDescent="0.2">
      <c r="A2988" s="95"/>
      <c r="B2988" s="111"/>
    </row>
    <row r="2989" spans="1:2" x14ac:dyDescent="0.2">
      <c r="A2989" s="95"/>
      <c r="B2989" s="111"/>
    </row>
    <row r="2990" spans="1:2" x14ac:dyDescent="0.2">
      <c r="A2990" s="95"/>
      <c r="B2990" s="111"/>
    </row>
    <row r="2991" spans="1:2" x14ac:dyDescent="0.2">
      <c r="A2991" s="95"/>
      <c r="B2991" s="111"/>
    </row>
    <row r="2992" spans="1:2" x14ac:dyDescent="0.2">
      <c r="A2992" s="95"/>
      <c r="B2992" s="111"/>
    </row>
    <row r="2993" spans="1:2" x14ac:dyDescent="0.2">
      <c r="A2993" s="95"/>
      <c r="B2993" s="111"/>
    </row>
    <row r="2994" spans="1:2" x14ac:dyDescent="0.2">
      <c r="A2994" s="95"/>
      <c r="B2994" s="111"/>
    </row>
    <row r="2995" spans="1:2" x14ac:dyDescent="0.2">
      <c r="A2995" s="95"/>
      <c r="B2995" s="111"/>
    </row>
    <row r="2996" spans="1:2" x14ac:dyDescent="0.2">
      <c r="A2996" s="95"/>
      <c r="B2996" s="111"/>
    </row>
    <row r="2997" spans="1:2" x14ac:dyDescent="0.2">
      <c r="A2997" s="95"/>
      <c r="B2997" s="111"/>
    </row>
    <row r="2998" spans="1:2" x14ac:dyDescent="0.2">
      <c r="A2998" s="95"/>
      <c r="B2998" s="111"/>
    </row>
    <row r="2999" spans="1:2" x14ac:dyDescent="0.2">
      <c r="A2999" s="95"/>
      <c r="B2999" s="111"/>
    </row>
    <row r="3000" spans="1:2" x14ac:dyDescent="0.2">
      <c r="A3000" s="95"/>
      <c r="B3000" s="111"/>
    </row>
    <row r="3001" spans="1:2" x14ac:dyDescent="0.2">
      <c r="A3001" s="95"/>
      <c r="B3001" s="111"/>
    </row>
    <row r="3002" spans="1:2" x14ac:dyDescent="0.2">
      <c r="A3002" s="95"/>
      <c r="B3002" s="111"/>
    </row>
    <row r="3003" spans="1:2" x14ac:dyDescent="0.2">
      <c r="A3003" s="95"/>
      <c r="B3003" s="111"/>
    </row>
    <row r="3004" spans="1:2" x14ac:dyDescent="0.2">
      <c r="A3004" s="95"/>
      <c r="B3004" s="111"/>
    </row>
    <row r="3005" spans="1:2" x14ac:dyDescent="0.2">
      <c r="A3005" s="95"/>
      <c r="B3005" s="111"/>
    </row>
    <row r="3006" spans="1:2" x14ac:dyDescent="0.2">
      <c r="A3006" s="95"/>
      <c r="B3006" s="111"/>
    </row>
    <row r="3007" spans="1:2" x14ac:dyDescent="0.2">
      <c r="A3007" s="95"/>
      <c r="B3007" s="111"/>
    </row>
    <row r="3008" spans="1:2" x14ac:dyDescent="0.2">
      <c r="A3008" s="95"/>
      <c r="B3008" s="111"/>
    </row>
    <row r="3009" spans="1:2" x14ac:dyDescent="0.2">
      <c r="A3009" s="95"/>
      <c r="B3009" s="111"/>
    </row>
    <row r="3010" spans="1:2" x14ac:dyDescent="0.2">
      <c r="A3010" s="95"/>
      <c r="B3010" s="111"/>
    </row>
    <row r="3011" spans="1:2" x14ac:dyDescent="0.2">
      <c r="A3011" s="95"/>
      <c r="B3011" s="111"/>
    </row>
    <row r="3012" spans="1:2" x14ac:dyDescent="0.2">
      <c r="A3012" s="95"/>
      <c r="B3012" s="111"/>
    </row>
    <row r="3013" spans="1:2" x14ac:dyDescent="0.2">
      <c r="A3013" s="95"/>
      <c r="B3013" s="111"/>
    </row>
    <row r="3014" spans="1:2" x14ac:dyDescent="0.2">
      <c r="A3014" s="95"/>
      <c r="B3014" s="111"/>
    </row>
    <row r="3015" spans="1:2" x14ac:dyDescent="0.2">
      <c r="A3015" s="95"/>
      <c r="B3015" s="111"/>
    </row>
    <row r="3016" spans="1:2" x14ac:dyDescent="0.2">
      <c r="A3016" s="95"/>
      <c r="B3016" s="111"/>
    </row>
    <row r="3017" spans="1:2" x14ac:dyDescent="0.2">
      <c r="A3017" s="95"/>
      <c r="B3017" s="111"/>
    </row>
    <row r="3018" spans="1:2" x14ac:dyDescent="0.2">
      <c r="A3018" s="95"/>
      <c r="B3018" s="111"/>
    </row>
    <row r="3019" spans="1:2" x14ac:dyDescent="0.2">
      <c r="A3019" s="95"/>
      <c r="B3019" s="111"/>
    </row>
    <row r="3020" spans="1:2" x14ac:dyDescent="0.2">
      <c r="A3020" s="95"/>
      <c r="B3020" s="111"/>
    </row>
    <row r="3021" spans="1:2" x14ac:dyDescent="0.2">
      <c r="A3021" s="95"/>
      <c r="B3021" s="111"/>
    </row>
    <row r="3022" spans="1:2" x14ac:dyDescent="0.2">
      <c r="A3022" s="95"/>
      <c r="B3022" s="111"/>
    </row>
    <row r="3023" spans="1:2" x14ac:dyDescent="0.2">
      <c r="A3023" s="95"/>
      <c r="B3023" s="111"/>
    </row>
    <row r="3024" spans="1:2" x14ac:dyDescent="0.2">
      <c r="A3024" s="95"/>
      <c r="B3024" s="111"/>
    </row>
    <row r="3025" spans="1:2" x14ac:dyDescent="0.2">
      <c r="A3025" s="95"/>
      <c r="B3025" s="111"/>
    </row>
    <row r="3026" spans="1:2" x14ac:dyDescent="0.2">
      <c r="A3026" s="95"/>
      <c r="B3026" s="111"/>
    </row>
    <row r="3027" spans="1:2" x14ac:dyDescent="0.2">
      <c r="A3027" s="95"/>
      <c r="B3027" s="111"/>
    </row>
    <row r="3028" spans="1:2" x14ac:dyDescent="0.2">
      <c r="A3028" s="95"/>
      <c r="B3028" s="111"/>
    </row>
    <row r="3029" spans="1:2" x14ac:dyDescent="0.2">
      <c r="A3029" s="95"/>
      <c r="B3029" s="111"/>
    </row>
    <row r="3030" spans="1:2" x14ac:dyDescent="0.2">
      <c r="A3030" s="95"/>
      <c r="B3030" s="111"/>
    </row>
    <row r="3031" spans="1:2" x14ac:dyDescent="0.2">
      <c r="A3031" s="95"/>
      <c r="B3031" s="111"/>
    </row>
    <row r="3032" spans="1:2" x14ac:dyDescent="0.2">
      <c r="A3032" s="95"/>
      <c r="B3032" s="111"/>
    </row>
    <row r="3033" spans="1:2" x14ac:dyDescent="0.2">
      <c r="A3033" s="95"/>
      <c r="B3033" s="111"/>
    </row>
    <row r="3034" spans="1:2" x14ac:dyDescent="0.2">
      <c r="A3034" s="95"/>
      <c r="B3034" s="111"/>
    </row>
    <row r="3035" spans="1:2" x14ac:dyDescent="0.2">
      <c r="A3035" s="95"/>
      <c r="B3035" s="111"/>
    </row>
    <row r="3036" spans="1:2" x14ac:dyDescent="0.2">
      <c r="A3036" s="95"/>
      <c r="B3036" s="111"/>
    </row>
    <row r="3037" spans="1:2" x14ac:dyDescent="0.2">
      <c r="A3037" s="95"/>
      <c r="B3037" s="111"/>
    </row>
    <row r="3038" spans="1:2" x14ac:dyDescent="0.2">
      <c r="A3038" s="95"/>
      <c r="B3038" s="111"/>
    </row>
    <row r="3039" spans="1:2" x14ac:dyDescent="0.2">
      <c r="A3039" s="95"/>
      <c r="B3039" s="111"/>
    </row>
    <row r="3040" spans="1:2" x14ac:dyDescent="0.2">
      <c r="A3040" s="95"/>
      <c r="B3040" s="111"/>
    </row>
    <row r="3041" spans="1:2" x14ac:dyDescent="0.2">
      <c r="A3041" s="95"/>
      <c r="B3041" s="111"/>
    </row>
    <row r="3042" spans="1:2" x14ac:dyDescent="0.2">
      <c r="A3042" s="95"/>
      <c r="B3042" s="111"/>
    </row>
    <row r="3043" spans="1:2" x14ac:dyDescent="0.2">
      <c r="A3043" s="95"/>
      <c r="B3043" s="111"/>
    </row>
    <row r="3044" spans="1:2" x14ac:dyDescent="0.2">
      <c r="A3044" s="95"/>
      <c r="B3044" s="111"/>
    </row>
    <row r="3045" spans="1:2" x14ac:dyDescent="0.2">
      <c r="A3045" s="95"/>
      <c r="B3045" s="111"/>
    </row>
    <row r="3046" spans="1:2" x14ac:dyDescent="0.2">
      <c r="A3046" s="95"/>
      <c r="B3046" s="111"/>
    </row>
    <row r="3047" spans="1:2" x14ac:dyDescent="0.2">
      <c r="A3047" s="95"/>
      <c r="B3047" s="111"/>
    </row>
    <row r="3048" spans="1:2" x14ac:dyDescent="0.2">
      <c r="A3048" s="95"/>
      <c r="B3048" s="111"/>
    </row>
    <row r="3049" spans="1:2" x14ac:dyDescent="0.2">
      <c r="A3049" s="95"/>
      <c r="B3049" s="111"/>
    </row>
    <row r="3050" spans="1:2" x14ac:dyDescent="0.2">
      <c r="A3050" s="95"/>
      <c r="B3050" s="111"/>
    </row>
    <row r="3051" spans="1:2" x14ac:dyDescent="0.2">
      <c r="A3051" s="95"/>
      <c r="B3051" s="111"/>
    </row>
    <row r="3052" spans="1:2" x14ac:dyDescent="0.2">
      <c r="A3052" s="95"/>
      <c r="B3052" s="111"/>
    </row>
    <row r="3053" spans="1:2" x14ac:dyDescent="0.2">
      <c r="A3053" s="95"/>
      <c r="B3053" s="111"/>
    </row>
    <row r="3054" spans="1:2" x14ac:dyDescent="0.2">
      <c r="A3054" s="95"/>
      <c r="B3054" s="111"/>
    </row>
    <row r="3055" spans="1:2" x14ac:dyDescent="0.2">
      <c r="A3055" s="95"/>
      <c r="B3055" s="111"/>
    </row>
    <row r="3056" spans="1:2" x14ac:dyDescent="0.2">
      <c r="A3056" s="95"/>
      <c r="B3056" s="111"/>
    </row>
    <row r="3057" spans="1:2" x14ac:dyDescent="0.2">
      <c r="A3057" s="95"/>
      <c r="B3057" s="111"/>
    </row>
    <row r="3058" spans="1:2" x14ac:dyDescent="0.2">
      <c r="A3058" s="95"/>
      <c r="B3058" s="111"/>
    </row>
    <row r="3059" spans="1:2" x14ac:dyDescent="0.2">
      <c r="A3059" s="95"/>
      <c r="B3059" s="111"/>
    </row>
    <row r="3060" spans="1:2" x14ac:dyDescent="0.2">
      <c r="A3060" s="95"/>
      <c r="B3060" s="111"/>
    </row>
    <row r="3061" spans="1:2" x14ac:dyDescent="0.2">
      <c r="A3061" s="95"/>
      <c r="B3061" s="111"/>
    </row>
    <row r="3062" spans="1:2" x14ac:dyDescent="0.2">
      <c r="A3062" s="95"/>
      <c r="B3062" s="111"/>
    </row>
    <row r="3063" spans="1:2" x14ac:dyDescent="0.2">
      <c r="A3063" s="95"/>
      <c r="B3063" s="111"/>
    </row>
    <row r="3064" spans="1:2" x14ac:dyDescent="0.2">
      <c r="A3064" s="95"/>
      <c r="B3064" s="111"/>
    </row>
    <row r="3065" spans="1:2" x14ac:dyDescent="0.2">
      <c r="A3065" s="95"/>
      <c r="B3065" s="111"/>
    </row>
    <row r="3066" spans="1:2" x14ac:dyDescent="0.2">
      <c r="A3066" s="95"/>
      <c r="B3066" s="111"/>
    </row>
    <row r="3067" spans="1:2" x14ac:dyDescent="0.2">
      <c r="A3067" s="95"/>
      <c r="B3067" s="111"/>
    </row>
    <row r="3068" spans="1:2" x14ac:dyDescent="0.2">
      <c r="A3068" s="95"/>
      <c r="B3068" s="111"/>
    </row>
    <row r="3069" spans="1:2" x14ac:dyDescent="0.2">
      <c r="A3069" s="95"/>
      <c r="B3069" s="111"/>
    </row>
    <row r="3070" spans="1:2" x14ac:dyDescent="0.2">
      <c r="A3070" s="95"/>
      <c r="B3070" s="111"/>
    </row>
    <row r="3071" spans="1:2" x14ac:dyDescent="0.2">
      <c r="A3071" s="95"/>
      <c r="B3071" s="111"/>
    </row>
    <row r="3072" spans="1:2" x14ac:dyDescent="0.2">
      <c r="A3072" s="95"/>
      <c r="B3072" s="111"/>
    </row>
    <row r="3073" spans="1:2" x14ac:dyDescent="0.2">
      <c r="A3073" s="95"/>
      <c r="B3073" s="111"/>
    </row>
    <row r="3074" spans="1:2" x14ac:dyDescent="0.2">
      <c r="A3074" s="95"/>
      <c r="B3074" s="111"/>
    </row>
    <row r="3075" spans="1:2" x14ac:dyDescent="0.2">
      <c r="A3075" s="95"/>
      <c r="B3075" s="111"/>
    </row>
    <row r="3076" spans="1:2" x14ac:dyDescent="0.2">
      <c r="A3076" s="95"/>
      <c r="B3076" s="111"/>
    </row>
    <row r="3077" spans="1:2" x14ac:dyDescent="0.2">
      <c r="A3077" s="95"/>
      <c r="B3077" s="111"/>
    </row>
    <row r="3078" spans="1:2" x14ac:dyDescent="0.2">
      <c r="A3078" s="95"/>
      <c r="B3078" s="111"/>
    </row>
    <row r="3079" spans="1:2" x14ac:dyDescent="0.2">
      <c r="A3079" s="95"/>
      <c r="B3079" s="111"/>
    </row>
    <row r="3080" spans="1:2" x14ac:dyDescent="0.2">
      <c r="A3080" s="95"/>
      <c r="B3080" s="111"/>
    </row>
    <row r="3081" spans="1:2" x14ac:dyDescent="0.2">
      <c r="A3081" s="95"/>
      <c r="B3081" s="111"/>
    </row>
    <row r="3082" spans="1:2" x14ac:dyDescent="0.2">
      <c r="A3082" s="95"/>
      <c r="B3082" s="111"/>
    </row>
    <row r="3083" spans="1:2" x14ac:dyDescent="0.2">
      <c r="A3083" s="95"/>
      <c r="B3083" s="111"/>
    </row>
    <row r="3084" spans="1:2" x14ac:dyDescent="0.2">
      <c r="A3084" s="95"/>
      <c r="B3084" s="111"/>
    </row>
    <row r="3085" spans="1:2" x14ac:dyDescent="0.2">
      <c r="A3085" s="95"/>
      <c r="B3085" s="111"/>
    </row>
    <row r="3086" spans="1:2" x14ac:dyDescent="0.2">
      <c r="A3086" s="95"/>
      <c r="B3086" s="111"/>
    </row>
    <row r="3087" spans="1:2" x14ac:dyDescent="0.2">
      <c r="A3087" s="95"/>
      <c r="B3087" s="111"/>
    </row>
    <row r="3088" spans="1:2" x14ac:dyDescent="0.2">
      <c r="A3088" s="95"/>
      <c r="B3088" s="111"/>
    </row>
    <row r="3089" spans="1:2" x14ac:dyDescent="0.2">
      <c r="A3089" s="95"/>
      <c r="B3089" s="111"/>
    </row>
    <row r="3090" spans="1:2" x14ac:dyDescent="0.2">
      <c r="A3090" s="95"/>
      <c r="B3090" s="111"/>
    </row>
    <row r="3091" spans="1:2" x14ac:dyDescent="0.2">
      <c r="A3091" s="95"/>
      <c r="B3091" s="111"/>
    </row>
    <row r="3092" spans="1:2" x14ac:dyDescent="0.2">
      <c r="A3092" s="95"/>
      <c r="B3092" s="111"/>
    </row>
    <row r="3093" spans="1:2" x14ac:dyDescent="0.2">
      <c r="A3093" s="95"/>
      <c r="B3093" s="111"/>
    </row>
    <row r="3094" spans="1:2" x14ac:dyDescent="0.2">
      <c r="A3094" s="95"/>
      <c r="B3094" s="111"/>
    </row>
    <row r="3095" spans="1:2" x14ac:dyDescent="0.2">
      <c r="A3095" s="95"/>
      <c r="B3095" s="111"/>
    </row>
    <row r="3096" spans="1:2" x14ac:dyDescent="0.2">
      <c r="A3096" s="95"/>
      <c r="B3096" s="111"/>
    </row>
    <row r="3097" spans="1:2" x14ac:dyDescent="0.2">
      <c r="A3097" s="95"/>
      <c r="B3097" s="111"/>
    </row>
    <row r="3098" spans="1:2" x14ac:dyDescent="0.2">
      <c r="A3098" s="95"/>
      <c r="B3098" s="111"/>
    </row>
    <row r="3099" spans="1:2" x14ac:dyDescent="0.2">
      <c r="A3099" s="95"/>
      <c r="B3099" s="111"/>
    </row>
    <row r="3100" spans="1:2" x14ac:dyDescent="0.2">
      <c r="A3100" s="95"/>
      <c r="B3100" s="111"/>
    </row>
    <row r="3101" spans="1:2" x14ac:dyDescent="0.2">
      <c r="A3101" s="95"/>
      <c r="B3101" s="111"/>
    </row>
    <row r="3102" spans="1:2" x14ac:dyDescent="0.2">
      <c r="A3102" s="95"/>
      <c r="B3102" s="111"/>
    </row>
    <row r="3103" spans="1:2" x14ac:dyDescent="0.2">
      <c r="A3103" s="95"/>
      <c r="B3103" s="111"/>
    </row>
    <row r="3104" spans="1:2" x14ac:dyDescent="0.2">
      <c r="A3104" s="95"/>
      <c r="B3104" s="111"/>
    </row>
    <row r="3105" spans="1:2" x14ac:dyDescent="0.2">
      <c r="A3105" s="95"/>
      <c r="B3105" s="111"/>
    </row>
    <row r="3106" spans="1:2" x14ac:dyDescent="0.2">
      <c r="A3106" s="95"/>
      <c r="B3106" s="111"/>
    </row>
    <row r="3107" spans="1:2" x14ac:dyDescent="0.2">
      <c r="A3107" s="95"/>
      <c r="B3107" s="111"/>
    </row>
    <row r="3108" spans="1:2" x14ac:dyDescent="0.2">
      <c r="A3108" s="95"/>
      <c r="B3108" s="111"/>
    </row>
    <row r="3109" spans="1:2" x14ac:dyDescent="0.2">
      <c r="A3109" s="95"/>
      <c r="B3109" s="111"/>
    </row>
    <row r="3110" spans="1:2" x14ac:dyDescent="0.2">
      <c r="A3110" s="95"/>
      <c r="B3110" s="111"/>
    </row>
    <row r="3111" spans="1:2" x14ac:dyDescent="0.2">
      <c r="A3111" s="95"/>
      <c r="B3111" s="111"/>
    </row>
    <row r="3112" spans="1:2" x14ac:dyDescent="0.2">
      <c r="A3112" s="95"/>
      <c r="B3112" s="111"/>
    </row>
    <row r="3113" spans="1:2" x14ac:dyDescent="0.2">
      <c r="A3113" s="95"/>
      <c r="B3113" s="111"/>
    </row>
    <row r="3114" spans="1:2" x14ac:dyDescent="0.2">
      <c r="A3114" s="95"/>
      <c r="B3114" s="111"/>
    </row>
    <row r="3115" spans="1:2" x14ac:dyDescent="0.2">
      <c r="A3115" s="95"/>
      <c r="B3115" s="111"/>
    </row>
    <row r="3116" spans="1:2" x14ac:dyDescent="0.2">
      <c r="A3116" s="95"/>
      <c r="B3116" s="111"/>
    </row>
    <row r="3117" spans="1:2" x14ac:dyDescent="0.2">
      <c r="A3117" s="95"/>
      <c r="B3117" s="111"/>
    </row>
    <row r="3118" spans="1:2" x14ac:dyDescent="0.2">
      <c r="A3118" s="95"/>
      <c r="B3118" s="111"/>
    </row>
    <row r="3119" spans="1:2" x14ac:dyDescent="0.2">
      <c r="A3119" s="95"/>
      <c r="B3119" s="111"/>
    </row>
    <row r="3120" spans="1:2" x14ac:dyDescent="0.2">
      <c r="A3120" s="95"/>
      <c r="B3120" s="111"/>
    </row>
    <row r="3121" spans="1:2" x14ac:dyDescent="0.2">
      <c r="A3121" s="95"/>
      <c r="B3121" s="111"/>
    </row>
    <row r="3122" spans="1:2" x14ac:dyDescent="0.2">
      <c r="A3122" s="95"/>
      <c r="B3122" s="111"/>
    </row>
    <row r="3123" spans="1:2" x14ac:dyDescent="0.2">
      <c r="A3123" s="95"/>
      <c r="B3123" s="111"/>
    </row>
    <row r="3124" spans="1:2" x14ac:dyDescent="0.2">
      <c r="A3124" s="95"/>
      <c r="B3124" s="111"/>
    </row>
    <row r="3125" spans="1:2" x14ac:dyDescent="0.2">
      <c r="A3125" s="95"/>
      <c r="B3125" s="111"/>
    </row>
    <row r="3126" spans="1:2" x14ac:dyDescent="0.2">
      <c r="A3126" s="95"/>
      <c r="B3126" s="111"/>
    </row>
    <row r="3127" spans="1:2" x14ac:dyDescent="0.2">
      <c r="A3127" s="95"/>
      <c r="B3127" s="111"/>
    </row>
    <row r="3128" spans="1:2" x14ac:dyDescent="0.2">
      <c r="A3128" s="95"/>
      <c r="B3128" s="111"/>
    </row>
    <row r="3129" spans="1:2" x14ac:dyDescent="0.2">
      <c r="A3129" s="95"/>
      <c r="B3129" s="111"/>
    </row>
    <row r="3130" spans="1:2" x14ac:dyDescent="0.2">
      <c r="A3130" s="95"/>
      <c r="B3130" s="111"/>
    </row>
    <row r="3131" spans="1:2" x14ac:dyDescent="0.2">
      <c r="A3131" s="95"/>
      <c r="B3131" s="111"/>
    </row>
    <row r="3132" spans="1:2" x14ac:dyDescent="0.2">
      <c r="A3132" s="95"/>
      <c r="B3132" s="111"/>
    </row>
    <row r="3133" spans="1:2" x14ac:dyDescent="0.2">
      <c r="A3133" s="95"/>
      <c r="B3133" s="111"/>
    </row>
    <row r="3134" spans="1:2" x14ac:dyDescent="0.2">
      <c r="A3134" s="95"/>
      <c r="B3134" s="111"/>
    </row>
    <row r="3135" spans="1:2" x14ac:dyDescent="0.2">
      <c r="A3135" s="95"/>
      <c r="B3135" s="111"/>
    </row>
    <row r="3136" spans="1:2" x14ac:dyDescent="0.2">
      <c r="A3136" s="95"/>
      <c r="B3136" s="111"/>
    </row>
    <row r="3137" spans="1:2" x14ac:dyDescent="0.2">
      <c r="A3137" s="95"/>
      <c r="B3137" s="111"/>
    </row>
    <row r="3138" spans="1:2" x14ac:dyDescent="0.2">
      <c r="A3138" s="95"/>
      <c r="B3138" s="111"/>
    </row>
    <row r="3139" spans="1:2" x14ac:dyDescent="0.2">
      <c r="A3139" s="95"/>
      <c r="B3139" s="111"/>
    </row>
    <row r="3140" spans="1:2" x14ac:dyDescent="0.2">
      <c r="A3140" s="95"/>
      <c r="B3140" s="111"/>
    </row>
    <row r="3141" spans="1:2" x14ac:dyDescent="0.2">
      <c r="A3141" s="95"/>
      <c r="B3141" s="111"/>
    </row>
    <row r="3142" spans="1:2" x14ac:dyDescent="0.2">
      <c r="A3142" s="95"/>
      <c r="B3142" s="111"/>
    </row>
    <row r="3143" spans="1:2" x14ac:dyDescent="0.2">
      <c r="A3143" s="95"/>
      <c r="B3143" s="111"/>
    </row>
    <row r="3144" spans="1:2" x14ac:dyDescent="0.2">
      <c r="A3144" s="95"/>
      <c r="B3144" s="111"/>
    </row>
    <row r="3145" spans="1:2" x14ac:dyDescent="0.2">
      <c r="A3145" s="95"/>
      <c r="B3145" s="111"/>
    </row>
    <row r="3146" spans="1:2" x14ac:dyDescent="0.2">
      <c r="A3146" s="95"/>
      <c r="B3146" s="111"/>
    </row>
    <row r="3147" spans="1:2" x14ac:dyDescent="0.2">
      <c r="A3147" s="95"/>
      <c r="B3147" s="111"/>
    </row>
    <row r="3148" spans="1:2" x14ac:dyDescent="0.2">
      <c r="A3148" s="95"/>
      <c r="B3148" s="111"/>
    </row>
    <row r="3149" spans="1:2" x14ac:dyDescent="0.2">
      <c r="A3149" s="95"/>
      <c r="B3149" s="111"/>
    </row>
    <row r="3150" spans="1:2" x14ac:dyDescent="0.2">
      <c r="A3150" s="95"/>
      <c r="B3150" s="111"/>
    </row>
    <row r="3151" spans="1:2" x14ac:dyDescent="0.2">
      <c r="A3151" s="95"/>
      <c r="B3151" s="111"/>
    </row>
    <row r="3152" spans="1:2" x14ac:dyDescent="0.2">
      <c r="A3152" s="95"/>
      <c r="B3152" s="111"/>
    </row>
    <row r="3153" spans="1:2" x14ac:dyDescent="0.2">
      <c r="A3153" s="95"/>
      <c r="B3153" s="111"/>
    </row>
    <row r="3154" spans="1:2" x14ac:dyDescent="0.2">
      <c r="A3154" s="95"/>
      <c r="B3154" s="111"/>
    </row>
    <row r="3155" spans="1:2" x14ac:dyDescent="0.2">
      <c r="A3155" s="95"/>
      <c r="B3155" s="111"/>
    </row>
    <row r="3156" spans="1:2" x14ac:dyDescent="0.2">
      <c r="A3156" s="95"/>
      <c r="B3156" s="111"/>
    </row>
    <row r="3157" spans="1:2" x14ac:dyDescent="0.2">
      <c r="A3157" s="95"/>
      <c r="B3157" s="111"/>
    </row>
    <row r="3158" spans="1:2" x14ac:dyDescent="0.2">
      <c r="A3158" s="95"/>
      <c r="B3158" s="111"/>
    </row>
    <row r="3159" spans="1:2" x14ac:dyDescent="0.2">
      <c r="A3159" s="95"/>
      <c r="B3159" s="111"/>
    </row>
    <row r="3160" spans="1:2" x14ac:dyDescent="0.2">
      <c r="A3160" s="95"/>
      <c r="B3160" s="111"/>
    </row>
    <row r="3161" spans="1:2" x14ac:dyDescent="0.2">
      <c r="A3161" s="95"/>
      <c r="B3161" s="111"/>
    </row>
    <row r="3162" spans="1:2" x14ac:dyDescent="0.2">
      <c r="A3162" s="95"/>
      <c r="B3162" s="111"/>
    </row>
    <row r="3163" spans="1:2" x14ac:dyDescent="0.2">
      <c r="A3163" s="95"/>
      <c r="B3163" s="111"/>
    </row>
    <row r="3164" spans="1:2" x14ac:dyDescent="0.2">
      <c r="A3164" s="95"/>
      <c r="B3164" s="111"/>
    </row>
    <row r="3165" spans="1:2" x14ac:dyDescent="0.2">
      <c r="A3165" s="95"/>
      <c r="B3165" s="111"/>
    </row>
    <row r="3166" spans="1:2" x14ac:dyDescent="0.2">
      <c r="A3166" s="95"/>
      <c r="B3166" s="111"/>
    </row>
    <row r="3167" spans="1:2" x14ac:dyDescent="0.2">
      <c r="A3167" s="95"/>
      <c r="B3167" s="111"/>
    </row>
    <row r="3168" spans="1:2" x14ac:dyDescent="0.2">
      <c r="A3168" s="95"/>
      <c r="B3168" s="111"/>
    </row>
    <row r="3169" spans="1:2" x14ac:dyDescent="0.2">
      <c r="A3169" s="95"/>
      <c r="B3169" s="111"/>
    </row>
    <row r="3170" spans="1:2" x14ac:dyDescent="0.2">
      <c r="A3170" s="95"/>
      <c r="B3170" s="111"/>
    </row>
    <row r="3171" spans="1:2" x14ac:dyDescent="0.2">
      <c r="A3171" s="95"/>
      <c r="B3171" s="111"/>
    </row>
    <row r="3172" spans="1:2" x14ac:dyDescent="0.2">
      <c r="A3172" s="95"/>
      <c r="B3172" s="111"/>
    </row>
    <row r="3173" spans="1:2" x14ac:dyDescent="0.2">
      <c r="A3173" s="95"/>
      <c r="B3173" s="111"/>
    </row>
    <row r="3174" spans="1:2" x14ac:dyDescent="0.2">
      <c r="A3174" s="95"/>
      <c r="B3174" s="111"/>
    </row>
    <row r="3175" spans="1:2" x14ac:dyDescent="0.2">
      <c r="A3175" s="95"/>
      <c r="B3175" s="111"/>
    </row>
    <row r="3176" spans="1:2" x14ac:dyDescent="0.2">
      <c r="A3176" s="95"/>
      <c r="B3176" s="111"/>
    </row>
    <row r="3177" spans="1:2" x14ac:dyDescent="0.2">
      <c r="A3177" s="95"/>
      <c r="B3177" s="111"/>
    </row>
    <row r="3178" spans="1:2" x14ac:dyDescent="0.2">
      <c r="A3178" s="95"/>
      <c r="B3178" s="111"/>
    </row>
    <row r="3179" spans="1:2" x14ac:dyDescent="0.2">
      <c r="A3179" s="95"/>
      <c r="B3179" s="111"/>
    </row>
    <row r="3180" spans="1:2" x14ac:dyDescent="0.2">
      <c r="A3180" s="95"/>
      <c r="B3180" s="111"/>
    </row>
    <row r="3181" spans="1:2" x14ac:dyDescent="0.2">
      <c r="A3181" s="95"/>
      <c r="B3181" s="111"/>
    </row>
    <row r="3182" spans="1:2" x14ac:dyDescent="0.2">
      <c r="A3182" s="95"/>
      <c r="B3182" s="111"/>
    </row>
    <row r="3183" spans="1:2" x14ac:dyDescent="0.2">
      <c r="A3183" s="95"/>
      <c r="B3183" s="111"/>
    </row>
    <row r="3184" spans="1:2" x14ac:dyDescent="0.2">
      <c r="A3184" s="95"/>
      <c r="B3184" s="111"/>
    </row>
    <row r="3185" spans="1:2" x14ac:dyDescent="0.2">
      <c r="A3185" s="95"/>
      <c r="B3185" s="111"/>
    </row>
    <row r="3186" spans="1:2" x14ac:dyDescent="0.2">
      <c r="A3186" s="95"/>
      <c r="B3186" s="111"/>
    </row>
    <row r="3187" spans="1:2" x14ac:dyDescent="0.2">
      <c r="A3187" s="95"/>
      <c r="B3187" s="111"/>
    </row>
    <row r="3188" spans="1:2" x14ac:dyDescent="0.2">
      <c r="A3188" s="95"/>
      <c r="B3188" s="111"/>
    </row>
    <row r="3189" spans="1:2" x14ac:dyDescent="0.2">
      <c r="A3189" s="95"/>
      <c r="B3189" s="111"/>
    </row>
    <row r="3190" spans="1:2" x14ac:dyDescent="0.2">
      <c r="A3190" s="95"/>
      <c r="B3190" s="111"/>
    </row>
    <row r="3191" spans="1:2" x14ac:dyDescent="0.2">
      <c r="A3191" s="95"/>
      <c r="B3191" s="111"/>
    </row>
    <row r="3192" spans="1:2" x14ac:dyDescent="0.2">
      <c r="A3192" s="95"/>
      <c r="B3192" s="111"/>
    </row>
    <row r="3193" spans="1:2" x14ac:dyDescent="0.2">
      <c r="A3193" s="95"/>
      <c r="B3193" s="111"/>
    </row>
    <row r="3194" spans="1:2" x14ac:dyDescent="0.2">
      <c r="A3194" s="95"/>
      <c r="B3194" s="111"/>
    </row>
    <row r="3195" spans="1:2" x14ac:dyDescent="0.2">
      <c r="A3195" s="95"/>
      <c r="B3195" s="111"/>
    </row>
    <row r="3196" spans="1:2" x14ac:dyDescent="0.2">
      <c r="A3196" s="95"/>
      <c r="B3196" s="111"/>
    </row>
    <row r="3197" spans="1:2" x14ac:dyDescent="0.2">
      <c r="A3197" s="95"/>
      <c r="B3197" s="111"/>
    </row>
    <row r="3198" spans="1:2" x14ac:dyDescent="0.2">
      <c r="A3198" s="95"/>
      <c r="B3198" s="111"/>
    </row>
    <row r="3199" spans="1:2" x14ac:dyDescent="0.2">
      <c r="A3199" s="95"/>
      <c r="B3199" s="111"/>
    </row>
    <row r="3200" spans="1:2" x14ac:dyDescent="0.2">
      <c r="A3200" s="95"/>
      <c r="B3200" s="111"/>
    </row>
    <row r="3201" spans="1:2" x14ac:dyDescent="0.2">
      <c r="A3201" s="95"/>
      <c r="B3201" s="111"/>
    </row>
    <row r="3202" spans="1:2" x14ac:dyDescent="0.2">
      <c r="A3202" s="95"/>
      <c r="B3202" s="111"/>
    </row>
    <row r="3203" spans="1:2" x14ac:dyDescent="0.2">
      <c r="A3203" s="95"/>
      <c r="B3203" s="111"/>
    </row>
    <row r="3204" spans="1:2" x14ac:dyDescent="0.2">
      <c r="A3204" s="95"/>
      <c r="B3204" s="111"/>
    </row>
    <row r="3205" spans="1:2" x14ac:dyDescent="0.2">
      <c r="A3205" s="95"/>
      <c r="B3205" s="111"/>
    </row>
    <row r="3206" spans="1:2" x14ac:dyDescent="0.2">
      <c r="A3206" s="95"/>
      <c r="B3206" s="111"/>
    </row>
    <row r="3207" spans="1:2" x14ac:dyDescent="0.2">
      <c r="A3207" s="95"/>
      <c r="B3207" s="111"/>
    </row>
    <row r="3208" spans="1:2" x14ac:dyDescent="0.2">
      <c r="A3208" s="95"/>
      <c r="B3208" s="111"/>
    </row>
    <row r="3209" spans="1:2" x14ac:dyDescent="0.2">
      <c r="A3209" s="95"/>
      <c r="B3209" s="111"/>
    </row>
    <row r="3210" spans="1:2" x14ac:dyDescent="0.2">
      <c r="A3210" s="95"/>
      <c r="B3210" s="111"/>
    </row>
    <row r="3211" spans="1:2" x14ac:dyDescent="0.2">
      <c r="A3211" s="95"/>
      <c r="B3211" s="111"/>
    </row>
    <row r="3212" spans="1:2" x14ac:dyDescent="0.2">
      <c r="A3212" s="95"/>
      <c r="B3212" s="111"/>
    </row>
    <row r="3213" spans="1:2" x14ac:dyDescent="0.2">
      <c r="A3213" s="95"/>
      <c r="B3213" s="111"/>
    </row>
    <row r="3214" spans="1:2" x14ac:dyDescent="0.2">
      <c r="A3214" s="95"/>
      <c r="B3214" s="111"/>
    </row>
    <row r="3215" spans="1:2" x14ac:dyDescent="0.2">
      <c r="A3215" s="95"/>
      <c r="B3215" s="111"/>
    </row>
    <row r="3216" spans="1:2" x14ac:dyDescent="0.2">
      <c r="A3216" s="95"/>
      <c r="B3216" s="111"/>
    </row>
    <row r="3217" spans="1:2" x14ac:dyDescent="0.2">
      <c r="A3217" s="95"/>
      <c r="B3217" s="111"/>
    </row>
    <row r="3218" spans="1:2" x14ac:dyDescent="0.2">
      <c r="A3218" s="95"/>
      <c r="B3218" s="111"/>
    </row>
    <row r="3219" spans="1:2" x14ac:dyDescent="0.2">
      <c r="A3219" s="95"/>
      <c r="B3219" s="111"/>
    </row>
    <row r="3220" spans="1:2" x14ac:dyDescent="0.2">
      <c r="A3220" s="95"/>
      <c r="B3220" s="111"/>
    </row>
    <row r="3221" spans="1:2" x14ac:dyDescent="0.2">
      <c r="A3221" s="95"/>
      <c r="B3221" s="111"/>
    </row>
    <row r="3222" spans="1:2" x14ac:dyDescent="0.2">
      <c r="A3222" s="95"/>
      <c r="B3222" s="111"/>
    </row>
    <row r="3223" spans="1:2" x14ac:dyDescent="0.2">
      <c r="A3223" s="95"/>
      <c r="B3223" s="111"/>
    </row>
    <row r="3224" spans="1:2" x14ac:dyDescent="0.2">
      <c r="A3224" s="95"/>
      <c r="B3224" s="111"/>
    </row>
    <row r="3225" spans="1:2" x14ac:dyDescent="0.2">
      <c r="A3225" s="95"/>
      <c r="B3225" s="111"/>
    </row>
    <row r="3226" spans="1:2" x14ac:dyDescent="0.2">
      <c r="A3226" s="95"/>
      <c r="B3226" s="111"/>
    </row>
    <row r="3227" spans="1:2" x14ac:dyDescent="0.2">
      <c r="A3227" s="95"/>
      <c r="B3227" s="111"/>
    </row>
    <row r="3228" spans="1:2" x14ac:dyDescent="0.2">
      <c r="A3228" s="95"/>
      <c r="B3228" s="111"/>
    </row>
    <row r="3229" spans="1:2" x14ac:dyDescent="0.2">
      <c r="A3229" s="95"/>
      <c r="B3229" s="111"/>
    </row>
    <row r="3230" spans="1:2" x14ac:dyDescent="0.2">
      <c r="A3230" s="95"/>
      <c r="B3230" s="111"/>
    </row>
    <row r="3231" spans="1:2" x14ac:dyDescent="0.2">
      <c r="A3231" s="95"/>
      <c r="B3231" s="111"/>
    </row>
    <row r="3232" spans="1:2" x14ac:dyDescent="0.2">
      <c r="A3232" s="95"/>
      <c r="B3232" s="111"/>
    </row>
    <row r="3233" spans="1:2" x14ac:dyDescent="0.2">
      <c r="A3233" s="95"/>
      <c r="B3233" s="111"/>
    </row>
    <row r="3234" spans="1:2" x14ac:dyDescent="0.2">
      <c r="A3234" s="95"/>
      <c r="B3234" s="111"/>
    </row>
    <row r="3235" spans="1:2" x14ac:dyDescent="0.2">
      <c r="A3235" s="95"/>
      <c r="B3235" s="111"/>
    </row>
    <row r="3236" spans="1:2" x14ac:dyDescent="0.2">
      <c r="A3236" s="95"/>
      <c r="B3236" s="111"/>
    </row>
    <row r="3237" spans="1:2" x14ac:dyDescent="0.2">
      <c r="A3237" s="95"/>
      <c r="B3237" s="111"/>
    </row>
    <row r="3238" spans="1:2" x14ac:dyDescent="0.2">
      <c r="A3238" s="95"/>
      <c r="B3238" s="111"/>
    </row>
    <row r="3239" spans="1:2" x14ac:dyDescent="0.2">
      <c r="A3239" s="95"/>
      <c r="B3239" s="111"/>
    </row>
    <row r="3240" spans="1:2" x14ac:dyDescent="0.2">
      <c r="A3240" s="95"/>
      <c r="B3240" s="111"/>
    </row>
    <row r="3241" spans="1:2" x14ac:dyDescent="0.2">
      <c r="A3241" s="95"/>
      <c r="B3241" s="111"/>
    </row>
    <row r="3242" spans="1:2" x14ac:dyDescent="0.2">
      <c r="A3242" s="95"/>
      <c r="B3242" s="111"/>
    </row>
    <row r="3243" spans="1:2" x14ac:dyDescent="0.2">
      <c r="A3243" s="95"/>
      <c r="B3243" s="111"/>
    </row>
    <row r="3244" spans="1:2" x14ac:dyDescent="0.2">
      <c r="A3244" s="95"/>
      <c r="B3244" s="111"/>
    </row>
    <row r="3245" spans="1:2" x14ac:dyDescent="0.2">
      <c r="A3245" s="95"/>
      <c r="B3245" s="111"/>
    </row>
    <row r="3246" spans="1:2" x14ac:dyDescent="0.2">
      <c r="A3246" s="95"/>
      <c r="B3246" s="111"/>
    </row>
    <row r="3247" spans="1:2" x14ac:dyDescent="0.2">
      <c r="A3247" s="95"/>
      <c r="B3247" s="111"/>
    </row>
    <row r="3248" spans="1:2" x14ac:dyDescent="0.2">
      <c r="A3248" s="95"/>
      <c r="B3248" s="111"/>
    </row>
    <row r="3249" spans="1:2" x14ac:dyDescent="0.2">
      <c r="A3249" s="95"/>
      <c r="B3249" s="111"/>
    </row>
    <row r="3250" spans="1:2" x14ac:dyDescent="0.2">
      <c r="A3250" s="95"/>
      <c r="B3250" s="111"/>
    </row>
    <row r="3251" spans="1:2" x14ac:dyDescent="0.2">
      <c r="A3251" s="95"/>
      <c r="B3251" s="111"/>
    </row>
    <row r="3252" spans="1:2" x14ac:dyDescent="0.2">
      <c r="A3252" s="95"/>
      <c r="B3252" s="111"/>
    </row>
    <row r="3253" spans="1:2" x14ac:dyDescent="0.2">
      <c r="A3253" s="95"/>
      <c r="B3253" s="111"/>
    </row>
    <row r="3254" spans="1:2" x14ac:dyDescent="0.2">
      <c r="A3254" s="95"/>
      <c r="B3254" s="111"/>
    </row>
    <row r="3255" spans="1:2" x14ac:dyDescent="0.2">
      <c r="A3255" s="95"/>
      <c r="B3255" s="111"/>
    </row>
    <row r="3256" spans="1:2" x14ac:dyDescent="0.2">
      <c r="A3256" s="95"/>
      <c r="B3256" s="111"/>
    </row>
    <row r="3257" spans="1:2" x14ac:dyDescent="0.2">
      <c r="A3257" s="95"/>
      <c r="B3257" s="111"/>
    </row>
    <row r="3258" spans="1:2" x14ac:dyDescent="0.2">
      <c r="A3258" s="95"/>
      <c r="B3258" s="111"/>
    </row>
    <row r="3259" spans="1:2" x14ac:dyDescent="0.2">
      <c r="A3259" s="95"/>
      <c r="B3259" s="111"/>
    </row>
    <row r="3260" spans="1:2" x14ac:dyDescent="0.2">
      <c r="A3260" s="95"/>
      <c r="B3260" s="111"/>
    </row>
    <row r="3261" spans="1:2" x14ac:dyDescent="0.2">
      <c r="A3261" s="95"/>
      <c r="B3261" s="111"/>
    </row>
    <row r="3262" spans="1:2" x14ac:dyDescent="0.2">
      <c r="A3262" s="95"/>
      <c r="B3262" s="111"/>
    </row>
    <row r="3263" spans="1:2" x14ac:dyDescent="0.2">
      <c r="A3263" s="95"/>
      <c r="B3263" s="111"/>
    </row>
    <row r="3264" spans="1:2" x14ac:dyDescent="0.2">
      <c r="A3264" s="95"/>
      <c r="B3264" s="111"/>
    </row>
    <row r="3265" spans="1:2" x14ac:dyDescent="0.2">
      <c r="A3265" s="95"/>
      <c r="B3265" s="111"/>
    </row>
    <row r="3266" spans="1:2" x14ac:dyDescent="0.2">
      <c r="A3266" s="95"/>
      <c r="B3266" s="111"/>
    </row>
    <row r="3267" spans="1:2" x14ac:dyDescent="0.2">
      <c r="A3267" s="95"/>
      <c r="B3267" s="111"/>
    </row>
    <row r="3268" spans="1:2" x14ac:dyDescent="0.2">
      <c r="A3268" s="95"/>
      <c r="B3268" s="111"/>
    </row>
    <row r="3269" spans="1:2" x14ac:dyDescent="0.2">
      <c r="A3269" s="95"/>
      <c r="B3269" s="111"/>
    </row>
    <row r="3270" spans="1:2" x14ac:dyDescent="0.2">
      <c r="A3270" s="95"/>
      <c r="B3270" s="111"/>
    </row>
    <row r="3271" spans="1:2" x14ac:dyDescent="0.2">
      <c r="A3271" s="95"/>
      <c r="B3271" s="111"/>
    </row>
    <row r="3272" spans="1:2" x14ac:dyDescent="0.2">
      <c r="A3272" s="95"/>
      <c r="B3272" s="111"/>
    </row>
    <row r="3273" spans="1:2" x14ac:dyDescent="0.2">
      <c r="A3273" s="95"/>
      <c r="B3273" s="111"/>
    </row>
    <row r="3274" spans="1:2" x14ac:dyDescent="0.2">
      <c r="A3274" s="95"/>
      <c r="B3274" s="111"/>
    </row>
    <row r="3275" spans="1:2" x14ac:dyDescent="0.2">
      <c r="A3275" s="95"/>
      <c r="B3275" s="111"/>
    </row>
    <row r="3276" spans="1:2" x14ac:dyDescent="0.2">
      <c r="A3276" s="95"/>
      <c r="B3276" s="111"/>
    </row>
    <row r="3277" spans="1:2" x14ac:dyDescent="0.2">
      <c r="A3277" s="95"/>
      <c r="B3277" s="111"/>
    </row>
    <row r="3278" spans="1:2" x14ac:dyDescent="0.2">
      <c r="A3278" s="95"/>
      <c r="B3278" s="111"/>
    </row>
    <row r="3279" spans="1:2" x14ac:dyDescent="0.2">
      <c r="A3279" s="95"/>
      <c r="B3279" s="111"/>
    </row>
    <row r="3280" spans="1:2" x14ac:dyDescent="0.2">
      <c r="A3280" s="95"/>
      <c r="B3280" s="111"/>
    </row>
    <row r="3281" spans="1:2" x14ac:dyDescent="0.2">
      <c r="A3281" s="95"/>
      <c r="B3281" s="111"/>
    </row>
    <row r="3282" spans="1:2" x14ac:dyDescent="0.2">
      <c r="A3282" s="95"/>
      <c r="B3282" s="111"/>
    </row>
    <row r="3283" spans="1:2" x14ac:dyDescent="0.2">
      <c r="A3283" s="95"/>
      <c r="B3283" s="111"/>
    </row>
    <row r="3284" spans="1:2" x14ac:dyDescent="0.2">
      <c r="A3284" s="95"/>
      <c r="B3284" s="111"/>
    </row>
    <row r="3285" spans="1:2" x14ac:dyDescent="0.2">
      <c r="A3285" s="95"/>
      <c r="B3285" s="111"/>
    </row>
    <row r="3286" spans="1:2" x14ac:dyDescent="0.2">
      <c r="A3286" s="95"/>
      <c r="B3286" s="111"/>
    </row>
    <row r="3287" spans="1:2" x14ac:dyDescent="0.2">
      <c r="A3287" s="95"/>
      <c r="B3287" s="111"/>
    </row>
    <row r="3288" spans="1:2" x14ac:dyDescent="0.2">
      <c r="A3288" s="95"/>
      <c r="B3288" s="111"/>
    </row>
    <row r="3289" spans="1:2" x14ac:dyDescent="0.2">
      <c r="A3289" s="95"/>
      <c r="B3289" s="111"/>
    </row>
    <row r="3290" spans="1:2" x14ac:dyDescent="0.2">
      <c r="A3290" s="95"/>
      <c r="B3290" s="111"/>
    </row>
    <row r="3291" spans="1:2" x14ac:dyDescent="0.2">
      <c r="A3291" s="95"/>
      <c r="B3291" s="111"/>
    </row>
    <row r="3292" spans="1:2" x14ac:dyDescent="0.2">
      <c r="A3292" s="95"/>
      <c r="B3292" s="111"/>
    </row>
    <row r="3293" spans="1:2" x14ac:dyDescent="0.2">
      <c r="A3293" s="95"/>
      <c r="B3293" s="111"/>
    </row>
    <row r="3294" spans="1:2" x14ac:dyDescent="0.2">
      <c r="A3294" s="95"/>
      <c r="B3294" s="111"/>
    </row>
    <row r="3295" spans="1:2" x14ac:dyDescent="0.2">
      <c r="A3295" s="95"/>
      <c r="B3295" s="111"/>
    </row>
    <row r="3296" spans="1:2" x14ac:dyDescent="0.2">
      <c r="A3296" s="95"/>
      <c r="B3296" s="111"/>
    </row>
    <row r="3297" spans="1:2" x14ac:dyDescent="0.2">
      <c r="A3297" s="95"/>
      <c r="B3297" s="111"/>
    </row>
    <row r="3298" spans="1:2" x14ac:dyDescent="0.2">
      <c r="A3298" s="95"/>
      <c r="B3298" s="111"/>
    </row>
    <row r="3299" spans="1:2" x14ac:dyDescent="0.2">
      <c r="A3299" s="95"/>
      <c r="B3299" s="111"/>
    </row>
    <row r="3300" spans="1:2" x14ac:dyDescent="0.2">
      <c r="A3300" s="95"/>
      <c r="B3300" s="111"/>
    </row>
    <row r="3301" spans="1:2" x14ac:dyDescent="0.2">
      <c r="A3301" s="95"/>
      <c r="B3301" s="111"/>
    </row>
    <row r="3302" spans="1:2" x14ac:dyDescent="0.2">
      <c r="A3302" s="95"/>
      <c r="B3302" s="111"/>
    </row>
    <row r="3303" spans="1:2" x14ac:dyDescent="0.2">
      <c r="A3303" s="95"/>
      <c r="B3303" s="111"/>
    </row>
    <row r="3304" spans="1:2" x14ac:dyDescent="0.2">
      <c r="A3304" s="95"/>
      <c r="B3304" s="111"/>
    </row>
    <row r="3305" spans="1:2" x14ac:dyDescent="0.2">
      <c r="A3305" s="95"/>
      <c r="B3305" s="111"/>
    </row>
    <row r="3306" spans="1:2" x14ac:dyDescent="0.2">
      <c r="A3306" s="95"/>
      <c r="B3306" s="111"/>
    </row>
    <row r="3307" spans="1:2" x14ac:dyDescent="0.2">
      <c r="A3307" s="95"/>
      <c r="B3307" s="111"/>
    </row>
    <row r="3308" spans="1:2" x14ac:dyDescent="0.2">
      <c r="A3308" s="95"/>
      <c r="B3308" s="111"/>
    </row>
    <row r="3309" spans="1:2" x14ac:dyDescent="0.2">
      <c r="A3309" s="95"/>
      <c r="B3309" s="111"/>
    </row>
    <row r="3310" spans="1:2" x14ac:dyDescent="0.2">
      <c r="A3310" s="95"/>
      <c r="B3310" s="111"/>
    </row>
    <row r="3311" spans="1:2" x14ac:dyDescent="0.2">
      <c r="A3311" s="95"/>
      <c r="B3311" s="111"/>
    </row>
    <row r="3312" spans="1:2" x14ac:dyDescent="0.2">
      <c r="A3312" s="95"/>
      <c r="B3312" s="111"/>
    </row>
    <row r="3313" spans="1:2" x14ac:dyDescent="0.2">
      <c r="A3313" s="95"/>
      <c r="B3313" s="111"/>
    </row>
    <row r="3314" spans="1:2" x14ac:dyDescent="0.2">
      <c r="A3314" s="95"/>
      <c r="B3314" s="111"/>
    </row>
    <row r="3315" spans="1:2" x14ac:dyDescent="0.2">
      <c r="A3315" s="95"/>
      <c r="B3315" s="111"/>
    </row>
    <row r="3316" spans="1:2" x14ac:dyDescent="0.2">
      <c r="A3316" s="95"/>
      <c r="B3316" s="111"/>
    </row>
    <row r="3317" spans="1:2" x14ac:dyDescent="0.2">
      <c r="A3317" s="95"/>
      <c r="B3317" s="111"/>
    </row>
    <row r="3318" spans="1:2" x14ac:dyDescent="0.2">
      <c r="A3318" s="95"/>
      <c r="B3318" s="111"/>
    </row>
    <row r="3319" spans="1:2" x14ac:dyDescent="0.2">
      <c r="A3319" s="95"/>
      <c r="B3319" s="111"/>
    </row>
    <row r="3320" spans="1:2" x14ac:dyDescent="0.2">
      <c r="A3320" s="95"/>
      <c r="B3320" s="111"/>
    </row>
    <row r="3321" spans="1:2" x14ac:dyDescent="0.2">
      <c r="A3321" s="95"/>
      <c r="B3321" s="111"/>
    </row>
    <row r="3322" spans="1:2" x14ac:dyDescent="0.2">
      <c r="A3322" s="95"/>
      <c r="B3322" s="111"/>
    </row>
    <row r="3323" spans="1:2" x14ac:dyDescent="0.2">
      <c r="A3323" s="95"/>
      <c r="B3323" s="111"/>
    </row>
    <row r="3324" spans="1:2" x14ac:dyDescent="0.2">
      <c r="A3324" s="95"/>
      <c r="B3324" s="111"/>
    </row>
    <row r="3325" spans="1:2" x14ac:dyDescent="0.2">
      <c r="A3325" s="95"/>
      <c r="B3325" s="111"/>
    </row>
    <row r="3326" spans="1:2" x14ac:dyDescent="0.2">
      <c r="A3326" s="95"/>
      <c r="B3326" s="111"/>
    </row>
    <row r="3327" spans="1:2" x14ac:dyDescent="0.2">
      <c r="A3327" s="95"/>
      <c r="B3327" s="111"/>
    </row>
    <row r="3328" spans="1:2" x14ac:dyDescent="0.2">
      <c r="A3328" s="95"/>
      <c r="B3328" s="111"/>
    </row>
    <row r="3329" spans="1:2" x14ac:dyDescent="0.2">
      <c r="A3329" s="95"/>
      <c r="B3329" s="111"/>
    </row>
    <row r="3330" spans="1:2" x14ac:dyDescent="0.2">
      <c r="A3330" s="95"/>
      <c r="B3330" s="111"/>
    </row>
    <row r="3331" spans="1:2" x14ac:dyDescent="0.2">
      <c r="A3331" s="95"/>
      <c r="B3331" s="111"/>
    </row>
    <row r="3332" spans="1:2" x14ac:dyDescent="0.2">
      <c r="A3332" s="95"/>
      <c r="B3332" s="111"/>
    </row>
    <row r="3333" spans="1:2" x14ac:dyDescent="0.2">
      <c r="A3333" s="95"/>
      <c r="B3333" s="111"/>
    </row>
    <row r="3334" spans="1:2" x14ac:dyDescent="0.2">
      <c r="A3334" s="95"/>
      <c r="B3334" s="111"/>
    </row>
    <row r="3335" spans="1:2" x14ac:dyDescent="0.2">
      <c r="A3335" s="95"/>
      <c r="B3335" s="111"/>
    </row>
    <row r="3336" spans="1:2" x14ac:dyDescent="0.2">
      <c r="A3336" s="95"/>
      <c r="B3336" s="111"/>
    </row>
    <row r="3337" spans="1:2" x14ac:dyDescent="0.2">
      <c r="A3337" s="95"/>
      <c r="B3337" s="111"/>
    </row>
    <row r="3338" spans="1:2" x14ac:dyDescent="0.2">
      <c r="A3338" s="95"/>
      <c r="B3338" s="111"/>
    </row>
    <row r="3339" spans="1:2" x14ac:dyDescent="0.2">
      <c r="A3339" s="95"/>
      <c r="B3339" s="111"/>
    </row>
    <row r="3340" spans="1:2" x14ac:dyDescent="0.2">
      <c r="A3340" s="95"/>
      <c r="B3340" s="111"/>
    </row>
    <row r="3341" spans="1:2" x14ac:dyDescent="0.2">
      <c r="A3341" s="95"/>
      <c r="B3341" s="111"/>
    </row>
    <row r="3342" spans="1:2" x14ac:dyDescent="0.2">
      <c r="A3342" s="95"/>
      <c r="B3342" s="111"/>
    </row>
    <row r="3343" spans="1:2" x14ac:dyDescent="0.2">
      <c r="A3343" s="95"/>
      <c r="B3343" s="111"/>
    </row>
    <row r="3344" spans="1:2" x14ac:dyDescent="0.2">
      <c r="A3344" s="95"/>
      <c r="B3344" s="111"/>
    </row>
    <row r="3345" spans="1:2" x14ac:dyDescent="0.2">
      <c r="A3345" s="95"/>
      <c r="B3345" s="111"/>
    </row>
    <row r="3346" spans="1:2" x14ac:dyDescent="0.2">
      <c r="A3346" s="95"/>
      <c r="B3346" s="111"/>
    </row>
    <row r="3347" spans="1:2" x14ac:dyDescent="0.2">
      <c r="A3347" s="95"/>
      <c r="B3347" s="111"/>
    </row>
    <row r="3348" spans="1:2" x14ac:dyDescent="0.2">
      <c r="A3348" s="95"/>
      <c r="B3348" s="111"/>
    </row>
    <row r="3349" spans="1:2" x14ac:dyDescent="0.2">
      <c r="A3349" s="95"/>
      <c r="B3349" s="111"/>
    </row>
    <row r="3350" spans="1:2" x14ac:dyDescent="0.2">
      <c r="A3350" s="95"/>
      <c r="B3350" s="111"/>
    </row>
    <row r="3351" spans="1:2" x14ac:dyDescent="0.2">
      <c r="A3351" s="95"/>
      <c r="B3351" s="111"/>
    </row>
    <row r="3352" spans="1:2" x14ac:dyDescent="0.2">
      <c r="A3352" s="95"/>
      <c r="B3352" s="111"/>
    </row>
    <row r="3353" spans="1:2" x14ac:dyDescent="0.2">
      <c r="A3353" s="95"/>
      <c r="B3353" s="111"/>
    </row>
    <row r="3354" spans="1:2" x14ac:dyDescent="0.2">
      <c r="A3354" s="95"/>
      <c r="B3354" s="111"/>
    </row>
    <row r="3355" spans="1:2" x14ac:dyDescent="0.2">
      <c r="A3355" s="95"/>
      <c r="B3355" s="111"/>
    </row>
    <row r="3356" spans="1:2" x14ac:dyDescent="0.2">
      <c r="A3356" s="95"/>
      <c r="B3356" s="111"/>
    </row>
    <row r="3357" spans="1:2" x14ac:dyDescent="0.2">
      <c r="A3357" s="95"/>
      <c r="B3357" s="111"/>
    </row>
    <row r="3358" spans="1:2" x14ac:dyDescent="0.2">
      <c r="A3358" s="95"/>
      <c r="B3358" s="111"/>
    </row>
    <row r="3359" spans="1:2" x14ac:dyDescent="0.2">
      <c r="A3359" s="95"/>
      <c r="B3359" s="111"/>
    </row>
    <row r="3360" spans="1:2" x14ac:dyDescent="0.2">
      <c r="A3360" s="95"/>
      <c r="B3360" s="111"/>
    </row>
    <row r="3361" spans="1:2" x14ac:dyDescent="0.2">
      <c r="A3361" s="95"/>
      <c r="B3361" s="111"/>
    </row>
    <row r="3362" spans="1:2" x14ac:dyDescent="0.2">
      <c r="A3362" s="95"/>
      <c r="B3362" s="111"/>
    </row>
    <row r="3363" spans="1:2" x14ac:dyDescent="0.2">
      <c r="A3363" s="95"/>
      <c r="B3363" s="111"/>
    </row>
    <row r="3364" spans="1:2" x14ac:dyDescent="0.2">
      <c r="A3364" s="95"/>
      <c r="B3364" s="111"/>
    </row>
    <row r="3365" spans="1:2" x14ac:dyDescent="0.2">
      <c r="A3365" s="95"/>
      <c r="B3365" s="111"/>
    </row>
    <row r="3366" spans="1:2" x14ac:dyDescent="0.2">
      <c r="A3366" s="95"/>
      <c r="B3366" s="111"/>
    </row>
    <row r="3367" spans="1:2" x14ac:dyDescent="0.2">
      <c r="A3367" s="95"/>
      <c r="B3367" s="111"/>
    </row>
    <row r="3368" spans="1:2" x14ac:dyDescent="0.2">
      <c r="A3368" s="95"/>
      <c r="B3368" s="111"/>
    </row>
    <row r="3369" spans="1:2" x14ac:dyDescent="0.2">
      <c r="A3369" s="95"/>
      <c r="B3369" s="111"/>
    </row>
    <row r="3370" spans="1:2" x14ac:dyDescent="0.2">
      <c r="A3370" s="95"/>
      <c r="B3370" s="111"/>
    </row>
    <row r="3371" spans="1:2" x14ac:dyDescent="0.2">
      <c r="A3371" s="95"/>
      <c r="B3371" s="111"/>
    </row>
    <row r="3372" spans="1:2" x14ac:dyDescent="0.2">
      <c r="A3372" s="95"/>
      <c r="B3372" s="111"/>
    </row>
    <row r="3373" spans="1:2" x14ac:dyDescent="0.2">
      <c r="A3373" s="95"/>
      <c r="B3373" s="111"/>
    </row>
    <row r="3374" spans="1:2" x14ac:dyDescent="0.2">
      <c r="A3374" s="95"/>
      <c r="B3374" s="111"/>
    </row>
    <row r="3375" spans="1:2" x14ac:dyDescent="0.2">
      <c r="A3375" s="95"/>
      <c r="B3375" s="111"/>
    </row>
    <row r="3376" spans="1:2" x14ac:dyDescent="0.2">
      <c r="A3376" s="95"/>
      <c r="B3376" s="111"/>
    </row>
    <row r="3377" spans="1:2" x14ac:dyDescent="0.2">
      <c r="A3377" s="95"/>
      <c r="B3377" s="111"/>
    </row>
    <row r="3378" spans="1:2" x14ac:dyDescent="0.2">
      <c r="A3378" s="95"/>
      <c r="B3378" s="111"/>
    </row>
    <row r="3379" spans="1:2" x14ac:dyDescent="0.2">
      <c r="A3379" s="95"/>
      <c r="B3379" s="111"/>
    </row>
    <row r="3380" spans="1:2" x14ac:dyDescent="0.2">
      <c r="A3380" s="95"/>
      <c r="B3380" s="111"/>
    </row>
    <row r="3381" spans="1:2" x14ac:dyDescent="0.2">
      <c r="A3381" s="95"/>
      <c r="B3381" s="111"/>
    </row>
    <row r="3382" spans="1:2" x14ac:dyDescent="0.2">
      <c r="A3382" s="95"/>
      <c r="B3382" s="111"/>
    </row>
    <row r="3383" spans="1:2" x14ac:dyDescent="0.2">
      <c r="A3383" s="95"/>
      <c r="B3383" s="111"/>
    </row>
    <row r="3384" spans="1:2" x14ac:dyDescent="0.2">
      <c r="A3384" s="95"/>
      <c r="B3384" s="111"/>
    </row>
    <row r="3385" spans="1:2" x14ac:dyDescent="0.2">
      <c r="A3385" s="95"/>
      <c r="B3385" s="111"/>
    </row>
    <row r="3386" spans="1:2" x14ac:dyDescent="0.2">
      <c r="A3386" s="95"/>
      <c r="B3386" s="111"/>
    </row>
    <row r="3387" spans="1:2" x14ac:dyDescent="0.2">
      <c r="A3387" s="95"/>
      <c r="B3387" s="111"/>
    </row>
    <row r="3388" spans="1:2" x14ac:dyDescent="0.2">
      <c r="A3388" s="95"/>
      <c r="B3388" s="111"/>
    </row>
    <row r="3389" spans="1:2" x14ac:dyDescent="0.2">
      <c r="A3389" s="95"/>
      <c r="B3389" s="111"/>
    </row>
    <row r="3390" spans="1:2" x14ac:dyDescent="0.2">
      <c r="A3390" s="95"/>
      <c r="B3390" s="111"/>
    </row>
    <row r="3391" spans="1:2" x14ac:dyDescent="0.2">
      <c r="A3391" s="95"/>
      <c r="B3391" s="111"/>
    </row>
    <row r="3392" spans="1:2" x14ac:dyDescent="0.2">
      <c r="A3392" s="95"/>
      <c r="B3392" s="111"/>
    </row>
    <row r="3393" spans="1:2" x14ac:dyDescent="0.2">
      <c r="A3393" s="95"/>
      <c r="B3393" s="111"/>
    </row>
    <row r="3394" spans="1:2" x14ac:dyDescent="0.2">
      <c r="A3394" s="95"/>
      <c r="B3394" s="111"/>
    </row>
    <row r="3395" spans="1:2" x14ac:dyDescent="0.2">
      <c r="A3395" s="95"/>
      <c r="B3395" s="111"/>
    </row>
    <row r="3396" spans="1:2" x14ac:dyDescent="0.2">
      <c r="A3396" s="95"/>
      <c r="B3396" s="111"/>
    </row>
    <row r="3397" spans="1:2" x14ac:dyDescent="0.2">
      <c r="A3397" s="95"/>
      <c r="B3397" s="111"/>
    </row>
    <row r="3398" spans="1:2" x14ac:dyDescent="0.2">
      <c r="A3398" s="95"/>
      <c r="B3398" s="111"/>
    </row>
    <row r="3399" spans="1:2" x14ac:dyDescent="0.2">
      <c r="A3399" s="95"/>
      <c r="B3399" s="111"/>
    </row>
    <row r="3400" spans="1:2" x14ac:dyDescent="0.2">
      <c r="A3400" s="95"/>
      <c r="B3400" s="111"/>
    </row>
    <row r="3401" spans="1:2" x14ac:dyDescent="0.2">
      <c r="A3401" s="95"/>
      <c r="B3401" s="111"/>
    </row>
    <row r="3402" spans="1:2" x14ac:dyDescent="0.2">
      <c r="A3402" s="95"/>
      <c r="B3402" s="111"/>
    </row>
    <row r="3403" spans="1:2" x14ac:dyDescent="0.2">
      <c r="A3403" s="95"/>
      <c r="B3403" s="111"/>
    </row>
    <row r="3404" spans="1:2" x14ac:dyDescent="0.2">
      <c r="A3404" s="95"/>
      <c r="B3404" s="111"/>
    </row>
    <row r="3405" spans="1:2" x14ac:dyDescent="0.2">
      <c r="A3405" s="95"/>
      <c r="B3405" s="111"/>
    </row>
    <row r="3406" spans="1:2" x14ac:dyDescent="0.2">
      <c r="A3406" s="95"/>
      <c r="B3406" s="111"/>
    </row>
    <row r="3407" spans="1:2" x14ac:dyDescent="0.2">
      <c r="A3407" s="95"/>
      <c r="B3407" s="111"/>
    </row>
    <row r="3408" spans="1:2" x14ac:dyDescent="0.2">
      <c r="A3408" s="95"/>
      <c r="B3408" s="111"/>
    </row>
    <row r="3409" spans="1:2" x14ac:dyDescent="0.2">
      <c r="A3409" s="95"/>
      <c r="B3409" s="111"/>
    </row>
    <row r="3410" spans="1:2" x14ac:dyDescent="0.2">
      <c r="A3410" s="95"/>
      <c r="B3410" s="111"/>
    </row>
    <row r="3411" spans="1:2" x14ac:dyDescent="0.2">
      <c r="A3411" s="95"/>
      <c r="B3411" s="111"/>
    </row>
    <row r="3412" spans="1:2" x14ac:dyDescent="0.2">
      <c r="A3412" s="95"/>
      <c r="B3412" s="111"/>
    </row>
    <row r="3413" spans="1:2" x14ac:dyDescent="0.2">
      <c r="A3413" s="95"/>
      <c r="B3413" s="111"/>
    </row>
    <row r="3414" spans="1:2" x14ac:dyDescent="0.2">
      <c r="A3414" s="95"/>
      <c r="B3414" s="111"/>
    </row>
    <row r="3415" spans="1:2" x14ac:dyDescent="0.2">
      <c r="A3415" s="95"/>
      <c r="B3415" s="111"/>
    </row>
    <row r="3416" spans="1:2" x14ac:dyDescent="0.2">
      <c r="A3416" s="95"/>
      <c r="B3416" s="111"/>
    </row>
    <row r="3417" spans="1:2" x14ac:dyDescent="0.2">
      <c r="A3417" s="95"/>
      <c r="B3417" s="111"/>
    </row>
    <row r="3418" spans="1:2" x14ac:dyDescent="0.2">
      <c r="A3418" s="95"/>
      <c r="B3418" s="111"/>
    </row>
    <row r="3419" spans="1:2" x14ac:dyDescent="0.2">
      <c r="A3419" s="95"/>
      <c r="B3419" s="111"/>
    </row>
    <row r="3420" spans="1:2" x14ac:dyDescent="0.2">
      <c r="A3420" s="95"/>
      <c r="B3420" s="111"/>
    </row>
    <row r="3421" spans="1:2" x14ac:dyDescent="0.2">
      <c r="A3421" s="95"/>
      <c r="B3421" s="111"/>
    </row>
    <row r="3422" spans="1:2" x14ac:dyDescent="0.2">
      <c r="A3422" s="95"/>
      <c r="B3422" s="111"/>
    </row>
    <row r="3423" spans="1:2" x14ac:dyDescent="0.2">
      <c r="A3423" s="95"/>
      <c r="B3423" s="111"/>
    </row>
    <row r="3424" spans="1:2" x14ac:dyDescent="0.2">
      <c r="A3424" s="95"/>
      <c r="B3424" s="111"/>
    </row>
    <row r="3425" spans="1:2" x14ac:dyDescent="0.2">
      <c r="A3425" s="95"/>
      <c r="B3425" s="111"/>
    </row>
    <row r="3426" spans="1:2" x14ac:dyDescent="0.2">
      <c r="A3426" s="95"/>
      <c r="B3426" s="111"/>
    </row>
    <row r="3427" spans="1:2" x14ac:dyDescent="0.2">
      <c r="A3427" s="95"/>
      <c r="B3427" s="111"/>
    </row>
    <row r="3428" spans="1:2" x14ac:dyDescent="0.2">
      <c r="A3428" s="95"/>
      <c r="B3428" s="111"/>
    </row>
    <row r="3429" spans="1:2" x14ac:dyDescent="0.2">
      <c r="A3429" s="95"/>
      <c r="B3429" s="111"/>
    </row>
    <row r="3430" spans="1:2" x14ac:dyDescent="0.2">
      <c r="A3430" s="95"/>
      <c r="B3430" s="111"/>
    </row>
    <row r="3431" spans="1:2" x14ac:dyDescent="0.2">
      <c r="A3431" s="95"/>
      <c r="B3431" s="111"/>
    </row>
    <row r="3432" spans="1:2" x14ac:dyDescent="0.2">
      <c r="A3432" s="95"/>
      <c r="B3432" s="111"/>
    </row>
    <row r="3433" spans="1:2" x14ac:dyDescent="0.2">
      <c r="A3433" s="95"/>
      <c r="B3433" s="111"/>
    </row>
    <row r="3434" spans="1:2" x14ac:dyDescent="0.2">
      <c r="A3434" s="95"/>
      <c r="B3434" s="111"/>
    </row>
    <row r="3435" spans="1:2" x14ac:dyDescent="0.2">
      <c r="A3435" s="95"/>
      <c r="B3435" s="111"/>
    </row>
    <row r="3436" spans="1:2" x14ac:dyDescent="0.2">
      <c r="A3436" s="95"/>
      <c r="B3436" s="111"/>
    </row>
    <row r="3437" spans="1:2" x14ac:dyDescent="0.2">
      <c r="A3437" s="95"/>
      <c r="B3437" s="111"/>
    </row>
    <row r="3438" spans="1:2" x14ac:dyDescent="0.2">
      <c r="A3438" s="95"/>
      <c r="B3438" s="111"/>
    </row>
    <row r="3439" spans="1:2" x14ac:dyDescent="0.2">
      <c r="A3439" s="95"/>
      <c r="B3439" s="111"/>
    </row>
    <row r="3440" spans="1:2" x14ac:dyDescent="0.2">
      <c r="A3440" s="95"/>
      <c r="B3440" s="111"/>
    </row>
    <row r="3441" spans="1:2" x14ac:dyDescent="0.2">
      <c r="A3441" s="95"/>
      <c r="B3441" s="111"/>
    </row>
    <row r="3442" spans="1:2" x14ac:dyDescent="0.2">
      <c r="A3442" s="95"/>
      <c r="B3442" s="111"/>
    </row>
    <row r="3443" spans="1:2" x14ac:dyDescent="0.2">
      <c r="A3443" s="95"/>
      <c r="B3443" s="111"/>
    </row>
    <row r="3444" spans="1:2" x14ac:dyDescent="0.2">
      <c r="A3444" s="95"/>
      <c r="B3444" s="111"/>
    </row>
    <row r="3445" spans="1:2" x14ac:dyDescent="0.2">
      <c r="A3445" s="95"/>
      <c r="B3445" s="111"/>
    </row>
    <row r="3446" spans="1:2" x14ac:dyDescent="0.2">
      <c r="A3446" s="95"/>
      <c r="B3446" s="111"/>
    </row>
    <row r="3447" spans="1:2" x14ac:dyDescent="0.2">
      <c r="A3447" s="95"/>
      <c r="B3447" s="111"/>
    </row>
    <row r="3448" spans="1:2" x14ac:dyDescent="0.2">
      <c r="A3448" s="95"/>
      <c r="B3448" s="111"/>
    </row>
    <row r="3449" spans="1:2" x14ac:dyDescent="0.2">
      <c r="A3449" s="95"/>
      <c r="B3449" s="111"/>
    </row>
    <row r="3450" spans="1:2" x14ac:dyDescent="0.2">
      <c r="A3450" s="95"/>
      <c r="B3450" s="111"/>
    </row>
    <row r="3451" spans="1:2" x14ac:dyDescent="0.2">
      <c r="A3451" s="95"/>
      <c r="B3451" s="111"/>
    </row>
    <row r="3452" spans="1:2" x14ac:dyDescent="0.2">
      <c r="A3452" s="95"/>
      <c r="B3452" s="111"/>
    </row>
    <row r="3453" spans="1:2" x14ac:dyDescent="0.2">
      <c r="A3453" s="95"/>
      <c r="B3453" s="111"/>
    </row>
    <row r="3454" spans="1:2" x14ac:dyDescent="0.2">
      <c r="A3454" s="95"/>
      <c r="B3454" s="111"/>
    </row>
    <row r="3455" spans="1:2" x14ac:dyDescent="0.2">
      <c r="A3455" s="95"/>
      <c r="B3455" s="111"/>
    </row>
    <row r="3456" spans="1:2" x14ac:dyDescent="0.2">
      <c r="A3456" s="95"/>
      <c r="B3456" s="111"/>
    </row>
    <row r="3457" spans="1:2" x14ac:dyDescent="0.2">
      <c r="A3457" s="95"/>
      <c r="B3457" s="111"/>
    </row>
    <row r="3458" spans="1:2" x14ac:dyDescent="0.2">
      <c r="A3458" s="95"/>
      <c r="B3458" s="111"/>
    </row>
    <row r="3459" spans="1:2" x14ac:dyDescent="0.2">
      <c r="A3459" s="95"/>
      <c r="B3459" s="111"/>
    </row>
    <row r="3460" spans="1:2" x14ac:dyDescent="0.2">
      <c r="A3460" s="95"/>
      <c r="B3460" s="111"/>
    </row>
    <row r="3461" spans="1:2" x14ac:dyDescent="0.2">
      <c r="A3461" s="95"/>
      <c r="B3461" s="111"/>
    </row>
    <row r="3462" spans="1:2" x14ac:dyDescent="0.2">
      <c r="A3462" s="95"/>
      <c r="B3462" s="111"/>
    </row>
    <row r="3463" spans="1:2" x14ac:dyDescent="0.2">
      <c r="A3463" s="95"/>
      <c r="B3463" s="111"/>
    </row>
    <row r="3464" spans="1:2" x14ac:dyDescent="0.2">
      <c r="A3464" s="95"/>
      <c r="B3464" s="111"/>
    </row>
    <row r="3465" spans="1:2" x14ac:dyDescent="0.2">
      <c r="A3465" s="95"/>
      <c r="B3465" s="111"/>
    </row>
    <row r="3466" spans="1:2" x14ac:dyDescent="0.2">
      <c r="A3466" s="95"/>
      <c r="B3466" s="111"/>
    </row>
    <row r="3467" spans="1:2" x14ac:dyDescent="0.2">
      <c r="A3467" s="95"/>
      <c r="B3467" s="111"/>
    </row>
    <row r="3468" spans="1:2" x14ac:dyDescent="0.2">
      <c r="A3468" s="95"/>
      <c r="B3468" s="111"/>
    </row>
    <row r="3469" spans="1:2" x14ac:dyDescent="0.2">
      <c r="A3469" s="95"/>
      <c r="B3469" s="111"/>
    </row>
    <row r="3470" spans="1:2" x14ac:dyDescent="0.2">
      <c r="A3470" s="95"/>
      <c r="B3470" s="111"/>
    </row>
    <row r="3471" spans="1:2" x14ac:dyDescent="0.2">
      <c r="A3471" s="95"/>
      <c r="B3471" s="111"/>
    </row>
    <row r="3472" spans="1:2" x14ac:dyDescent="0.2">
      <c r="A3472" s="95"/>
      <c r="B3472" s="111"/>
    </row>
    <row r="3473" spans="1:2" x14ac:dyDescent="0.2">
      <c r="A3473" s="95"/>
      <c r="B3473" s="111"/>
    </row>
    <row r="3474" spans="1:2" x14ac:dyDescent="0.2">
      <c r="A3474" s="95"/>
      <c r="B3474" s="111"/>
    </row>
    <row r="3475" spans="1:2" x14ac:dyDescent="0.2">
      <c r="A3475" s="95"/>
      <c r="B3475" s="111"/>
    </row>
    <row r="3476" spans="1:2" x14ac:dyDescent="0.2">
      <c r="A3476" s="95"/>
      <c r="B3476" s="111"/>
    </row>
    <row r="3477" spans="1:2" x14ac:dyDescent="0.2">
      <c r="A3477" s="95"/>
      <c r="B3477" s="111"/>
    </row>
    <row r="3478" spans="1:2" x14ac:dyDescent="0.2">
      <c r="A3478" s="95"/>
      <c r="B3478" s="111"/>
    </row>
    <row r="3479" spans="1:2" x14ac:dyDescent="0.2">
      <c r="A3479" s="95"/>
      <c r="B3479" s="111"/>
    </row>
    <row r="3480" spans="1:2" x14ac:dyDescent="0.2">
      <c r="A3480" s="95"/>
      <c r="B3480" s="111"/>
    </row>
    <row r="3481" spans="1:2" x14ac:dyDescent="0.2">
      <c r="A3481" s="95"/>
      <c r="B3481" s="111"/>
    </row>
    <row r="3482" spans="1:2" x14ac:dyDescent="0.2">
      <c r="A3482" s="95"/>
      <c r="B3482" s="111"/>
    </row>
    <row r="3483" spans="1:2" x14ac:dyDescent="0.2">
      <c r="A3483" s="95"/>
      <c r="B3483" s="111"/>
    </row>
    <row r="3484" spans="1:2" x14ac:dyDescent="0.2">
      <c r="A3484" s="95"/>
      <c r="B3484" s="111"/>
    </row>
    <row r="3485" spans="1:2" x14ac:dyDescent="0.2">
      <c r="A3485" s="95"/>
      <c r="B3485" s="111"/>
    </row>
    <row r="3486" spans="1:2" x14ac:dyDescent="0.2">
      <c r="A3486" s="95"/>
      <c r="B3486" s="111"/>
    </row>
    <row r="3487" spans="1:2" x14ac:dyDescent="0.2">
      <c r="A3487" s="95"/>
      <c r="B3487" s="111"/>
    </row>
    <row r="3488" spans="1:2" x14ac:dyDescent="0.2">
      <c r="A3488" s="95"/>
      <c r="B3488" s="111"/>
    </row>
    <row r="3489" spans="1:2" x14ac:dyDescent="0.2">
      <c r="A3489" s="95"/>
      <c r="B3489" s="111"/>
    </row>
    <row r="3490" spans="1:2" x14ac:dyDescent="0.2">
      <c r="A3490" s="95"/>
      <c r="B3490" s="111"/>
    </row>
    <row r="3491" spans="1:2" x14ac:dyDescent="0.2">
      <c r="A3491" s="95"/>
      <c r="B3491" s="111"/>
    </row>
    <row r="3492" spans="1:2" x14ac:dyDescent="0.2">
      <c r="A3492" s="95"/>
      <c r="B3492" s="111"/>
    </row>
    <row r="3493" spans="1:2" x14ac:dyDescent="0.2">
      <c r="A3493" s="95"/>
      <c r="B3493" s="111"/>
    </row>
    <row r="3494" spans="1:2" x14ac:dyDescent="0.2">
      <c r="A3494" s="95"/>
      <c r="B3494" s="111"/>
    </row>
    <row r="3495" spans="1:2" x14ac:dyDescent="0.2">
      <c r="A3495" s="95"/>
      <c r="B3495" s="111"/>
    </row>
    <row r="3496" spans="1:2" x14ac:dyDescent="0.2">
      <c r="A3496" s="95"/>
      <c r="B3496" s="111"/>
    </row>
    <row r="3497" spans="1:2" x14ac:dyDescent="0.2">
      <c r="A3497" s="95"/>
      <c r="B3497" s="111"/>
    </row>
    <row r="3498" spans="1:2" x14ac:dyDescent="0.2">
      <c r="A3498" s="95"/>
      <c r="B3498" s="111"/>
    </row>
    <row r="3499" spans="1:2" x14ac:dyDescent="0.2">
      <c r="A3499" s="95"/>
      <c r="B3499" s="111"/>
    </row>
    <row r="3500" spans="1:2" x14ac:dyDescent="0.2">
      <c r="A3500" s="95"/>
      <c r="B3500" s="111"/>
    </row>
    <row r="3501" spans="1:2" x14ac:dyDescent="0.2">
      <c r="A3501" s="95"/>
      <c r="B3501" s="111"/>
    </row>
    <row r="3502" spans="1:2" x14ac:dyDescent="0.2">
      <c r="A3502" s="95"/>
      <c r="B3502" s="111"/>
    </row>
    <row r="3503" spans="1:2" x14ac:dyDescent="0.2">
      <c r="A3503" s="95"/>
      <c r="B3503" s="111"/>
    </row>
    <row r="3504" spans="1:2" x14ac:dyDescent="0.2">
      <c r="A3504" s="95"/>
      <c r="B3504" s="111"/>
    </row>
    <row r="3505" spans="1:2" x14ac:dyDescent="0.2">
      <c r="A3505" s="95"/>
      <c r="B3505" s="111"/>
    </row>
    <row r="3506" spans="1:2" x14ac:dyDescent="0.2">
      <c r="A3506" s="95"/>
      <c r="B3506" s="111"/>
    </row>
    <row r="3507" spans="1:2" x14ac:dyDescent="0.2">
      <c r="A3507" s="95"/>
      <c r="B3507" s="111"/>
    </row>
    <row r="3508" spans="1:2" x14ac:dyDescent="0.2">
      <c r="A3508" s="95"/>
      <c r="B3508" s="111"/>
    </row>
    <row r="3509" spans="1:2" x14ac:dyDescent="0.2">
      <c r="A3509" s="95"/>
      <c r="B3509" s="111"/>
    </row>
    <row r="3510" spans="1:2" x14ac:dyDescent="0.2">
      <c r="A3510" s="95"/>
      <c r="B3510" s="111"/>
    </row>
    <row r="3511" spans="1:2" x14ac:dyDescent="0.2">
      <c r="A3511" s="95"/>
      <c r="B3511" s="111"/>
    </row>
    <row r="3512" spans="1:2" x14ac:dyDescent="0.2">
      <c r="A3512" s="95"/>
      <c r="B3512" s="111"/>
    </row>
    <row r="3513" spans="1:2" x14ac:dyDescent="0.2">
      <c r="A3513" s="95"/>
      <c r="B3513" s="111"/>
    </row>
    <row r="3514" spans="1:2" x14ac:dyDescent="0.2">
      <c r="A3514" s="95"/>
      <c r="B3514" s="111"/>
    </row>
    <row r="3515" spans="1:2" x14ac:dyDescent="0.2">
      <c r="A3515" s="95"/>
      <c r="B3515" s="111"/>
    </row>
    <row r="3516" spans="1:2" x14ac:dyDescent="0.2">
      <c r="A3516" s="95"/>
      <c r="B3516" s="111"/>
    </row>
    <row r="3517" spans="1:2" x14ac:dyDescent="0.2">
      <c r="A3517" s="95"/>
      <c r="B3517" s="111"/>
    </row>
    <row r="3518" spans="1:2" x14ac:dyDescent="0.2">
      <c r="A3518" s="95"/>
      <c r="B3518" s="111"/>
    </row>
    <row r="3519" spans="1:2" x14ac:dyDescent="0.2">
      <c r="A3519" s="95"/>
      <c r="B3519" s="111"/>
    </row>
    <row r="3520" spans="1:2" x14ac:dyDescent="0.2">
      <c r="A3520" s="95"/>
      <c r="B3520" s="111"/>
    </row>
    <row r="3521" spans="1:2" x14ac:dyDescent="0.2">
      <c r="A3521" s="95"/>
      <c r="B3521" s="111"/>
    </row>
    <row r="3522" spans="1:2" x14ac:dyDescent="0.2">
      <c r="A3522" s="95"/>
      <c r="B3522" s="111"/>
    </row>
    <row r="3523" spans="1:2" x14ac:dyDescent="0.2">
      <c r="A3523" s="95"/>
      <c r="B3523" s="111"/>
    </row>
    <row r="3524" spans="1:2" x14ac:dyDescent="0.2">
      <c r="A3524" s="95"/>
      <c r="B3524" s="111"/>
    </row>
    <row r="3525" spans="1:2" x14ac:dyDescent="0.2">
      <c r="A3525" s="95"/>
      <c r="B3525" s="111"/>
    </row>
    <row r="3526" spans="1:2" x14ac:dyDescent="0.2">
      <c r="A3526" s="95"/>
      <c r="B3526" s="111"/>
    </row>
    <row r="3527" spans="1:2" x14ac:dyDescent="0.2">
      <c r="A3527" s="95"/>
      <c r="B3527" s="111"/>
    </row>
    <row r="3528" spans="1:2" x14ac:dyDescent="0.2">
      <c r="A3528" s="95"/>
      <c r="B3528" s="111"/>
    </row>
    <row r="3529" spans="1:2" x14ac:dyDescent="0.2">
      <c r="A3529" s="95"/>
      <c r="B3529" s="111"/>
    </row>
    <row r="3530" spans="1:2" x14ac:dyDescent="0.2">
      <c r="A3530" s="95"/>
      <c r="B3530" s="111"/>
    </row>
    <row r="3531" spans="1:2" x14ac:dyDescent="0.2">
      <c r="A3531" s="95"/>
      <c r="B3531" s="111"/>
    </row>
    <row r="3532" spans="1:2" x14ac:dyDescent="0.2">
      <c r="A3532" s="95"/>
      <c r="B3532" s="111"/>
    </row>
    <row r="3533" spans="1:2" x14ac:dyDescent="0.2">
      <c r="A3533" s="95"/>
      <c r="B3533" s="111"/>
    </row>
    <row r="3534" spans="1:2" x14ac:dyDescent="0.2">
      <c r="A3534" s="95"/>
      <c r="B3534" s="111"/>
    </row>
    <row r="3535" spans="1:2" x14ac:dyDescent="0.2">
      <c r="A3535" s="95"/>
      <c r="B3535" s="111"/>
    </row>
    <row r="3536" spans="1:2" x14ac:dyDescent="0.2">
      <c r="A3536" s="95"/>
      <c r="B3536" s="111"/>
    </row>
    <row r="3537" spans="1:2" x14ac:dyDescent="0.2">
      <c r="A3537" s="95"/>
      <c r="B3537" s="111"/>
    </row>
    <row r="3538" spans="1:2" x14ac:dyDescent="0.2">
      <c r="A3538" s="95"/>
      <c r="B3538" s="111"/>
    </row>
    <row r="3539" spans="1:2" x14ac:dyDescent="0.2">
      <c r="A3539" s="95"/>
      <c r="B3539" s="111"/>
    </row>
    <row r="3540" spans="1:2" x14ac:dyDescent="0.2">
      <c r="A3540" s="95"/>
      <c r="B3540" s="111"/>
    </row>
    <row r="3541" spans="1:2" x14ac:dyDescent="0.2">
      <c r="A3541" s="95"/>
      <c r="B3541" s="111"/>
    </row>
    <row r="3542" spans="1:2" x14ac:dyDescent="0.2">
      <c r="A3542" s="95"/>
      <c r="B3542" s="111"/>
    </row>
    <row r="3543" spans="1:2" x14ac:dyDescent="0.2">
      <c r="A3543" s="95"/>
      <c r="B3543" s="111"/>
    </row>
    <row r="3544" spans="1:2" x14ac:dyDescent="0.2">
      <c r="A3544" s="95"/>
      <c r="B3544" s="111"/>
    </row>
    <row r="3545" spans="1:2" x14ac:dyDescent="0.2">
      <c r="A3545" s="95"/>
      <c r="B3545" s="111"/>
    </row>
    <row r="3546" spans="1:2" x14ac:dyDescent="0.2">
      <c r="A3546" s="95"/>
      <c r="B3546" s="111"/>
    </row>
    <row r="3547" spans="1:2" x14ac:dyDescent="0.2">
      <c r="A3547" s="95"/>
      <c r="B3547" s="111"/>
    </row>
    <row r="3548" spans="1:2" x14ac:dyDescent="0.2">
      <c r="A3548" s="95"/>
      <c r="B3548" s="111"/>
    </row>
    <row r="3549" spans="1:2" x14ac:dyDescent="0.2">
      <c r="A3549" s="95"/>
      <c r="B3549" s="111"/>
    </row>
    <row r="3550" spans="1:2" x14ac:dyDescent="0.2">
      <c r="A3550" s="95"/>
      <c r="B3550" s="111"/>
    </row>
    <row r="3551" spans="1:2" x14ac:dyDescent="0.2">
      <c r="A3551" s="95"/>
      <c r="B3551" s="111"/>
    </row>
    <row r="3552" spans="1:2" x14ac:dyDescent="0.2">
      <c r="A3552" s="95"/>
      <c r="B3552" s="111"/>
    </row>
    <row r="3553" spans="1:2" x14ac:dyDescent="0.2">
      <c r="A3553" s="95"/>
      <c r="B3553" s="111"/>
    </row>
    <row r="3554" spans="1:2" x14ac:dyDescent="0.2">
      <c r="A3554" s="95"/>
      <c r="B3554" s="111"/>
    </row>
    <row r="3555" spans="1:2" x14ac:dyDescent="0.2">
      <c r="A3555" s="95"/>
      <c r="B3555" s="111"/>
    </row>
    <row r="3556" spans="1:2" x14ac:dyDescent="0.2">
      <c r="A3556" s="95"/>
      <c r="B3556" s="111"/>
    </row>
    <row r="3557" spans="1:2" x14ac:dyDescent="0.2">
      <c r="A3557" s="95"/>
      <c r="B3557" s="111"/>
    </row>
    <row r="3558" spans="1:2" x14ac:dyDescent="0.2">
      <c r="A3558" s="95"/>
      <c r="B3558" s="111"/>
    </row>
    <row r="3559" spans="1:2" x14ac:dyDescent="0.2">
      <c r="A3559" s="95"/>
      <c r="B3559" s="111"/>
    </row>
    <row r="3560" spans="1:2" x14ac:dyDescent="0.2">
      <c r="A3560" s="95"/>
      <c r="B3560" s="111"/>
    </row>
    <row r="3561" spans="1:2" x14ac:dyDescent="0.2">
      <c r="A3561" s="95"/>
      <c r="B3561" s="111"/>
    </row>
    <row r="3562" spans="1:2" x14ac:dyDescent="0.2">
      <c r="A3562" s="95"/>
      <c r="B3562" s="111"/>
    </row>
    <row r="3563" spans="1:2" x14ac:dyDescent="0.2">
      <c r="A3563" s="95"/>
      <c r="B3563" s="111"/>
    </row>
    <row r="3564" spans="1:2" x14ac:dyDescent="0.2">
      <c r="A3564" s="95"/>
      <c r="B3564" s="111"/>
    </row>
    <row r="3565" spans="1:2" x14ac:dyDescent="0.2">
      <c r="A3565" s="95"/>
      <c r="B3565" s="111"/>
    </row>
    <row r="3566" spans="1:2" x14ac:dyDescent="0.2">
      <c r="A3566" s="95"/>
      <c r="B3566" s="111"/>
    </row>
    <row r="3567" spans="1:2" x14ac:dyDescent="0.2">
      <c r="A3567" s="95"/>
      <c r="B3567" s="111"/>
    </row>
    <row r="3568" spans="1:2" x14ac:dyDescent="0.2">
      <c r="A3568" s="95"/>
      <c r="B3568" s="111"/>
    </row>
    <row r="3569" spans="1:2" x14ac:dyDescent="0.2">
      <c r="A3569" s="95"/>
      <c r="B3569" s="111"/>
    </row>
    <row r="3570" spans="1:2" x14ac:dyDescent="0.2">
      <c r="A3570" s="95"/>
      <c r="B3570" s="111"/>
    </row>
    <row r="3571" spans="1:2" x14ac:dyDescent="0.2">
      <c r="A3571" s="95"/>
      <c r="B3571" s="111"/>
    </row>
    <row r="3572" spans="1:2" x14ac:dyDescent="0.2">
      <c r="A3572" s="95"/>
      <c r="B3572" s="111"/>
    </row>
    <row r="3573" spans="1:2" x14ac:dyDescent="0.2">
      <c r="A3573" s="95"/>
      <c r="B3573" s="111"/>
    </row>
    <row r="3574" spans="1:2" x14ac:dyDescent="0.2">
      <c r="A3574" s="95"/>
      <c r="B3574" s="111"/>
    </row>
    <row r="3575" spans="1:2" x14ac:dyDescent="0.2">
      <c r="A3575" s="95"/>
      <c r="B3575" s="111"/>
    </row>
    <row r="3576" spans="1:2" x14ac:dyDescent="0.2">
      <c r="A3576" s="95"/>
      <c r="B3576" s="111"/>
    </row>
    <row r="3577" spans="1:2" x14ac:dyDescent="0.2">
      <c r="A3577" s="95"/>
      <c r="B3577" s="111"/>
    </row>
    <row r="3578" spans="1:2" x14ac:dyDescent="0.2">
      <c r="A3578" s="95"/>
      <c r="B3578" s="111"/>
    </row>
    <row r="3579" spans="1:2" x14ac:dyDescent="0.2">
      <c r="A3579" s="95"/>
      <c r="B3579" s="111"/>
    </row>
    <row r="3580" spans="1:2" x14ac:dyDescent="0.2">
      <c r="A3580" s="95"/>
      <c r="B3580" s="111"/>
    </row>
    <row r="3581" spans="1:2" x14ac:dyDescent="0.2">
      <c r="A3581" s="95"/>
      <c r="B3581" s="111"/>
    </row>
    <row r="3582" spans="1:2" x14ac:dyDescent="0.2">
      <c r="A3582" s="95"/>
      <c r="B3582" s="111"/>
    </row>
    <row r="3583" spans="1:2" x14ac:dyDescent="0.2">
      <c r="A3583" s="95"/>
      <c r="B3583" s="111"/>
    </row>
    <row r="3584" spans="1:2" x14ac:dyDescent="0.2">
      <c r="A3584" s="95"/>
      <c r="B3584" s="111"/>
    </row>
    <row r="3585" spans="1:2" x14ac:dyDescent="0.2">
      <c r="A3585" s="95"/>
      <c r="B3585" s="111"/>
    </row>
    <row r="3586" spans="1:2" x14ac:dyDescent="0.2">
      <c r="A3586" s="95"/>
      <c r="B3586" s="111"/>
    </row>
    <row r="3587" spans="1:2" x14ac:dyDescent="0.2">
      <c r="A3587" s="95"/>
      <c r="B3587" s="111"/>
    </row>
    <row r="3588" spans="1:2" x14ac:dyDescent="0.2">
      <c r="A3588" s="95"/>
      <c r="B3588" s="111"/>
    </row>
    <row r="3589" spans="1:2" x14ac:dyDescent="0.2">
      <c r="A3589" s="95"/>
      <c r="B3589" s="111"/>
    </row>
    <row r="3590" spans="1:2" x14ac:dyDescent="0.2">
      <c r="A3590" s="95"/>
      <c r="B3590" s="111"/>
    </row>
    <row r="3591" spans="1:2" x14ac:dyDescent="0.2">
      <c r="A3591" s="95"/>
      <c r="B3591" s="111"/>
    </row>
    <row r="3592" spans="1:2" x14ac:dyDescent="0.2">
      <c r="A3592" s="95"/>
      <c r="B3592" s="111"/>
    </row>
    <row r="3593" spans="1:2" x14ac:dyDescent="0.2">
      <c r="A3593" s="95"/>
      <c r="B3593" s="111"/>
    </row>
    <row r="3594" spans="1:2" x14ac:dyDescent="0.2">
      <c r="A3594" s="95"/>
      <c r="B3594" s="111"/>
    </row>
    <row r="3595" spans="1:2" x14ac:dyDescent="0.2">
      <c r="A3595" s="95"/>
      <c r="B3595" s="111"/>
    </row>
    <row r="3596" spans="1:2" x14ac:dyDescent="0.2">
      <c r="A3596" s="95"/>
      <c r="B3596" s="111"/>
    </row>
    <row r="3597" spans="1:2" x14ac:dyDescent="0.2">
      <c r="A3597" s="95"/>
      <c r="B3597" s="111"/>
    </row>
    <row r="3598" spans="1:2" x14ac:dyDescent="0.2">
      <c r="A3598" s="95"/>
      <c r="B3598" s="111"/>
    </row>
    <row r="3599" spans="1:2" x14ac:dyDescent="0.2">
      <c r="A3599" s="95"/>
      <c r="B3599" s="111"/>
    </row>
    <row r="3600" spans="1:2" x14ac:dyDescent="0.2">
      <c r="A3600" s="95"/>
      <c r="B3600" s="111"/>
    </row>
    <row r="3601" spans="1:2" x14ac:dyDescent="0.2">
      <c r="A3601" s="95"/>
      <c r="B3601" s="111"/>
    </row>
    <row r="3602" spans="1:2" x14ac:dyDescent="0.2">
      <c r="A3602" s="95"/>
      <c r="B3602" s="111"/>
    </row>
    <row r="3603" spans="1:2" x14ac:dyDescent="0.2">
      <c r="A3603" s="95"/>
      <c r="B3603" s="111"/>
    </row>
    <row r="3604" spans="1:2" x14ac:dyDescent="0.2">
      <c r="A3604" s="95"/>
      <c r="B3604" s="111"/>
    </row>
    <row r="3605" spans="1:2" x14ac:dyDescent="0.2">
      <c r="A3605" s="95"/>
      <c r="B3605" s="111"/>
    </row>
    <row r="3606" spans="1:2" x14ac:dyDescent="0.2">
      <c r="A3606" s="95"/>
      <c r="B3606" s="111"/>
    </row>
    <row r="3607" spans="1:2" x14ac:dyDescent="0.2">
      <c r="A3607" s="95"/>
      <c r="B3607" s="111"/>
    </row>
    <row r="3608" spans="1:2" x14ac:dyDescent="0.2">
      <c r="A3608" s="95"/>
      <c r="B3608" s="111"/>
    </row>
    <row r="3609" spans="1:2" x14ac:dyDescent="0.2">
      <c r="A3609" s="95"/>
      <c r="B3609" s="111"/>
    </row>
    <row r="3610" spans="1:2" x14ac:dyDescent="0.2">
      <c r="A3610" s="95"/>
      <c r="B3610" s="111"/>
    </row>
    <row r="3611" spans="1:2" x14ac:dyDescent="0.2">
      <c r="A3611" s="95"/>
      <c r="B3611" s="111"/>
    </row>
    <row r="3612" spans="1:2" x14ac:dyDescent="0.2">
      <c r="A3612" s="95"/>
      <c r="B3612" s="111"/>
    </row>
    <row r="3613" spans="1:2" x14ac:dyDescent="0.2">
      <c r="A3613" s="95"/>
      <c r="B3613" s="111"/>
    </row>
    <row r="3614" spans="1:2" x14ac:dyDescent="0.2">
      <c r="A3614" s="95"/>
      <c r="B3614" s="111"/>
    </row>
    <row r="3615" spans="1:2" x14ac:dyDescent="0.2">
      <c r="A3615" s="95"/>
      <c r="B3615" s="111"/>
    </row>
    <row r="3616" spans="1:2" x14ac:dyDescent="0.2">
      <c r="A3616" s="95"/>
      <c r="B3616" s="111"/>
    </row>
    <row r="3617" spans="1:2" x14ac:dyDescent="0.2">
      <c r="A3617" s="95"/>
      <c r="B3617" s="111"/>
    </row>
    <row r="3618" spans="1:2" x14ac:dyDescent="0.2">
      <c r="A3618" s="95"/>
      <c r="B3618" s="111"/>
    </row>
    <row r="3619" spans="1:2" x14ac:dyDescent="0.2">
      <c r="A3619" s="95"/>
      <c r="B3619" s="111"/>
    </row>
    <row r="3620" spans="1:2" x14ac:dyDescent="0.2">
      <c r="A3620" s="95"/>
      <c r="B3620" s="111"/>
    </row>
    <row r="3621" spans="1:2" x14ac:dyDescent="0.2">
      <c r="A3621" s="95"/>
      <c r="B3621" s="111"/>
    </row>
    <row r="3622" spans="1:2" x14ac:dyDescent="0.2">
      <c r="A3622" s="95"/>
      <c r="B3622" s="111"/>
    </row>
    <row r="3623" spans="1:2" x14ac:dyDescent="0.2">
      <c r="A3623" s="95"/>
      <c r="B3623" s="111"/>
    </row>
    <row r="3624" spans="1:2" x14ac:dyDescent="0.2">
      <c r="A3624" s="95"/>
      <c r="B3624" s="111"/>
    </row>
    <row r="3625" spans="1:2" x14ac:dyDescent="0.2">
      <c r="A3625" s="95"/>
      <c r="B3625" s="111"/>
    </row>
    <row r="3626" spans="1:2" x14ac:dyDescent="0.2">
      <c r="A3626" s="95"/>
      <c r="B3626" s="111"/>
    </row>
    <row r="3627" spans="1:2" x14ac:dyDescent="0.2">
      <c r="A3627" s="95"/>
      <c r="B3627" s="111"/>
    </row>
    <row r="3628" spans="1:2" x14ac:dyDescent="0.2">
      <c r="A3628" s="95"/>
      <c r="B3628" s="111"/>
    </row>
    <row r="3629" spans="1:2" x14ac:dyDescent="0.2">
      <c r="A3629" s="95"/>
      <c r="B3629" s="111"/>
    </row>
    <row r="3630" spans="1:2" x14ac:dyDescent="0.2">
      <c r="A3630" s="95"/>
      <c r="B3630" s="111"/>
    </row>
    <row r="3631" spans="1:2" x14ac:dyDescent="0.2">
      <c r="A3631" s="95"/>
      <c r="B3631" s="111"/>
    </row>
    <row r="3632" spans="1:2" x14ac:dyDescent="0.2">
      <c r="A3632" s="95"/>
      <c r="B3632" s="111"/>
    </row>
    <row r="3633" spans="1:2" x14ac:dyDescent="0.2">
      <c r="A3633" s="95"/>
      <c r="B3633" s="111"/>
    </row>
    <row r="3634" spans="1:2" x14ac:dyDescent="0.2">
      <c r="A3634" s="95"/>
      <c r="B3634" s="111"/>
    </row>
    <row r="3635" spans="1:2" x14ac:dyDescent="0.2">
      <c r="A3635" s="95"/>
      <c r="B3635" s="111"/>
    </row>
    <row r="3636" spans="1:2" x14ac:dyDescent="0.2">
      <c r="A3636" s="95"/>
      <c r="B3636" s="111"/>
    </row>
    <row r="3637" spans="1:2" x14ac:dyDescent="0.2">
      <c r="A3637" s="95"/>
      <c r="B3637" s="111"/>
    </row>
    <row r="3638" spans="1:2" x14ac:dyDescent="0.2">
      <c r="A3638" s="95"/>
      <c r="B3638" s="111"/>
    </row>
    <row r="3639" spans="1:2" x14ac:dyDescent="0.2">
      <c r="A3639" s="95"/>
      <c r="B3639" s="111"/>
    </row>
    <row r="3640" spans="1:2" x14ac:dyDescent="0.2">
      <c r="A3640" s="95"/>
      <c r="B3640" s="111"/>
    </row>
    <row r="3641" spans="1:2" x14ac:dyDescent="0.2">
      <c r="A3641" s="95"/>
      <c r="B3641" s="111"/>
    </row>
    <row r="3642" spans="1:2" x14ac:dyDescent="0.2">
      <c r="A3642" s="95"/>
      <c r="B3642" s="111"/>
    </row>
    <row r="3643" spans="1:2" x14ac:dyDescent="0.2">
      <c r="A3643" s="95"/>
      <c r="B3643" s="111"/>
    </row>
    <row r="3644" spans="1:2" x14ac:dyDescent="0.2">
      <c r="A3644" s="95"/>
      <c r="B3644" s="111"/>
    </row>
    <row r="3645" spans="1:2" x14ac:dyDescent="0.2">
      <c r="A3645" s="95"/>
      <c r="B3645" s="111"/>
    </row>
    <row r="3646" spans="1:2" x14ac:dyDescent="0.2">
      <c r="A3646" s="95"/>
      <c r="B3646" s="111"/>
    </row>
    <row r="3647" spans="1:2" x14ac:dyDescent="0.2">
      <c r="A3647" s="95"/>
      <c r="B3647" s="111"/>
    </row>
    <row r="3648" spans="1:2" x14ac:dyDescent="0.2">
      <c r="A3648" s="95"/>
      <c r="B3648" s="111"/>
    </row>
    <row r="3649" spans="1:2" x14ac:dyDescent="0.2">
      <c r="A3649" s="95"/>
      <c r="B3649" s="111"/>
    </row>
    <row r="3650" spans="1:2" x14ac:dyDescent="0.2">
      <c r="A3650" s="95"/>
      <c r="B3650" s="111"/>
    </row>
    <row r="3651" spans="1:2" x14ac:dyDescent="0.2">
      <c r="A3651" s="95"/>
      <c r="B3651" s="111"/>
    </row>
    <row r="3652" spans="1:2" x14ac:dyDescent="0.2">
      <c r="A3652" s="95"/>
      <c r="B3652" s="111"/>
    </row>
    <row r="3653" spans="1:2" x14ac:dyDescent="0.2">
      <c r="A3653" s="95"/>
      <c r="B3653" s="111"/>
    </row>
    <row r="3654" spans="1:2" x14ac:dyDescent="0.2">
      <c r="A3654" s="95"/>
      <c r="B3654" s="111"/>
    </row>
    <row r="3655" spans="1:2" x14ac:dyDescent="0.2">
      <c r="A3655" s="95"/>
      <c r="B3655" s="111"/>
    </row>
    <row r="3656" spans="1:2" x14ac:dyDescent="0.2">
      <c r="A3656" s="95"/>
      <c r="B3656" s="111"/>
    </row>
    <row r="3657" spans="1:2" x14ac:dyDescent="0.2">
      <c r="A3657" s="95"/>
      <c r="B3657" s="111"/>
    </row>
    <row r="3658" spans="1:2" x14ac:dyDescent="0.2">
      <c r="A3658" s="95"/>
      <c r="B3658" s="111"/>
    </row>
    <row r="3659" spans="1:2" x14ac:dyDescent="0.2">
      <c r="A3659" s="95"/>
      <c r="B3659" s="111"/>
    </row>
    <row r="3660" spans="1:2" x14ac:dyDescent="0.2">
      <c r="A3660" s="95"/>
      <c r="B3660" s="111"/>
    </row>
    <row r="3661" spans="1:2" x14ac:dyDescent="0.2">
      <c r="A3661" s="95"/>
      <c r="B3661" s="111"/>
    </row>
    <row r="3662" spans="1:2" x14ac:dyDescent="0.2">
      <c r="A3662" s="95"/>
      <c r="B3662" s="111"/>
    </row>
    <row r="3663" spans="1:2" x14ac:dyDescent="0.2">
      <c r="A3663" s="95"/>
      <c r="B3663" s="111"/>
    </row>
    <row r="3664" spans="1:2" x14ac:dyDescent="0.2">
      <c r="A3664" s="95"/>
      <c r="B3664" s="111"/>
    </row>
    <row r="3665" spans="1:2" x14ac:dyDescent="0.2">
      <c r="A3665" s="95"/>
      <c r="B3665" s="111"/>
    </row>
    <row r="3666" spans="1:2" x14ac:dyDescent="0.2">
      <c r="A3666" s="95"/>
      <c r="B3666" s="111"/>
    </row>
    <row r="3667" spans="1:2" x14ac:dyDescent="0.2">
      <c r="A3667" s="95"/>
      <c r="B3667" s="111"/>
    </row>
    <row r="3668" spans="1:2" x14ac:dyDescent="0.2">
      <c r="A3668" s="95"/>
      <c r="B3668" s="111"/>
    </row>
    <row r="3669" spans="1:2" x14ac:dyDescent="0.2">
      <c r="A3669" s="95"/>
      <c r="B3669" s="111"/>
    </row>
    <row r="3670" spans="1:2" x14ac:dyDescent="0.2">
      <c r="A3670" s="95"/>
      <c r="B3670" s="111"/>
    </row>
    <row r="3671" spans="1:2" x14ac:dyDescent="0.2">
      <c r="A3671" s="95"/>
      <c r="B3671" s="111"/>
    </row>
    <row r="3672" spans="1:2" x14ac:dyDescent="0.2">
      <c r="A3672" s="95"/>
      <c r="B3672" s="111"/>
    </row>
    <row r="3673" spans="1:2" x14ac:dyDescent="0.2">
      <c r="A3673" s="95"/>
      <c r="B3673" s="111"/>
    </row>
    <row r="3674" spans="1:2" x14ac:dyDescent="0.2">
      <c r="A3674" s="95"/>
      <c r="B3674" s="111"/>
    </row>
    <row r="3675" spans="1:2" x14ac:dyDescent="0.2">
      <c r="A3675" s="95"/>
      <c r="B3675" s="111"/>
    </row>
    <row r="3676" spans="1:2" x14ac:dyDescent="0.2">
      <c r="A3676" s="95"/>
      <c r="B3676" s="111"/>
    </row>
    <row r="3677" spans="1:2" x14ac:dyDescent="0.2">
      <c r="A3677" s="95"/>
      <c r="B3677" s="111"/>
    </row>
    <row r="3678" spans="1:2" x14ac:dyDescent="0.2">
      <c r="A3678" s="95"/>
      <c r="B3678" s="111"/>
    </row>
    <row r="3679" spans="1:2" x14ac:dyDescent="0.2">
      <c r="A3679" s="95"/>
      <c r="B3679" s="111"/>
    </row>
    <row r="3680" spans="1:2" x14ac:dyDescent="0.2">
      <c r="A3680" s="95"/>
      <c r="B3680" s="111"/>
    </row>
    <row r="3681" spans="1:2" x14ac:dyDescent="0.2">
      <c r="A3681" s="95"/>
      <c r="B3681" s="111"/>
    </row>
    <row r="3682" spans="1:2" x14ac:dyDescent="0.2">
      <c r="A3682" s="95"/>
      <c r="B3682" s="111"/>
    </row>
    <row r="3683" spans="1:2" x14ac:dyDescent="0.2">
      <c r="A3683" s="95"/>
      <c r="B3683" s="111"/>
    </row>
    <row r="3684" spans="1:2" x14ac:dyDescent="0.2">
      <c r="A3684" s="95"/>
      <c r="B3684" s="111"/>
    </row>
    <row r="3685" spans="1:2" x14ac:dyDescent="0.2">
      <c r="A3685" s="95"/>
      <c r="B3685" s="111"/>
    </row>
    <row r="3686" spans="1:2" x14ac:dyDescent="0.2">
      <c r="A3686" s="95"/>
      <c r="B3686" s="111"/>
    </row>
    <row r="3687" spans="1:2" x14ac:dyDescent="0.2">
      <c r="A3687" s="95"/>
      <c r="B3687" s="111"/>
    </row>
    <row r="3688" spans="1:2" x14ac:dyDescent="0.2">
      <c r="A3688" s="95"/>
      <c r="B3688" s="111"/>
    </row>
    <row r="3689" spans="1:2" x14ac:dyDescent="0.2">
      <c r="A3689" s="95"/>
      <c r="B3689" s="111"/>
    </row>
    <row r="3690" spans="1:2" x14ac:dyDescent="0.2">
      <c r="A3690" s="95"/>
      <c r="B3690" s="111"/>
    </row>
    <row r="3691" spans="1:2" x14ac:dyDescent="0.2">
      <c r="A3691" s="95"/>
      <c r="B3691" s="111"/>
    </row>
    <row r="3692" spans="1:2" x14ac:dyDescent="0.2">
      <c r="A3692" s="95"/>
      <c r="B3692" s="111"/>
    </row>
    <row r="3693" spans="1:2" x14ac:dyDescent="0.2">
      <c r="A3693" s="95"/>
      <c r="B3693" s="111"/>
    </row>
    <row r="3694" spans="1:2" x14ac:dyDescent="0.2">
      <c r="A3694" s="95"/>
      <c r="B3694" s="111"/>
    </row>
    <row r="3695" spans="1:2" x14ac:dyDescent="0.2">
      <c r="A3695" s="95"/>
      <c r="B3695" s="111"/>
    </row>
    <row r="3696" spans="1:2" x14ac:dyDescent="0.2">
      <c r="A3696" s="95"/>
      <c r="B3696" s="111"/>
    </row>
    <row r="3697" spans="1:2" x14ac:dyDescent="0.2">
      <c r="A3697" s="95"/>
      <c r="B3697" s="111"/>
    </row>
    <row r="3698" spans="1:2" x14ac:dyDescent="0.2">
      <c r="A3698" s="95"/>
      <c r="B3698" s="111"/>
    </row>
    <row r="3699" spans="1:2" x14ac:dyDescent="0.2">
      <c r="A3699" s="95"/>
      <c r="B3699" s="111"/>
    </row>
    <row r="3700" spans="1:2" x14ac:dyDescent="0.2">
      <c r="A3700" s="95"/>
      <c r="B3700" s="111"/>
    </row>
    <row r="3701" spans="1:2" x14ac:dyDescent="0.2">
      <c r="A3701" s="95"/>
      <c r="B3701" s="111"/>
    </row>
    <row r="3702" spans="1:2" x14ac:dyDescent="0.2">
      <c r="A3702" s="95"/>
      <c r="B3702" s="111"/>
    </row>
    <row r="3703" spans="1:2" x14ac:dyDescent="0.2">
      <c r="A3703" s="95"/>
      <c r="B3703" s="111"/>
    </row>
    <row r="3704" spans="1:2" x14ac:dyDescent="0.2">
      <c r="A3704" s="95"/>
      <c r="B3704" s="111"/>
    </row>
    <row r="3705" spans="1:2" x14ac:dyDescent="0.2">
      <c r="A3705" s="95"/>
      <c r="B3705" s="111"/>
    </row>
    <row r="3706" spans="1:2" x14ac:dyDescent="0.2">
      <c r="A3706" s="95"/>
      <c r="B3706" s="111"/>
    </row>
    <row r="3707" spans="1:2" x14ac:dyDescent="0.2">
      <c r="A3707" s="95"/>
      <c r="B3707" s="111"/>
    </row>
    <row r="3708" spans="1:2" x14ac:dyDescent="0.2">
      <c r="A3708" s="95"/>
      <c r="B3708" s="111"/>
    </row>
    <row r="3709" spans="1:2" x14ac:dyDescent="0.2">
      <c r="A3709" s="95"/>
      <c r="B3709" s="111"/>
    </row>
    <row r="3710" spans="1:2" x14ac:dyDescent="0.2">
      <c r="A3710" s="95"/>
      <c r="B3710" s="111"/>
    </row>
    <row r="3711" spans="1:2" x14ac:dyDescent="0.2">
      <c r="A3711" s="95"/>
      <c r="B3711" s="111"/>
    </row>
    <row r="3712" spans="1:2" x14ac:dyDescent="0.2">
      <c r="A3712" s="95"/>
      <c r="B3712" s="111"/>
    </row>
    <row r="3713" spans="1:2" x14ac:dyDescent="0.2">
      <c r="A3713" s="95"/>
      <c r="B3713" s="111"/>
    </row>
    <row r="3714" spans="1:2" x14ac:dyDescent="0.2">
      <c r="A3714" s="95"/>
      <c r="B3714" s="111"/>
    </row>
    <row r="3715" spans="1:2" x14ac:dyDescent="0.2">
      <c r="A3715" s="95"/>
      <c r="B3715" s="111"/>
    </row>
    <row r="3716" spans="1:2" x14ac:dyDescent="0.2">
      <c r="A3716" s="95"/>
      <c r="B3716" s="111"/>
    </row>
    <row r="3717" spans="1:2" x14ac:dyDescent="0.2">
      <c r="A3717" s="95"/>
      <c r="B3717" s="111"/>
    </row>
    <row r="3718" spans="1:2" x14ac:dyDescent="0.2">
      <c r="A3718" s="95"/>
      <c r="B3718" s="111"/>
    </row>
    <row r="3719" spans="1:2" x14ac:dyDescent="0.2">
      <c r="A3719" s="95"/>
      <c r="B3719" s="111"/>
    </row>
    <row r="3720" spans="1:2" x14ac:dyDescent="0.2">
      <c r="A3720" s="95"/>
      <c r="B3720" s="111"/>
    </row>
    <row r="3721" spans="1:2" x14ac:dyDescent="0.2">
      <c r="A3721" s="95"/>
      <c r="B3721" s="111"/>
    </row>
    <row r="3722" spans="1:2" x14ac:dyDescent="0.2">
      <c r="A3722" s="95"/>
      <c r="B3722" s="111"/>
    </row>
    <row r="3723" spans="1:2" x14ac:dyDescent="0.2">
      <c r="A3723" s="95"/>
      <c r="B3723" s="111"/>
    </row>
    <row r="3724" spans="1:2" x14ac:dyDescent="0.2">
      <c r="A3724" s="95"/>
      <c r="B3724" s="111"/>
    </row>
    <row r="3725" spans="1:2" x14ac:dyDescent="0.2">
      <c r="A3725" s="95"/>
      <c r="B3725" s="111"/>
    </row>
    <row r="3726" spans="1:2" x14ac:dyDescent="0.2">
      <c r="A3726" s="95"/>
      <c r="B3726" s="111"/>
    </row>
    <row r="3727" spans="1:2" x14ac:dyDescent="0.2">
      <c r="A3727" s="95"/>
      <c r="B3727" s="111"/>
    </row>
    <row r="3728" spans="1:2" x14ac:dyDescent="0.2">
      <c r="A3728" s="95"/>
      <c r="B3728" s="111"/>
    </row>
    <row r="3729" spans="1:2" x14ac:dyDescent="0.2">
      <c r="A3729" s="95"/>
      <c r="B3729" s="111"/>
    </row>
    <row r="3730" spans="1:2" x14ac:dyDescent="0.2">
      <c r="A3730" s="95"/>
      <c r="B3730" s="111"/>
    </row>
    <row r="3731" spans="1:2" x14ac:dyDescent="0.2">
      <c r="A3731" s="95"/>
      <c r="B3731" s="111"/>
    </row>
    <row r="3732" spans="1:2" x14ac:dyDescent="0.2">
      <c r="A3732" s="95"/>
      <c r="B3732" s="111"/>
    </row>
    <row r="3733" spans="1:2" x14ac:dyDescent="0.2">
      <c r="A3733" s="95"/>
      <c r="B3733" s="111"/>
    </row>
    <row r="3734" spans="1:2" x14ac:dyDescent="0.2">
      <c r="A3734" s="95"/>
      <c r="B3734" s="111"/>
    </row>
    <row r="3735" spans="1:2" x14ac:dyDescent="0.2">
      <c r="A3735" s="95"/>
      <c r="B3735" s="111"/>
    </row>
    <row r="3736" spans="1:2" x14ac:dyDescent="0.2">
      <c r="A3736" s="95"/>
      <c r="B3736" s="111"/>
    </row>
    <row r="3737" spans="1:2" x14ac:dyDescent="0.2">
      <c r="A3737" s="95"/>
      <c r="B3737" s="111"/>
    </row>
    <row r="3738" spans="1:2" x14ac:dyDescent="0.2">
      <c r="A3738" s="95"/>
      <c r="B3738" s="111"/>
    </row>
    <row r="3739" spans="1:2" x14ac:dyDescent="0.2">
      <c r="A3739" s="95"/>
      <c r="B3739" s="111"/>
    </row>
    <row r="3740" spans="1:2" x14ac:dyDescent="0.2">
      <c r="A3740" s="95"/>
      <c r="B3740" s="111"/>
    </row>
    <row r="3741" spans="1:2" x14ac:dyDescent="0.2">
      <c r="A3741" s="95"/>
      <c r="B3741" s="111"/>
    </row>
    <row r="3742" spans="1:2" x14ac:dyDescent="0.2">
      <c r="A3742" s="95"/>
      <c r="B3742" s="111"/>
    </row>
    <row r="3743" spans="1:2" x14ac:dyDescent="0.2">
      <c r="A3743" s="95"/>
      <c r="B3743" s="111"/>
    </row>
    <row r="3744" spans="1:2" x14ac:dyDescent="0.2">
      <c r="A3744" s="95"/>
      <c r="B3744" s="111"/>
    </row>
    <row r="3745" spans="1:2" x14ac:dyDescent="0.2">
      <c r="A3745" s="95"/>
      <c r="B3745" s="111"/>
    </row>
    <row r="3746" spans="1:2" x14ac:dyDescent="0.2">
      <c r="A3746" s="95"/>
      <c r="B3746" s="111"/>
    </row>
    <row r="3747" spans="1:2" x14ac:dyDescent="0.2">
      <c r="A3747" s="95"/>
      <c r="B3747" s="111"/>
    </row>
    <row r="3748" spans="1:2" x14ac:dyDescent="0.2">
      <c r="A3748" s="95"/>
      <c r="B3748" s="111"/>
    </row>
    <row r="3749" spans="1:2" x14ac:dyDescent="0.2">
      <c r="A3749" s="95"/>
      <c r="B3749" s="111"/>
    </row>
    <row r="3750" spans="1:2" x14ac:dyDescent="0.2">
      <c r="A3750" s="95"/>
      <c r="B3750" s="111"/>
    </row>
    <row r="3751" spans="1:2" x14ac:dyDescent="0.2">
      <c r="A3751" s="95"/>
      <c r="B3751" s="111"/>
    </row>
    <row r="3752" spans="1:2" x14ac:dyDescent="0.2">
      <c r="A3752" s="95"/>
      <c r="B3752" s="111"/>
    </row>
    <row r="3753" spans="1:2" x14ac:dyDescent="0.2">
      <c r="A3753" s="95"/>
      <c r="B3753" s="111"/>
    </row>
    <row r="3754" spans="1:2" x14ac:dyDescent="0.2">
      <c r="A3754" s="95"/>
      <c r="B3754" s="111"/>
    </row>
    <row r="3755" spans="1:2" x14ac:dyDescent="0.2">
      <c r="A3755" s="95"/>
      <c r="B3755" s="111"/>
    </row>
    <row r="3756" spans="1:2" x14ac:dyDescent="0.2">
      <c r="A3756" s="95"/>
      <c r="B3756" s="111"/>
    </row>
    <row r="3757" spans="1:2" x14ac:dyDescent="0.2">
      <c r="A3757" s="95"/>
      <c r="B3757" s="111"/>
    </row>
    <row r="3758" spans="1:2" x14ac:dyDescent="0.2">
      <c r="A3758" s="95"/>
      <c r="B3758" s="111"/>
    </row>
    <row r="3759" spans="1:2" x14ac:dyDescent="0.2">
      <c r="A3759" s="95"/>
      <c r="B3759" s="111"/>
    </row>
    <row r="3760" spans="1:2" x14ac:dyDescent="0.2">
      <c r="A3760" s="95"/>
      <c r="B3760" s="111"/>
    </row>
    <row r="3761" spans="1:2" x14ac:dyDescent="0.2">
      <c r="A3761" s="95"/>
      <c r="B3761" s="111"/>
    </row>
    <row r="3762" spans="1:2" x14ac:dyDescent="0.2">
      <c r="A3762" s="95"/>
      <c r="B3762" s="111"/>
    </row>
    <row r="3763" spans="1:2" x14ac:dyDescent="0.2">
      <c r="A3763" s="95"/>
      <c r="B3763" s="111"/>
    </row>
    <row r="3764" spans="1:2" x14ac:dyDescent="0.2">
      <c r="A3764" s="95"/>
      <c r="B3764" s="111"/>
    </row>
    <row r="3765" spans="1:2" x14ac:dyDescent="0.2">
      <c r="A3765" s="95"/>
      <c r="B3765" s="111"/>
    </row>
    <row r="3766" spans="1:2" x14ac:dyDescent="0.2">
      <c r="A3766" s="95"/>
      <c r="B3766" s="111"/>
    </row>
    <row r="3767" spans="1:2" x14ac:dyDescent="0.2">
      <c r="A3767" s="95"/>
      <c r="B3767" s="111"/>
    </row>
    <row r="3768" spans="1:2" x14ac:dyDescent="0.2">
      <c r="A3768" s="95"/>
      <c r="B3768" s="111"/>
    </row>
    <row r="3769" spans="1:2" x14ac:dyDescent="0.2">
      <c r="A3769" s="95"/>
      <c r="B3769" s="111"/>
    </row>
    <row r="3770" spans="1:2" x14ac:dyDescent="0.2">
      <c r="A3770" s="95"/>
      <c r="B3770" s="111"/>
    </row>
    <row r="3771" spans="1:2" x14ac:dyDescent="0.2">
      <c r="A3771" s="95"/>
      <c r="B3771" s="111"/>
    </row>
    <row r="3772" spans="1:2" x14ac:dyDescent="0.2">
      <c r="A3772" s="95"/>
      <c r="B3772" s="111"/>
    </row>
    <row r="3773" spans="1:2" x14ac:dyDescent="0.2">
      <c r="A3773" s="95"/>
      <c r="B3773" s="111"/>
    </row>
    <row r="3774" spans="1:2" x14ac:dyDescent="0.2">
      <c r="A3774" s="95"/>
      <c r="B3774" s="111"/>
    </row>
    <row r="3775" spans="1:2" x14ac:dyDescent="0.2">
      <c r="A3775" s="95"/>
      <c r="B3775" s="111"/>
    </row>
    <row r="3776" spans="1:2" x14ac:dyDescent="0.2">
      <c r="A3776" s="95"/>
      <c r="B3776" s="111"/>
    </row>
    <row r="3777" spans="1:2" x14ac:dyDescent="0.2">
      <c r="A3777" s="95"/>
      <c r="B3777" s="111"/>
    </row>
    <row r="3778" spans="1:2" x14ac:dyDescent="0.2">
      <c r="A3778" s="95"/>
      <c r="B3778" s="111"/>
    </row>
    <row r="3779" spans="1:2" x14ac:dyDescent="0.2">
      <c r="A3779" s="95"/>
      <c r="B3779" s="111"/>
    </row>
    <row r="3780" spans="1:2" x14ac:dyDescent="0.2">
      <c r="A3780" s="95"/>
      <c r="B3780" s="111"/>
    </row>
    <row r="3781" spans="1:2" x14ac:dyDescent="0.2">
      <c r="A3781" s="95"/>
      <c r="B3781" s="111"/>
    </row>
    <row r="3782" spans="1:2" x14ac:dyDescent="0.2">
      <c r="A3782" s="95"/>
      <c r="B3782" s="111"/>
    </row>
    <row r="3783" spans="1:2" x14ac:dyDescent="0.2">
      <c r="A3783" s="95"/>
      <c r="B3783" s="111"/>
    </row>
    <row r="3784" spans="1:2" x14ac:dyDescent="0.2">
      <c r="A3784" s="95"/>
      <c r="B3784" s="111"/>
    </row>
    <row r="3785" spans="1:2" x14ac:dyDescent="0.2">
      <c r="A3785" s="95"/>
      <c r="B3785" s="111"/>
    </row>
    <row r="3786" spans="1:2" x14ac:dyDescent="0.2">
      <c r="A3786" s="95"/>
      <c r="B3786" s="111"/>
    </row>
    <row r="3787" spans="1:2" x14ac:dyDescent="0.2">
      <c r="A3787" s="95"/>
      <c r="B3787" s="111"/>
    </row>
    <row r="3788" spans="1:2" x14ac:dyDescent="0.2">
      <c r="A3788" s="95"/>
      <c r="B3788" s="111"/>
    </row>
    <row r="3789" spans="1:2" x14ac:dyDescent="0.2">
      <c r="A3789" s="95"/>
      <c r="B3789" s="111"/>
    </row>
    <row r="3790" spans="1:2" x14ac:dyDescent="0.2">
      <c r="A3790" s="95"/>
      <c r="B3790" s="111"/>
    </row>
    <row r="3791" spans="1:2" x14ac:dyDescent="0.2">
      <c r="A3791" s="95"/>
      <c r="B3791" s="111"/>
    </row>
    <row r="3792" spans="1:2" x14ac:dyDescent="0.2">
      <c r="A3792" s="95"/>
      <c r="B3792" s="111"/>
    </row>
    <row r="3793" spans="1:2" x14ac:dyDescent="0.2">
      <c r="A3793" s="95"/>
      <c r="B3793" s="111"/>
    </row>
    <row r="3794" spans="1:2" x14ac:dyDescent="0.2">
      <c r="A3794" s="95"/>
      <c r="B3794" s="111"/>
    </row>
    <row r="3795" spans="1:2" x14ac:dyDescent="0.2">
      <c r="A3795" s="95"/>
      <c r="B3795" s="111"/>
    </row>
    <row r="3796" spans="1:2" x14ac:dyDescent="0.2">
      <c r="A3796" s="95"/>
      <c r="B3796" s="111"/>
    </row>
    <row r="3797" spans="1:2" x14ac:dyDescent="0.2">
      <c r="A3797" s="95"/>
      <c r="B3797" s="111"/>
    </row>
    <row r="3798" spans="1:2" x14ac:dyDescent="0.2">
      <c r="A3798" s="95"/>
      <c r="B3798" s="111"/>
    </row>
    <row r="3799" spans="1:2" x14ac:dyDescent="0.2">
      <c r="A3799" s="95"/>
      <c r="B3799" s="111"/>
    </row>
    <row r="3800" spans="1:2" x14ac:dyDescent="0.2">
      <c r="A3800" s="95"/>
      <c r="B3800" s="111"/>
    </row>
    <row r="3801" spans="1:2" x14ac:dyDescent="0.2">
      <c r="A3801" s="95"/>
      <c r="B3801" s="111"/>
    </row>
    <row r="3802" spans="1:2" x14ac:dyDescent="0.2">
      <c r="A3802" s="95"/>
      <c r="B3802" s="111"/>
    </row>
    <row r="3803" spans="1:2" x14ac:dyDescent="0.2">
      <c r="A3803" s="95"/>
      <c r="B3803" s="111"/>
    </row>
    <row r="3804" spans="1:2" x14ac:dyDescent="0.2">
      <c r="A3804" s="95"/>
      <c r="B3804" s="111"/>
    </row>
    <row r="3805" spans="1:2" x14ac:dyDescent="0.2">
      <c r="A3805" s="95"/>
      <c r="B3805" s="111"/>
    </row>
    <row r="3806" spans="1:2" x14ac:dyDescent="0.2">
      <c r="A3806" s="95"/>
      <c r="B3806" s="111"/>
    </row>
    <row r="3807" spans="1:2" x14ac:dyDescent="0.2">
      <c r="A3807" s="95"/>
      <c r="B3807" s="111"/>
    </row>
    <row r="3808" spans="1:2" x14ac:dyDescent="0.2">
      <c r="A3808" s="95"/>
      <c r="B3808" s="111"/>
    </row>
    <row r="3809" spans="1:2" x14ac:dyDescent="0.2">
      <c r="A3809" s="95"/>
      <c r="B3809" s="111"/>
    </row>
    <row r="3810" spans="1:2" x14ac:dyDescent="0.2">
      <c r="A3810" s="95"/>
      <c r="B3810" s="111"/>
    </row>
    <row r="3811" spans="1:2" x14ac:dyDescent="0.2">
      <c r="A3811" s="95"/>
      <c r="B3811" s="111"/>
    </row>
    <row r="3812" spans="1:2" x14ac:dyDescent="0.2">
      <c r="A3812" s="95"/>
      <c r="B3812" s="111"/>
    </row>
    <row r="3813" spans="1:2" x14ac:dyDescent="0.2">
      <c r="A3813" s="95"/>
      <c r="B3813" s="111"/>
    </row>
    <row r="3814" spans="1:2" x14ac:dyDescent="0.2">
      <c r="A3814" s="95"/>
      <c r="B3814" s="111"/>
    </row>
    <row r="3815" spans="1:2" x14ac:dyDescent="0.2">
      <c r="A3815" s="95"/>
      <c r="B3815" s="111"/>
    </row>
    <row r="3816" spans="1:2" x14ac:dyDescent="0.2">
      <c r="A3816" s="95"/>
      <c r="B3816" s="111"/>
    </row>
    <row r="3817" spans="1:2" x14ac:dyDescent="0.2">
      <c r="A3817" s="95"/>
      <c r="B3817" s="111"/>
    </row>
    <row r="3818" spans="1:2" x14ac:dyDescent="0.2">
      <c r="A3818" s="95"/>
      <c r="B3818" s="111"/>
    </row>
    <row r="3819" spans="1:2" x14ac:dyDescent="0.2">
      <c r="A3819" s="95"/>
      <c r="B3819" s="111"/>
    </row>
    <row r="3820" spans="1:2" x14ac:dyDescent="0.2">
      <c r="A3820" s="95"/>
      <c r="B3820" s="111"/>
    </row>
    <row r="3821" spans="1:2" x14ac:dyDescent="0.2">
      <c r="A3821" s="95"/>
      <c r="B3821" s="111"/>
    </row>
    <row r="3822" spans="1:2" x14ac:dyDescent="0.2">
      <c r="A3822" s="95"/>
      <c r="B3822" s="111"/>
    </row>
    <row r="3823" spans="1:2" x14ac:dyDescent="0.2">
      <c r="A3823" s="95"/>
      <c r="B3823" s="111"/>
    </row>
    <row r="3824" spans="1:2" x14ac:dyDescent="0.2">
      <c r="A3824" s="95"/>
      <c r="B3824" s="111"/>
    </row>
    <row r="3825" spans="1:2" x14ac:dyDescent="0.2">
      <c r="A3825" s="95"/>
      <c r="B3825" s="111"/>
    </row>
    <row r="3826" spans="1:2" x14ac:dyDescent="0.2">
      <c r="A3826" s="95"/>
      <c r="B3826" s="111"/>
    </row>
    <row r="3827" spans="1:2" x14ac:dyDescent="0.2">
      <c r="A3827" s="95"/>
      <c r="B3827" s="111"/>
    </row>
    <row r="3828" spans="1:2" x14ac:dyDescent="0.2">
      <c r="A3828" s="95"/>
      <c r="B3828" s="111"/>
    </row>
    <row r="3829" spans="1:2" x14ac:dyDescent="0.2">
      <c r="A3829" s="95"/>
      <c r="B3829" s="111"/>
    </row>
    <row r="3830" spans="1:2" x14ac:dyDescent="0.2">
      <c r="A3830" s="95"/>
      <c r="B3830" s="111"/>
    </row>
    <row r="3831" spans="1:2" x14ac:dyDescent="0.2">
      <c r="A3831" s="95"/>
      <c r="B3831" s="111"/>
    </row>
    <row r="3832" spans="1:2" x14ac:dyDescent="0.2">
      <c r="A3832" s="95"/>
      <c r="B3832" s="111"/>
    </row>
    <row r="3833" spans="1:2" x14ac:dyDescent="0.2">
      <c r="A3833" s="95"/>
      <c r="B3833" s="111"/>
    </row>
    <row r="3834" spans="1:2" x14ac:dyDescent="0.2">
      <c r="A3834" s="95"/>
      <c r="B3834" s="111"/>
    </row>
    <row r="3835" spans="1:2" x14ac:dyDescent="0.2">
      <c r="A3835" s="95"/>
      <c r="B3835" s="111"/>
    </row>
    <row r="3836" spans="1:2" x14ac:dyDescent="0.2">
      <c r="A3836" s="95"/>
      <c r="B3836" s="111"/>
    </row>
    <row r="3837" spans="1:2" x14ac:dyDescent="0.2">
      <c r="A3837" s="95"/>
      <c r="B3837" s="111"/>
    </row>
    <row r="3838" spans="1:2" x14ac:dyDescent="0.2">
      <c r="A3838" s="95"/>
      <c r="B3838" s="111"/>
    </row>
    <row r="3839" spans="1:2" x14ac:dyDescent="0.2">
      <c r="A3839" s="95"/>
      <c r="B3839" s="111"/>
    </row>
    <row r="3840" spans="1:2" x14ac:dyDescent="0.2">
      <c r="A3840" s="95"/>
      <c r="B3840" s="111"/>
    </row>
    <row r="3841" spans="1:2" x14ac:dyDescent="0.2">
      <c r="A3841" s="95"/>
      <c r="B3841" s="111"/>
    </row>
    <row r="3842" spans="1:2" x14ac:dyDescent="0.2">
      <c r="A3842" s="95"/>
      <c r="B3842" s="111"/>
    </row>
    <row r="3843" spans="1:2" x14ac:dyDescent="0.2">
      <c r="A3843" s="95"/>
      <c r="B3843" s="111"/>
    </row>
    <row r="3844" spans="1:2" x14ac:dyDescent="0.2">
      <c r="A3844" s="95"/>
      <c r="B3844" s="111"/>
    </row>
    <row r="3845" spans="1:2" x14ac:dyDescent="0.2">
      <c r="A3845" s="95"/>
      <c r="B3845" s="111"/>
    </row>
    <row r="3846" spans="1:2" x14ac:dyDescent="0.2">
      <c r="A3846" s="95"/>
      <c r="B3846" s="111"/>
    </row>
    <row r="3847" spans="1:2" x14ac:dyDescent="0.2">
      <c r="A3847" s="95"/>
      <c r="B3847" s="111"/>
    </row>
    <row r="3848" spans="1:2" x14ac:dyDescent="0.2">
      <c r="A3848" s="95"/>
      <c r="B3848" s="111"/>
    </row>
    <row r="3849" spans="1:2" x14ac:dyDescent="0.2">
      <c r="A3849" s="95"/>
      <c r="B3849" s="111"/>
    </row>
    <row r="3850" spans="1:2" x14ac:dyDescent="0.2">
      <c r="A3850" s="95"/>
      <c r="B3850" s="111"/>
    </row>
    <row r="3851" spans="1:2" x14ac:dyDescent="0.2">
      <c r="A3851" s="95"/>
      <c r="B3851" s="111"/>
    </row>
    <row r="3852" spans="1:2" x14ac:dyDescent="0.2">
      <c r="A3852" s="95"/>
      <c r="B3852" s="111"/>
    </row>
    <row r="3853" spans="1:2" x14ac:dyDescent="0.2">
      <c r="A3853" s="95"/>
      <c r="B3853" s="111"/>
    </row>
    <row r="3854" spans="1:2" x14ac:dyDescent="0.2">
      <c r="A3854" s="95"/>
      <c r="B3854" s="111"/>
    </row>
    <row r="3855" spans="1:2" x14ac:dyDescent="0.2">
      <c r="A3855" s="95"/>
      <c r="B3855" s="111"/>
    </row>
    <row r="3856" spans="1:2" x14ac:dyDescent="0.2">
      <c r="A3856" s="95"/>
      <c r="B3856" s="111"/>
    </row>
    <row r="3857" spans="1:2" x14ac:dyDescent="0.2">
      <c r="A3857" s="95"/>
      <c r="B3857" s="111"/>
    </row>
    <row r="3858" spans="1:2" x14ac:dyDescent="0.2">
      <c r="A3858" s="95"/>
      <c r="B3858" s="111"/>
    </row>
    <row r="3859" spans="1:2" x14ac:dyDescent="0.2">
      <c r="A3859" s="95"/>
      <c r="B3859" s="111"/>
    </row>
    <row r="3860" spans="1:2" x14ac:dyDescent="0.2">
      <c r="A3860" s="95"/>
      <c r="B3860" s="111"/>
    </row>
    <row r="3861" spans="1:2" x14ac:dyDescent="0.2">
      <c r="A3861" s="95"/>
      <c r="B3861" s="111"/>
    </row>
    <row r="3862" spans="1:2" x14ac:dyDescent="0.2">
      <c r="A3862" s="95"/>
      <c r="B3862" s="111"/>
    </row>
    <row r="3863" spans="1:2" x14ac:dyDescent="0.2">
      <c r="A3863" s="95"/>
      <c r="B3863" s="111"/>
    </row>
    <row r="3864" spans="1:2" x14ac:dyDescent="0.2">
      <c r="A3864" s="95"/>
      <c r="B3864" s="111"/>
    </row>
    <row r="3865" spans="1:2" x14ac:dyDescent="0.2">
      <c r="A3865" s="95"/>
      <c r="B3865" s="111"/>
    </row>
    <row r="3866" spans="1:2" x14ac:dyDescent="0.2">
      <c r="A3866" s="95"/>
      <c r="B3866" s="111"/>
    </row>
    <row r="3867" spans="1:2" x14ac:dyDescent="0.2">
      <c r="A3867" s="95"/>
      <c r="B3867" s="111"/>
    </row>
    <row r="3868" spans="1:2" x14ac:dyDescent="0.2">
      <c r="A3868" s="95"/>
      <c r="B3868" s="111"/>
    </row>
    <row r="3869" spans="1:2" x14ac:dyDescent="0.2">
      <c r="A3869" s="95"/>
      <c r="B3869" s="111"/>
    </row>
    <row r="3870" spans="1:2" x14ac:dyDescent="0.2">
      <c r="A3870" s="95"/>
      <c r="B3870" s="111"/>
    </row>
    <row r="3871" spans="1:2" x14ac:dyDescent="0.2">
      <c r="A3871" s="95"/>
      <c r="B3871" s="111"/>
    </row>
    <row r="3872" spans="1:2" x14ac:dyDescent="0.2">
      <c r="A3872" s="95"/>
      <c r="B3872" s="111"/>
    </row>
    <row r="3873" spans="1:2" x14ac:dyDescent="0.2">
      <c r="A3873" s="95"/>
      <c r="B3873" s="111"/>
    </row>
    <row r="3874" spans="1:2" x14ac:dyDescent="0.2">
      <c r="A3874" s="95"/>
      <c r="B3874" s="111"/>
    </row>
    <row r="3875" spans="1:2" x14ac:dyDescent="0.2">
      <c r="A3875" s="95"/>
      <c r="B3875" s="111"/>
    </row>
    <row r="3876" spans="1:2" x14ac:dyDescent="0.2">
      <c r="A3876" s="95"/>
      <c r="B3876" s="111"/>
    </row>
    <row r="3877" spans="1:2" x14ac:dyDescent="0.2">
      <c r="A3877" s="95"/>
      <c r="B3877" s="111"/>
    </row>
    <row r="3878" spans="1:2" x14ac:dyDescent="0.2">
      <c r="A3878" s="95"/>
      <c r="B3878" s="111"/>
    </row>
    <row r="3879" spans="1:2" x14ac:dyDescent="0.2">
      <c r="A3879" s="95"/>
      <c r="B3879" s="111"/>
    </row>
    <row r="3880" spans="1:2" x14ac:dyDescent="0.2">
      <c r="A3880" s="95"/>
      <c r="B3880" s="111"/>
    </row>
    <row r="3881" spans="1:2" x14ac:dyDescent="0.2">
      <c r="A3881" s="95"/>
      <c r="B3881" s="111"/>
    </row>
    <row r="3882" spans="1:2" x14ac:dyDescent="0.2">
      <c r="A3882" s="95"/>
      <c r="B3882" s="111"/>
    </row>
    <row r="3883" spans="1:2" x14ac:dyDescent="0.2">
      <c r="A3883" s="95"/>
      <c r="B3883" s="111"/>
    </row>
    <row r="3884" spans="1:2" x14ac:dyDescent="0.2">
      <c r="A3884" s="95"/>
      <c r="B3884" s="111"/>
    </row>
    <row r="3885" spans="1:2" x14ac:dyDescent="0.2">
      <c r="A3885" s="95"/>
      <c r="B3885" s="111"/>
    </row>
    <row r="3886" spans="1:2" x14ac:dyDescent="0.2">
      <c r="A3886" s="95"/>
      <c r="B3886" s="111"/>
    </row>
    <row r="3887" spans="1:2" x14ac:dyDescent="0.2">
      <c r="A3887" s="95"/>
      <c r="B3887" s="111"/>
    </row>
    <row r="3888" spans="1:2" x14ac:dyDescent="0.2">
      <c r="A3888" s="95"/>
      <c r="B3888" s="111"/>
    </row>
    <row r="3889" spans="1:2" x14ac:dyDescent="0.2">
      <c r="A3889" s="95"/>
      <c r="B3889" s="111"/>
    </row>
    <row r="3890" spans="1:2" x14ac:dyDescent="0.2">
      <c r="A3890" s="95"/>
      <c r="B3890" s="111"/>
    </row>
    <row r="3891" spans="1:2" x14ac:dyDescent="0.2">
      <c r="A3891" s="95"/>
      <c r="B3891" s="111"/>
    </row>
    <row r="3892" spans="1:2" x14ac:dyDescent="0.2">
      <c r="A3892" s="95"/>
      <c r="B3892" s="111"/>
    </row>
    <row r="3893" spans="1:2" x14ac:dyDescent="0.2">
      <c r="A3893" s="95"/>
      <c r="B3893" s="111"/>
    </row>
    <row r="3894" spans="1:2" x14ac:dyDescent="0.2">
      <c r="A3894" s="95"/>
      <c r="B3894" s="111"/>
    </row>
    <row r="3895" spans="1:2" x14ac:dyDescent="0.2">
      <c r="A3895" s="95"/>
      <c r="B3895" s="111"/>
    </row>
    <row r="3896" spans="1:2" x14ac:dyDescent="0.2">
      <c r="A3896" s="95"/>
      <c r="B3896" s="111"/>
    </row>
    <row r="3897" spans="1:2" x14ac:dyDescent="0.2">
      <c r="A3897" s="95"/>
      <c r="B3897" s="111"/>
    </row>
    <row r="3898" spans="1:2" x14ac:dyDescent="0.2">
      <c r="A3898" s="95"/>
      <c r="B3898" s="111"/>
    </row>
    <row r="3899" spans="1:2" x14ac:dyDescent="0.2">
      <c r="A3899" s="95"/>
      <c r="B3899" s="111"/>
    </row>
    <row r="3900" spans="1:2" x14ac:dyDescent="0.2">
      <c r="A3900" s="95"/>
      <c r="B3900" s="111"/>
    </row>
    <row r="3901" spans="1:2" x14ac:dyDescent="0.2">
      <c r="A3901" s="95"/>
      <c r="B3901" s="111"/>
    </row>
    <row r="3902" spans="1:2" x14ac:dyDescent="0.2">
      <c r="A3902" s="95"/>
      <c r="B3902" s="111"/>
    </row>
    <row r="3903" spans="1:2" x14ac:dyDescent="0.2">
      <c r="A3903" s="95"/>
      <c r="B3903" s="111"/>
    </row>
    <row r="3904" spans="1:2" x14ac:dyDescent="0.2">
      <c r="A3904" s="95"/>
      <c r="B3904" s="111"/>
    </row>
    <row r="3905" spans="1:2" x14ac:dyDescent="0.2">
      <c r="A3905" s="95"/>
      <c r="B3905" s="111"/>
    </row>
    <row r="3906" spans="1:2" x14ac:dyDescent="0.2">
      <c r="A3906" s="95"/>
      <c r="B3906" s="111"/>
    </row>
    <row r="3907" spans="1:2" x14ac:dyDescent="0.2">
      <c r="A3907" s="95"/>
      <c r="B3907" s="111"/>
    </row>
    <row r="3908" spans="1:2" x14ac:dyDescent="0.2">
      <c r="A3908" s="95"/>
      <c r="B3908" s="111"/>
    </row>
    <row r="3909" spans="1:2" x14ac:dyDescent="0.2">
      <c r="A3909" s="95"/>
      <c r="B3909" s="111"/>
    </row>
    <row r="3910" spans="1:2" x14ac:dyDescent="0.2">
      <c r="A3910" s="95"/>
      <c r="B3910" s="111"/>
    </row>
    <row r="3911" spans="1:2" x14ac:dyDescent="0.2">
      <c r="A3911" s="95"/>
      <c r="B3911" s="111"/>
    </row>
    <row r="3912" spans="1:2" x14ac:dyDescent="0.2">
      <c r="A3912" s="95"/>
      <c r="B3912" s="111"/>
    </row>
    <row r="3913" spans="1:2" x14ac:dyDescent="0.2">
      <c r="A3913" s="95"/>
      <c r="B3913" s="111"/>
    </row>
    <row r="3914" spans="1:2" x14ac:dyDescent="0.2">
      <c r="A3914" s="95"/>
      <c r="B3914" s="111"/>
    </row>
    <row r="3915" spans="1:2" x14ac:dyDescent="0.2">
      <c r="A3915" s="95"/>
      <c r="B3915" s="111"/>
    </row>
    <row r="3916" spans="1:2" x14ac:dyDescent="0.2">
      <c r="A3916" s="95"/>
      <c r="B3916" s="111"/>
    </row>
    <row r="3917" spans="1:2" x14ac:dyDescent="0.2">
      <c r="A3917" s="95"/>
      <c r="B3917" s="111"/>
    </row>
    <row r="3918" spans="1:2" x14ac:dyDescent="0.2">
      <c r="A3918" s="95"/>
      <c r="B3918" s="111"/>
    </row>
    <row r="3919" spans="1:2" x14ac:dyDescent="0.2">
      <c r="A3919" s="95"/>
      <c r="B3919" s="111"/>
    </row>
    <row r="3920" spans="1:2" x14ac:dyDescent="0.2">
      <c r="A3920" s="95"/>
      <c r="B3920" s="111"/>
    </row>
    <row r="3921" spans="1:2" x14ac:dyDescent="0.2">
      <c r="A3921" s="95"/>
      <c r="B3921" s="111"/>
    </row>
    <row r="3922" spans="1:2" x14ac:dyDescent="0.2">
      <c r="A3922" s="95"/>
      <c r="B3922" s="111"/>
    </row>
    <row r="3923" spans="1:2" x14ac:dyDescent="0.2">
      <c r="A3923" s="95"/>
      <c r="B3923" s="111"/>
    </row>
    <row r="3924" spans="1:2" x14ac:dyDescent="0.2">
      <c r="A3924" s="95"/>
      <c r="B3924" s="111"/>
    </row>
    <row r="3925" spans="1:2" x14ac:dyDescent="0.2">
      <c r="A3925" s="95"/>
      <c r="B3925" s="111"/>
    </row>
    <row r="3926" spans="1:2" x14ac:dyDescent="0.2">
      <c r="A3926" s="95"/>
      <c r="B3926" s="111"/>
    </row>
    <row r="3927" spans="1:2" x14ac:dyDescent="0.2">
      <c r="A3927" s="95"/>
      <c r="B3927" s="111"/>
    </row>
    <row r="3928" spans="1:2" x14ac:dyDescent="0.2">
      <c r="A3928" s="95"/>
      <c r="B3928" s="111"/>
    </row>
    <row r="3929" spans="1:2" x14ac:dyDescent="0.2">
      <c r="A3929" s="95"/>
      <c r="B3929" s="111"/>
    </row>
    <row r="3930" spans="1:2" x14ac:dyDescent="0.2">
      <c r="A3930" s="95"/>
      <c r="B3930" s="111"/>
    </row>
    <row r="3931" spans="1:2" x14ac:dyDescent="0.2">
      <c r="A3931" s="95"/>
      <c r="B3931" s="111"/>
    </row>
    <row r="3932" spans="1:2" x14ac:dyDescent="0.2">
      <c r="A3932" s="95"/>
      <c r="B3932" s="111"/>
    </row>
    <row r="3933" spans="1:2" x14ac:dyDescent="0.2">
      <c r="A3933" s="95"/>
      <c r="B3933" s="111"/>
    </row>
    <row r="3934" spans="1:2" x14ac:dyDescent="0.2">
      <c r="A3934" s="95"/>
      <c r="B3934" s="111"/>
    </row>
    <row r="3935" spans="1:2" x14ac:dyDescent="0.2">
      <c r="A3935" s="95"/>
      <c r="B3935" s="111"/>
    </row>
    <row r="3936" spans="1:2" x14ac:dyDescent="0.2">
      <c r="A3936" s="95"/>
      <c r="B3936" s="111"/>
    </row>
    <row r="3937" spans="1:2" x14ac:dyDescent="0.2">
      <c r="A3937" s="95"/>
      <c r="B3937" s="111"/>
    </row>
    <row r="3938" spans="1:2" x14ac:dyDescent="0.2">
      <c r="A3938" s="95"/>
      <c r="B3938" s="111"/>
    </row>
    <row r="3939" spans="1:2" x14ac:dyDescent="0.2">
      <c r="A3939" s="95"/>
      <c r="B3939" s="111"/>
    </row>
    <row r="3940" spans="1:2" x14ac:dyDescent="0.2">
      <c r="A3940" s="95"/>
      <c r="B3940" s="111"/>
    </row>
    <row r="3941" spans="1:2" x14ac:dyDescent="0.2">
      <c r="A3941" s="95"/>
      <c r="B3941" s="111"/>
    </row>
    <row r="3942" spans="1:2" x14ac:dyDescent="0.2">
      <c r="A3942" s="95"/>
      <c r="B3942" s="111"/>
    </row>
    <row r="3943" spans="1:2" x14ac:dyDescent="0.2">
      <c r="A3943" s="95"/>
      <c r="B3943" s="111"/>
    </row>
    <row r="3944" spans="1:2" x14ac:dyDescent="0.2">
      <c r="A3944" s="95"/>
      <c r="B3944" s="111"/>
    </row>
    <row r="3945" spans="1:2" x14ac:dyDescent="0.2">
      <c r="A3945" s="95"/>
      <c r="B3945" s="111"/>
    </row>
    <row r="3946" spans="1:2" x14ac:dyDescent="0.2">
      <c r="A3946" s="95"/>
      <c r="B3946" s="111"/>
    </row>
    <row r="3947" spans="1:2" x14ac:dyDescent="0.2">
      <c r="A3947" s="95"/>
      <c r="B3947" s="111"/>
    </row>
    <row r="3948" spans="1:2" x14ac:dyDescent="0.2">
      <c r="A3948" s="95"/>
      <c r="B3948" s="111"/>
    </row>
    <row r="3949" spans="1:2" x14ac:dyDescent="0.2">
      <c r="A3949" s="95"/>
      <c r="B3949" s="111"/>
    </row>
    <row r="3950" spans="1:2" x14ac:dyDescent="0.2">
      <c r="A3950" s="95"/>
      <c r="B3950" s="111"/>
    </row>
    <row r="3951" spans="1:2" x14ac:dyDescent="0.2">
      <c r="A3951" s="95"/>
      <c r="B3951" s="111"/>
    </row>
    <row r="3952" spans="1:2" x14ac:dyDescent="0.2">
      <c r="A3952" s="95"/>
      <c r="B3952" s="111"/>
    </row>
    <row r="3953" spans="1:2" x14ac:dyDescent="0.2">
      <c r="A3953" s="95"/>
      <c r="B3953" s="111"/>
    </row>
    <row r="3954" spans="1:2" x14ac:dyDescent="0.2">
      <c r="A3954" s="95"/>
      <c r="B3954" s="111"/>
    </row>
    <row r="3955" spans="1:2" x14ac:dyDescent="0.2">
      <c r="A3955" s="95"/>
      <c r="B3955" s="111"/>
    </row>
    <row r="3956" spans="1:2" x14ac:dyDescent="0.2">
      <c r="A3956" s="95"/>
      <c r="B3956" s="111"/>
    </row>
    <row r="3957" spans="1:2" x14ac:dyDescent="0.2">
      <c r="A3957" s="95"/>
      <c r="B3957" s="111"/>
    </row>
    <row r="3958" spans="1:2" x14ac:dyDescent="0.2">
      <c r="A3958" s="95"/>
      <c r="B3958" s="111"/>
    </row>
    <row r="3959" spans="1:2" x14ac:dyDescent="0.2">
      <c r="A3959" s="95"/>
      <c r="B3959" s="111"/>
    </row>
    <row r="3960" spans="1:2" x14ac:dyDescent="0.2">
      <c r="A3960" s="95"/>
      <c r="B3960" s="111"/>
    </row>
    <row r="3961" spans="1:2" x14ac:dyDescent="0.2">
      <c r="A3961" s="95"/>
      <c r="B3961" s="111"/>
    </row>
    <row r="3962" spans="1:2" x14ac:dyDescent="0.2">
      <c r="A3962" s="95"/>
      <c r="B3962" s="111"/>
    </row>
    <row r="3963" spans="1:2" x14ac:dyDescent="0.2">
      <c r="A3963" s="95"/>
      <c r="B3963" s="111"/>
    </row>
    <row r="3964" spans="1:2" x14ac:dyDescent="0.2">
      <c r="A3964" s="95"/>
      <c r="B3964" s="111"/>
    </row>
    <row r="3965" spans="1:2" x14ac:dyDescent="0.2">
      <c r="A3965" s="95"/>
      <c r="B3965" s="111"/>
    </row>
    <row r="3966" spans="1:2" x14ac:dyDescent="0.2">
      <c r="A3966" s="95"/>
      <c r="B3966" s="111"/>
    </row>
    <row r="3967" spans="1:2" x14ac:dyDescent="0.2">
      <c r="A3967" s="95"/>
      <c r="B3967" s="111"/>
    </row>
    <row r="3968" spans="1:2" x14ac:dyDescent="0.2">
      <c r="A3968" s="95"/>
      <c r="B3968" s="111"/>
    </row>
    <row r="3969" spans="1:2" x14ac:dyDescent="0.2">
      <c r="A3969" s="95"/>
      <c r="B3969" s="111"/>
    </row>
    <row r="3970" spans="1:2" x14ac:dyDescent="0.2">
      <c r="A3970" s="95"/>
      <c r="B3970" s="111"/>
    </row>
    <row r="3971" spans="1:2" x14ac:dyDescent="0.2">
      <c r="A3971" s="95"/>
      <c r="B3971" s="111"/>
    </row>
    <row r="3972" spans="1:2" x14ac:dyDescent="0.2">
      <c r="A3972" s="95"/>
      <c r="B3972" s="111"/>
    </row>
    <row r="3973" spans="1:2" x14ac:dyDescent="0.2">
      <c r="A3973" s="95"/>
      <c r="B3973" s="111"/>
    </row>
    <row r="3974" spans="1:2" x14ac:dyDescent="0.2">
      <c r="A3974" s="95"/>
      <c r="B3974" s="111"/>
    </row>
    <row r="3975" spans="1:2" x14ac:dyDescent="0.2">
      <c r="A3975" s="95"/>
      <c r="B3975" s="111"/>
    </row>
    <row r="3976" spans="1:2" x14ac:dyDescent="0.2">
      <c r="A3976" s="95"/>
      <c r="B3976" s="111"/>
    </row>
    <row r="3977" spans="1:2" x14ac:dyDescent="0.2">
      <c r="A3977" s="95"/>
      <c r="B3977" s="111"/>
    </row>
    <row r="3978" spans="1:2" x14ac:dyDescent="0.2">
      <c r="A3978" s="95"/>
      <c r="B3978" s="111"/>
    </row>
    <row r="3979" spans="1:2" x14ac:dyDescent="0.2">
      <c r="A3979" s="95"/>
      <c r="B3979" s="111"/>
    </row>
    <row r="3980" spans="1:2" x14ac:dyDescent="0.2">
      <c r="A3980" s="95"/>
      <c r="B3980" s="111"/>
    </row>
    <row r="3981" spans="1:2" x14ac:dyDescent="0.2">
      <c r="A3981" s="95"/>
      <c r="B3981" s="111"/>
    </row>
    <row r="3982" spans="1:2" x14ac:dyDescent="0.2">
      <c r="A3982" s="95"/>
      <c r="B3982" s="111"/>
    </row>
    <row r="3983" spans="1:2" x14ac:dyDescent="0.2">
      <c r="A3983" s="95"/>
      <c r="B3983" s="111"/>
    </row>
    <row r="3984" spans="1:2" x14ac:dyDescent="0.2">
      <c r="A3984" s="95"/>
      <c r="B3984" s="111"/>
    </row>
    <row r="3985" spans="1:2" x14ac:dyDescent="0.2">
      <c r="A3985" s="95"/>
      <c r="B3985" s="111"/>
    </row>
    <row r="3986" spans="1:2" x14ac:dyDescent="0.2">
      <c r="A3986" s="95"/>
      <c r="B3986" s="111"/>
    </row>
    <row r="3987" spans="1:2" x14ac:dyDescent="0.2">
      <c r="A3987" s="95"/>
      <c r="B3987" s="111"/>
    </row>
    <row r="3988" spans="1:2" x14ac:dyDescent="0.2">
      <c r="A3988" s="95"/>
      <c r="B3988" s="111"/>
    </row>
    <row r="3989" spans="1:2" x14ac:dyDescent="0.2">
      <c r="A3989" s="95"/>
      <c r="B3989" s="111"/>
    </row>
    <row r="3990" spans="1:2" x14ac:dyDescent="0.2">
      <c r="A3990" s="95"/>
      <c r="B3990" s="111"/>
    </row>
    <row r="3991" spans="1:2" x14ac:dyDescent="0.2">
      <c r="A3991" s="95"/>
      <c r="B3991" s="111"/>
    </row>
    <row r="3992" spans="1:2" x14ac:dyDescent="0.2">
      <c r="A3992" s="95"/>
      <c r="B3992" s="111"/>
    </row>
    <row r="3993" spans="1:2" x14ac:dyDescent="0.2">
      <c r="A3993" s="95"/>
      <c r="B3993" s="111"/>
    </row>
    <row r="3994" spans="1:2" x14ac:dyDescent="0.2">
      <c r="A3994" s="95"/>
      <c r="B3994" s="111"/>
    </row>
    <row r="3995" spans="1:2" x14ac:dyDescent="0.2">
      <c r="A3995" s="95"/>
      <c r="B3995" s="111"/>
    </row>
    <row r="3996" spans="1:2" x14ac:dyDescent="0.2">
      <c r="A3996" s="95"/>
      <c r="B3996" s="111"/>
    </row>
    <row r="3997" spans="1:2" x14ac:dyDescent="0.2">
      <c r="A3997" s="95"/>
      <c r="B3997" s="111"/>
    </row>
    <row r="3998" spans="1:2" x14ac:dyDescent="0.2">
      <c r="A3998" s="95"/>
      <c r="B3998" s="111"/>
    </row>
    <row r="3999" spans="1:2" x14ac:dyDescent="0.2">
      <c r="A3999" s="95"/>
      <c r="B3999" s="111"/>
    </row>
    <row r="4000" spans="1:2" x14ac:dyDescent="0.2">
      <c r="A4000" s="95"/>
      <c r="B4000" s="111"/>
    </row>
    <row r="4001" spans="1:2" x14ac:dyDescent="0.2">
      <c r="A4001" s="95"/>
      <c r="B4001" s="111"/>
    </row>
    <row r="4002" spans="1:2" x14ac:dyDescent="0.2">
      <c r="A4002" s="95"/>
      <c r="B4002" s="111"/>
    </row>
    <row r="4003" spans="1:2" x14ac:dyDescent="0.2">
      <c r="A4003" s="95"/>
      <c r="B4003" s="111"/>
    </row>
    <row r="4004" spans="1:2" x14ac:dyDescent="0.2">
      <c r="A4004" s="95"/>
      <c r="B4004" s="111"/>
    </row>
    <row r="4005" spans="1:2" x14ac:dyDescent="0.2">
      <c r="A4005" s="95"/>
      <c r="B4005" s="111"/>
    </row>
    <row r="4006" spans="1:2" x14ac:dyDescent="0.2">
      <c r="A4006" s="95"/>
      <c r="B4006" s="111"/>
    </row>
    <row r="4007" spans="1:2" x14ac:dyDescent="0.2">
      <c r="A4007" s="95"/>
      <c r="B4007" s="111"/>
    </row>
    <row r="4008" spans="1:2" x14ac:dyDescent="0.2">
      <c r="A4008" s="95"/>
      <c r="B4008" s="111"/>
    </row>
    <row r="4009" spans="1:2" x14ac:dyDescent="0.2">
      <c r="A4009" s="95"/>
      <c r="B4009" s="111"/>
    </row>
    <row r="4010" spans="1:2" x14ac:dyDescent="0.2">
      <c r="A4010" s="95"/>
      <c r="B4010" s="111"/>
    </row>
    <row r="4011" spans="1:2" x14ac:dyDescent="0.2">
      <c r="A4011" s="95"/>
      <c r="B4011" s="111"/>
    </row>
    <row r="4012" spans="1:2" x14ac:dyDescent="0.2">
      <c r="A4012" s="95"/>
      <c r="B4012" s="111"/>
    </row>
    <row r="4013" spans="1:2" x14ac:dyDescent="0.2">
      <c r="A4013" s="95"/>
      <c r="B4013" s="111"/>
    </row>
    <row r="4014" spans="1:2" x14ac:dyDescent="0.2">
      <c r="A4014" s="95"/>
      <c r="B4014" s="111"/>
    </row>
    <row r="4015" spans="1:2" x14ac:dyDescent="0.2">
      <c r="A4015" s="95"/>
      <c r="B4015" s="111"/>
    </row>
    <row r="4016" spans="1:2" x14ac:dyDescent="0.2">
      <c r="A4016" s="95"/>
      <c r="B4016" s="111"/>
    </row>
    <row r="4017" spans="1:2" x14ac:dyDescent="0.2">
      <c r="A4017" s="95"/>
      <c r="B4017" s="111"/>
    </row>
    <row r="4018" spans="1:2" x14ac:dyDescent="0.2">
      <c r="A4018" s="95"/>
      <c r="B4018" s="111"/>
    </row>
    <row r="4019" spans="1:2" x14ac:dyDescent="0.2">
      <c r="A4019" s="95"/>
      <c r="B4019" s="111"/>
    </row>
    <row r="4020" spans="1:2" x14ac:dyDescent="0.2">
      <c r="A4020" s="95"/>
      <c r="B4020" s="111"/>
    </row>
    <row r="4021" spans="1:2" x14ac:dyDescent="0.2">
      <c r="A4021" s="95"/>
      <c r="B4021" s="111"/>
    </row>
    <row r="4022" spans="1:2" x14ac:dyDescent="0.2">
      <c r="A4022" s="95"/>
      <c r="B4022" s="111"/>
    </row>
    <row r="4023" spans="1:2" x14ac:dyDescent="0.2">
      <c r="A4023" s="95"/>
      <c r="B4023" s="111"/>
    </row>
    <row r="4024" spans="1:2" x14ac:dyDescent="0.2">
      <c r="A4024" s="95"/>
      <c r="B4024" s="111"/>
    </row>
    <row r="4025" spans="1:2" x14ac:dyDescent="0.2">
      <c r="A4025" s="95"/>
      <c r="B4025" s="111"/>
    </row>
    <row r="4026" spans="1:2" x14ac:dyDescent="0.2">
      <c r="A4026" s="95"/>
      <c r="B4026" s="111"/>
    </row>
    <row r="4027" spans="1:2" x14ac:dyDescent="0.2">
      <c r="A4027" s="95"/>
      <c r="B4027" s="111"/>
    </row>
    <row r="4028" spans="1:2" x14ac:dyDescent="0.2">
      <c r="A4028" s="95"/>
      <c r="B4028" s="111"/>
    </row>
    <row r="4029" spans="1:2" x14ac:dyDescent="0.2">
      <c r="A4029" s="95"/>
      <c r="B4029" s="111"/>
    </row>
    <row r="4030" spans="1:2" x14ac:dyDescent="0.2">
      <c r="A4030" s="95"/>
      <c r="B4030" s="111"/>
    </row>
    <row r="4031" spans="1:2" x14ac:dyDescent="0.2">
      <c r="A4031" s="95"/>
      <c r="B4031" s="111"/>
    </row>
    <row r="4032" spans="1:2" x14ac:dyDescent="0.2">
      <c r="A4032" s="95"/>
      <c r="B4032" s="111"/>
    </row>
    <row r="4033" spans="1:2" x14ac:dyDescent="0.2">
      <c r="A4033" s="95"/>
      <c r="B4033" s="111"/>
    </row>
    <row r="4034" spans="1:2" x14ac:dyDescent="0.2">
      <c r="A4034" s="95"/>
      <c r="B4034" s="111"/>
    </row>
    <row r="4035" spans="1:2" x14ac:dyDescent="0.2">
      <c r="A4035" s="95"/>
      <c r="B4035" s="111"/>
    </row>
    <row r="4036" spans="1:2" x14ac:dyDescent="0.2">
      <c r="A4036" s="95"/>
      <c r="B4036" s="111"/>
    </row>
    <row r="4037" spans="1:2" x14ac:dyDescent="0.2">
      <c r="A4037" s="95"/>
      <c r="B4037" s="111"/>
    </row>
    <row r="4038" spans="1:2" x14ac:dyDescent="0.2">
      <c r="A4038" s="95"/>
      <c r="B4038" s="111"/>
    </row>
    <row r="4039" spans="1:2" x14ac:dyDescent="0.2">
      <c r="A4039" s="95"/>
      <c r="B4039" s="111"/>
    </row>
    <row r="4040" spans="1:2" x14ac:dyDescent="0.2">
      <c r="A4040" s="95"/>
      <c r="B4040" s="111"/>
    </row>
    <row r="4041" spans="1:2" x14ac:dyDescent="0.2">
      <c r="A4041" s="95"/>
      <c r="B4041" s="111"/>
    </row>
    <row r="4042" spans="1:2" x14ac:dyDescent="0.2">
      <c r="A4042" s="95"/>
      <c r="B4042" s="111"/>
    </row>
    <row r="4043" spans="1:2" x14ac:dyDescent="0.2">
      <c r="A4043" s="95"/>
      <c r="B4043" s="111"/>
    </row>
    <row r="4044" spans="1:2" x14ac:dyDescent="0.2">
      <c r="A4044" s="95"/>
      <c r="B4044" s="111"/>
    </row>
    <row r="4045" spans="1:2" x14ac:dyDescent="0.2">
      <c r="A4045" s="95"/>
      <c r="B4045" s="111"/>
    </row>
    <row r="4046" spans="1:2" x14ac:dyDescent="0.2">
      <c r="A4046" s="95"/>
      <c r="B4046" s="111"/>
    </row>
    <row r="4047" spans="1:2" x14ac:dyDescent="0.2">
      <c r="A4047" s="95"/>
      <c r="B4047" s="111"/>
    </row>
    <row r="4048" spans="1:2" x14ac:dyDescent="0.2">
      <c r="A4048" s="95"/>
      <c r="B4048" s="111"/>
    </row>
    <row r="4049" spans="1:2" x14ac:dyDescent="0.2">
      <c r="A4049" s="95"/>
      <c r="B4049" s="111"/>
    </row>
    <row r="4050" spans="1:2" x14ac:dyDescent="0.2">
      <c r="A4050" s="95"/>
      <c r="B4050" s="111"/>
    </row>
    <row r="4051" spans="1:2" x14ac:dyDescent="0.2">
      <c r="A4051" s="95"/>
      <c r="B4051" s="111"/>
    </row>
    <row r="4052" spans="1:2" x14ac:dyDescent="0.2">
      <c r="A4052" s="95"/>
      <c r="B4052" s="111"/>
    </row>
    <row r="4053" spans="1:2" x14ac:dyDescent="0.2">
      <c r="A4053" s="95"/>
      <c r="B4053" s="111"/>
    </row>
    <row r="4054" spans="1:2" x14ac:dyDescent="0.2">
      <c r="A4054" s="95"/>
      <c r="B4054" s="111"/>
    </row>
    <row r="4055" spans="1:2" x14ac:dyDescent="0.2">
      <c r="A4055" s="95"/>
      <c r="B4055" s="111"/>
    </row>
    <row r="4056" spans="1:2" x14ac:dyDescent="0.2">
      <c r="A4056" s="95"/>
      <c r="B4056" s="111"/>
    </row>
    <row r="4057" spans="1:2" x14ac:dyDescent="0.2">
      <c r="A4057" s="95"/>
      <c r="B4057" s="111"/>
    </row>
    <row r="4058" spans="1:2" x14ac:dyDescent="0.2">
      <c r="A4058" s="95"/>
      <c r="B4058" s="111"/>
    </row>
    <row r="4059" spans="1:2" x14ac:dyDescent="0.2">
      <c r="A4059" s="95"/>
      <c r="B4059" s="111"/>
    </row>
    <row r="4060" spans="1:2" x14ac:dyDescent="0.2">
      <c r="A4060" s="95"/>
      <c r="B4060" s="111"/>
    </row>
    <row r="4061" spans="1:2" x14ac:dyDescent="0.2">
      <c r="A4061" s="95"/>
      <c r="B4061" s="111"/>
    </row>
    <row r="4062" spans="1:2" x14ac:dyDescent="0.2">
      <c r="A4062" s="95"/>
      <c r="B4062" s="111"/>
    </row>
    <row r="4063" spans="1:2" x14ac:dyDescent="0.2">
      <c r="A4063" s="95"/>
      <c r="B4063" s="111"/>
    </row>
    <row r="4064" spans="1:2" x14ac:dyDescent="0.2">
      <c r="A4064" s="95"/>
      <c r="B4064" s="111"/>
    </row>
    <row r="4065" spans="1:2" x14ac:dyDescent="0.2">
      <c r="A4065" s="95"/>
      <c r="B4065" s="111"/>
    </row>
    <row r="4066" spans="1:2" x14ac:dyDescent="0.2">
      <c r="A4066" s="95"/>
      <c r="B4066" s="111"/>
    </row>
    <row r="4067" spans="1:2" x14ac:dyDescent="0.2">
      <c r="A4067" s="95"/>
      <c r="B4067" s="111"/>
    </row>
    <row r="4068" spans="1:2" x14ac:dyDescent="0.2">
      <c r="A4068" s="95"/>
      <c r="B4068" s="111"/>
    </row>
    <row r="4069" spans="1:2" x14ac:dyDescent="0.2">
      <c r="A4069" s="95"/>
      <c r="B4069" s="111"/>
    </row>
    <row r="4070" spans="1:2" x14ac:dyDescent="0.2">
      <c r="A4070" s="95"/>
      <c r="B4070" s="111"/>
    </row>
    <row r="4071" spans="1:2" x14ac:dyDescent="0.2">
      <c r="A4071" s="95"/>
      <c r="B4071" s="111"/>
    </row>
    <row r="4072" spans="1:2" x14ac:dyDescent="0.2">
      <c r="A4072" s="95"/>
      <c r="B4072" s="111"/>
    </row>
    <row r="4073" spans="1:2" x14ac:dyDescent="0.2">
      <c r="A4073" s="95"/>
      <c r="B4073" s="111"/>
    </row>
    <row r="4074" spans="1:2" x14ac:dyDescent="0.2">
      <c r="A4074" s="95"/>
      <c r="B4074" s="111"/>
    </row>
    <row r="4075" spans="1:2" x14ac:dyDescent="0.2">
      <c r="A4075" s="95"/>
      <c r="B4075" s="111"/>
    </row>
    <row r="4076" spans="1:2" x14ac:dyDescent="0.2">
      <c r="A4076" s="95"/>
      <c r="B4076" s="111"/>
    </row>
    <row r="4077" spans="1:2" x14ac:dyDescent="0.2">
      <c r="A4077" s="95"/>
      <c r="B4077" s="111"/>
    </row>
    <row r="4078" spans="1:2" x14ac:dyDescent="0.2">
      <c r="A4078" s="95"/>
      <c r="B4078" s="111"/>
    </row>
    <row r="4079" spans="1:2" x14ac:dyDescent="0.2">
      <c r="A4079" s="95"/>
      <c r="B4079" s="111"/>
    </row>
    <row r="4080" spans="1:2" x14ac:dyDescent="0.2">
      <c r="A4080" s="95"/>
      <c r="B4080" s="111"/>
    </row>
    <row r="4081" spans="1:2" x14ac:dyDescent="0.2">
      <c r="A4081" s="95"/>
      <c r="B4081" s="111"/>
    </row>
    <row r="4082" spans="1:2" x14ac:dyDescent="0.2">
      <c r="A4082" s="95"/>
      <c r="B4082" s="111"/>
    </row>
    <row r="4083" spans="1:2" x14ac:dyDescent="0.2">
      <c r="A4083" s="95"/>
      <c r="B4083" s="111"/>
    </row>
    <row r="4084" spans="1:2" x14ac:dyDescent="0.2">
      <c r="A4084" s="95"/>
      <c r="B4084" s="111"/>
    </row>
    <row r="4085" spans="1:2" x14ac:dyDescent="0.2">
      <c r="A4085" s="95"/>
      <c r="B4085" s="111"/>
    </row>
    <row r="4086" spans="1:2" x14ac:dyDescent="0.2">
      <c r="A4086" s="95"/>
      <c r="B4086" s="111"/>
    </row>
    <row r="4087" spans="1:2" x14ac:dyDescent="0.2">
      <c r="A4087" s="95"/>
      <c r="B4087" s="111"/>
    </row>
    <row r="4088" spans="1:2" x14ac:dyDescent="0.2">
      <c r="A4088" s="95"/>
      <c r="B4088" s="111"/>
    </row>
    <row r="4089" spans="1:2" x14ac:dyDescent="0.2">
      <c r="A4089" s="95"/>
      <c r="B4089" s="111"/>
    </row>
    <row r="4090" spans="1:2" x14ac:dyDescent="0.2">
      <c r="A4090" s="95"/>
      <c r="B4090" s="111"/>
    </row>
    <row r="4091" spans="1:2" x14ac:dyDescent="0.2">
      <c r="A4091" s="95"/>
      <c r="B4091" s="111"/>
    </row>
    <row r="4092" spans="1:2" x14ac:dyDescent="0.2">
      <c r="A4092" s="95"/>
      <c r="B4092" s="111"/>
    </row>
    <row r="4093" spans="1:2" x14ac:dyDescent="0.2">
      <c r="A4093" s="95"/>
      <c r="B4093" s="111"/>
    </row>
    <row r="4094" spans="1:2" x14ac:dyDescent="0.2">
      <c r="A4094" s="95"/>
      <c r="B4094" s="111"/>
    </row>
    <row r="4095" spans="1:2" x14ac:dyDescent="0.2">
      <c r="A4095" s="95"/>
      <c r="B4095" s="111"/>
    </row>
    <row r="4096" spans="1:2" x14ac:dyDescent="0.2">
      <c r="A4096" s="95"/>
      <c r="B4096" s="111"/>
    </row>
    <row r="4097" spans="1:2" x14ac:dyDescent="0.2">
      <c r="A4097" s="95"/>
      <c r="B4097" s="111"/>
    </row>
    <row r="4098" spans="1:2" x14ac:dyDescent="0.2">
      <c r="A4098" s="95"/>
      <c r="B4098" s="111"/>
    </row>
    <row r="4099" spans="1:2" x14ac:dyDescent="0.2">
      <c r="A4099" s="95"/>
      <c r="B4099" s="111"/>
    </row>
    <row r="4100" spans="1:2" x14ac:dyDescent="0.2">
      <c r="A4100" s="95"/>
      <c r="B4100" s="111"/>
    </row>
    <row r="4101" spans="1:2" x14ac:dyDescent="0.2">
      <c r="A4101" s="95"/>
      <c r="B4101" s="111"/>
    </row>
    <row r="4102" spans="1:2" x14ac:dyDescent="0.2">
      <c r="A4102" s="95"/>
      <c r="B4102" s="111"/>
    </row>
    <row r="4103" spans="1:2" x14ac:dyDescent="0.2">
      <c r="A4103" s="95"/>
      <c r="B4103" s="111"/>
    </row>
    <row r="4104" spans="1:2" x14ac:dyDescent="0.2">
      <c r="A4104" s="95"/>
      <c r="B4104" s="111"/>
    </row>
    <row r="4105" spans="1:2" x14ac:dyDescent="0.2">
      <c r="A4105" s="95"/>
      <c r="B4105" s="111"/>
    </row>
    <row r="4106" spans="1:2" x14ac:dyDescent="0.2">
      <c r="A4106" s="95"/>
      <c r="B4106" s="111"/>
    </row>
    <row r="4107" spans="1:2" x14ac:dyDescent="0.2">
      <c r="A4107" s="95"/>
      <c r="B4107" s="111"/>
    </row>
    <row r="4108" spans="1:2" x14ac:dyDescent="0.2">
      <c r="A4108" s="95"/>
      <c r="B4108" s="111"/>
    </row>
    <row r="4109" spans="1:2" x14ac:dyDescent="0.2">
      <c r="A4109" s="95"/>
      <c r="B4109" s="111"/>
    </row>
    <row r="4110" spans="1:2" x14ac:dyDescent="0.2">
      <c r="A4110" s="95"/>
      <c r="B4110" s="111"/>
    </row>
    <row r="4111" spans="1:2" x14ac:dyDescent="0.2">
      <c r="A4111" s="95"/>
      <c r="B4111" s="111"/>
    </row>
    <row r="4112" spans="1:2" x14ac:dyDescent="0.2">
      <c r="A4112" s="95"/>
      <c r="B4112" s="111"/>
    </row>
    <row r="4113" spans="1:2" x14ac:dyDescent="0.2">
      <c r="A4113" s="95"/>
      <c r="B4113" s="111"/>
    </row>
    <row r="4114" spans="1:2" x14ac:dyDescent="0.2">
      <c r="A4114" s="95"/>
      <c r="B4114" s="111"/>
    </row>
    <row r="4115" spans="1:2" x14ac:dyDescent="0.2">
      <c r="A4115" s="95"/>
      <c r="B4115" s="111"/>
    </row>
    <row r="4116" spans="1:2" x14ac:dyDescent="0.2">
      <c r="A4116" s="95"/>
      <c r="B4116" s="111"/>
    </row>
    <row r="4117" spans="1:2" x14ac:dyDescent="0.2">
      <c r="A4117" s="95"/>
      <c r="B4117" s="111"/>
    </row>
    <row r="4118" spans="1:2" x14ac:dyDescent="0.2">
      <c r="A4118" s="95"/>
      <c r="B4118" s="111"/>
    </row>
    <row r="4119" spans="1:2" x14ac:dyDescent="0.2">
      <c r="A4119" s="95"/>
      <c r="B4119" s="111"/>
    </row>
    <row r="4120" spans="1:2" x14ac:dyDescent="0.2">
      <c r="A4120" s="95"/>
      <c r="B4120" s="111"/>
    </row>
    <row r="4121" spans="1:2" x14ac:dyDescent="0.2">
      <c r="A4121" s="95"/>
      <c r="B4121" s="111"/>
    </row>
    <row r="4122" spans="1:2" x14ac:dyDescent="0.2">
      <c r="A4122" s="95"/>
      <c r="B4122" s="111"/>
    </row>
    <row r="4123" spans="1:2" x14ac:dyDescent="0.2">
      <c r="A4123" s="95"/>
      <c r="B4123" s="111"/>
    </row>
    <row r="4124" spans="1:2" x14ac:dyDescent="0.2">
      <c r="A4124" s="95"/>
      <c r="B4124" s="111"/>
    </row>
    <row r="4125" spans="1:2" x14ac:dyDescent="0.2">
      <c r="A4125" s="95"/>
      <c r="B4125" s="111"/>
    </row>
    <row r="4126" spans="1:2" x14ac:dyDescent="0.2">
      <c r="A4126" s="95"/>
      <c r="B4126" s="111"/>
    </row>
    <row r="4127" spans="1:2" x14ac:dyDescent="0.2">
      <c r="A4127" s="95"/>
      <c r="B4127" s="111"/>
    </row>
    <row r="4128" spans="1:2" x14ac:dyDescent="0.2">
      <c r="A4128" s="95"/>
      <c r="B4128" s="111"/>
    </row>
    <row r="4129" spans="1:2" x14ac:dyDescent="0.2">
      <c r="A4129" s="95"/>
      <c r="B4129" s="111"/>
    </row>
    <row r="4130" spans="1:2" x14ac:dyDescent="0.2">
      <c r="A4130" s="95"/>
      <c r="B4130" s="111"/>
    </row>
    <row r="4131" spans="1:2" x14ac:dyDescent="0.2">
      <c r="A4131" s="95"/>
      <c r="B4131" s="111"/>
    </row>
    <row r="4132" spans="1:2" x14ac:dyDescent="0.2">
      <c r="A4132" s="95"/>
      <c r="B4132" s="111"/>
    </row>
    <row r="4133" spans="1:2" x14ac:dyDescent="0.2">
      <c r="A4133" s="95"/>
      <c r="B4133" s="111"/>
    </row>
    <row r="4134" spans="1:2" x14ac:dyDescent="0.2">
      <c r="A4134" s="95"/>
      <c r="B4134" s="111"/>
    </row>
    <row r="4135" spans="1:2" x14ac:dyDescent="0.2">
      <c r="A4135" s="95"/>
      <c r="B4135" s="111"/>
    </row>
    <row r="4136" spans="1:2" x14ac:dyDescent="0.2">
      <c r="A4136" s="95"/>
      <c r="B4136" s="111"/>
    </row>
    <row r="4137" spans="1:2" x14ac:dyDescent="0.2">
      <c r="A4137" s="95"/>
      <c r="B4137" s="111"/>
    </row>
    <row r="4138" spans="1:2" x14ac:dyDescent="0.2">
      <c r="A4138" s="95"/>
      <c r="B4138" s="111"/>
    </row>
    <row r="4139" spans="1:2" x14ac:dyDescent="0.2">
      <c r="A4139" s="95"/>
      <c r="B4139" s="111"/>
    </row>
    <row r="4140" spans="1:2" x14ac:dyDescent="0.2">
      <c r="A4140" s="95"/>
      <c r="B4140" s="111"/>
    </row>
    <row r="4141" spans="1:2" x14ac:dyDescent="0.2">
      <c r="A4141" s="95"/>
      <c r="B4141" s="111"/>
    </row>
    <row r="4142" spans="1:2" x14ac:dyDescent="0.2">
      <c r="A4142" s="95"/>
      <c r="B4142" s="111"/>
    </row>
    <row r="4143" spans="1:2" x14ac:dyDescent="0.2">
      <c r="A4143" s="95"/>
      <c r="B4143" s="111"/>
    </row>
    <row r="4144" spans="1:2" x14ac:dyDescent="0.2">
      <c r="A4144" s="95"/>
      <c r="B4144" s="111"/>
    </row>
    <row r="4145" spans="1:2" x14ac:dyDescent="0.2">
      <c r="A4145" s="95"/>
      <c r="B4145" s="111"/>
    </row>
    <row r="4146" spans="1:2" x14ac:dyDescent="0.2">
      <c r="A4146" s="95"/>
      <c r="B4146" s="111"/>
    </row>
    <row r="4147" spans="1:2" x14ac:dyDescent="0.2">
      <c r="A4147" s="95"/>
      <c r="B4147" s="111"/>
    </row>
    <row r="4148" spans="1:2" x14ac:dyDescent="0.2">
      <c r="A4148" s="95"/>
      <c r="B4148" s="111"/>
    </row>
    <row r="4149" spans="1:2" x14ac:dyDescent="0.2">
      <c r="A4149" s="95"/>
      <c r="B4149" s="111"/>
    </row>
    <row r="4150" spans="1:2" x14ac:dyDescent="0.2">
      <c r="A4150" s="95"/>
      <c r="B4150" s="111"/>
    </row>
    <row r="4151" spans="1:2" x14ac:dyDescent="0.2">
      <c r="A4151" s="95"/>
      <c r="B4151" s="111"/>
    </row>
    <row r="4152" spans="1:2" x14ac:dyDescent="0.2">
      <c r="A4152" s="95"/>
      <c r="B4152" s="111"/>
    </row>
    <row r="4153" spans="1:2" x14ac:dyDescent="0.2">
      <c r="A4153" s="95"/>
      <c r="B4153" s="111"/>
    </row>
    <row r="4154" spans="1:2" x14ac:dyDescent="0.2">
      <c r="A4154" s="95"/>
      <c r="B4154" s="111"/>
    </row>
    <row r="4155" spans="1:2" x14ac:dyDescent="0.2">
      <c r="A4155" s="95"/>
      <c r="B4155" s="111"/>
    </row>
    <row r="4156" spans="1:2" x14ac:dyDescent="0.2">
      <c r="A4156" s="95"/>
      <c r="B4156" s="111"/>
    </row>
    <row r="4157" spans="1:2" x14ac:dyDescent="0.2">
      <c r="A4157" s="95"/>
      <c r="B4157" s="111"/>
    </row>
    <row r="4158" spans="1:2" x14ac:dyDescent="0.2">
      <c r="A4158" s="95"/>
      <c r="B4158" s="111"/>
    </row>
    <row r="4159" spans="1:2" x14ac:dyDescent="0.2">
      <c r="A4159" s="95"/>
      <c r="B4159" s="111"/>
    </row>
    <row r="4160" spans="1:2" x14ac:dyDescent="0.2">
      <c r="A4160" s="95"/>
      <c r="B4160" s="111"/>
    </row>
    <row r="4161" spans="1:2" x14ac:dyDescent="0.2">
      <c r="A4161" s="95"/>
      <c r="B4161" s="111"/>
    </row>
    <row r="4162" spans="1:2" x14ac:dyDescent="0.2">
      <c r="A4162" s="95"/>
      <c r="B4162" s="111"/>
    </row>
    <row r="4163" spans="1:2" x14ac:dyDescent="0.2">
      <c r="A4163" s="95"/>
      <c r="B4163" s="111"/>
    </row>
    <row r="4164" spans="1:2" x14ac:dyDescent="0.2">
      <c r="A4164" s="95"/>
      <c r="B4164" s="111"/>
    </row>
    <row r="4165" spans="1:2" x14ac:dyDescent="0.2">
      <c r="A4165" s="95"/>
      <c r="B4165" s="111"/>
    </row>
    <row r="4166" spans="1:2" x14ac:dyDescent="0.2">
      <c r="A4166" s="95"/>
      <c r="B4166" s="111"/>
    </row>
    <row r="4167" spans="1:2" x14ac:dyDescent="0.2">
      <c r="A4167" s="95"/>
      <c r="B4167" s="111"/>
    </row>
    <row r="4168" spans="1:2" x14ac:dyDescent="0.2">
      <c r="A4168" s="95"/>
      <c r="B4168" s="111"/>
    </row>
    <row r="4169" spans="1:2" x14ac:dyDescent="0.2">
      <c r="A4169" s="95"/>
      <c r="B4169" s="111"/>
    </row>
    <row r="4170" spans="1:2" x14ac:dyDescent="0.2">
      <c r="A4170" s="95"/>
      <c r="B4170" s="111"/>
    </row>
    <row r="4171" spans="1:2" x14ac:dyDescent="0.2">
      <c r="A4171" s="95"/>
      <c r="B4171" s="111"/>
    </row>
    <row r="4172" spans="1:2" x14ac:dyDescent="0.2">
      <c r="A4172" s="95"/>
      <c r="B4172" s="111"/>
    </row>
    <row r="4173" spans="1:2" x14ac:dyDescent="0.2">
      <c r="A4173" s="95"/>
      <c r="B4173" s="111"/>
    </row>
    <row r="4174" spans="1:2" x14ac:dyDescent="0.2">
      <c r="A4174" s="95"/>
      <c r="B4174" s="111"/>
    </row>
    <row r="4175" spans="1:2" x14ac:dyDescent="0.2">
      <c r="A4175" s="95"/>
      <c r="B4175" s="111"/>
    </row>
    <row r="4176" spans="1:2" x14ac:dyDescent="0.2">
      <c r="A4176" s="95"/>
      <c r="B4176" s="111"/>
    </row>
    <row r="4177" spans="1:2" x14ac:dyDescent="0.2">
      <c r="A4177" s="95"/>
      <c r="B4177" s="111"/>
    </row>
    <row r="4178" spans="1:2" x14ac:dyDescent="0.2">
      <c r="A4178" s="95"/>
      <c r="B4178" s="111"/>
    </row>
    <row r="4179" spans="1:2" x14ac:dyDescent="0.2">
      <c r="A4179" s="95"/>
      <c r="B4179" s="111"/>
    </row>
    <row r="4180" spans="1:2" x14ac:dyDescent="0.2">
      <c r="A4180" s="95"/>
      <c r="B4180" s="111"/>
    </row>
    <row r="4181" spans="1:2" x14ac:dyDescent="0.2">
      <c r="A4181" s="95"/>
      <c r="B4181" s="111"/>
    </row>
    <row r="4182" spans="1:2" x14ac:dyDescent="0.2">
      <c r="A4182" s="95"/>
      <c r="B4182" s="111"/>
    </row>
    <row r="4183" spans="1:2" x14ac:dyDescent="0.2">
      <c r="A4183" s="95"/>
      <c r="B4183" s="111"/>
    </row>
    <row r="4184" spans="1:2" x14ac:dyDescent="0.2">
      <c r="A4184" s="95"/>
      <c r="B4184" s="111"/>
    </row>
    <row r="4185" spans="1:2" x14ac:dyDescent="0.2">
      <c r="A4185" s="95"/>
      <c r="B4185" s="111"/>
    </row>
    <row r="4186" spans="1:2" x14ac:dyDescent="0.2">
      <c r="A4186" s="95"/>
      <c r="B4186" s="111"/>
    </row>
    <row r="4187" spans="1:2" x14ac:dyDescent="0.2">
      <c r="A4187" s="95"/>
      <c r="B4187" s="111"/>
    </row>
    <row r="4188" spans="1:2" x14ac:dyDescent="0.2">
      <c r="A4188" s="95"/>
      <c r="B4188" s="111"/>
    </row>
    <row r="4189" spans="1:2" x14ac:dyDescent="0.2">
      <c r="A4189" s="95"/>
      <c r="B4189" s="111"/>
    </row>
    <row r="4190" spans="1:2" x14ac:dyDescent="0.2">
      <c r="A4190" s="95"/>
      <c r="B4190" s="111"/>
    </row>
    <row r="4191" spans="1:2" x14ac:dyDescent="0.2">
      <c r="A4191" s="95"/>
      <c r="B4191" s="111"/>
    </row>
    <row r="4192" spans="1:2" x14ac:dyDescent="0.2">
      <c r="A4192" s="95"/>
      <c r="B4192" s="111"/>
    </row>
    <row r="4193" spans="1:2" x14ac:dyDescent="0.2">
      <c r="A4193" s="95"/>
      <c r="B4193" s="111"/>
    </row>
    <row r="4194" spans="1:2" x14ac:dyDescent="0.2">
      <c r="A4194" s="95"/>
      <c r="B4194" s="111"/>
    </row>
    <row r="4195" spans="1:2" x14ac:dyDescent="0.2">
      <c r="A4195" s="95"/>
      <c r="B4195" s="111"/>
    </row>
    <row r="4196" spans="1:2" x14ac:dyDescent="0.2">
      <c r="A4196" s="95"/>
      <c r="B4196" s="111"/>
    </row>
    <row r="4197" spans="1:2" x14ac:dyDescent="0.2">
      <c r="A4197" s="95"/>
      <c r="B4197" s="111"/>
    </row>
    <row r="4198" spans="1:2" x14ac:dyDescent="0.2">
      <c r="A4198" s="95"/>
      <c r="B4198" s="111"/>
    </row>
    <row r="4199" spans="1:2" x14ac:dyDescent="0.2">
      <c r="A4199" s="95"/>
      <c r="B4199" s="111"/>
    </row>
    <row r="4200" spans="1:2" x14ac:dyDescent="0.2">
      <c r="A4200" s="95"/>
      <c r="B4200" s="111"/>
    </row>
    <row r="4201" spans="1:2" x14ac:dyDescent="0.2">
      <c r="A4201" s="95"/>
      <c r="B4201" s="111"/>
    </row>
    <row r="4202" spans="1:2" x14ac:dyDescent="0.2">
      <c r="A4202" s="95"/>
      <c r="B4202" s="111"/>
    </row>
    <row r="4203" spans="1:2" x14ac:dyDescent="0.2">
      <c r="A4203" s="95"/>
      <c r="B4203" s="111"/>
    </row>
    <row r="4204" spans="1:2" x14ac:dyDescent="0.2">
      <c r="A4204" s="95"/>
      <c r="B4204" s="111"/>
    </row>
    <row r="4205" spans="1:2" x14ac:dyDescent="0.2">
      <c r="A4205" s="95"/>
      <c r="B4205" s="111"/>
    </row>
    <row r="4206" spans="1:2" x14ac:dyDescent="0.2">
      <c r="A4206" s="95"/>
      <c r="B4206" s="111"/>
    </row>
    <row r="4207" spans="1:2" x14ac:dyDescent="0.2">
      <c r="A4207" s="95"/>
      <c r="B4207" s="111"/>
    </row>
    <row r="4208" spans="1:2" x14ac:dyDescent="0.2">
      <c r="A4208" s="95"/>
      <c r="B4208" s="111"/>
    </row>
    <row r="4209" spans="1:2" x14ac:dyDescent="0.2">
      <c r="A4209" s="95"/>
      <c r="B4209" s="111"/>
    </row>
    <row r="4210" spans="1:2" x14ac:dyDescent="0.2">
      <c r="A4210" s="95"/>
      <c r="B4210" s="111"/>
    </row>
    <row r="4211" spans="1:2" x14ac:dyDescent="0.2">
      <c r="A4211" s="95"/>
      <c r="B4211" s="111"/>
    </row>
    <row r="4212" spans="1:2" x14ac:dyDescent="0.2">
      <c r="A4212" s="95"/>
      <c r="B4212" s="111"/>
    </row>
    <row r="4213" spans="1:2" x14ac:dyDescent="0.2">
      <c r="A4213" s="95"/>
      <c r="B4213" s="111"/>
    </row>
    <row r="4214" spans="1:2" x14ac:dyDescent="0.2">
      <c r="A4214" s="95"/>
      <c r="B4214" s="111"/>
    </row>
    <row r="4215" spans="1:2" x14ac:dyDescent="0.2">
      <c r="A4215" s="95"/>
      <c r="B4215" s="111"/>
    </row>
    <row r="4216" spans="1:2" x14ac:dyDescent="0.2">
      <c r="A4216" s="95"/>
      <c r="B4216" s="111"/>
    </row>
    <row r="4217" spans="1:2" x14ac:dyDescent="0.2">
      <c r="A4217" s="95"/>
      <c r="B4217" s="111"/>
    </row>
    <row r="4218" spans="1:2" x14ac:dyDescent="0.2">
      <c r="A4218" s="95"/>
      <c r="B4218" s="111"/>
    </row>
    <row r="4219" spans="1:2" x14ac:dyDescent="0.2">
      <c r="A4219" s="95"/>
      <c r="B4219" s="111"/>
    </row>
    <row r="4220" spans="1:2" x14ac:dyDescent="0.2">
      <c r="A4220" s="95"/>
      <c r="B4220" s="111"/>
    </row>
    <row r="4221" spans="1:2" x14ac:dyDescent="0.2">
      <c r="A4221" s="95"/>
      <c r="B4221" s="111"/>
    </row>
    <row r="4222" spans="1:2" x14ac:dyDescent="0.2">
      <c r="A4222" s="95"/>
      <c r="B4222" s="111"/>
    </row>
    <row r="4223" spans="1:2" x14ac:dyDescent="0.2">
      <c r="A4223" s="95"/>
      <c r="B4223" s="111"/>
    </row>
    <row r="4224" spans="1:2" x14ac:dyDescent="0.2">
      <c r="A4224" s="95"/>
      <c r="B4224" s="111"/>
    </row>
    <row r="4225" spans="1:2" x14ac:dyDescent="0.2">
      <c r="A4225" s="95"/>
      <c r="B4225" s="111"/>
    </row>
    <row r="4226" spans="1:2" x14ac:dyDescent="0.2">
      <c r="A4226" s="95"/>
      <c r="B4226" s="111"/>
    </row>
    <row r="4227" spans="1:2" x14ac:dyDescent="0.2">
      <c r="A4227" s="95"/>
      <c r="B4227" s="111"/>
    </row>
    <row r="4228" spans="1:2" x14ac:dyDescent="0.2">
      <c r="A4228" s="95"/>
      <c r="B4228" s="111"/>
    </row>
    <row r="4229" spans="1:2" x14ac:dyDescent="0.2">
      <c r="A4229" s="95"/>
      <c r="B4229" s="111"/>
    </row>
    <row r="4230" spans="1:2" x14ac:dyDescent="0.2">
      <c r="A4230" s="95"/>
      <c r="B4230" s="111"/>
    </row>
    <row r="4231" spans="1:2" x14ac:dyDescent="0.2">
      <c r="A4231" s="95"/>
      <c r="B4231" s="111"/>
    </row>
    <row r="4232" spans="1:2" x14ac:dyDescent="0.2">
      <c r="A4232" s="95"/>
      <c r="B4232" s="111"/>
    </row>
    <row r="4233" spans="1:2" x14ac:dyDescent="0.2">
      <c r="A4233" s="95"/>
      <c r="B4233" s="111"/>
    </row>
    <row r="4234" spans="1:2" x14ac:dyDescent="0.2">
      <c r="A4234" s="95"/>
      <c r="B4234" s="111"/>
    </row>
    <row r="4235" spans="1:2" x14ac:dyDescent="0.2">
      <c r="A4235" s="95"/>
      <c r="B4235" s="111"/>
    </row>
    <row r="4236" spans="1:2" x14ac:dyDescent="0.2">
      <c r="A4236" s="95"/>
      <c r="B4236" s="111"/>
    </row>
    <row r="4237" spans="1:2" x14ac:dyDescent="0.2">
      <c r="A4237" s="95"/>
      <c r="B4237" s="111"/>
    </row>
    <row r="4238" spans="1:2" x14ac:dyDescent="0.2">
      <c r="A4238" s="95"/>
      <c r="B4238" s="111"/>
    </row>
    <row r="4239" spans="1:2" x14ac:dyDescent="0.2">
      <c r="A4239" s="95"/>
      <c r="B4239" s="111"/>
    </row>
    <row r="4240" spans="1:2" x14ac:dyDescent="0.2">
      <c r="A4240" s="95"/>
      <c r="B4240" s="111"/>
    </row>
    <row r="4241" spans="1:2" x14ac:dyDescent="0.2">
      <c r="A4241" s="95"/>
      <c r="B4241" s="111"/>
    </row>
    <row r="4242" spans="1:2" x14ac:dyDescent="0.2">
      <c r="A4242" s="95"/>
      <c r="B4242" s="111"/>
    </row>
    <row r="4243" spans="1:2" x14ac:dyDescent="0.2">
      <c r="A4243" s="95"/>
      <c r="B4243" s="111"/>
    </row>
    <row r="4244" spans="1:2" x14ac:dyDescent="0.2">
      <c r="A4244" s="95"/>
      <c r="B4244" s="111"/>
    </row>
    <row r="4245" spans="1:2" x14ac:dyDescent="0.2">
      <c r="A4245" s="95"/>
      <c r="B4245" s="111"/>
    </row>
    <row r="4246" spans="1:2" x14ac:dyDescent="0.2">
      <c r="A4246" s="95"/>
      <c r="B4246" s="111"/>
    </row>
    <row r="4247" spans="1:2" x14ac:dyDescent="0.2">
      <c r="A4247" s="95"/>
      <c r="B4247" s="111"/>
    </row>
    <row r="4248" spans="1:2" x14ac:dyDescent="0.2">
      <c r="A4248" s="95"/>
      <c r="B4248" s="111"/>
    </row>
    <row r="4249" spans="1:2" x14ac:dyDescent="0.2">
      <c r="A4249" s="95"/>
      <c r="B4249" s="111"/>
    </row>
    <row r="4250" spans="1:2" x14ac:dyDescent="0.2">
      <c r="A4250" s="95"/>
      <c r="B4250" s="111"/>
    </row>
    <row r="4251" spans="1:2" x14ac:dyDescent="0.2">
      <c r="A4251" s="95"/>
      <c r="B4251" s="111"/>
    </row>
    <row r="4252" spans="1:2" x14ac:dyDescent="0.2">
      <c r="A4252" s="95"/>
      <c r="B4252" s="111"/>
    </row>
    <row r="4253" spans="1:2" x14ac:dyDescent="0.2">
      <c r="A4253" s="95"/>
      <c r="B4253" s="111"/>
    </row>
    <row r="4254" spans="1:2" x14ac:dyDescent="0.2">
      <c r="A4254" s="95"/>
      <c r="B4254" s="111"/>
    </row>
    <row r="4255" spans="1:2" x14ac:dyDescent="0.2">
      <c r="A4255" s="95"/>
      <c r="B4255" s="111"/>
    </row>
    <row r="4256" spans="1:2" x14ac:dyDescent="0.2">
      <c r="A4256" s="95"/>
      <c r="B4256" s="111"/>
    </row>
    <row r="4257" spans="1:2" x14ac:dyDescent="0.2">
      <c r="A4257" s="95"/>
      <c r="B4257" s="111"/>
    </row>
    <row r="4258" spans="1:2" x14ac:dyDescent="0.2">
      <c r="A4258" s="95"/>
      <c r="B4258" s="111"/>
    </row>
    <row r="4259" spans="1:2" x14ac:dyDescent="0.2">
      <c r="A4259" s="95"/>
      <c r="B4259" s="111"/>
    </row>
    <row r="4260" spans="1:2" x14ac:dyDescent="0.2">
      <c r="A4260" s="95"/>
      <c r="B4260" s="111"/>
    </row>
    <row r="4261" spans="1:2" x14ac:dyDescent="0.2">
      <c r="A4261" s="95"/>
      <c r="B4261" s="111"/>
    </row>
    <row r="4262" spans="1:2" x14ac:dyDescent="0.2">
      <c r="A4262" s="95"/>
      <c r="B4262" s="111"/>
    </row>
    <row r="4263" spans="1:2" x14ac:dyDescent="0.2">
      <c r="A4263" s="95"/>
      <c r="B4263" s="111"/>
    </row>
    <row r="4264" spans="1:2" x14ac:dyDescent="0.2">
      <c r="A4264" s="95"/>
      <c r="B4264" s="111"/>
    </row>
    <row r="4265" spans="1:2" x14ac:dyDescent="0.2">
      <c r="A4265" s="95"/>
      <c r="B4265" s="111"/>
    </row>
    <row r="4266" spans="1:2" x14ac:dyDescent="0.2">
      <c r="A4266" s="95"/>
      <c r="B4266" s="111"/>
    </row>
    <row r="4267" spans="1:2" x14ac:dyDescent="0.2">
      <c r="A4267" s="95"/>
      <c r="B4267" s="111"/>
    </row>
    <row r="4268" spans="1:2" x14ac:dyDescent="0.2">
      <c r="A4268" s="95"/>
      <c r="B4268" s="111"/>
    </row>
    <row r="4269" spans="1:2" x14ac:dyDescent="0.2">
      <c r="A4269" s="95"/>
      <c r="B4269" s="111"/>
    </row>
    <row r="4270" spans="1:2" x14ac:dyDescent="0.2">
      <c r="A4270" s="95"/>
      <c r="B4270" s="111"/>
    </row>
    <row r="4271" spans="1:2" x14ac:dyDescent="0.2">
      <c r="A4271" s="95"/>
      <c r="B4271" s="111"/>
    </row>
    <row r="4272" spans="1:2" x14ac:dyDescent="0.2">
      <c r="A4272" s="95"/>
      <c r="B4272" s="111"/>
    </row>
    <row r="4273" spans="1:2" x14ac:dyDescent="0.2">
      <c r="A4273" s="95"/>
      <c r="B4273" s="111"/>
    </row>
    <row r="4274" spans="1:2" x14ac:dyDescent="0.2">
      <c r="A4274" s="95"/>
      <c r="B4274" s="111"/>
    </row>
    <row r="4275" spans="1:2" x14ac:dyDescent="0.2">
      <c r="A4275" s="95"/>
      <c r="B4275" s="111"/>
    </row>
    <row r="4276" spans="1:2" x14ac:dyDescent="0.2">
      <c r="A4276" s="95"/>
      <c r="B4276" s="111"/>
    </row>
    <row r="4277" spans="1:2" x14ac:dyDescent="0.2">
      <c r="A4277" s="95"/>
      <c r="B4277" s="111"/>
    </row>
    <row r="4278" spans="1:2" x14ac:dyDescent="0.2">
      <c r="A4278" s="95"/>
      <c r="B4278" s="111"/>
    </row>
    <row r="4279" spans="1:2" x14ac:dyDescent="0.2">
      <c r="A4279" s="95"/>
      <c r="B4279" s="111"/>
    </row>
    <row r="4280" spans="1:2" x14ac:dyDescent="0.2">
      <c r="A4280" s="95"/>
      <c r="B4280" s="111"/>
    </row>
    <row r="4281" spans="1:2" x14ac:dyDescent="0.2">
      <c r="A4281" s="95"/>
      <c r="B4281" s="111"/>
    </row>
    <row r="4282" spans="1:2" x14ac:dyDescent="0.2">
      <c r="A4282" s="95"/>
      <c r="B4282" s="111"/>
    </row>
    <row r="4283" spans="1:2" x14ac:dyDescent="0.2">
      <c r="A4283" s="95"/>
      <c r="B4283" s="111"/>
    </row>
    <row r="4284" spans="1:2" x14ac:dyDescent="0.2">
      <c r="A4284" s="95"/>
      <c r="B4284" s="111"/>
    </row>
    <row r="4285" spans="1:2" x14ac:dyDescent="0.2">
      <c r="A4285" s="95"/>
      <c r="B4285" s="111"/>
    </row>
    <row r="4286" spans="1:2" x14ac:dyDescent="0.2">
      <c r="A4286" s="95"/>
      <c r="B4286" s="111"/>
    </row>
    <row r="4287" spans="1:2" x14ac:dyDescent="0.2">
      <c r="A4287" s="95"/>
      <c r="B4287" s="111"/>
    </row>
    <row r="4288" spans="1:2" x14ac:dyDescent="0.2">
      <c r="A4288" s="95"/>
      <c r="B4288" s="111"/>
    </row>
    <row r="4289" spans="1:2" x14ac:dyDescent="0.2">
      <c r="A4289" s="95"/>
      <c r="B4289" s="111"/>
    </row>
    <row r="4290" spans="1:2" x14ac:dyDescent="0.2">
      <c r="A4290" s="95"/>
      <c r="B4290" s="111"/>
    </row>
    <row r="4291" spans="1:2" x14ac:dyDescent="0.2">
      <c r="A4291" s="95"/>
      <c r="B4291" s="111"/>
    </row>
    <row r="4292" spans="1:2" x14ac:dyDescent="0.2">
      <c r="A4292" s="95"/>
      <c r="B4292" s="111"/>
    </row>
    <row r="4293" spans="1:2" x14ac:dyDescent="0.2">
      <c r="A4293" s="95"/>
      <c r="B4293" s="111"/>
    </row>
    <row r="4294" spans="1:2" x14ac:dyDescent="0.2">
      <c r="A4294" s="95"/>
      <c r="B4294" s="111"/>
    </row>
    <row r="4295" spans="1:2" x14ac:dyDescent="0.2">
      <c r="A4295" s="95"/>
      <c r="B4295" s="111"/>
    </row>
    <row r="4296" spans="1:2" x14ac:dyDescent="0.2">
      <c r="A4296" s="95"/>
      <c r="B4296" s="111"/>
    </row>
    <row r="4297" spans="1:2" x14ac:dyDescent="0.2">
      <c r="A4297" s="95"/>
      <c r="B4297" s="111"/>
    </row>
    <row r="4298" spans="1:2" x14ac:dyDescent="0.2">
      <c r="A4298" s="95"/>
      <c r="B4298" s="111"/>
    </row>
    <row r="4299" spans="1:2" x14ac:dyDescent="0.2">
      <c r="A4299" s="95"/>
      <c r="B4299" s="111"/>
    </row>
    <row r="4300" spans="1:2" x14ac:dyDescent="0.2">
      <c r="A4300" s="95"/>
      <c r="B4300" s="111"/>
    </row>
    <row r="4301" spans="1:2" x14ac:dyDescent="0.2">
      <c r="A4301" s="95"/>
      <c r="B4301" s="111"/>
    </row>
    <row r="4302" spans="1:2" x14ac:dyDescent="0.2">
      <c r="A4302" s="95"/>
      <c r="B4302" s="111"/>
    </row>
    <row r="4303" spans="1:2" x14ac:dyDescent="0.2">
      <c r="A4303" s="95"/>
      <c r="B4303" s="111"/>
    </row>
    <row r="4304" spans="1:2" x14ac:dyDescent="0.2">
      <c r="A4304" s="95"/>
      <c r="B4304" s="111"/>
    </row>
    <row r="4305" spans="1:2" x14ac:dyDescent="0.2">
      <c r="A4305" s="95"/>
      <c r="B4305" s="111"/>
    </row>
    <row r="4306" spans="1:2" x14ac:dyDescent="0.2">
      <c r="A4306" s="95"/>
      <c r="B4306" s="111"/>
    </row>
    <row r="4307" spans="1:2" x14ac:dyDescent="0.2">
      <c r="A4307" s="95"/>
      <c r="B4307" s="111"/>
    </row>
    <row r="4308" spans="1:2" x14ac:dyDescent="0.2">
      <c r="A4308" s="95"/>
      <c r="B4308" s="111"/>
    </row>
    <row r="4309" spans="1:2" x14ac:dyDescent="0.2">
      <c r="A4309" s="95"/>
      <c r="B4309" s="111"/>
    </row>
    <row r="4310" spans="1:2" x14ac:dyDescent="0.2">
      <c r="A4310" s="95"/>
      <c r="B4310" s="111"/>
    </row>
    <row r="4311" spans="1:2" x14ac:dyDescent="0.2">
      <c r="A4311" s="95"/>
      <c r="B4311" s="111"/>
    </row>
    <row r="4312" spans="1:2" x14ac:dyDescent="0.2">
      <c r="A4312" s="95"/>
      <c r="B4312" s="111"/>
    </row>
    <row r="4313" spans="1:2" x14ac:dyDescent="0.2">
      <c r="A4313" s="95"/>
      <c r="B4313" s="111"/>
    </row>
    <row r="4314" spans="1:2" x14ac:dyDescent="0.2">
      <c r="A4314" s="95"/>
      <c r="B4314" s="111"/>
    </row>
    <row r="4315" spans="1:2" x14ac:dyDescent="0.2">
      <c r="A4315" s="95"/>
      <c r="B4315" s="111"/>
    </row>
    <row r="4316" spans="1:2" x14ac:dyDescent="0.2">
      <c r="A4316" s="95"/>
      <c r="B4316" s="111"/>
    </row>
    <row r="4317" spans="1:2" x14ac:dyDescent="0.2">
      <c r="A4317" s="95"/>
      <c r="B4317" s="111"/>
    </row>
    <row r="4318" spans="1:2" x14ac:dyDescent="0.2">
      <c r="A4318" s="95"/>
      <c r="B4318" s="111"/>
    </row>
    <row r="4319" spans="1:2" x14ac:dyDescent="0.2">
      <c r="A4319" s="95"/>
      <c r="B4319" s="111"/>
    </row>
    <row r="4320" spans="1:2" x14ac:dyDescent="0.2">
      <c r="A4320" s="95"/>
      <c r="B4320" s="111"/>
    </row>
    <row r="4321" spans="1:2" x14ac:dyDescent="0.2">
      <c r="A4321" s="95"/>
      <c r="B4321" s="111"/>
    </row>
    <row r="4322" spans="1:2" x14ac:dyDescent="0.2">
      <c r="A4322" s="95"/>
      <c r="B4322" s="111"/>
    </row>
    <row r="4323" spans="1:2" x14ac:dyDescent="0.2">
      <c r="A4323" s="95"/>
      <c r="B4323" s="111"/>
    </row>
    <row r="4324" spans="1:2" x14ac:dyDescent="0.2">
      <c r="A4324" s="95"/>
      <c r="B4324" s="111"/>
    </row>
    <row r="4325" spans="1:2" x14ac:dyDescent="0.2">
      <c r="A4325" s="95"/>
      <c r="B4325" s="111"/>
    </row>
    <row r="4326" spans="1:2" x14ac:dyDescent="0.2">
      <c r="A4326" s="95"/>
      <c r="B4326" s="111"/>
    </row>
    <row r="4327" spans="1:2" x14ac:dyDescent="0.2">
      <c r="A4327" s="95"/>
      <c r="B4327" s="111"/>
    </row>
    <row r="4328" spans="1:2" x14ac:dyDescent="0.2">
      <c r="A4328" s="95"/>
      <c r="B4328" s="111"/>
    </row>
    <row r="4329" spans="1:2" x14ac:dyDescent="0.2">
      <c r="A4329" s="95"/>
      <c r="B4329" s="111"/>
    </row>
    <row r="4330" spans="1:2" x14ac:dyDescent="0.2">
      <c r="A4330" s="95"/>
      <c r="B4330" s="111"/>
    </row>
    <row r="4331" spans="1:2" x14ac:dyDescent="0.2">
      <c r="A4331" s="95"/>
      <c r="B4331" s="111"/>
    </row>
    <row r="4332" spans="1:2" x14ac:dyDescent="0.2">
      <c r="A4332" s="95"/>
      <c r="B4332" s="111"/>
    </row>
    <row r="4333" spans="1:2" x14ac:dyDescent="0.2">
      <c r="A4333" s="95"/>
      <c r="B4333" s="111"/>
    </row>
    <row r="4334" spans="1:2" x14ac:dyDescent="0.2">
      <c r="A4334" s="95"/>
      <c r="B4334" s="111"/>
    </row>
    <row r="4335" spans="1:2" x14ac:dyDescent="0.2">
      <c r="A4335" s="95"/>
      <c r="B4335" s="111"/>
    </row>
    <row r="4336" spans="1:2" x14ac:dyDescent="0.2">
      <c r="A4336" s="95"/>
      <c r="B4336" s="111"/>
    </row>
    <row r="4337" spans="1:2" x14ac:dyDescent="0.2">
      <c r="A4337" s="95"/>
      <c r="B4337" s="111"/>
    </row>
    <row r="4338" spans="1:2" x14ac:dyDescent="0.2">
      <c r="A4338" s="95"/>
      <c r="B4338" s="111"/>
    </row>
    <row r="4339" spans="1:2" x14ac:dyDescent="0.2">
      <c r="A4339" s="95"/>
      <c r="B4339" s="111"/>
    </row>
  </sheetData>
  <sheetProtection password="816A" sheet="1" objects="1" scenarios="1"/>
  <mergeCells count="1">
    <mergeCell ref="K271:L271"/>
  </mergeCells>
  <printOptions horizontalCentered="1"/>
  <pageMargins left="0.15748031496062992" right="0.15748031496062992" top="0.31496062992125984" bottom="0.19685039370078741" header="0" footer="0.19685039370078741"/>
  <pageSetup paperSize="9" scale="72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129"/>
  <sheetViews>
    <sheetView topLeftCell="A19" zoomScale="85" zoomScaleNormal="85" workbookViewId="0">
      <selection activeCell="F26" sqref="F26"/>
    </sheetView>
  </sheetViews>
  <sheetFormatPr baseColWidth="10" defaultRowHeight="12.75" x14ac:dyDescent="0.2"/>
  <cols>
    <col min="1" max="1" width="11.42578125" style="675"/>
    <col min="2" max="2" width="20.85546875" style="675" customWidth="1"/>
    <col min="3" max="8" width="11.42578125" style="675"/>
    <col min="9" max="9" width="27" style="675" bestFit="1" customWidth="1"/>
    <col min="10" max="16384" width="11.42578125" style="675"/>
  </cols>
  <sheetData>
    <row r="1" spans="2:7" x14ac:dyDescent="0.2">
      <c r="B1" s="675" t="s">
        <v>2370</v>
      </c>
    </row>
    <row r="3" spans="2:7" x14ac:dyDescent="0.2">
      <c r="B3" s="675" t="s">
        <v>2369</v>
      </c>
      <c r="C3" s="675">
        <f>+'FORMATO INVIERTE.PE 1'!C61:I61</f>
        <v>0</v>
      </c>
    </row>
    <row r="4" spans="2:7" x14ac:dyDescent="0.2">
      <c r="B4" s="675" t="s">
        <v>2371</v>
      </c>
      <c r="C4" s="675">
        <f>+'FORMATO INVIERTE.PE 1'!C60:I60</f>
        <v>0</v>
      </c>
    </row>
    <row r="5" spans="2:7" x14ac:dyDescent="0.2">
      <c r="B5" s="675" t="s">
        <v>2372</v>
      </c>
      <c r="C5" s="675">
        <f>+'FORMATO INVIERTE.PE 1'!C59:I59</f>
        <v>0</v>
      </c>
    </row>
    <row r="8" spans="2:7" x14ac:dyDescent="0.2">
      <c r="B8" s="675" t="str">
        <f>CONCATENATE(B3,C3,B4,C4,B5,C5)</f>
        <v>Distrito de 0, Provincia de 0, Departamento de 0</v>
      </c>
    </row>
    <row r="10" spans="2:7" ht="16.5" x14ac:dyDescent="0.25">
      <c r="B10" s="676" t="s">
        <v>283</v>
      </c>
      <c r="C10" s="675">
        <f>+'FORMATO INVIERTE.PE 1'!F20</f>
        <v>0</v>
      </c>
    </row>
    <row r="11" spans="2:7" ht="15" x14ac:dyDescent="0.2">
      <c r="B11" s="677" t="s">
        <v>284</v>
      </c>
      <c r="C11" s="678"/>
    </row>
    <row r="12" spans="2:7" ht="15" x14ac:dyDescent="0.2">
      <c r="B12" s="679" t="s">
        <v>2110</v>
      </c>
      <c r="C12" s="679"/>
      <c r="G12" s="679" t="s">
        <v>2112</v>
      </c>
    </row>
    <row r="13" spans="2:7" ht="15" x14ac:dyDescent="0.2">
      <c r="B13" s="679" t="s">
        <v>2110</v>
      </c>
      <c r="C13" s="678"/>
      <c r="G13" s="679" t="s">
        <v>2111</v>
      </c>
    </row>
    <row r="14" spans="2:7" ht="15" x14ac:dyDescent="0.2">
      <c r="B14" s="679" t="str">
        <f>CONCATENATE(B12,C10,G12)</f>
        <v>La población de la jurisdicción de la Comisaría PNP 0  tiene limitado acceso a los servicios policiales</v>
      </c>
      <c r="C14" s="678"/>
      <c r="G14" s="679"/>
    </row>
    <row r="15" spans="2:7" ht="15" x14ac:dyDescent="0.2">
      <c r="B15" s="679" t="str">
        <f>CONCATENATE(B13,C10,G13)</f>
        <v>La población de la jurisdicción de la Comisaría PNP 0 accede a servicios policiales que no cumplen estándares establecidos</v>
      </c>
      <c r="C15" s="678"/>
      <c r="G15" s="679"/>
    </row>
    <row r="16" spans="2:7" ht="15" x14ac:dyDescent="0.2">
      <c r="B16" s="680"/>
      <c r="C16" s="680"/>
    </row>
    <row r="17" spans="1:14" ht="15" x14ac:dyDescent="0.2">
      <c r="B17" s="680" t="s">
        <v>285</v>
      </c>
      <c r="C17" s="680"/>
      <c r="I17" s="681" t="s">
        <v>296</v>
      </c>
      <c r="J17" s="681" t="s">
        <v>297</v>
      </c>
      <c r="K17" s="681"/>
      <c r="L17" s="681" t="s">
        <v>298</v>
      </c>
      <c r="M17" s="681" t="s">
        <v>301</v>
      </c>
      <c r="N17" s="681"/>
    </row>
    <row r="18" spans="1:14" ht="15" x14ac:dyDescent="0.2">
      <c r="A18" s="675" t="s">
        <v>2228</v>
      </c>
      <c r="B18" s="681" t="s">
        <v>2087</v>
      </c>
      <c r="C18" s="681"/>
      <c r="I18" s="681" t="s">
        <v>305</v>
      </c>
      <c r="J18" s="681" t="s">
        <v>299</v>
      </c>
      <c r="K18" s="681"/>
      <c r="L18" s="681"/>
      <c r="M18" s="681" t="s">
        <v>304</v>
      </c>
      <c r="N18" s="681"/>
    </row>
    <row r="19" spans="1:14" ht="15" x14ac:dyDescent="0.2">
      <c r="A19" s="675" t="s">
        <v>2229</v>
      </c>
      <c r="B19" s="679" t="s">
        <v>2088</v>
      </c>
      <c r="C19" s="678"/>
      <c r="I19" s="681" t="s">
        <v>302</v>
      </c>
      <c r="J19" s="681" t="s">
        <v>303</v>
      </c>
      <c r="K19" s="681"/>
      <c r="L19" s="681"/>
      <c r="M19" s="681" t="s">
        <v>307</v>
      </c>
      <c r="N19" s="681"/>
    </row>
    <row r="20" spans="1:14" ht="15" x14ac:dyDescent="0.2">
      <c r="A20" s="675" t="s">
        <v>2230</v>
      </c>
      <c r="B20" s="677" t="s">
        <v>286</v>
      </c>
      <c r="C20" s="679"/>
      <c r="I20" s="681" t="s">
        <v>2374</v>
      </c>
      <c r="J20" s="681"/>
      <c r="K20" s="681"/>
      <c r="L20" s="681"/>
      <c r="M20" s="681"/>
      <c r="N20" s="681"/>
    </row>
    <row r="21" spans="1:14" ht="15" x14ac:dyDescent="0.2">
      <c r="C21" s="682"/>
      <c r="I21" s="681"/>
      <c r="J21" s="681"/>
      <c r="K21" s="681"/>
      <c r="L21" s="681"/>
      <c r="M21" s="681"/>
      <c r="N21" s="681"/>
    </row>
    <row r="22" spans="1:14" ht="15" x14ac:dyDescent="0.2">
      <c r="C22" s="679"/>
      <c r="K22" s="681"/>
      <c r="L22" s="681"/>
      <c r="N22" s="681"/>
    </row>
    <row r="23" spans="1:14" ht="15" x14ac:dyDescent="0.2">
      <c r="C23" s="682"/>
      <c r="K23" s="681"/>
      <c r="L23" s="681"/>
      <c r="N23" s="681"/>
    </row>
    <row r="24" spans="1:14" ht="15" x14ac:dyDescent="0.2">
      <c r="B24" s="677"/>
      <c r="C24" s="679"/>
      <c r="I24" s="681"/>
      <c r="J24" s="681"/>
      <c r="K24" s="681"/>
      <c r="L24" s="681"/>
      <c r="M24" s="681"/>
      <c r="N24" s="681"/>
    </row>
    <row r="25" spans="1:14" ht="15" x14ac:dyDescent="0.2">
      <c r="C25" s="679"/>
      <c r="I25" s="681"/>
      <c r="J25" s="681"/>
      <c r="K25" s="681"/>
      <c r="L25" s="681"/>
      <c r="M25" s="681"/>
      <c r="N25" s="681"/>
    </row>
    <row r="26" spans="1:14" ht="15" x14ac:dyDescent="0.2">
      <c r="B26" s="682"/>
      <c r="C26" s="682"/>
      <c r="I26" s="681"/>
      <c r="J26" s="681"/>
      <c r="K26" s="681"/>
      <c r="L26" s="681"/>
      <c r="M26" s="681"/>
      <c r="N26" s="681"/>
    </row>
    <row r="27" spans="1:14" ht="15" x14ac:dyDescent="0.2">
      <c r="B27" s="680" t="s">
        <v>287</v>
      </c>
      <c r="C27" s="683"/>
      <c r="I27" s="681" t="s">
        <v>296</v>
      </c>
      <c r="J27" s="681" t="s">
        <v>297</v>
      </c>
      <c r="K27" s="681"/>
      <c r="L27" s="681"/>
      <c r="M27" s="681" t="s">
        <v>301</v>
      </c>
      <c r="N27" s="681"/>
    </row>
    <row r="28" spans="1:14" ht="15" x14ac:dyDescent="0.2">
      <c r="A28" s="675" t="s">
        <v>2228</v>
      </c>
      <c r="B28" s="677" t="s">
        <v>288</v>
      </c>
      <c r="C28" s="684"/>
      <c r="I28" s="681" t="s">
        <v>305</v>
      </c>
      <c r="J28" s="681" t="s">
        <v>299</v>
      </c>
      <c r="K28" s="681"/>
      <c r="L28" s="681"/>
      <c r="M28" s="681" t="s">
        <v>304</v>
      </c>
      <c r="N28" s="681"/>
    </row>
    <row r="29" spans="1:14" ht="15" x14ac:dyDescent="0.2">
      <c r="A29" s="675" t="s">
        <v>2228</v>
      </c>
      <c r="B29" s="677" t="s">
        <v>289</v>
      </c>
      <c r="C29" s="684"/>
      <c r="I29" s="681" t="s">
        <v>302</v>
      </c>
      <c r="J29" s="681" t="s">
        <v>303</v>
      </c>
      <c r="K29" s="681"/>
      <c r="L29" s="681"/>
      <c r="M29" s="681" t="s">
        <v>307</v>
      </c>
      <c r="N29" s="681"/>
    </row>
    <row r="30" spans="1:14" ht="15" x14ac:dyDescent="0.2">
      <c r="A30" s="675" t="s">
        <v>2228</v>
      </c>
      <c r="B30" s="677" t="s">
        <v>291</v>
      </c>
      <c r="C30" s="684"/>
      <c r="I30" s="681" t="s">
        <v>306</v>
      </c>
      <c r="J30" s="681"/>
      <c r="K30" s="681"/>
      <c r="L30" s="681"/>
      <c r="M30" s="681" t="s">
        <v>312</v>
      </c>
      <c r="N30" s="681"/>
    </row>
    <row r="31" spans="1:14" ht="15" x14ac:dyDescent="0.2">
      <c r="A31" s="675" t="s">
        <v>2228</v>
      </c>
      <c r="B31" s="677" t="s">
        <v>290</v>
      </c>
      <c r="C31" s="684"/>
      <c r="I31" s="681" t="s">
        <v>308</v>
      </c>
      <c r="J31" s="681"/>
      <c r="K31" s="681"/>
      <c r="L31" s="681"/>
      <c r="M31" s="681"/>
      <c r="N31" s="681"/>
    </row>
    <row r="32" spans="1:14" ht="15" x14ac:dyDescent="0.2">
      <c r="A32" s="675" t="s">
        <v>2229</v>
      </c>
      <c r="B32" s="677" t="s">
        <v>2231</v>
      </c>
      <c r="C32" s="684"/>
      <c r="I32" s="681" t="s">
        <v>309</v>
      </c>
      <c r="J32" s="681"/>
      <c r="K32" s="681"/>
      <c r="L32" s="681"/>
      <c r="M32" s="681"/>
      <c r="N32" s="681"/>
    </row>
    <row r="33" spans="1:14" ht="15" x14ac:dyDescent="0.2">
      <c r="A33" s="675" t="s">
        <v>2229</v>
      </c>
      <c r="B33" s="677" t="s">
        <v>2232</v>
      </c>
      <c r="C33" s="684"/>
      <c r="I33" s="681" t="s">
        <v>310</v>
      </c>
      <c r="K33" s="681"/>
      <c r="L33" s="681"/>
      <c r="N33" s="681"/>
    </row>
    <row r="34" spans="1:14" ht="15" x14ac:dyDescent="0.2">
      <c r="A34" s="675" t="s">
        <v>2229</v>
      </c>
      <c r="B34" s="677" t="s">
        <v>2233</v>
      </c>
      <c r="C34" s="684"/>
      <c r="I34" s="681" t="s">
        <v>311</v>
      </c>
      <c r="K34" s="681"/>
      <c r="L34" s="681"/>
      <c r="N34" s="681"/>
    </row>
    <row r="35" spans="1:14" ht="15" x14ac:dyDescent="0.2">
      <c r="A35" s="675" t="s">
        <v>2229</v>
      </c>
      <c r="B35" s="677" t="s">
        <v>2234</v>
      </c>
      <c r="C35" s="684"/>
      <c r="K35" s="681"/>
      <c r="L35" s="681"/>
      <c r="N35" s="681"/>
    </row>
    <row r="36" spans="1:14" ht="15" x14ac:dyDescent="0.2">
      <c r="A36" s="675" t="s">
        <v>2229</v>
      </c>
      <c r="B36" s="677" t="s">
        <v>292</v>
      </c>
      <c r="C36" s="684"/>
      <c r="J36" s="681"/>
      <c r="K36" s="681"/>
      <c r="L36" s="681"/>
      <c r="N36" s="681"/>
    </row>
    <row r="37" spans="1:14" ht="15" x14ac:dyDescent="0.2">
      <c r="A37" s="675" t="s">
        <v>2229</v>
      </c>
      <c r="B37" s="677" t="s">
        <v>293</v>
      </c>
      <c r="C37" s="684"/>
      <c r="J37" s="681"/>
      <c r="K37" s="681"/>
      <c r="L37" s="681"/>
      <c r="M37" s="681"/>
      <c r="N37" s="681"/>
    </row>
    <row r="38" spans="1:14" ht="15" x14ac:dyDescent="0.2">
      <c r="A38" s="675" t="s">
        <v>2230</v>
      </c>
      <c r="B38" s="681" t="s">
        <v>294</v>
      </c>
      <c r="C38" s="681"/>
      <c r="J38" s="681"/>
      <c r="K38" s="681"/>
      <c r="L38" s="681"/>
      <c r="M38" s="681"/>
      <c r="N38" s="681"/>
    </row>
    <row r="39" spans="1:14" ht="15" x14ac:dyDescent="0.2">
      <c r="A39" s="675" t="s">
        <v>2230</v>
      </c>
      <c r="B39" s="681" t="s">
        <v>2235</v>
      </c>
      <c r="C39" s="681"/>
      <c r="J39" s="681"/>
      <c r="K39" s="681"/>
      <c r="L39" s="681"/>
      <c r="M39" s="681"/>
      <c r="N39" s="681"/>
    </row>
    <row r="40" spans="1:14" ht="15" x14ac:dyDescent="0.2">
      <c r="B40" s="681"/>
      <c r="C40" s="681"/>
      <c r="J40" s="681"/>
      <c r="K40" s="681"/>
      <c r="L40" s="681"/>
      <c r="M40" s="681"/>
      <c r="N40" s="681"/>
    </row>
    <row r="41" spans="1:14" ht="15" x14ac:dyDescent="0.2">
      <c r="B41" s="681" t="s">
        <v>313</v>
      </c>
      <c r="C41" s="681"/>
      <c r="I41" s="681" t="s">
        <v>296</v>
      </c>
      <c r="J41" s="681" t="s">
        <v>297</v>
      </c>
      <c r="K41" s="681"/>
      <c r="L41" s="681"/>
      <c r="M41" s="681" t="s">
        <v>301</v>
      </c>
      <c r="N41" s="681"/>
    </row>
    <row r="42" spans="1:14" ht="15" x14ac:dyDescent="0.2">
      <c r="A42" s="675" t="s">
        <v>2228</v>
      </c>
      <c r="B42" s="681" t="s">
        <v>314</v>
      </c>
      <c r="C42" s="681"/>
      <c r="I42" s="681" t="s">
        <v>320</v>
      </c>
      <c r="J42" s="681" t="s">
        <v>299</v>
      </c>
      <c r="K42" s="681"/>
      <c r="L42" s="681"/>
      <c r="M42" s="681" t="s">
        <v>321</v>
      </c>
      <c r="N42" s="681"/>
    </row>
    <row r="43" spans="1:14" ht="15" x14ac:dyDescent="0.2">
      <c r="A43" s="675" t="s">
        <v>2229</v>
      </c>
      <c r="B43" s="681" t="s">
        <v>315</v>
      </c>
      <c r="C43" s="681"/>
      <c r="I43" s="681" t="s">
        <v>325</v>
      </c>
      <c r="J43" s="681"/>
      <c r="K43" s="681"/>
      <c r="L43" s="681"/>
      <c r="M43" s="681" t="s">
        <v>322</v>
      </c>
      <c r="N43" s="681"/>
    </row>
    <row r="44" spans="1:14" ht="15" x14ac:dyDescent="0.2">
      <c r="A44" s="675" t="s">
        <v>2230</v>
      </c>
      <c r="B44" s="681" t="s">
        <v>316</v>
      </c>
      <c r="C44" s="681"/>
      <c r="I44" s="681" t="s">
        <v>324</v>
      </c>
      <c r="J44" s="681"/>
      <c r="K44" s="681"/>
      <c r="L44" s="681"/>
      <c r="M44" s="681" t="s">
        <v>312</v>
      </c>
      <c r="N44" s="681"/>
    </row>
    <row r="45" spans="1:14" ht="15" x14ac:dyDescent="0.2">
      <c r="A45" s="675" t="s">
        <v>2228</v>
      </c>
      <c r="B45" s="681" t="s">
        <v>317</v>
      </c>
      <c r="C45" s="681"/>
      <c r="I45" s="681" t="s">
        <v>323</v>
      </c>
      <c r="J45" s="681"/>
      <c r="K45" s="681"/>
      <c r="L45" s="681"/>
      <c r="M45" s="681"/>
      <c r="N45" s="681"/>
    </row>
    <row r="46" spans="1:14" ht="15" x14ac:dyDescent="0.2">
      <c r="A46" s="675" t="s">
        <v>2229</v>
      </c>
      <c r="B46" s="681" t="s">
        <v>318</v>
      </c>
      <c r="C46" s="681"/>
    </row>
    <row r="47" spans="1:14" ht="15" x14ac:dyDescent="0.2">
      <c r="A47" s="675" t="s">
        <v>2230</v>
      </c>
      <c r="B47" s="681" t="s">
        <v>319</v>
      </c>
      <c r="C47" s="681"/>
    </row>
    <row r="48" spans="1:14" ht="15" x14ac:dyDescent="0.2">
      <c r="B48" s="681" t="s">
        <v>2089</v>
      </c>
    </row>
    <row r="52" spans="2:14" ht="15" x14ac:dyDescent="0.2">
      <c r="B52" s="677" t="s">
        <v>2090</v>
      </c>
    </row>
    <row r="53" spans="2:14" ht="15" x14ac:dyDescent="0.2">
      <c r="B53" s="679" t="s">
        <v>2110</v>
      </c>
      <c r="G53" s="679" t="s">
        <v>2113</v>
      </c>
    </row>
    <row r="54" spans="2:14" ht="15" x14ac:dyDescent="0.2">
      <c r="B54" s="679" t="s">
        <v>2110</v>
      </c>
      <c r="G54" s="679" t="s">
        <v>2114</v>
      </c>
    </row>
    <row r="55" spans="2:14" ht="15" x14ac:dyDescent="0.2">
      <c r="B55" s="679" t="str">
        <f>CONCATENATE(B53,C10,G53)</f>
        <v>La población de la jurisdicción de la Comisaría PNP 0 tiene adecuado acceso a los servicios policiales</v>
      </c>
    </row>
    <row r="56" spans="2:14" ht="15" x14ac:dyDescent="0.2">
      <c r="B56" s="679" t="str">
        <f>CONCATENATE(B54,C10,G54)</f>
        <v>La población de la jurisdicción de la Comisaría PNP 0 accede a servicios policiales que cumplen estándares establecidos</v>
      </c>
    </row>
    <row r="57" spans="2:14" ht="15" x14ac:dyDescent="0.2">
      <c r="B57" s="680"/>
    </row>
    <row r="58" spans="2:14" ht="15" x14ac:dyDescent="0.2">
      <c r="B58" s="680" t="s">
        <v>285</v>
      </c>
    </row>
    <row r="59" spans="2:14" ht="15" x14ac:dyDescent="0.2">
      <c r="B59" s="681" t="s">
        <v>2236</v>
      </c>
      <c r="I59" s="681" t="s">
        <v>296</v>
      </c>
      <c r="J59" s="681" t="s">
        <v>297</v>
      </c>
      <c r="K59" s="681"/>
      <c r="L59" s="681" t="s">
        <v>298</v>
      </c>
      <c r="M59" s="681" t="s">
        <v>301</v>
      </c>
      <c r="N59" s="681"/>
    </row>
    <row r="60" spans="2:14" ht="15" x14ac:dyDescent="0.2">
      <c r="B60" s="679" t="s">
        <v>2091</v>
      </c>
      <c r="I60" s="681" t="s">
        <v>2505</v>
      </c>
      <c r="J60" s="681" t="s">
        <v>299</v>
      </c>
      <c r="K60" s="681"/>
      <c r="L60" s="681"/>
      <c r="M60" s="681" t="s">
        <v>304</v>
      </c>
      <c r="N60" s="681"/>
    </row>
    <row r="61" spans="2:14" ht="15" x14ac:dyDescent="0.2">
      <c r="B61" s="677" t="s">
        <v>2237</v>
      </c>
      <c r="I61" s="681" t="s">
        <v>302</v>
      </c>
      <c r="J61" s="681" t="s">
        <v>303</v>
      </c>
      <c r="K61" s="681"/>
      <c r="L61" s="681"/>
      <c r="M61" s="681" t="s">
        <v>307</v>
      </c>
      <c r="N61" s="681"/>
    </row>
    <row r="62" spans="2:14" ht="15" x14ac:dyDescent="0.2">
      <c r="B62" s="679"/>
      <c r="I62" s="681" t="s">
        <v>2374</v>
      </c>
      <c r="J62" s="681"/>
      <c r="K62" s="681"/>
      <c r="L62" s="681"/>
      <c r="M62" s="681"/>
      <c r="N62" s="681"/>
    </row>
    <row r="63" spans="2:14" ht="15" x14ac:dyDescent="0.2">
      <c r="B63" s="679"/>
    </row>
    <row r="64" spans="2:14" ht="15" x14ac:dyDescent="0.2">
      <c r="B64" s="679"/>
    </row>
    <row r="65" spans="2:14" ht="15" x14ac:dyDescent="0.2">
      <c r="B65" s="677"/>
    </row>
    <row r="66" spans="2:14" ht="15" x14ac:dyDescent="0.2">
      <c r="B66" s="677"/>
    </row>
    <row r="67" spans="2:14" ht="15" x14ac:dyDescent="0.2">
      <c r="B67" s="682"/>
    </row>
    <row r="68" spans="2:14" ht="15" x14ac:dyDescent="0.2">
      <c r="B68" s="680" t="s">
        <v>287</v>
      </c>
      <c r="I68" s="681" t="s">
        <v>296</v>
      </c>
      <c r="J68" s="681" t="s">
        <v>297</v>
      </c>
      <c r="K68" s="681"/>
      <c r="L68" s="681"/>
      <c r="M68" s="681" t="s">
        <v>301</v>
      </c>
      <c r="N68" s="681"/>
    </row>
    <row r="69" spans="2:14" ht="15" x14ac:dyDescent="0.2">
      <c r="B69" s="677" t="s">
        <v>2092</v>
      </c>
      <c r="I69" s="681" t="s">
        <v>2505</v>
      </c>
      <c r="J69" s="681" t="s">
        <v>299</v>
      </c>
      <c r="K69" s="681"/>
      <c r="L69" s="681"/>
      <c r="M69" s="681" t="s">
        <v>304</v>
      </c>
      <c r="N69" s="681"/>
    </row>
    <row r="70" spans="2:14" ht="15" x14ac:dyDescent="0.2">
      <c r="B70" s="677" t="s">
        <v>2093</v>
      </c>
      <c r="I70" s="681" t="s">
        <v>302</v>
      </c>
      <c r="J70" s="681" t="s">
        <v>303</v>
      </c>
      <c r="K70" s="681"/>
      <c r="L70" s="681"/>
      <c r="M70" s="681" t="s">
        <v>307</v>
      </c>
      <c r="N70" s="681"/>
    </row>
    <row r="71" spans="2:14" ht="15" x14ac:dyDescent="0.2">
      <c r="B71" s="677" t="s">
        <v>2094</v>
      </c>
      <c r="I71" s="681" t="s">
        <v>306</v>
      </c>
      <c r="J71" s="681"/>
      <c r="K71" s="681"/>
      <c r="L71" s="681"/>
      <c r="M71" s="681" t="s">
        <v>312</v>
      </c>
      <c r="N71" s="681"/>
    </row>
    <row r="72" spans="2:14" ht="15" x14ac:dyDescent="0.2">
      <c r="B72" s="677" t="s">
        <v>2095</v>
      </c>
      <c r="I72" s="681" t="s">
        <v>2506</v>
      </c>
      <c r="J72" s="681"/>
      <c r="K72" s="681"/>
      <c r="L72" s="681"/>
      <c r="M72" s="681"/>
      <c r="N72" s="681"/>
    </row>
    <row r="73" spans="2:14" ht="15" x14ac:dyDescent="0.2">
      <c r="B73" s="677" t="s">
        <v>2096</v>
      </c>
      <c r="I73" s="681" t="s">
        <v>2507</v>
      </c>
      <c r="J73" s="681"/>
      <c r="K73" s="681"/>
      <c r="L73" s="681"/>
      <c r="M73" s="681"/>
      <c r="N73" s="681"/>
    </row>
    <row r="74" spans="2:14" ht="15" x14ac:dyDescent="0.2">
      <c r="B74" s="677" t="s">
        <v>2097</v>
      </c>
      <c r="I74" s="681" t="s">
        <v>310</v>
      </c>
      <c r="K74" s="681"/>
      <c r="L74" s="681"/>
      <c r="N74" s="681"/>
    </row>
    <row r="75" spans="2:14" ht="15" x14ac:dyDescent="0.2">
      <c r="B75" s="677" t="s">
        <v>2098</v>
      </c>
      <c r="I75" s="681" t="s">
        <v>311</v>
      </c>
      <c r="K75" s="681"/>
      <c r="L75" s="681"/>
      <c r="N75" s="681"/>
    </row>
    <row r="76" spans="2:14" ht="15" x14ac:dyDescent="0.2">
      <c r="B76" s="677" t="s">
        <v>2099</v>
      </c>
    </row>
    <row r="77" spans="2:14" ht="15" x14ac:dyDescent="0.2">
      <c r="B77" s="677" t="s">
        <v>2100</v>
      </c>
    </row>
    <row r="78" spans="2:14" ht="15" x14ac:dyDescent="0.2">
      <c r="B78" s="677" t="s">
        <v>2101</v>
      </c>
    </row>
    <row r="79" spans="2:14" ht="15" x14ac:dyDescent="0.2">
      <c r="B79" s="681" t="s">
        <v>2102</v>
      </c>
    </row>
    <row r="80" spans="2:14" ht="15" x14ac:dyDescent="0.2">
      <c r="B80" s="681" t="s">
        <v>2238</v>
      </c>
    </row>
    <row r="81" spans="2:14" ht="15" x14ac:dyDescent="0.2">
      <c r="B81" s="681"/>
      <c r="I81" s="681" t="s">
        <v>296</v>
      </c>
      <c r="J81" s="681" t="s">
        <v>297</v>
      </c>
      <c r="K81" s="681"/>
      <c r="L81" s="681"/>
      <c r="M81" s="681" t="s">
        <v>301</v>
      </c>
      <c r="N81" s="681"/>
    </row>
    <row r="82" spans="2:14" ht="15" x14ac:dyDescent="0.2">
      <c r="B82" s="681" t="s">
        <v>313</v>
      </c>
      <c r="I82" s="681" t="s">
        <v>320</v>
      </c>
      <c r="J82" s="681" t="s">
        <v>299</v>
      </c>
      <c r="K82" s="681"/>
      <c r="L82" s="681"/>
      <c r="M82" s="681" t="s">
        <v>321</v>
      </c>
      <c r="N82" s="681"/>
    </row>
    <row r="83" spans="2:14" ht="15" x14ac:dyDescent="0.2">
      <c r="B83" s="681" t="s">
        <v>2103</v>
      </c>
      <c r="I83" s="681" t="s">
        <v>325</v>
      </c>
      <c r="J83" s="681"/>
      <c r="K83" s="681"/>
      <c r="L83" s="681"/>
      <c r="M83" s="681" t="s">
        <v>322</v>
      </c>
      <c r="N83" s="681"/>
    </row>
    <row r="84" spans="2:14" ht="15" x14ac:dyDescent="0.2">
      <c r="B84" s="681" t="s">
        <v>2104</v>
      </c>
      <c r="I84" s="681" t="s">
        <v>324</v>
      </c>
      <c r="J84" s="681"/>
      <c r="K84" s="681"/>
      <c r="L84" s="681"/>
      <c r="M84" s="681" t="s">
        <v>312</v>
      </c>
      <c r="N84" s="681"/>
    </row>
    <row r="85" spans="2:14" ht="15" x14ac:dyDescent="0.2">
      <c r="B85" s="681" t="s">
        <v>2105</v>
      </c>
      <c r="I85" s="681" t="s">
        <v>323</v>
      </c>
      <c r="J85" s="681"/>
      <c r="K85" s="681"/>
      <c r="L85" s="681"/>
      <c r="M85" s="681"/>
      <c r="N85" s="681"/>
    </row>
    <row r="86" spans="2:14" ht="15" x14ac:dyDescent="0.2">
      <c r="B86" s="681" t="s">
        <v>2106</v>
      </c>
    </row>
    <row r="87" spans="2:14" ht="15" x14ac:dyDescent="0.2">
      <c r="B87" s="681" t="s">
        <v>2107</v>
      </c>
    </row>
    <row r="88" spans="2:14" ht="15" x14ac:dyDescent="0.2">
      <c r="B88" s="681" t="s">
        <v>2108</v>
      </c>
    </row>
    <row r="89" spans="2:14" ht="15" x14ac:dyDescent="0.2">
      <c r="B89" s="681" t="s">
        <v>2109</v>
      </c>
    </row>
    <row r="94" spans="2:14" x14ac:dyDescent="0.2">
      <c r="B94" s="675" t="s">
        <v>2381</v>
      </c>
    </row>
    <row r="95" spans="2:14" x14ac:dyDescent="0.2">
      <c r="B95" s="675" t="s">
        <v>2388</v>
      </c>
    </row>
    <row r="96" spans="2:14" x14ac:dyDescent="0.2">
      <c r="B96" s="675" t="s">
        <v>2382</v>
      </c>
    </row>
    <row r="97" spans="2:2" x14ac:dyDescent="0.2">
      <c r="B97" s="675" t="s">
        <v>2390</v>
      </c>
    </row>
    <row r="98" spans="2:2" x14ac:dyDescent="0.2">
      <c r="B98" s="675" t="s">
        <v>2387</v>
      </c>
    </row>
    <row r="99" spans="2:2" x14ac:dyDescent="0.2">
      <c r="B99" s="675" t="s">
        <v>2383</v>
      </c>
    </row>
    <row r="100" spans="2:2" x14ac:dyDescent="0.2">
      <c r="B100" s="675" t="s">
        <v>2386</v>
      </c>
    </row>
    <row r="101" spans="2:2" x14ac:dyDescent="0.2">
      <c r="B101" s="675" t="s">
        <v>2389</v>
      </c>
    </row>
    <row r="102" spans="2:2" x14ac:dyDescent="0.2">
      <c r="B102" s="675" t="s">
        <v>2384</v>
      </c>
    </row>
    <row r="103" spans="2:2" x14ac:dyDescent="0.2">
      <c r="B103" s="675" t="s">
        <v>2385</v>
      </c>
    </row>
    <row r="105" spans="2:2" x14ac:dyDescent="0.2">
      <c r="B105" s="675" t="s">
        <v>2392</v>
      </c>
    </row>
    <row r="106" spans="2:2" x14ac:dyDescent="0.2">
      <c r="B106" s="675" t="s">
        <v>2391</v>
      </c>
    </row>
    <row r="107" spans="2:2" x14ac:dyDescent="0.2">
      <c r="B107" s="675" t="s">
        <v>2394</v>
      </c>
    </row>
    <row r="108" spans="2:2" x14ac:dyDescent="0.2">
      <c r="B108" s="675" t="s">
        <v>2393</v>
      </c>
    </row>
    <row r="109" spans="2:2" x14ac:dyDescent="0.2">
      <c r="B109" s="675" t="s">
        <v>2396</v>
      </c>
    </row>
    <row r="110" spans="2:2" x14ac:dyDescent="0.2">
      <c r="B110" s="675" t="s">
        <v>2395</v>
      </c>
    </row>
    <row r="111" spans="2:2" x14ac:dyDescent="0.2">
      <c r="B111" s="675" t="s">
        <v>2398</v>
      </c>
    </row>
    <row r="112" spans="2:2" x14ac:dyDescent="0.2">
      <c r="B112" s="675" t="s">
        <v>2556</v>
      </c>
    </row>
    <row r="113" spans="2:2" x14ac:dyDescent="0.2">
      <c r="B113" s="675" t="s">
        <v>2557</v>
      </c>
    </row>
    <row r="114" spans="2:2" x14ac:dyDescent="0.2">
      <c r="B114" s="675" t="s">
        <v>2397</v>
      </c>
    </row>
    <row r="115" spans="2:2" x14ac:dyDescent="0.2">
      <c r="B115" s="675" t="s">
        <v>2400</v>
      </c>
    </row>
    <row r="116" spans="2:2" x14ac:dyDescent="0.2">
      <c r="B116" s="675" t="s">
        <v>2399</v>
      </c>
    </row>
    <row r="117" spans="2:2" x14ac:dyDescent="0.2">
      <c r="B117" s="675" t="s">
        <v>2403</v>
      </c>
    </row>
    <row r="118" spans="2:2" x14ac:dyDescent="0.2">
      <c r="B118" s="675" t="s">
        <v>2402</v>
      </c>
    </row>
    <row r="119" spans="2:2" x14ac:dyDescent="0.2">
      <c r="B119" s="675" t="s">
        <v>2401</v>
      </c>
    </row>
    <row r="120" spans="2:2" x14ac:dyDescent="0.2">
      <c r="B120" s="675" t="s">
        <v>2558</v>
      </c>
    </row>
    <row r="121" spans="2:2" x14ac:dyDescent="0.2">
      <c r="B121" s="675" t="s">
        <v>2405</v>
      </c>
    </row>
    <row r="122" spans="2:2" x14ac:dyDescent="0.2">
      <c r="B122" s="675" t="s">
        <v>2404</v>
      </c>
    </row>
    <row r="123" spans="2:2" x14ac:dyDescent="0.2">
      <c r="B123" s="675" t="s">
        <v>2407</v>
      </c>
    </row>
    <row r="124" spans="2:2" x14ac:dyDescent="0.2">
      <c r="B124" s="675" t="s">
        <v>2559</v>
      </c>
    </row>
    <row r="125" spans="2:2" x14ac:dyDescent="0.2">
      <c r="B125" s="675" t="s">
        <v>2406</v>
      </c>
    </row>
    <row r="126" spans="2:2" x14ac:dyDescent="0.2">
      <c r="B126" s="675" t="s">
        <v>2409</v>
      </c>
    </row>
    <row r="127" spans="2:2" x14ac:dyDescent="0.2">
      <c r="B127" s="675" t="s">
        <v>2408</v>
      </c>
    </row>
    <row r="128" spans="2:2" x14ac:dyDescent="0.2">
      <c r="B128" s="675" t="s">
        <v>2411</v>
      </c>
    </row>
    <row r="129" spans="2:2" x14ac:dyDescent="0.2">
      <c r="B129" s="675" t="s">
        <v>2410</v>
      </c>
    </row>
  </sheetData>
  <sheetProtection password="816A" sheet="1" objects="1" scenarios="1" selectLockedCells="1" selectUn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L2491"/>
  <sheetViews>
    <sheetView zoomScaleNormal="100" workbookViewId="0">
      <pane xSplit="1" ySplit="1" topLeftCell="AB2" activePane="bottomRight" state="frozen"/>
      <selection pane="topRight" activeCell="B1" sqref="B1"/>
      <selection pane="bottomLeft" activeCell="A6" sqref="A6"/>
      <selection pane="bottomRight" activeCell="AJ18" sqref="AJ18"/>
    </sheetView>
  </sheetViews>
  <sheetFormatPr baseColWidth="10" defaultRowHeight="12.75" x14ac:dyDescent="0.2"/>
  <cols>
    <col min="1" max="1" width="5.7109375" style="93" hidden="1" customWidth="1"/>
    <col min="2" max="2" width="21.140625" style="94" customWidth="1"/>
    <col min="3" max="3" width="23.140625" style="93" bestFit="1" customWidth="1"/>
    <col min="4" max="4" width="14.140625" style="93" bestFit="1" customWidth="1"/>
    <col min="5" max="5" width="12.85546875" style="93" bestFit="1" customWidth="1"/>
    <col min="6" max="6" width="12.85546875" style="93" customWidth="1"/>
    <col min="7" max="7" width="22.42578125" style="93" bestFit="1" customWidth="1"/>
    <col min="8" max="8" width="12.42578125" style="93" bestFit="1" customWidth="1"/>
    <col min="9" max="9" width="12.42578125" style="93" customWidth="1"/>
    <col min="10" max="10" width="11.42578125" style="93"/>
    <col min="11" max="11" width="15.42578125" style="93" bestFit="1" customWidth="1"/>
    <col min="12" max="12" width="15.42578125" style="93" customWidth="1"/>
    <col min="13" max="13" width="17.28515625" style="93" bestFit="1" customWidth="1"/>
    <col min="14" max="14" width="17.28515625" style="93" customWidth="1"/>
    <col min="15" max="15" width="15.5703125" style="93" bestFit="1" customWidth="1"/>
    <col min="16" max="16" width="15.5703125" style="93" customWidth="1"/>
    <col min="17" max="19" width="11.42578125" style="93"/>
    <col min="20" max="20" width="19.7109375" style="93" bestFit="1" customWidth="1"/>
    <col min="21" max="21" width="13.28515625" style="93" bestFit="1" customWidth="1"/>
    <col min="22" max="22" width="13.28515625" style="93" customWidth="1"/>
    <col min="23" max="23" width="12.7109375" style="93" bestFit="1" customWidth="1"/>
    <col min="24" max="24" width="12.7109375" style="93" customWidth="1"/>
    <col min="25" max="25" width="26.5703125" style="93" bestFit="1" customWidth="1"/>
    <col min="26" max="26" width="15" style="93" bestFit="1" customWidth="1"/>
    <col min="27" max="27" width="24.85546875" style="93" bestFit="1" customWidth="1"/>
    <col min="28" max="28" width="24.5703125" style="93" bestFit="1" customWidth="1"/>
    <col min="29" max="29" width="14.85546875" style="93" bestFit="1" customWidth="1"/>
    <col min="30" max="30" width="14.85546875" style="93" customWidth="1"/>
    <col min="31" max="31" width="23.28515625" style="93" bestFit="1" customWidth="1"/>
    <col min="32" max="32" width="23.28515625" style="93" customWidth="1"/>
    <col min="33" max="33" width="18.7109375" style="93" bestFit="1" customWidth="1"/>
    <col min="34" max="34" width="15.7109375" style="93" bestFit="1" customWidth="1"/>
    <col min="35" max="35" width="15.7109375" style="93" customWidth="1"/>
    <col min="36" max="36" width="25" style="93" bestFit="1" customWidth="1"/>
    <col min="37" max="37" width="25" style="93" customWidth="1"/>
    <col min="38" max="38" width="19.28515625" style="93" bestFit="1" customWidth="1"/>
    <col min="39" max="16384" width="11.42578125" style="93"/>
  </cols>
  <sheetData>
    <row r="1" spans="1:38" ht="12.75" customHeight="1" x14ac:dyDescent="0.2"/>
    <row r="2" spans="1:38" x14ac:dyDescent="0.2">
      <c r="A2" s="95" t="s">
        <v>360</v>
      </c>
      <c r="B2" s="98" t="s">
        <v>336</v>
      </c>
      <c r="C2" s="98" t="s">
        <v>337</v>
      </c>
      <c r="D2" s="98" t="s">
        <v>338</v>
      </c>
      <c r="E2" s="98" t="s">
        <v>339</v>
      </c>
      <c r="F2" s="98" t="s">
        <v>2514</v>
      </c>
      <c r="G2" s="98" t="s">
        <v>340</v>
      </c>
      <c r="H2" s="98" t="s">
        <v>341</v>
      </c>
      <c r="I2" s="98" t="s">
        <v>2515</v>
      </c>
      <c r="J2" s="98" t="s">
        <v>342</v>
      </c>
      <c r="K2" s="98" t="s">
        <v>343</v>
      </c>
      <c r="L2" s="98" t="s">
        <v>2516</v>
      </c>
      <c r="M2" s="98" t="s">
        <v>1124</v>
      </c>
      <c r="N2" s="98" t="s">
        <v>2517</v>
      </c>
      <c r="O2" s="98" t="s">
        <v>344</v>
      </c>
      <c r="P2" s="98" t="s">
        <v>2518</v>
      </c>
      <c r="Q2" s="98" t="s">
        <v>345</v>
      </c>
      <c r="R2" s="98" t="s">
        <v>2519</v>
      </c>
      <c r="S2" s="98" t="s">
        <v>346</v>
      </c>
      <c r="T2" s="98" t="s">
        <v>2530</v>
      </c>
      <c r="U2" s="98" t="s">
        <v>348</v>
      </c>
      <c r="V2" s="98" t="s">
        <v>2520</v>
      </c>
      <c r="W2" s="108" t="s">
        <v>1539</v>
      </c>
      <c r="X2" s="108" t="s">
        <v>2521</v>
      </c>
      <c r="Y2" s="98" t="s">
        <v>350</v>
      </c>
      <c r="Z2" s="98" t="s">
        <v>351</v>
      </c>
      <c r="AA2" s="98" t="s">
        <v>352</v>
      </c>
      <c r="AB2" s="98" t="s">
        <v>353</v>
      </c>
      <c r="AC2" s="98" t="s">
        <v>354</v>
      </c>
      <c r="AD2" s="98" t="s">
        <v>2522</v>
      </c>
      <c r="AE2" s="98" t="s">
        <v>355</v>
      </c>
      <c r="AF2" s="98" t="s">
        <v>2523</v>
      </c>
      <c r="AG2" s="98" t="s">
        <v>356</v>
      </c>
      <c r="AH2" s="98" t="s">
        <v>357</v>
      </c>
      <c r="AI2" s="98" t="s">
        <v>2524</v>
      </c>
      <c r="AJ2" s="98" t="s">
        <v>358</v>
      </c>
      <c r="AK2" s="98" t="s">
        <v>2525</v>
      </c>
      <c r="AL2" s="98" t="s">
        <v>359</v>
      </c>
    </row>
    <row r="3" spans="1:38" x14ac:dyDescent="0.2">
      <c r="A3" s="95" t="s">
        <v>361</v>
      </c>
      <c r="B3" s="101" t="s">
        <v>362</v>
      </c>
      <c r="C3" s="101" t="s">
        <v>447</v>
      </c>
      <c r="D3" s="101" t="s">
        <v>610</v>
      </c>
      <c r="E3" s="101" t="s">
        <v>339</v>
      </c>
      <c r="F3" s="101"/>
      <c r="G3" s="101" t="s">
        <v>798</v>
      </c>
      <c r="H3" s="101" t="s">
        <v>341</v>
      </c>
      <c r="I3" s="101"/>
      <c r="J3" s="101" t="s">
        <v>342</v>
      </c>
      <c r="K3" s="101" t="s">
        <v>343</v>
      </c>
      <c r="L3" s="101"/>
      <c r="M3" s="101" t="s">
        <v>1124</v>
      </c>
      <c r="N3" s="101"/>
      <c r="O3" s="106" t="s">
        <v>344</v>
      </c>
      <c r="P3" s="101"/>
      <c r="Q3" s="101" t="s">
        <v>345</v>
      </c>
      <c r="R3" s="101"/>
      <c r="S3" s="101" t="s">
        <v>1318</v>
      </c>
      <c r="T3" s="101" t="s">
        <v>1428</v>
      </c>
      <c r="U3" s="101" t="s">
        <v>1506</v>
      </c>
      <c r="V3" s="101"/>
      <c r="W3" s="101" t="s">
        <v>349</v>
      </c>
      <c r="X3" s="101"/>
      <c r="Y3" s="101" t="s">
        <v>1691</v>
      </c>
      <c r="Z3" s="101" t="s">
        <v>1739</v>
      </c>
      <c r="AA3" s="101" t="s">
        <v>1751</v>
      </c>
      <c r="AB3" s="101" t="s">
        <v>353</v>
      </c>
      <c r="AC3" s="101" t="s">
        <v>354</v>
      </c>
      <c r="AD3" s="101"/>
      <c r="AE3" s="101" t="s">
        <v>355</v>
      </c>
      <c r="AF3" s="101"/>
      <c r="AG3" s="101" t="s">
        <v>1956</v>
      </c>
      <c r="AH3" s="101" t="s">
        <v>357</v>
      </c>
      <c r="AI3" s="101"/>
      <c r="AJ3" s="101" t="s">
        <v>358</v>
      </c>
      <c r="AK3" s="101"/>
      <c r="AL3" s="101" t="s">
        <v>2554</v>
      </c>
    </row>
    <row r="4" spans="1:38" x14ac:dyDescent="0.2">
      <c r="A4" s="93" t="s">
        <v>361</v>
      </c>
      <c r="B4" s="101" t="s">
        <v>384</v>
      </c>
      <c r="C4" s="101" t="s">
        <v>457</v>
      </c>
      <c r="D4" s="101" t="s">
        <v>619</v>
      </c>
      <c r="E4" s="101" t="s">
        <v>717</v>
      </c>
      <c r="F4" s="101"/>
      <c r="G4" s="101" t="s">
        <v>811</v>
      </c>
      <c r="H4" s="101" t="s">
        <v>914</v>
      </c>
      <c r="I4" s="101"/>
      <c r="K4" s="101" t="s">
        <v>1030</v>
      </c>
      <c r="L4" s="101"/>
      <c r="M4" s="101" t="s">
        <v>592</v>
      </c>
      <c r="N4" s="101"/>
      <c r="O4" s="101" t="s">
        <v>1217</v>
      </c>
      <c r="P4" s="101"/>
      <c r="Q4" s="101" t="s">
        <v>1294</v>
      </c>
      <c r="R4" s="101"/>
      <c r="S4" s="101" t="s">
        <v>902</v>
      </c>
      <c r="T4" s="101" t="s">
        <v>1438</v>
      </c>
      <c r="U4" s="101" t="s">
        <v>1525</v>
      </c>
      <c r="V4" s="101"/>
      <c r="W4" s="101" t="s">
        <v>1574</v>
      </c>
      <c r="X4" s="101"/>
      <c r="Y4" s="101" t="s">
        <v>1703</v>
      </c>
      <c r="Z4" s="106" t="s">
        <v>1743</v>
      </c>
      <c r="AA4" s="101" t="s">
        <v>2546</v>
      </c>
      <c r="AB4" s="101" t="s">
        <v>2547</v>
      </c>
      <c r="AC4" s="101" t="s">
        <v>1803</v>
      </c>
      <c r="AD4" s="101"/>
      <c r="AE4" s="101" t="s">
        <v>1665</v>
      </c>
      <c r="AF4" s="101"/>
      <c r="AG4" s="101" t="s">
        <v>971</v>
      </c>
      <c r="AH4" s="101" t="s">
        <v>2033</v>
      </c>
      <c r="AI4" s="101"/>
      <c r="AJ4" s="101" t="s">
        <v>2553</v>
      </c>
      <c r="AK4" s="101"/>
      <c r="AL4" s="101" t="s">
        <v>2072</v>
      </c>
    </row>
    <row r="5" spans="1:38" x14ac:dyDescent="0.2">
      <c r="A5" s="93" t="s">
        <v>361</v>
      </c>
      <c r="B5" s="101" t="s">
        <v>389</v>
      </c>
      <c r="C5" s="101" t="s">
        <v>2538</v>
      </c>
      <c r="D5" s="101" t="s">
        <v>637</v>
      </c>
      <c r="E5" s="101" t="s">
        <v>725</v>
      </c>
      <c r="F5" s="101"/>
      <c r="G5" s="101" t="s">
        <v>817</v>
      </c>
      <c r="H5" s="101" t="s">
        <v>918</v>
      </c>
      <c r="I5" s="101"/>
      <c r="K5" s="101" t="s">
        <v>489</v>
      </c>
      <c r="L5" s="101"/>
      <c r="M5" s="101" t="s">
        <v>1146</v>
      </c>
      <c r="N5" s="101"/>
      <c r="O5" s="101" t="s">
        <v>1225</v>
      </c>
      <c r="P5" s="101"/>
      <c r="Q5" s="101" t="s">
        <v>1304</v>
      </c>
      <c r="R5" s="101"/>
      <c r="S5" s="101" t="s">
        <v>1355</v>
      </c>
      <c r="T5" s="101" t="s">
        <v>995</v>
      </c>
      <c r="U5" s="101" t="s">
        <v>348</v>
      </c>
      <c r="V5" s="101"/>
      <c r="W5" s="101" t="s">
        <v>1579</v>
      </c>
      <c r="X5" s="101"/>
      <c r="Y5" s="101" t="s">
        <v>350</v>
      </c>
      <c r="Z5" s="101" t="s">
        <v>1748</v>
      </c>
      <c r="AA5" s="101" t="s">
        <v>1768</v>
      </c>
      <c r="AB5" s="101" t="s">
        <v>1790</v>
      </c>
      <c r="AC5" s="101" t="s">
        <v>1792</v>
      </c>
      <c r="AD5" s="101"/>
      <c r="AE5" s="101" t="s">
        <v>1880</v>
      </c>
      <c r="AF5" s="101"/>
      <c r="AG5" s="101" t="s">
        <v>1965</v>
      </c>
      <c r="AH5" s="101" t="s">
        <v>2552</v>
      </c>
      <c r="AI5" s="101"/>
      <c r="AJ5" s="101" t="s">
        <v>2060</v>
      </c>
      <c r="AK5" s="101"/>
      <c r="AL5" s="101" t="s">
        <v>2555</v>
      </c>
    </row>
    <row r="6" spans="1:38" x14ac:dyDescent="0.2">
      <c r="A6" s="93" t="s">
        <v>361</v>
      </c>
      <c r="B6" s="101" t="s">
        <v>402</v>
      </c>
      <c r="C6" s="101" t="s">
        <v>364</v>
      </c>
      <c r="D6" s="101" t="s">
        <v>644</v>
      </c>
      <c r="E6" s="101" t="s">
        <v>738</v>
      </c>
      <c r="F6" s="101"/>
      <c r="G6" s="101" t="s">
        <v>822</v>
      </c>
      <c r="H6" s="101" t="s">
        <v>929</v>
      </c>
      <c r="I6" s="101"/>
      <c r="K6" s="101" t="s">
        <v>1045</v>
      </c>
      <c r="L6" s="101"/>
      <c r="M6" s="101" t="s">
        <v>1159</v>
      </c>
      <c r="N6" s="101"/>
      <c r="O6" s="101" t="s">
        <v>1234</v>
      </c>
      <c r="P6" s="101"/>
      <c r="Q6" s="101" t="s">
        <v>1308</v>
      </c>
      <c r="R6" s="101"/>
      <c r="S6" s="101" t="s">
        <v>1361</v>
      </c>
      <c r="T6" s="101" t="s">
        <v>1450</v>
      </c>
      <c r="W6" s="101" t="s">
        <v>1584</v>
      </c>
      <c r="X6" s="101"/>
      <c r="Y6" s="101" t="s">
        <v>2545</v>
      </c>
      <c r="AC6" s="101" t="s">
        <v>1819</v>
      </c>
      <c r="AD6" s="101"/>
      <c r="AE6" s="101" t="s">
        <v>1859</v>
      </c>
      <c r="AF6" s="101"/>
      <c r="AG6" s="106" t="s">
        <v>1964</v>
      </c>
      <c r="AH6" s="101" t="s">
        <v>2043</v>
      </c>
      <c r="AI6" s="101"/>
      <c r="AL6" s="101" t="s">
        <v>2080</v>
      </c>
    </row>
    <row r="7" spans="1:38" x14ac:dyDescent="0.2">
      <c r="A7" s="93" t="s">
        <v>361</v>
      </c>
      <c r="B7" s="101" t="s">
        <v>404</v>
      </c>
      <c r="C7" s="101" t="s">
        <v>471</v>
      </c>
      <c r="D7" s="101" t="s">
        <v>661</v>
      </c>
      <c r="E7" s="101" t="s">
        <v>753</v>
      </c>
      <c r="F7" s="101"/>
      <c r="G7" s="101" t="s">
        <v>830</v>
      </c>
      <c r="H7" s="101" t="s">
        <v>946</v>
      </c>
      <c r="I7" s="101"/>
      <c r="K7" s="106" t="s">
        <v>1053</v>
      </c>
      <c r="L7" s="101"/>
      <c r="M7" s="101" t="s">
        <v>1170</v>
      </c>
      <c r="N7" s="101"/>
      <c r="O7" s="101" t="s">
        <v>1237</v>
      </c>
      <c r="P7" s="101"/>
      <c r="Q7" s="101" t="s">
        <v>1311</v>
      </c>
      <c r="R7" s="101"/>
      <c r="S7" s="101" t="s">
        <v>346</v>
      </c>
      <c r="T7" s="101" t="s">
        <v>1372</v>
      </c>
      <c r="W7" s="101" t="s">
        <v>1590</v>
      </c>
      <c r="X7" s="101"/>
      <c r="Y7" s="101" t="s">
        <v>1717</v>
      </c>
      <c r="AC7" s="101" t="s">
        <v>1829</v>
      </c>
      <c r="AD7" s="101"/>
      <c r="AE7" s="101" t="s">
        <v>1898</v>
      </c>
      <c r="AF7" s="101"/>
      <c r="AG7" s="101" t="s">
        <v>1975</v>
      </c>
    </row>
    <row r="8" spans="1:38" x14ac:dyDescent="0.2">
      <c r="A8" s="93" t="s">
        <v>361</v>
      </c>
      <c r="B8" s="101" t="s">
        <v>427</v>
      </c>
      <c r="C8" s="101" t="s">
        <v>486</v>
      </c>
      <c r="D8" s="101" t="s">
        <v>667</v>
      </c>
      <c r="E8" s="101" t="s">
        <v>772</v>
      </c>
      <c r="F8" s="101"/>
      <c r="G8" s="101" t="s">
        <v>838</v>
      </c>
      <c r="H8" s="101" t="s">
        <v>954</v>
      </c>
      <c r="I8" s="101"/>
      <c r="K8" s="101" t="s">
        <v>1061</v>
      </c>
      <c r="L8" s="101"/>
      <c r="M8" s="101" t="s">
        <v>1178</v>
      </c>
      <c r="N8" s="101"/>
      <c r="O8" s="101" t="s">
        <v>846</v>
      </c>
      <c r="P8" s="101"/>
      <c r="S8" s="101" t="s">
        <v>1397</v>
      </c>
      <c r="T8" s="101" t="s">
        <v>1455</v>
      </c>
      <c r="W8" s="101" t="s">
        <v>1604</v>
      </c>
      <c r="X8" s="101"/>
      <c r="Y8" s="101" t="s">
        <v>359</v>
      </c>
      <c r="AC8" s="101" t="s">
        <v>1836</v>
      </c>
      <c r="AD8" s="101"/>
      <c r="AE8" s="101" t="s">
        <v>1903</v>
      </c>
      <c r="AF8" s="101"/>
      <c r="AG8" s="101" t="s">
        <v>2550</v>
      </c>
    </row>
    <row r="9" spans="1:38" x14ac:dyDescent="0.2">
      <c r="A9" s="93" t="s">
        <v>361</v>
      </c>
      <c r="B9" s="101" t="s">
        <v>440</v>
      </c>
      <c r="C9" s="101" t="s">
        <v>2539</v>
      </c>
      <c r="D9" s="101" t="s">
        <v>675</v>
      </c>
      <c r="E9" s="101" t="s">
        <v>780</v>
      </c>
      <c r="F9" s="101"/>
      <c r="G9" s="101" t="s">
        <v>854</v>
      </c>
      <c r="H9" s="101" t="s">
        <v>967</v>
      </c>
      <c r="I9" s="101"/>
      <c r="K9" s="101" t="s">
        <v>1068</v>
      </c>
      <c r="L9" s="101"/>
      <c r="M9" s="101" t="s">
        <v>1193</v>
      </c>
      <c r="N9" s="101"/>
      <c r="O9" s="101" t="s">
        <v>1254</v>
      </c>
      <c r="P9" s="101"/>
      <c r="S9" s="101" t="s">
        <v>1405</v>
      </c>
      <c r="T9" s="101" t="s">
        <v>1465</v>
      </c>
      <c r="W9" s="101" t="s">
        <v>1615</v>
      </c>
      <c r="X9" s="101"/>
      <c r="Y9" s="101" t="s">
        <v>1733</v>
      </c>
      <c r="AC9" s="101" t="s">
        <v>1842</v>
      </c>
      <c r="AD9" s="101"/>
      <c r="AE9" s="101" t="s">
        <v>867</v>
      </c>
      <c r="AF9" s="101"/>
      <c r="AG9" s="101" t="s">
        <v>1991</v>
      </c>
    </row>
    <row r="10" spans="1:38" x14ac:dyDescent="0.2">
      <c r="A10" s="93" t="s">
        <v>360</v>
      </c>
      <c r="B10" s="93"/>
      <c r="C10" s="101" t="s">
        <v>500</v>
      </c>
      <c r="E10" s="101" t="s">
        <v>786</v>
      </c>
      <c r="F10" s="101"/>
      <c r="G10" s="101" t="s">
        <v>2541</v>
      </c>
      <c r="H10" s="101" t="s">
        <v>970</v>
      </c>
      <c r="I10" s="101"/>
      <c r="K10" s="101" t="s">
        <v>1076</v>
      </c>
      <c r="L10" s="101"/>
      <c r="O10" s="101" t="s">
        <v>1258</v>
      </c>
      <c r="P10" s="101"/>
      <c r="S10" s="101" t="s">
        <v>1392</v>
      </c>
      <c r="T10" s="101" t="s">
        <v>1470</v>
      </c>
      <c r="W10" s="101" t="s">
        <v>1645</v>
      </c>
      <c r="X10" s="101"/>
      <c r="AC10" s="101" t="s">
        <v>1849</v>
      </c>
      <c r="AD10" s="101"/>
      <c r="AE10" s="101" t="s">
        <v>1917</v>
      </c>
      <c r="AF10" s="101"/>
      <c r="AG10" s="101" t="s">
        <v>1999</v>
      </c>
    </row>
    <row r="11" spans="1:38" x14ac:dyDescent="0.2">
      <c r="A11" s="93" t="s">
        <v>361</v>
      </c>
      <c r="B11" s="93"/>
      <c r="C11" s="101" t="s">
        <v>504</v>
      </c>
      <c r="G11" s="101" t="s">
        <v>874</v>
      </c>
      <c r="H11" s="101" t="s">
        <v>2535</v>
      </c>
      <c r="I11" s="101"/>
      <c r="K11" s="101" t="s">
        <v>2537</v>
      </c>
      <c r="L11" s="101"/>
      <c r="O11" s="101" t="s">
        <v>1263</v>
      </c>
      <c r="P11" s="101"/>
      <c r="S11" s="101" t="s">
        <v>1419</v>
      </c>
      <c r="T11" s="101" t="s">
        <v>2542</v>
      </c>
      <c r="W11" s="101" t="s">
        <v>1656</v>
      </c>
      <c r="X11" s="101"/>
      <c r="AE11" s="101" t="s">
        <v>1925</v>
      </c>
      <c r="AF11" s="101"/>
      <c r="AG11" s="101" t="s">
        <v>2551</v>
      </c>
    </row>
    <row r="12" spans="1:38" x14ac:dyDescent="0.2">
      <c r="A12" s="93" t="s">
        <v>361</v>
      </c>
      <c r="B12" s="93"/>
      <c r="C12" s="101" t="s">
        <v>511</v>
      </c>
      <c r="G12" s="101" t="s">
        <v>886</v>
      </c>
      <c r="H12" s="101" t="s">
        <v>2536</v>
      </c>
      <c r="I12" s="101"/>
      <c r="K12" s="106" t="s">
        <v>1092</v>
      </c>
      <c r="L12" s="101"/>
      <c r="O12" s="101" t="s">
        <v>1268</v>
      </c>
      <c r="P12" s="101"/>
      <c r="T12" s="101" t="s">
        <v>2543</v>
      </c>
      <c r="W12" s="101" t="s">
        <v>1393</v>
      </c>
      <c r="X12" s="101"/>
      <c r="AE12" s="101" t="s">
        <v>2548</v>
      </c>
      <c r="AF12" s="101"/>
      <c r="AG12" s="101" t="s">
        <v>2020</v>
      </c>
    </row>
    <row r="13" spans="1:38" x14ac:dyDescent="0.2">
      <c r="A13" s="93" t="s">
        <v>361</v>
      </c>
      <c r="B13" s="93"/>
      <c r="C13" s="101" t="s">
        <v>527</v>
      </c>
      <c r="G13" s="101" t="s">
        <v>899</v>
      </c>
      <c r="H13" s="101" t="s">
        <v>2533</v>
      </c>
      <c r="I13" s="101"/>
      <c r="K13" s="101" t="s">
        <v>1101</v>
      </c>
      <c r="L13" s="101"/>
      <c r="O13" s="101" t="s">
        <v>1275</v>
      </c>
      <c r="P13" s="101"/>
      <c r="T13" s="101" t="s">
        <v>2544</v>
      </c>
      <c r="AE13" s="101" t="s">
        <v>2549</v>
      </c>
      <c r="AF13" s="101"/>
    </row>
    <row r="14" spans="1:38" x14ac:dyDescent="0.2">
      <c r="A14" s="93" t="s">
        <v>361</v>
      </c>
      <c r="B14" s="93"/>
      <c r="C14" s="101" t="s">
        <v>532</v>
      </c>
      <c r="H14" s="101" t="s">
        <v>2534</v>
      </c>
      <c r="I14" s="101"/>
      <c r="K14" s="101" t="s">
        <v>1107</v>
      </c>
      <c r="L14" s="101"/>
      <c r="T14" s="101" t="s">
        <v>1503</v>
      </c>
      <c r="AE14" s="101" t="s">
        <v>1939</v>
      </c>
      <c r="AF14" s="101"/>
    </row>
    <row r="15" spans="1:38" x14ac:dyDescent="0.2">
      <c r="A15" s="93" t="s">
        <v>361</v>
      </c>
      <c r="B15" s="93"/>
      <c r="C15" s="101" t="s">
        <v>2540</v>
      </c>
      <c r="H15" s="101" t="s">
        <v>2532</v>
      </c>
      <c r="I15" s="101"/>
      <c r="K15" s="101" t="s">
        <v>1118</v>
      </c>
      <c r="L15" s="101"/>
      <c r="AE15" s="101" t="s">
        <v>1949</v>
      </c>
      <c r="AF15" s="101"/>
    </row>
    <row r="16" spans="1:38" x14ac:dyDescent="0.2">
      <c r="A16" s="93" t="s">
        <v>361</v>
      </c>
      <c r="B16" s="93"/>
      <c r="C16" s="101" t="s">
        <v>550</v>
      </c>
    </row>
    <row r="17" spans="1:3" x14ac:dyDescent="0.2">
      <c r="A17" s="93" t="s">
        <v>361</v>
      </c>
      <c r="B17" s="93"/>
      <c r="C17" s="101" t="s">
        <v>560</v>
      </c>
    </row>
    <row r="18" spans="1:3" x14ac:dyDescent="0.2">
      <c r="A18" s="93" t="s">
        <v>361</v>
      </c>
      <c r="B18" s="93"/>
      <c r="C18" s="101" t="s">
        <v>568</v>
      </c>
    </row>
    <row r="19" spans="1:3" x14ac:dyDescent="0.2">
      <c r="A19" s="93" t="s">
        <v>361</v>
      </c>
      <c r="B19" s="93"/>
      <c r="C19" s="101" t="s">
        <v>572</v>
      </c>
    </row>
    <row r="20" spans="1:3" x14ac:dyDescent="0.2">
      <c r="A20" s="93" t="s">
        <v>361</v>
      </c>
      <c r="B20" s="93"/>
      <c r="C20" s="101" t="s">
        <v>582</v>
      </c>
    </row>
    <row r="21" spans="1:3" x14ac:dyDescent="0.2">
      <c r="A21" s="93" t="s">
        <v>361</v>
      </c>
      <c r="B21" s="93"/>
      <c r="C21" s="101" t="s">
        <v>591</v>
      </c>
    </row>
    <row r="22" spans="1:3" x14ac:dyDescent="0.2">
      <c r="A22" s="93" t="s">
        <v>361</v>
      </c>
      <c r="B22" s="93"/>
      <c r="C22" s="101" t="s">
        <v>602</v>
      </c>
    </row>
    <row r="23" spans="1:3" ht="13.5" x14ac:dyDescent="0.25">
      <c r="A23" s="93" t="s">
        <v>361</v>
      </c>
      <c r="B23" s="93"/>
      <c r="C23" s="99"/>
    </row>
    <row r="24" spans="1:3" ht="13.5" x14ac:dyDescent="0.25">
      <c r="A24" s="93" t="s">
        <v>361</v>
      </c>
      <c r="B24" s="93"/>
      <c r="C24" s="99"/>
    </row>
    <row r="25" spans="1:3" ht="13.5" x14ac:dyDescent="0.25">
      <c r="A25" s="93" t="s">
        <v>361</v>
      </c>
      <c r="B25" s="93"/>
      <c r="C25" s="99"/>
    </row>
    <row r="26" spans="1:3" ht="13.5" x14ac:dyDescent="0.25">
      <c r="A26" s="93" t="s">
        <v>361</v>
      </c>
      <c r="B26" s="93"/>
      <c r="C26" s="99"/>
    </row>
    <row r="27" spans="1:3" ht="13.5" x14ac:dyDescent="0.25">
      <c r="A27" s="93" t="s">
        <v>361</v>
      </c>
      <c r="B27" s="93"/>
      <c r="C27" s="99"/>
    </row>
    <row r="28" spans="1:3" ht="13.5" x14ac:dyDescent="0.25">
      <c r="A28" s="93" t="s">
        <v>361</v>
      </c>
      <c r="B28" s="93"/>
      <c r="C28" s="99"/>
    </row>
    <row r="29" spans="1:3" ht="13.5" x14ac:dyDescent="0.25">
      <c r="A29" s="93" t="s">
        <v>361</v>
      </c>
      <c r="B29" s="93"/>
      <c r="C29" s="99"/>
    </row>
    <row r="30" spans="1:3" ht="13.5" x14ac:dyDescent="0.25">
      <c r="A30" s="93" t="s">
        <v>361</v>
      </c>
      <c r="B30" s="93"/>
      <c r="C30" s="99"/>
    </row>
    <row r="31" spans="1:3" ht="13.5" x14ac:dyDescent="0.25">
      <c r="A31" s="93" t="s">
        <v>360</v>
      </c>
      <c r="B31" s="93"/>
      <c r="C31" s="99"/>
    </row>
    <row r="32" spans="1:3" ht="13.5" x14ac:dyDescent="0.25">
      <c r="A32" s="93" t="s">
        <v>361</v>
      </c>
      <c r="B32" s="93"/>
      <c r="C32" s="99"/>
    </row>
    <row r="33" spans="1:3" ht="13.5" x14ac:dyDescent="0.25">
      <c r="A33" s="93" t="s">
        <v>361</v>
      </c>
      <c r="B33" s="93"/>
      <c r="C33" s="99"/>
    </row>
    <row r="34" spans="1:3" ht="13.5" x14ac:dyDescent="0.25">
      <c r="A34" s="93" t="s">
        <v>361</v>
      </c>
      <c r="B34" s="93"/>
      <c r="C34" s="99"/>
    </row>
    <row r="35" spans="1:3" ht="13.5" x14ac:dyDescent="0.25">
      <c r="A35" s="93" t="s">
        <v>361</v>
      </c>
      <c r="B35" s="93"/>
      <c r="C35" s="99"/>
    </row>
    <row r="36" spans="1:3" ht="13.5" x14ac:dyDescent="0.25">
      <c r="A36" s="93" t="s">
        <v>361</v>
      </c>
      <c r="B36" s="93"/>
      <c r="C36" s="99"/>
    </row>
    <row r="37" spans="1:3" ht="13.5" x14ac:dyDescent="0.25">
      <c r="A37" s="93" t="s">
        <v>361</v>
      </c>
      <c r="B37" s="93"/>
      <c r="C37" s="99"/>
    </row>
    <row r="38" spans="1:3" ht="13.5" x14ac:dyDescent="0.25">
      <c r="A38" s="93" t="s">
        <v>361</v>
      </c>
      <c r="B38" s="93"/>
      <c r="C38" s="99"/>
    </row>
    <row r="39" spans="1:3" ht="13.5" x14ac:dyDescent="0.25">
      <c r="A39" s="93" t="s">
        <v>360</v>
      </c>
      <c r="B39" s="93"/>
      <c r="C39" s="99"/>
    </row>
    <row r="40" spans="1:3" ht="13.5" x14ac:dyDescent="0.25">
      <c r="A40" s="93" t="s">
        <v>361</v>
      </c>
      <c r="B40" s="93"/>
      <c r="C40" s="99"/>
    </row>
    <row r="41" spans="1:3" ht="13.5" x14ac:dyDescent="0.25">
      <c r="A41" s="93" t="s">
        <v>361</v>
      </c>
      <c r="B41" s="93"/>
      <c r="C41" s="99"/>
    </row>
    <row r="42" spans="1:3" ht="13.5" x14ac:dyDescent="0.25">
      <c r="A42" s="93" t="s">
        <v>361</v>
      </c>
      <c r="B42" s="93"/>
      <c r="C42" s="99"/>
    </row>
    <row r="43" spans="1:3" ht="13.5" x14ac:dyDescent="0.25">
      <c r="A43" s="93" t="s">
        <v>361</v>
      </c>
      <c r="B43" s="93"/>
      <c r="C43" s="99"/>
    </row>
    <row r="44" spans="1:3" ht="13.5" x14ac:dyDescent="0.25">
      <c r="A44" s="93" t="s">
        <v>361</v>
      </c>
      <c r="B44" s="93"/>
      <c r="C44" s="99"/>
    </row>
    <row r="45" spans="1:3" ht="13.5" x14ac:dyDescent="0.25">
      <c r="A45" s="93" t="s">
        <v>361</v>
      </c>
      <c r="B45" s="93"/>
      <c r="C45" s="99"/>
    </row>
    <row r="46" spans="1:3" ht="13.5" x14ac:dyDescent="0.25">
      <c r="A46" s="93" t="s">
        <v>361</v>
      </c>
      <c r="B46" s="93"/>
      <c r="C46" s="99"/>
    </row>
    <row r="47" spans="1:3" ht="13.5" x14ac:dyDescent="0.25">
      <c r="A47" s="93" t="s">
        <v>361</v>
      </c>
      <c r="B47" s="93"/>
      <c r="C47" s="99"/>
    </row>
    <row r="48" spans="1:3" ht="13.5" x14ac:dyDescent="0.25">
      <c r="A48" s="93" t="s">
        <v>360</v>
      </c>
      <c r="B48" s="93"/>
      <c r="C48" s="99"/>
    </row>
    <row r="49" spans="1:3" ht="13.5" x14ac:dyDescent="0.25">
      <c r="A49" s="93" t="s">
        <v>361</v>
      </c>
      <c r="B49" s="93"/>
      <c r="C49" s="99"/>
    </row>
    <row r="50" spans="1:3" ht="13.5" x14ac:dyDescent="0.25">
      <c r="A50" s="93" t="s">
        <v>361</v>
      </c>
      <c r="B50" s="93"/>
      <c r="C50" s="99"/>
    </row>
    <row r="51" spans="1:3" ht="13.5" x14ac:dyDescent="0.25">
      <c r="A51" s="93" t="s">
        <v>361</v>
      </c>
      <c r="B51" s="93"/>
      <c r="C51" s="99"/>
    </row>
    <row r="52" spans="1:3" ht="13.5" x14ac:dyDescent="0.25">
      <c r="A52" s="93" t="s">
        <v>361</v>
      </c>
      <c r="B52" s="93"/>
      <c r="C52" s="99"/>
    </row>
    <row r="53" spans="1:3" ht="13.5" x14ac:dyDescent="0.25">
      <c r="A53" s="93" t="s">
        <v>361</v>
      </c>
      <c r="B53" s="93"/>
      <c r="C53" s="99"/>
    </row>
    <row r="54" spans="1:3" ht="13.5" x14ac:dyDescent="0.25">
      <c r="A54" s="93" t="s">
        <v>361</v>
      </c>
      <c r="B54" s="93"/>
      <c r="C54" s="99"/>
    </row>
    <row r="55" spans="1:3" ht="13.5" x14ac:dyDescent="0.25">
      <c r="A55" s="93" t="s">
        <v>361</v>
      </c>
      <c r="B55" s="93"/>
      <c r="C55" s="99"/>
    </row>
    <row r="56" spans="1:3" ht="13.5" x14ac:dyDescent="0.25">
      <c r="A56" s="93" t="s">
        <v>361</v>
      </c>
      <c r="B56" s="93"/>
      <c r="C56" s="99"/>
    </row>
    <row r="57" spans="1:3" ht="13.5" x14ac:dyDescent="0.25">
      <c r="A57" s="93" t="s">
        <v>361</v>
      </c>
      <c r="B57" s="93"/>
      <c r="C57" s="99"/>
    </row>
    <row r="58" spans="1:3" ht="13.5" x14ac:dyDescent="0.25">
      <c r="A58" s="93" t="s">
        <v>361</v>
      </c>
      <c r="B58" s="93"/>
      <c r="C58" s="99"/>
    </row>
    <row r="59" spans="1:3" ht="13.5" x14ac:dyDescent="0.25">
      <c r="A59" s="93" t="s">
        <v>361</v>
      </c>
      <c r="B59" s="93"/>
      <c r="C59" s="99"/>
    </row>
    <row r="60" spans="1:3" ht="13.5" x14ac:dyDescent="0.25">
      <c r="A60" s="93" t="s">
        <v>360</v>
      </c>
      <c r="B60" s="93"/>
      <c r="C60" s="99"/>
    </row>
    <row r="61" spans="1:3" ht="13.5" x14ac:dyDescent="0.25">
      <c r="A61" s="93" t="s">
        <v>361</v>
      </c>
      <c r="B61" s="93"/>
      <c r="C61" s="99"/>
    </row>
    <row r="62" spans="1:3" ht="13.5" x14ac:dyDescent="0.25">
      <c r="A62" s="93" t="s">
        <v>361</v>
      </c>
      <c r="B62" s="93"/>
      <c r="C62" s="99"/>
    </row>
    <row r="63" spans="1:3" ht="13.5" x14ac:dyDescent="0.25">
      <c r="A63" s="93" t="s">
        <v>361</v>
      </c>
      <c r="B63" s="93"/>
      <c r="C63" s="99"/>
    </row>
    <row r="64" spans="1:3" ht="13.5" x14ac:dyDescent="0.25">
      <c r="A64" s="93" t="s">
        <v>361</v>
      </c>
      <c r="B64" s="93"/>
      <c r="C64" s="99"/>
    </row>
    <row r="65" spans="1:3" ht="13.5" x14ac:dyDescent="0.25">
      <c r="A65" s="93" t="s">
        <v>361</v>
      </c>
      <c r="B65" s="93"/>
      <c r="C65" s="99"/>
    </row>
    <row r="66" spans="1:3" ht="13.5" x14ac:dyDescent="0.25">
      <c r="A66" s="93" t="s">
        <v>361</v>
      </c>
      <c r="B66" s="93"/>
      <c r="C66" s="99"/>
    </row>
    <row r="67" spans="1:3" ht="13.5" x14ac:dyDescent="0.25">
      <c r="A67" s="93" t="s">
        <v>361</v>
      </c>
      <c r="B67" s="93"/>
      <c r="C67" s="99"/>
    </row>
    <row r="68" spans="1:3" ht="13.5" x14ac:dyDescent="0.25">
      <c r="A68" s="93" t="s">
        <v>361</v>
      </c>
      <c r="B68" s="93"/>
      <c r="C68" s="99"/>
    </row>
    <row r="69" spans="1:3" ht="13.5" x14ac:dyDescent="0.25">
      <c r="A69" s="93" t="s">
        <v>361</v>
      </c>
      <c r="B69" s="93"/>
      <c r="C69" s="99"/>
    </row>
    <row r="70" spans="1:3" ht="13.5" x14ac:dyDescent="0.25">
      <c r="A70" s="93" t="s">
        <v>361</v>
      </c>
      <c r="B70" s="93"/>
      <c r="C70" s="99"/>
    </row>
    <row r="71" spans="1:3" ht="13.5" x14ac:dyDescent="0.25">
      <c r="A71" s="93" t="s">
        <v>361</v>
      </c>
      <c r="B71" s="93"/>
      <c r="C71" s="99"/>
    </row>
    <row r="72" spans="1:3" ht="13.5" x14ac:dyDescent="0.25">
      <c r="A72" s="93" t="s">
        <v>361</v>
      </c>
      <c r="B72" s="93"/>
      <c r="C72" s="99"/>
    </row>
    <row r="73" spans="1:3" ht="13.5" x14ac:dyDescent="0.25">
      <c r="A73" s="93" t="s">
        <v>361</v>
      </c>
      <c r="B73" s="93"/>
      <c r="C73" s="99"/>
    </row>
    <row r="74" spans="1:3" ht="13.5" x14ac:dyDescent="0.25">
      <c r="A74" s="93" t="s">
        <v>360</v>
      </c>
      <c r="B74" s="93"/>
      <c r="C74" s="99"/>
    </row>
    <row r="75" spans="1:3" ht="13.5" x14ac:dyDescent="0.25">
      <c r="A75" s="93" t="s">
        <v>361</v>
      </c>
      <c r="B75" s="93"/>
      <c r="C75" s="99"/>
    </row>
    <row r="76" spans="1:3" ht="13.5" x14ac:dyDescent="0.25">
      <c r="A76" s="93" t="s">
        <v>360</v>
      </c>
      <c r="B76" s="93"/>
      <c r="C76" s="99"/>
    </row>
    <row r="77" spans="1:3" ht="13.5" x14ac:dyDescent="0.25">
      <c r="A77" s="93" t="s">
        <v>361</v>
      </c>
      <c r="B77" s="93"/>
      <c r="C77" s="99"/>
    </row>
    <row r="78" spans="1:3" ht="13.5" x14ac:dyDescent="0.25">
      <c r="A78" s="93" t="s">
        <v>361</v>
      </c>
      <c r="B78" s="93"/>
      <c r="C78" s="99"/>
    </row>
    <row r="79" spans="1:3" ht="13.5" x14ac:dyDescent="0.25">
      <c r="A79" s="93" t="s">
        <v>361</v>
      </c>
      <c r="B79" s="93"/>
      <c r="C79" s="99"/>
    </row>
    <row r="80" spans="1:3" ht="13.5" x14ac:dyDescent="0.25">
      <c r="A80" s="93" t="s">
        <v>361</v>
      </c>
      <c r="B80" s="93"/>
      <c r="C80" s="99"/>
    </row>
    <row r="81" spans="1:3" ht="13.5" x14ac:dyDescent="0.25">
      <c r="A81" s="93" t="s">
        <v>361</v>
      </c>
      <c r="B81" s="93"/>
      <c r="C81" s="99"/>
    </row>
    <row r="82" spans="1:3" ht="13.5" x14ac:dyDescent="0.25">
      <c r="A82" s="93" t="s">
        <v>361</v>
      </c>
      <c r="B82" s="93"/>
      <c r="C82" s="99"/>
    </row>
    <row r="83" spans="1:3" ht="13.5" x14ac:dyDescent="0.25">
      <c r="A83" s="93" t="s">
        <v>361</v>
      </c>
      <c r="B83" s="93"/>
      <c r="C83" s="99"/>
    </row>
    <row r="84" spans="1:3" ht="13.5" x14ac:dyDescent="0.25">
      <c r="A84" s="93" t="s">
        <v>361</v>
      </c>
      <c r="B84" s="93"/>
      <c r="C84" s="99"/>
    </row>
    <row r="85" spans="1:3" ht="13.5" x14ac:dyDescent="0.25">
      <c r="A85" s="93" t="s">
        <v>361</v>
      </c>
      <c r="B85" s="93"/>
      <c r="C85" s="99"/>
    </row>
    <row r="86" spans="1:3" ht="13.5" x14ac:dyDescent="0.25">
      <c r="A86" s="93" t="s">
        <v>361</v>
      </c>
      <c r="B86" s="93"/>
      <c r="C86" s="99"/>
    </row>
    <row r="87" spans="1:3" ht="13.5" x14ac:dyDescent="0.25">
      <c r="A87" s="93" t="s">
        <v>361</v>
      </c>
      <c r="B87" s="93"/>
      <c r="C87" s="99"/>
    </row>
    <row r="88" spans="1:3" ht="13.5" x14ac:dyDescent="0.25">
      <c r="A88" s="93" t="s">
        <v>361</v>
      </c>
      <c r="B88" s="93"/>
      <c r="C88" s="99"/>
    </row>
    <row r="89" spans="1:3" ht="13.5" x14ac:dyDescent="0.25">
      <c r="A89" s="93" t="s">
        <v>361</v>
      </c>
      <c r="B89" s="93"/>
      <c r="C89" s="99"/>
    </row>
    <row r="90" spans="1:3" ht="13.5" x14ac:dyDescent="0.25">
      <c r="A90" s="93" t="s">
        <v>360</v>
      </c>
      <c r="B90" s="93"/>
      <c r="C90" s="99"/>
    </row>
    <row r="91" spans="1:3" ht="13.5" x14ac:dyDescent="0.25">
      <c r="A91" s="93" t="s">
        <v>361</v>
      </c>
      <c r="B91" s="93"/>
      <c r="C91" s="99"/>
    </row>
    <row r="92" spans="1:3" ht="13.5" x14ac:dyDescent="0.25">
      <c r="A92" s="93" t="s">
        <v>361</v>
      </c>
      <c r="B92" s="93"/>
      <c r="C92" s="99"/>
    </row>
    <row r="93" spans="1:3" ht="13.5" x14ac:dyDescent="0.25">
      <c r="A93" s="93" t="s">
        <v>361</v>
      </c>
      <c r="B93" s="93"/>
      <c r="C93" s="99"/>
    </row>
    <row r="94" spans="1:3" ht="13.5" x14ac:dyDescent="0.25">
      <c r="A94" s="93" t="s">
        <v>361</v>
      </c>
      <c r="B94" s="93"/>
      <c r="C94" s="99"/>
    </row>
    <row r="95" spans="1:3" ht="13.5" x14ac:dyDescent="0.25">
      <c r="A95" s="93" t="s">
        <v>361</v>
      </c>
      <c r="B95" s="93"/>
      <c r="C95" s="99"/>
    </row>
    <row r="96" spans="1:3" ht="13.5" x14ac:dyDescent="0.25">
      <c r="A96" s="93" t="s">
        <v>361</v>
      </c>
      <c r="B96" s="93"/>
      <c r="C96" s="99"/>
    </row>
    <row r="97" spans="1:3" ht="13.5" x14ac:dyDescent="0.25">
      <c r="A97" s="93" t="s">
        <v>361</v>
      </c>
      <c r="B97" s="93"/>
      <c r="C97" s="99"/>
    </row>
    <row r="98" spans="1:3" ht="13.5" x14ac:dyDescent="0.25">
      <c r="A98" s="93" t="s">
        <v>360</v>
      </c>
      <c r="B98" s="93"/>
      <c r="C98" s="99"/>
    </row>
    <row r="99" spans="1:3" ht="13.5" x14ac:dyDescent="0.25">
      <c r="A99" s="93" t="s">
        <v>361</v>
      </c>
      <c r="B99" s="93"/>
      <c r="C99" s="99"/>
    </row>
    <row r="100" spans="1:3" ht="13.5" x14ac:dyDescent="0.25">
      <c r="A100" s="93" t="s">
        <v>361</v>
      </c>
      <c r="B100" s="93"/>
      <c r="C100" s="99"/>
    </row>
    <row r="101" spans="1:3" ht="13.5" x14ac:dyDescent="0.25">
      <c r="A101" s="93" t="s">
        <v>361</v>
      </c>
      <c r="B101" s="93"/>
      <c r="C101" s="99"/>
    </row>
    <row r="102" spans="1:3" ht="13.5" x14ac:dyDescent="0.25">
      <c r="A102" s="93" t="s">
        <v>361</v>
      </c>
      <c r="B102" s="93"/>
      <c r="C102" s="99"/>
    </row>
    <row r="103" spans="1:3" ht="13.5" x14ac:dyDescent="0.25">
      <c r="A103" s="93" t="s">
        <v>361</v>
      </c>
      <c r="B103" s="93"/>
      <c r="C103" s="99"/>
    </row>
    <row r="104" spans="1:3" ht="13.5" x14ac:dyDescent="0.25">
      <c r="A104" s="93" t="s">
        <v>361</v>
      </c>
      <c r="B104" s="93"/>
      <c r="C104" s="99"/>
    </row>
    <row r="105" spans="1:3" ht="13.5" x14ac:dyDescent="0.25">
      <c r="A105" s="93" t="s">
        <v>361</v>
      </c>
      <c r="B105" s="93"/>
      <c r="C105" s="99"/>
    </row>
    <row r="106" spans="1:3" ht="13.5" x14ac:dyDescent="0.25">
      <c r="A106" s="93" t="s">
        <v>361</v>
      </c>
      <c r="B106" s="93"/>
      <c r="C106" s="99"/>
    </row>
    <row r="107" spans="1:3" ht="13.5" x14ac:dyDescent="0.25">
      <c r="A107" s="93" t="s">
        <v>361</v>
      </c>
      <c r="B107" s="93"/>
      <c r="C107" s="99"/>
    </row>
    <row r="108" spans="1:3" ht="13.5" x14ac:dyDescent="0.25">
      <c r="A108" s="93" t="s">
        <v>361</v>
      </c>
      <c r="B108" s="93"/>
      <c r="C108" s="99"/>
    </row>
    <row r="109" spans="1:3" ht="13.5" x14ac:dyDescent="0.25">
      <c r="A109" s="93" t="s">
        <v>361</v>
      </c>
      <c r="B109" s="93"/>
      <c r="C109" s="99"/>
    </row>
    <row r="110" spans="1:3" ht="13.5" x14ac:dyDescent="0.25">
      <c r="A110" s="93" t="s">
        <v>360</v>
      </c>
      <c r="B110" s="93"/>
      <c r="C110" s="99"/>
    </row>
    <row r="111" spans="1:3" ht="13.5" x14ac:dyDescent="0.25">
      <c r="A111" s="93" t="s">
        <v>361</v>
      </c>
      <c r="B111" s="93"/>
      <c r="C111" s="99"/>
    </row>
    <row r="112" spans="1:3" ht="13.5" x14ac:dyDescent="0.25">
      <c r="A112" s="93" t="s">
        <v>361</v>
      </c>
      <c r="B112" s="93"/>
      <c r="C112" s="99"/>
    </row>
    <row r="113" spans="1:3" ht="13.5" x14ac:dyDescent="0.25">
      <c r="A113" s="93" t="s">
        <v>361</v>
      </c>
      <c r="B113" s="93"/>
      <c r="C113" s="99"/>
    </row>
    <row r="114" spans="1:3" ht="13.5" x14ac:dyDescent="0.25">
      <c r="A114" s="93" t="s">
        <v>361</v>
      </c>
      <c r="B114" s="93"/>
      <c r="C114" s="99"/>
    </row>
    <row r="115" spans="1:3" ht="13.5" x14ac:dyDescent="0.25">
      <c r="A115" s="93" t="s">
        <v>361</v>
      </c>
      <c r="B115" s="93"/>
      <c r="C115" s="99"/>
    </row>
    <row r="116" spans="1:3" ht="13.5" x14ac:dyDescent="0.25">
      <c r="A116" s="93" t="s">
        <v>360</v>
      </c>
      <c r="B116" s="93"/>
      <c r="C116" s="99"/>
    </row>
    <row r="117" spans="1:3" ht="13.5" x14ac:dyDescent="0.25">
      <c r="A117" s="93" t="s">
        <v>361</v>
      </c>
      <c r="B117" s="93"/>
      <c r="C117" s="99"/>
    </row>
    <row r="118" spans="1:3" ht="13.5" x14ac:dyDescent="0.25">
      <c r="A118" s="93" t="s">
        <v>361</v>
      </c>
      <c r="B118" s="93"/>
      <c r="C118" s="99"/>
    </row>
    <row r="119" spans="1:3" ht="13.5" x14ac:dyDescent="0.25">
      <c r="A119" s="93" t="s">
        <v>361</v>
      </c>
      <c r="B119" s="93"/>
      <c r="C119" s="99"/>
    </row>
    <row r="120" spans="1:3" ht="13.5" x14ac:dyDescent="0.25">
      <c r="A120" s="93" t="s">
        <v>361</v>
      </c>
      <c r="B120" s="93"/>
      <c r="C120" s="99"/>
    </row>
    <row r="121" spans="1:3" ht="13.5" x14ac:dyDescent="0.25">
      <c r="A121" s="93" t="s">
        <v>361</v>
      </c>
      <c r="B121" s="93"/>
      <c r="C121" s="99"/>
    </row>
    <row r="122" spans="1:3" ht="13.5" x14ac:dyDescent="0.25">
      <c r="A122" s="93" t="s">
        <v>361</v>
      </c>
      <c r="B122" s="93"/>
      <c r="C122" s="99"/>
    </row>
    <row r="123" spans="1:3" ht="13.5" x14ac:dyDescent="0.25">
      <c r="A123" s="93" t="s">
        <v>361</v>
      </c>
      <c r="B123" s="93"/>
      <c r="C123" s="99"/>
    </row>
    <row r="124" spans="1:3" ht="13.5" x14ac:dyDescent="0.25">
      <c r="A124" s="93" t="s">
        <v>361</v>
      </c>
      <c r="B124" s="93"/>
      <c r="C124" s="99"/>
    </row>
    <row r="125" spans="1:3" ht="13.5" x14ac:dyDescent="0.25">
      <c r="A125" s="93" t="s">
        <v>361</v>
      </c>
      <c r="B125" s="93"/>
      <c r="C125" s="99"/>
    </row>
    <row r="126" spans="1:3" ht="13.5" x14ac:dyDescent="0.25">
      <c r="A126" s="93" t="s">
        <v>360</v>
      </c>
      <c r="B126" s="93"/>
      <c r="C126" s="99"/>
    </row>
    <row r="127" spans="1:3" ht="13.5" x14ac:dyDescent="0.25">
      <c r="A127" s="93" t="s">
        <v>361</v>
      </c>
      <c r="B127" s="93"/>
      <c r="C127" s="99"/>
    </row>
    <row r="128" spans="1:3" ht="13.5" x14ac:dyDescent="0.25">
      <c r="A128" s="93" t="s">
        <v>361</v>
      </c>
      <c r="B128" s="93"/>
      <c r="C128" s="99"/>
    </row>
    <row r="129" spans="1:3" ht="13.5" x14ac:dyDescent="0.25">
      <c r="A129" s="93" t="s">
        <v>361</v>
      </c>
      <c r="B129" s="93"/>
      <c r="C129" s="99"/>
    </row>
    <row r="130" spans="1:3" ht="13.5" x14ac:dyDescent="0.25">
      <c r="A130" s="93" t="s">
        <v>361</v>
      </c>
      <c r="B130" s="93"/>
      <c r="C130" s="99"/>
    </row>
    <row r="131" spans="1:3" ht="13.5" x14ac:dyDescent="0.25">
      <c r="A131" s="93" t="s">
        <v>361</v>
      </c>
      <c r="B131" s="93"/>
      <c r="C131" s="99"/>
    </row>
    <row r="132" spans="1:3" ht="13.5" x14ac:dyDescent="0.25">
      <c r="A132" s="93" t="s">
        <v>361</v>
      </c>
      <c r="B132" s="93"/>
      <c r="C132" s="99"/>
    </row>
    <row r="133" spans="1:3" ht="13.5" x14ac:dyDescent="0.25">
      <c r="A133" s="93" t="s">
        <v>361</v>
      </c>
      <c r="B133" s="93"/>
      <c r="C133" s="99"/>
    </row>
    <row r="134" spans="1:3" ht="13.5" x14ac:dyDescent="0.25">
      <c r="A134" s="93" t="s">
        <v>361</v>
      </c>
      <c r="B134" s="93"/>
      <c r="C134" s="99"/>
    </row>
    <row r="135" spans="1:3" ht="13.5" x14ac:dyDescent="0.25">
      <c r="A135" s="93" t="s">
        <v>361</v>
      </c>
      <c r="B135" s="93"/>
      <c r="C135" s="99"/>
    </row>
    <row r="136" spans="1:3" ht="13.5" x14ac:dyDescent="0.25">
      <c r="A136" s="93" t="s">
        <v>361</v>
      </c>
      <c r="B136" s="93"/>
      <c r="C136" s="99"/>
    </row>
    <row r="137" spans="1:3" ht="13.5" x14ac:dyDescent="0.25">
      <c r="A137" s="93" t="s">
        <v>361</v>
      </c>
      <c r="B137" s="93"/>
      <c r="C137" s="99"/>
    </row>
    <row r="138" spans="1:3" ht="13.5" x14ac:dyDescent="0.25">
      <c r="A138" s="93" t="s">
        <v>361</v>
      </c>
      <c r="B138" s="93"/>
      <c r="C138" s="99"/>
    </row>
    <row r="139" spans="1:3" ht="13.5" x14ac:dyDescent="0.25">
      <c r="A139" s="93" t="s">
        <v>360</v>
      </c>
      <c r="B139" s="93"/>
      <c r="C139" s="99"/>
    </row>
    <row r="140" spans="1:3" ht="13.5" x14ac:dyDescent="0.25">
      <c r="A140" s="93" t="s">
        <v>361</v>
      </c>
      <c r="B140" s="93"/>
      <c r="C140" s="99"/>
    </row>
    <row r="141" spans="1:3" ht="13.5" x14ac:dyDescent="0.25">
      <c r="A141" s="93" t="s">
        <v>361</v>
      </c>
      <c r="B141" s="93"/>
      <c r="C141" s="99"/>
    </row>
    <row r="142" spans="1:3" ht="13.5" x14ac:dyDescent="0.25">
      <c r="A142" s="93" t="s">
        <v>361</v>
      </c>
      <c r="B142" s="93"/>
      <c r="C142" s="99"/>
    </row>
    <row r="143" spans="1:3" ht="13.5" x14ac:dyDescent="0.25">
      <c r="A143" s="93" t="s">
        <v>360</v>
      </c>
      <c r="B143" s="93"/>
      <c r="C143" s="99"/>
    </row>
    <row r="144" spans="1:3" ht="13.5" x14ac:dyDescent="0.25">
      <c r="A144" s="93" t="s">
        <v>361</v>
      </c>
      <c r="B144" s="93"/>
      <c r="C144" s="99"/>
    </row>
    <row r="145" spans="1:3" ht="13.5" x14ac:dyDescent="0.25">
      <c r="A145" s="93" t="s">
        <v>361</v>
      </c>
      <c r="B145" s="93"/>
      <c r="C145" s="99"/>
    </row>
    <row r="146" spans="1:3" ht="13.5" x14ac:dyDescent="0.25">
      <c r="A146" s="93" t="s">
        <v>361</v>
      </c>
      <c r="B146" s="93"/>
      <c r="C146" s="99"/>
    </row>
    <row r="147" spans="1:3" ht="13.5" x14ac:dyDescent="0.25">
      <c r="A147" s="93" t="s">
        <v>361</v>
      </c>
      <c r="B147" s="93"/>
      <c r="C147" s="99"/>
    </row>
    <row r="148" spans="1:3" ht="13.5" x14ac:dyDescent="0.25">
      <c r="A148" s="93" t="s">
        <v>361</v>
      </c>
      <c r="B148" s="93"/>
      <c r="C148" s="99"/>
    </row>
    <row r="149" spans="1:3" ht="13.5" x14ac:dyDescent="0.25">
      <c r="A149" s="93" t="s">
        <v>361</v>
      </c>
      <c r="B149" s="93"/>
      <c r="C149" s="99"/>
    </row>
    <row r="150" spans="1:3" ht="13.5" x14ac:dyDescent="0.25">
      <c r="A150" s="93" t="s">
        <v>361</v>
      </c>
      <c r="B150" s="93"/>
      <c r="C150" s="99"/>
    </row>
    <row r="151" spans="1:3" ht="13.5" x14ac:dyDescent="0.25">
      <c r="A151" s="93" t="s">
        <v>361</v>
      </c>
      <c r="B151" s="93"/>
      <c r="C151" s="99"/>
    </row>
    <row r="152" spans="1:3" ht="13.5" x14ac:dyDescent="0.25">
      <c r="A152" s="93" t="s">
        <v>361</v>
      </c>
      <c r="B152" s="93"/>
      <c r="C152" s="99"/>
    </row>
    <row r="153" spans="1:3" ht="13.5" x14ac:dyDescent="0.25">
      <c r="A153" s="93" t="s">
        <v>361</v>
      </c>
      <c r="B153" s="93"/>
      <c r="C153" s="99"/>
    </row>
    <row r="154" spans="1:3" ht="13.5" x14ac:dyDescent="0.25">
      <c r="A154" s="93" t="s">
        <v>360</v>
      </c>
      <c r="B154" s="93"/>
      <c r="C154" s="99"/>
    </row>
    <row r="155" spans="1:3" ht="13.5" x14ac:dyDescent="0.25">
      <c r="A155" s="93" t="s">
        <v>361</v>
      </c>
      <c r="B155" s="93"/>
      <c r="C155" s="99"/>
    </row>
    <row r="156" spans="1:3" ht="13.5" x14ac:dyDescent="0.25">
      <c r="A156" s="93" t="s">
        <v>361</v>
      </c>
      <c r="B156" s="93"/>
      <c r="C156" s="99"/>
    </row>
    <row r="157" spans="1:3" ht="13.5" x14ac:dyDescent="0.25">
      <c r="A157" s="93" t="s">
        <v>361</v>
      </c>
      <c r="B157" s="93"/>
      <c r="C157" s="99"/>
    </row>
    <row r="158" spans="1:3" ht="13.5" x14ac:dyDescent="0.25">
      <c r="A158" s="93" t="s">
        <v>360</v>
      </c>
      <c r="B158" s="93"/>
      <c r="C158" s="99"/>
    </row>
    <row r="159" spans="1:3" ht="13.5" x14ac:dyDescent="0.25">
      <c r="A159" s="93" t="s">
        <v>361</v>
      </c>
      <c r="B159" s="93"/>
      <c r="C159" s="99"/>
    </row>
    <row r="160" spans="1:3" ht="13.5" x14ac:dyDescent="0.25">
      <c r="A160" s="93" t="s">
        <v>361</v>
      </c>
      <c r="B160" s="93"/>
      <c r="C160" s="99"/>
    </row>
    <row r="161" spans="1:3" ht="13.5" x14ac:dyDescent="0.25">
      <c r="A161" s="93" t="s">
        <v>361</v>
      </c>
      <c r="B161" s="93"/>
      <c r="C161" s="99"/>
    </row>
    <row r="162" spans="1:3" ht="13.5" x14ac:dyDescent="0.25">
      <c r="A162" s="93" t="s">
        <v>360</v>
      </c>
      <c r="B162" s="93"/>
      <c r="C162" s="99"/>
    </row>
    <row r="163" spans="1:3" ht="13.5" x14ac:dyDescent="0.25">
      <c r="A163" s="93" t="s">
        <v>361</v>
      </c>
      <c r="B163" s="93"/>
      <c r="C163" s="99"/>
    </row>
    <row r="164" spans="1:3" ht="13.5" x14ac:dyDescent="0.25">
      <c r="A164" s="93" t="s">
        <v>361</v>
      </c>
      <c r="B164" s="93"/>
      <c r="C164" s="99"/>
    </row>
    <row r="165" spans="1:3" ht="13.5" x14ac:dyDescent="0.25">
      <c r="A165" s="93" t="s">
        <v>361</v>
      </c>
      <c r="B165" s="93"/>
      <c r="C165" s="99"/>
    </row>
    <row r="166" spans="1:3" ht="13.5" x14ac:dyDescent="0.25">
      <c r="A166" s="93" t="s">
        <v>360</v>
      </c>
      <c r="B166" s="93"/>
      <c r="C166" s="99"/>
    </row>
    <row r="167" spans="1:3" ht="13.5" x14ac:dyDescent="0.25">
      <c r="A167" s="93" t="s">
        <v>361</v>
      </c>
      <c r="B167" s="93"/>
      <c r="C167" s="99"/>
    </row>
    <row r="168" spans="1:3" ht="13.5" x14ac:dyDescent="0.25">
      <c r="A168" s="93" t="s">
        <v>361</v>
      </c>
      <c r="B168" s="93"/>
      <c r="C168" s="99"/>
    </row>
    <row r="169" spans="1:3" ht="13.5" x14ac:dyDescent="0.25">
      <c r="A169" s="93" t="s">
        <v>361</v>
      </c>
      <c r="B169" s="93"/>
      <c r="C169" s="99"/>
    </row>
    <row r="170" spans="1:3" ht="13.5" x14ac:dyDescent="0.25">
      <c r="A170" s="93" t="s">
        <v>361</v>
      </c>
      <c r="B170" s="93"/>
      <c r="C170" s="99"/>
    </row>
    <row r="171" spans="1:3" ht="13.5" x14ac:dyDescent="0.25">
      <c r="A171" s="93" t="s">
        <v>361</v>
      </c>
      <c r="B171" s="93"/>
      <c r="C171" s="99"/>
    </row>
    <row r="172" spans="1:3" ht="13.5" x14ac:dyDescent="0.25">
      <c r="A172" s="93" t="s">
        <v>361</v>
      </c>
      <c r="B172" s="93"/>
      <c r="C172" s="99"/>
    </row>
    <row r="173" spans="1:3" ht="13.5" x14ac:dyDescent="0.25">
      <c r="A173" s="93" t="s">
        <v>361</v>
      </c>
      <c r="B173" s="93"/>
      <c r="C173" s="99"/>
    </row>
    <row r="174" spans="1:3" ht="13.5" x14ac:dyDescent="0.25">
      <c r="A174" s="93" t="s">
        <v>361</v>
      </c>
      <c r="B174" s="93"/>
      <c r="C174" s="99"/>
    </row>
    <row r="175" spans="1:3" ht="13.5" x14ac:dyDescent="0.25">
      <c r="A175" s="93" t="s">
        <v>360</v>
      </c>
      <c r="B175" s="93"/>
      <c r="C175" s="99"/>
    </row>
    <row r="176" spans="1:3" ht="13.5" x14ac:dyDescent="0.25">
      <c r="A176" s="93" t="s">
        <v>361</v>
      </c>
      <c r="B176" s="93"/>
      <c r="C176" s="99"/>
    </row>
    <row r="177" spans="1:3" ht="13.5" x14ac:dyDescent="0.25">
      <c r="A177" s="93" t="s">
        <v>361</v>
      </c>
      <c r="B177" s="93"/>
      <c r="C177" s="99"/>
    </row>
    <row r="178" spans="1:3" ht="13.5" x14ac:dyDescent="0.25">
      <c r="A178" s="93" t="s">
        <v>361</v>
      </c>
      <c r="B178" s="93"/>
      <c r="C178" s="99"/>
    </row>
    <row r="179" spans="1:3" ht="13.5" x14ac:dyDescent="0.25">
      <c r="A179" s="93" t="s">
        <v>361</v>
      </c>
      <c r="B179" s="93"/>
      <c r="C179" s="99"/>
    </row>
    <row r="180" spans="1:3" ht="13.5" x14ac:dyDescent="0.25">
      <c r="A180" s="93" t="s">
        <v>361</v>
      </c>
      <c r="B180" s="93"/>
      <c r="C180" s="99"/>
    </row>
    <row r="181" spans="1:3" ht="13.5" x14ac:dyDescent="0.25">
      <c r="A181" s="93" t="s">
        <v>361</v>
      </c>
      <c r="B181" s="93"/>
      <c r="C181" s="99"/>
    </row>
    <row r="182" spans="1:3" ht="13.5" x14ac:dyDescent="0.25">
      <c r="A182" s="93" t="s">
        <v>361</v>
      </c>
      <c r="B182" s="93"/>
      <c r="C182" s="99"/>
    </row>
    <row r="183" spans="1:3" ht="13.5" x14ac:dyDescent="0.25">
      <c r="A183" s="93" t="s">
        <v>361</v>
      </c>
      <c r="B183" s="93"/>
      <c r="C183" s="99"/>
    </row>
    <row r="184" spans="1:3" ht="13.5" x14ac:dyDescent="0.25">
      <c r="A184" s="93" t="s">
        <v>361</v>
      </c>
      <c r="B184" s="93"/>
      <c r="C184" s="99"/>
    </row>
    <row r="185" spans="1:3" ht="13.5" x14ac:dyDescent="0.25">
      <c r="A185" s="93" t="s">
        <v>361</v>
      </c>
      <c r="B185" s="93"/>
      <c r="C185" s="99"/>
    </row>
    <row r="186" spans="1:3" ht="13.5" x14ac:dyDescent="0.25">
      <c r="A186" s="93" t="s">
        <v>361</v>
      </c>
      <c r="B186" s="93"/>
      <c r="C186" s="99"/>
    </row>
    <row r="187" spans="1:3" ht="13.5" x14ac:dyDescent="0.25">
      <c r="A187" s="93" t="s">
        <v>361</v>
      </c>
      <c r="B187" s="93"/>
      <c r="C187" s="99"/>
    </row>
    <row r="188" spans="1:3" ht="13.5" x14ac:dyDescent="0.25">
      <c r="A188" s="93" t="s">
        <v>361</v>
      </c>
      <c r="B188" s="93"/>
      <c r="C188" s="99"/>
    </row>
    <row r="189" spans="1:3" ht="13.5" x14ac:dyDescent="0.25">
      <c r="A189" s="93" t="s">
        <v>360</v>
      </c>
      <c r="B189" s="93"/>
      <c r="C189" s="99"/>
    </row>
    <row r="190" spans="1:3" ht="13.5" x14ac:dyDescent="0.25">
      <c r="A190" s="93" t="s">
        <v>361</v>
      </c>
      <c r="B190" s="93"/>
      <c r="C190" s="99"/>
    </row>
    <row r="191" spans="1:3" ht="13.5" x14ac:dyDescent="0.25">
      <c r="A191" s="93" t="s">
        <v>361</v>
      </c>
      <c r="B191" s="93"/>
      <c r="C191" s="99"/>
    </row>
    <row r="192" spans="1:3" ht="13.5" x14ac:dyDescent="0.25">
      <c r="A192" s="93" t="s">
        <v>361</v>
      </c>
      <c r="B192" s="93"/>
      <c r="C192" s="99"/>
    </row>
    <row r="193" spans="1:3" ht="13.5" x14ac:dyDescent="0.25">
      <c r="A193" s="93" t="s">
        <v>361</v>
      </c>
      <c r="B193" s="93"/>
      <c r="C193" s="99"/>
    </row>
    <row r="194" spans="1:3" ht="13.5" x14ac:dyDescent="0.25">
      <c r="A194" s="93" t="s">
        <v>361</v>
      </c>
      <c r="B194" s="93"/>
      <c r="C194" s="99"/>
    </row>
    <row r="195" spans="1:3" ht="13.5" x14ac:dyDescent="0.25">
      <c r="A195" s="93" t="s">
        <v>361</v>
      </c>
      <c r="B195" s="93"/>
      <c r="C195" s="99"/>
    </row>
    <row r="196" spans="1:3" ht="13.5" x14ac:dyDescent="0.25">
      <c r="A196" s="93" t="s">
        <v>361</v>
      </c>
      <c r="B196" s="93"/>
      <c r="C196" s="99"/>
    </row>
    <row r="197" spans="1:3" ht="13.5" x14ac:dyDescent="0.25">
      <c r="A197" s="93" t="s">
        <v>361</v>
      </c>
      <c r="B197" s="93"/>
      <c r="C197" s="99"/>
    </row>
    <row r="198" spans="1:3" ht="13.5" x14ac:dyDescent="0.25">
      <c r="A198" s="93" t="s">
        <v>361</v>
      </c>
      <c r="B198" s="93"/>
      <c r="C198" s="99"/>
    </row>
    <row r="199" spans="1:3" ht="13.5" x14ac:dyDescent="0.25">
      <c r="A199" s="93" t="s">
        <v>361</v>
      </c>
      <c r="B199" s="93"/>
      <c r="C199" s="99"/>
    </row>
    <row r="200" spans="1:3" ht="13.5" x14ac:dyDescent="0.25">
      <c r="A200" s="93" t="s">
        <v>360</v>
      </c>
      <c r="B200" s="93"/>
      <c r="C200" s="99"/>
    </row>
    <row r="201" spans="1:3" ht="13.5" x14ac:dyDescent="0.25">
      <c r="A201" s="93" t="s">
        <v>361</v>
      </c>
      <c r="B201" s="93"/>
      <c r="C201" s="99"/>
    </row>
    <row r="202" spans="1:3" ht="13.5" x14ac:dyDescent="0.25">
      <c r="A202" s="93" t="s">
        <v>361</v>
      </c>
      <c r="B202" s="93"/>
      <c r="C202" s="99"/>
    </row>
    <row r="203" spans="1:3" ht="13.5" x14ac:dyDescent="0.25">
      <c r="A203" s="93" t="s">
        <v>361</v>
      </c>
      <c r="B203" s="93"/>
      <c r="C203" s="99"/>
    </row>
    <row r="204" spans="1:3" ht="13.5" x14ac:dyDescent="0.25">
      <c r="A204" s="93" t="s">
        <v>361</v>
      </c>
      <c r="B204" s="93"/>
      <c r="C204" s="99"/>
    </row>
    <row r="205" spans="1:3" ht="13.5" x14ac:dyDescent="0.25">
      <c r="A205" s="93" t="s">
        <v>360</v>
      </c>
      <c r="B205" s="93"/>
      <c r="C205" s="99"/>
    </row>
    <row r="206" spans="1:3" ht="13.5" x14ac:dyDescent="0.25">
      <c r="A206" s="93" t="s">
        <v>361</v>
      </c>
      <c r="B206" s="93"/>
      <c r="C206" s="99"/>
    </row>
    <row r="207" spans="1:3" ht="13.5" x14ac:dyDescent="0.25">
      <c r="A207" s="93" t="s">
        <v>361</v>
      </c>
      <c r="B207" s="93"/>
      <c r="C207" s="99"/>
    </row>
    <row r="208" spans="1:3" ht="13.5" x14ac:dyDescent="0.25">
      <c r="A208" s="93" t="s">
        <v>361</v>
      </c>
      <c r="B208" s="93"/>
      <c r="C208" s="99"/>
    </row>
    <row r="209" spans="1:3" ht="13.5" x14ac:dyDescent="0.25">
      <c r="A209" s="93" t="s">
        <v>360</v>
      </c>
      <c r="B209" s="93"/>
      <c r="C209" s="99"/>
    </row>
    <row r="210" spans="1:3" ht="13.5" x14ac:dyDescent="0.25">
      <c r="A210" s="93" t="s">
        <v>361</v>
      </c>
      <c r="B210" s="93"/>
      <c r="C210" s="99"/>
    </row>
    <row r="211" spans="1:3" ht="13.5" x14ac:dyDescent="0.25">
      <c r="A211" s="93" t="s">
        <v>361</v>
      </c>
      <c r="B211" s="93"/>
      <c r="C211" s="99"/>
    </row>
    <row r="212" spans="1:3" ht="13.5" x14ac:dyDescent="0.25">
      <c r="A212" s="93" t="s">
        <v>361</v>
      </c>
      <c r="B212" s="93"/>
      <c r="C212" s="99"/>
    </row>
    <row r="213" spans="1:3" ht="13.5" x14ac:dyDescent="0.25">
      <c r="A213" s="93" t="s">
        <v>361</v>
      </c>
      <c r="B213" s="93"/>
      <c r="C213" s="99"/>
    </row>
    <row r="214" spans="1:3" ht="10.5" customHeight="1" x14ac:dyDescent="0.25">
      <c r="A214" s="95"/>
      <c r="B214" s="112"/>
      <c r="C214" s="99"/>
    </row>
    <row r="215" spans="1:3" ht="10.5" customHeight="1" x14ac:dyDescent="0.25">
      <c r="A215" s="95"/>
      <c r="B215" s="109"/>
      <c r="C215" s="99"/>
    </row>
    <row r="216" spans="1:3" ht="10.5" customHeight="1" x14ac:dyDescent="0.25">
      <c r="A216" s="95"/>
      <c r="B216" s="109"/>
      <c r="C216" s="99"/>
    </row>
    <row r="217" spans="1:3" ht="10.5" customHeight="1" x14ac:dyDescent="0.25">
      <c r="A217" s="95"/>
      <c r="B217" s="109"/>
      <c r="C217" s="99"/>
    </row>
    <row r="218" spans="1:3" ht="10.5" customHeight="1" x14ac:dyDescent="0.25">
      <c r="A218" s="95"/>
      <c r="B218" s="109"/>
      <c r="C218" s="99"/>
    </row>
    <row r="219" spans="1:3" ht="10.5" customHeight="1" x14ac:dyDescent="0.25">
      <c r="A219" s="95"/>
      <c r="B219" s="109"/>
      <c r="C219" s="99"/>
    </row>
    <row r="220" spans="1:3" ht="16.5" customHeight="1" x14ac:dyDescent="0.25">
      <c r="A220" s="95"/>
      <c r="B220" s="113"/>
      <c r="C220" s="99"/>
    </row>
    <row r="221" spans="1:3" ht="12.75" customHeight="1" x14ac:dyDescent="0.25">
      <c r="A221" s="95"/>
      <c r="B221" s="110"/>
      <c r="C221" s="99"/>
    </row>
    <row r="222" spans="1:3" ht="10.5" customHeight="1" x14ac:dyDescent="0.25">
      <c r="A222" s="95"/>
      <c r="B222" s="110"/>
      <c r="C222" s="99"/>
    </row>
    <row r="223" spans="1:3" ht="13.5" x14ac:dyDescent="0.25">
      <c r="A223" s="95"/>
      <c r="B223" s="111"/>
      <c r="C223" s="99"/>
    </row>
    <row r="224" spans="1:3" x14ac:dyDescent="0.2">
      <c r="A224" s="95"/>
      <c r="B224" s="111"/>
    </row>
    <row r="225" spans="1:2" x14ac:dyDescent="0.2">
      <c r="A225" s="95"/>
      <c r="B225" s="111"/>
    </row>
    <row r="226" spans="1:2" x14ac:dyDescent="0.2">
      <c r="A226" s="95"/>
      <c r="B226" s="111"/>
    </row>
    <row r="227" spans="1:2" x14ac:dyDescent="0.2">
      <c r="A227" s="95"/>
      <c r="B227" s="111"/>
    </row>
    <row r="228" spans="1:2" x14ac:dyDescent="0.2">
      <c r="A228" s="95"/>
      <c r="B228" s="111"/>
    </row>
    <row r="229" spans="1:2" x14ac:dyDescent="0.2">
      <c r="A229" s="95"/>
      <c r="B229" s="111"/>
    </row>
    <row r="230" spans="1:2" x14ac:dyDescent="0.2">
      <c r="A230" s="95"/>
      <c r="B230" s="111"/>
    </row>
    <row r="231" spans="1:2" x14ac:dyDescent="0.2">
      <c r="A231" s="95"/>
      <c r="B231" s="111"/>
    </row>
    <row r="232" spans="1:2" x14ac:dyDescent="0.2">
      <c r="A232" s="95"/>
      <c r="B232" s="111"/>
    </row>
    <row r="233" spans="1:2" x14ac:dyDescent="0.2">
      <c r="A233" s="95"/>
      <c r="B233" s="111"/>
    </row>
    <row r="234" spans="1:2" x14ac:dyDescent="0.2">
      <c r="A234" s="95"/>
      <c r="B234" s="111"/>
    </row>
    <row r="235" spans="1:2" x14ac:dyDescent="0.2">
      <c r="A235" s="95"/>
      <c r="B235" s="111"/>
    </row>
    <row r="236" spans="1:2" x14ac:dyDescent="0.2">
      <c r="A236" s="95"/>
      <c r="B236" s="111"/>
    </row>
    <row r="237" spans="1:2" x14ac:dyDescent="0.2">
      <c r="A237" s="95"/>
      <c r="B237" s="111"/>
    </row>
    <row r="238" spans="1:2" x14ac:dyDescent="0.2">
      <c r="A238" s="95"/>
      <c r="B238" s="111"/>
    </row>
    <row r="239" spans="1:2" x14ac:dyDescent="0.2">
      <c r="A239" s="95"/>
      <c r="B239" s="111"/>
    </row>
    <row r="240" spans="1:2" x14ac:dyDescent="0.2">
      <c r="A240" s="95"/>
      <c r="B240" s="111"/>
    </row>
    <row r="241" spans="1:2" x14ac:dyDescent="0.2">
      <c r="A241" s="95"/>
      <c r="B241" s="111"/>
    </row>
    <row r="242" spans="1:2" x14ac:dyDescent="0.2">
      <c r="A242" s="95"/>
      <c r="B242" s="111"/>
    </row>
    <row r="243" spans="1:2" x14ac:dyDescent="0.2">
      <c r="A243" s="95"/>
      <c r="B243" s="111"/>
    </row>
    <row r="244" spans="1:2" x14ac:dyDescent="0.2">
      <c r="A244" s="95"/>
      <c r="B244" s="111"/>
    </row>
    <row r="245" spans="1:2" x14ac:dyDescent="0.2">
      <c r="A245" s="95"/>
      <c r="B245" s="111"/>
    </row>
    <row r="246" spans="1:2" x14ac:dyDescent="0.2">
      <c r="A246" s="95"/>
      <c r="B246" s="111"/>
    </row>
    <row r="247" spans="1:2" x14ac:dyDescent="0.2">
      <c r="A247" s="95"/>
      <c r="B247" s="111"/>
    </row>
    <row r="248" spans="1:2" x14ac:dyDescent="0.2">
      <c r="A248" s="95"/>
      <c r="B248" s="111"/>
    </row>
    <row r="249" spans="1:2" x14ac:dyDescent="0.2">
      <c r="A249" s="95"/>
      <c r="B249" s="111"/>
    </row>
    <row r="250" spans="1:2" x14ac:dyDescent="0.2">
      <c r="A250" s="95"/>
      <c r="B250" s="111"/>
    </row>
    <row r="251" spans="1:2" x14ac:dyDescent="0.2">
      <c r="A251" s="95"/>
      <c r="B251" s="111"/>
    </row>
    <row r="252" spans="1:2" x14ac:dyDescent="0.2">
      <c r="A252" s="95"/>
      <c r="B252" s="111"/>
    </row>
    <row r="253" spans="1:2" x14ac:dyDescent="0.2">
      <c r="A253" s="95"/>
      <c r="B253" s="111"/>
    </row>
    <row r="254" spans="1:2" x14ac:dyDescent="0.2">
      <c r="A254" s="95"/>
      <c r="B254" s="111"/>
    </row>
    <row r="255" spans="1:2" x14ac:dyDescent="0.2">
      <c r="A255" s="95"/>
      <c r="B255" s="111"/>
    </row>
    <row r="256" spans="1:2" x14ac:dyDescent="0.2">
      <c r="A256" s="95"/>
      <c r="B256" s="111"/>
    </row>
    <row r="257" spans="1:2" x14ac:dyDescent="0.2">
      <c r="A257" s="95"/>
      <c r="B257" s="111"/>
    </row>
    <row r="258" spans="1:2" x14ac:dyDescent="0.2">
      <c r="A258" s="95"/>
      <c r="B258" s="111"/>
    </row>
    <row r="259" spans="1:2" x14ac:dyDescent="0.2">
      <c r="A259" s="95"/>
      <c r="B259" s="111"/>
    </row>
    <row r="260" spans="1:2" x14ac:dyDescent="0.2">
      <c r="A260" s="95"/>
      <c r="B260" s="111"/>
    </row>
    <row r="261" spans="1:2" x14ac:dyDescent="0.2">
      <c r="A261" s="95"/>
      <c r="B261" s="111"/>
    </row>
    <row r="262" spans="1:2" x14ac:dyDescent="0.2">
      <c r="A262" s="95"/>
      <c r="B262" s="111"/>
    </row>
    <row r="263" spans="1:2" x14ac:dyDescent="0.2">
      <c r="A263" s="95"/>
      <c r="B263" s="111"/>
    </row>
    <row r="264" spans="1:2" x14ac:dyDescent="0.2">
      <c r="A264" s="95"/>
      <c r="B264" s="111"/>
    </row>
    <row r="265" spans="1:2" x14ac:dyDescent="0.2">
      <c r="A265" s="95"/>
      <c r="B265" s="111"/>
    </row>
    <row r="266" spans="1:2" x14ac:dyDescent="0.2">
      <c r="A266" s="95"/>
      <c r="B266" s="111"/>
    </row>
    <row r="267" spans="1:2" x14ac:dyDescent="0.2">
      <c r="A267" s="95"/>
      <c r="B267" s="111"/>
    </row>
    <row r="268" spans="1:2" x14ac:dyDescent="0.2">
      <c r="A268" s="95"/>
      <c r="B268" s="111"/>
    </row>
    <row r="269" spans="1:2" x14ac:dyDescent="0.2">
      <c r="A269" s="95"/>
      <c r="B269" s="111"/>
    </row>
    <row r="270" spans="1:2" x14ac:dyDescent="0.2">
      <c r="A270" s="95"/>
      <c r="B270" s="111"/>
    </row>
    <row r="271" spans="1:2" x14ac:dyDescent="0.2">
      <c r="A271" s="95"/>
      <c r="B271" s="111"/>
    </row>
    <row r="272" spans="1:2" x14ac:dyDescent="0.2">
      <c r="A272" s="95"/>
      <c r="B272" s="111"/>
    </row>
    <row r="273" spans="1:2" x14ac:dyDescent="0.2">
      <c r="A273" s="95"/>
      <c r="B273" s="111"/>
    </row>
    <row r="274" spans="1:2" x14ac:dyDescent="0.2">
      <c r="A274" s="95"/>
      <c r="B274" s="111"/>
    </row>
    <row r="275" spans="1:2" x14ac:dyDescent="0.2">
      <c r="A275" s="95"/>
      <c r="B275" s="111"/>
    </row>
    <row r="276" spans="1:2" x14ac:dyDescent="0.2">
      <c r="A276" s="95"/>
      <c r="B276" s="111"/>
    </row>
    <row r="277" spans="1:2" x14ac:dyDescent="0.2">
      <c r="A277" s="95"/>
      <c r="B277" s="111"/>
    </row>
    <row r="278" spans="1:2" x14ac:dyDescent="0.2">
      <c r="A278" s="95"/>
      <c r="B278" s="111"/>
    </row>
    <row r="279" spans="1:2" x14ac:dyDescent="0.2">
      <c r="A279" s="95"/>
      <c r="B279" s="111"/>
    </row>
    <row r="280" spans="1:2" x14ac:dyDescent="0.2">
      <c r="A280" s="95"/>
      <c r="B280" s="111"/>
    </row>
    <row r="281" spans="1:2" x14ac:dyDescent="0.2">
      <c r="A281" s="95"/>
      <c r="B281" s="111"/>
    </row>
    <row r="282" spans="1:2" x14ac:dyDescent="0.2">
      <c r="A282" s="95"/>
      <c r="B282" s="111"/>
    </row>
    <row r="283" spans="1:2" x14ac:dyDescent="0.2">
      <c r="A283" s="95"/>
      <c r="B283" s="111"/>
    </row>
    <row r="284" spans="1:2" x14ac:dyDescent="0.2">
      <c r="A284" s="95"/>
      <c r="B284" s="111"/>
    </row>
    <row r="285" spans="1:2" x14ac:dyDescent="0.2">
      <c r="A285" s="95"/>
      <c r="B285" s="111"/>
    </row>
    <row r="286" spans="1:2" x14ac:dyDescent="0.2">
      <c r="A286" s="95"/>
      <c r="B286" s="111"/>
    </row>
    <row r="287" spans="1:2" x14ac:dyDescent="0.2">
      <c r="A287" s="95"/>
      <c r="B287" s="111"/>
    </row>
    <row r="288" spans="1:2" x14ac:dyDescent="0.2">
      <c r="A288" s="95"/>
      <c r="B288" s="111"/>
    </row>
    <row r="289" spans="1:2" x14ac:dyDescent="0.2">
      <c r="A289" s="95"/>
      <c r="B289" s="111"/>
    </row>
    <row r="290" spans="1:2" x14ac:dyDescent="0.2">
      <c r="A290" s="95"/>
      <c r="B290" s="111"/>
    </row>
    <row r="291" spans="1:2" x14ac:dyDescent="0.2">
      <c r="A291" s="95"/>
      <c r="B291" s="111"/>
    </row>
    <row r="292" spans="1:2" x14ac:dyDescent="0.2">
      <c r="A292" s="95"/>
      <c r="B292" s="111"/>
    </row>
    <row r="293" spans="1:2" x14ac:dyDescent="0.2">
      <c r="A293" s="95"/>
      <c r="B293" s="111"/>
    </row>
    <row r="294" spans="1:2" x14ac:dyDescent="0.2">
      <c r="A294" s="95"/>
      <c r="B294" s="111"/>
    </row>
    <row r="295" spans="1:2" x14ac:dyDescent="0.2">
      <c r="A295" s="95"/>
      <c r="B295" s="111"/>
    </row>
    <row r="296" spans="1:2" x14ac:dyDescent="0.2">
      <c r="A296" s="95"/>
      <c r="B296" s="111"/>
    </row>
    <row r="297" spans="1:2" x14ac:dyDescent="0.2">
      <c r="A297" s="95"/>
      <c r="B297" s="111"/>
    </row>
    <row r="298" spans="1:2" x14ac:dyDescent="0.2">
      <c r="A298" s="95"/>
      <c r="B298" s="111"/>
    </row>
    <row r="299" spans="1:2" x14ac:dyDescent="0.2">
      <c r="A299" s="95"/>
      <c r="B299" s="111"/>
    </row>
    <row r="300" spans="1:2" x14ac:dyDescent="0.2">
      <c r="A300" s="95"/>
      <c r="B300" s="111"/>
    </row>
    <row r="301" spans="1:2" x14ac:dyDescent="0.2">
      <c r="A301" s="95"/>
      <c r="B301" s="111"/>
    </row>
    <row r="302" spans="1:2" x14ac:dyDescent="0.2">
      <c r="A302" s="95"/>
      <c r="B302" s="111"/>
    </row>
    <row r="303" spans="1:2" x14ac:dyDescent="0.2">
      <c r="A303" s="95"/>
      <c r="B303" s="111"/>
    </row>
    <row r="304" spans="1:2" x14ac:dyDescent="0.2">
      <c r="A304" s="95"/>
      <c r="B304" s="111"/>
    </row>
    <row r="305" spans="1:2" x14ac:dyDescent="0.2">
      <c r="A305" s="95"/>
      <c r="B305" s="111"/>
    </row>
    <row r="306" spans="1:2" x14ac:dyDescent="0.2">
      <c r="A306" s="95"/>
      <c r="B306" s="111"/>
    </row>
    <row r="307" spans="1:2" x14ac:dyDescent="0.2">
      <c r="A307" s="95"/>
      <c r="B307" s="111"/>
    </row>
    <row r="308" spans="1:2" x14ac:dyDescent="0.2">
      <c r="A308" s="95"/>
      <c r="B308" s="111"/>
    </row>
    <row r="309" spans="1:2" x14ac:dyDescent="0.2">
      <c r="A309" s="95"/>
      <c r="B309" s="111"/>
    </row>
    <row r="310" spans="1:2" x14ac:dyDescent="0.2">
      <c r="A310" s="95"/>
      <c r="B310" s="111"/>
    </row>
    <row r="311" spans="1:2" x14ac:dyDescent="0.2">
      <c r="A311" s="95"/>
      <c r="B311" s="111"/>
    </row>
    <row r="312" spans="1:2" x14ac:dyDescent="0.2">
      <c r="A312" s="95"/>
      <c r="B312" s="111"/>
    </row>
    <row r="313" spans="1:2" x14ac:dyDescent="0.2">
      <c r="A313" s="95"/>
      <c r="B313" s="111"/>
    </row>
    <row r="314" spans="1:2" x14ac:dyDescent="0.2">
      <c r="A314" s="95"/>
      <c r="B314" s="111"/>
    </row>
    <row r="315" spans="1:2" x14ac:dyDescent="0.2">
      <c r="A315" s="95"/>
      <c r="B315" s="111"/>
    </row>
    <row r="316" spans="1:2" x14ac:dyDescent="0.2">
      <c r="A316" s="95"/>
      <c r="B316" s="111"/>
    </row>
    <row r="317" spans="1:2" x14ac:dyDescent="0.2">
      <c r="A317" s="95"/>
      <c r="B317" s="111"/>
    </row>
    <row r="318" spans="1:2" x14ac:dyDescent="0.2">
      <c r="A318" s="95"/>
      <c r="B318" s="111"/>
    </row>
    <row r="319" spans="1:2" x14ac:dyDescent="0.2">
      <c r="A319" s="95"/>
      <c r="B319" s="111"/>
    </row>
    <row r="320" spans="1:2" x14ac:dyDescent="0.2">
      <c r="A320" s="95"/>
      <c r="B320" s="111"/>
    </row>
    <row r="321" spans="1:2" x14ac:dyDescent="0.2">
      <c r="A321" s="95"/>
      <c r="B321" s="111"/>
    </row>
    <row r="322" spans="1:2" x14ac:dyDescent="0.2">
      <c r="A322" s="95"/>
      <c r="B322" s="111"/>
    </row>
    <row r="323" spans="1:2" x14ac:dyDescent="0.2">
      <c r="A323" s="95"/>
      <c r="B323" s="111"/>
    </row>
    <row r="324" spans="1:2" x14ac:dyDescent="0.2">
      <c r="A324" s="95"/>
      <c r="B324" s="111"/>
    </row>
    <row r="325" spans="1:2" x14ac:dyDescent="0.2">
      <c r="A325" s="95"/>
      <c r="B325" s="111"/>
    </row>
    <row r="326" spans="1:2" x14ac:dyDescent="0.2">
      <c r="A326" s="95"/>
      <c r="B326" s="111"/>
    </row>
    <row r="327" spans="1:2" x14ac:dyDescent="0.2">
      <c r="A327" s="95"/>
      <c r="B327" s="111"/>
    </row>
    <row r="328" spans="1:2" x14ac:dyDescent="0.2">
      <c r="A328" s="95"/>
      <c r="B328" s="111"/>
    </row>
    <row r="329" spans="1:2" x14ac:dyDescent="0.2">
      <c r="A329" s="95"/>
      <c r="B329" s="111"/>
    </row>
    <row r="330" spans="1:2" x14ac:dyDescent="0.2">
      <c r="A330" s="95"/>
      <c r="B330" s="111"/>
    </row>
    <row r="331" spans="1:2" x14ac:dyDescent="0.2">
      <c r="A331" s="95"/>
      <c r="B331" s="111"/>
    </row>
    <row r="332" spans="1:2" x14ac:dyDescent="0.2">
      <c r="A332" s="95"/>
      <c r="B332" s="111"/>
    </row>
    <row r="333" spans="1:2" x14ac:dyDescent="0.2">
      <c r="A333" s="95"/>
      <c r="B333" s="111"/>
    </row>
    <row r="334" spans="1:2" x14ac:dyDescent="0.2">
      <c r="A334" s="95"/>
      <c r="B334" s="111"/>
    </row>
    <row r="335" spans="1:2" x14ac:dyDescent="0.2">
      <c r="A335" s="95"/>
      <c r="B335" s="111"/>
    </row>
    <row r="336" spans="1:2" x14ac:dyDescent="0.2">
      <c r="A336" s="95"/>
      <c r="B336" s="111"/>
    </row>
    <row r="337" spans="1:2" x14ac:dyDescent="0.2">
      <c r="A337" s="95"/>
      <c r="B337" s="111"/>
    </row>
    <row r="338" spans="1:2" x14ac:dyDescent="0.2">
      <c r="A338" s="95"/>
      <c r="B338" s="111"/>
    </row>
    <row r="339" spans="1:2" x14ac:dyDescent="0.2">
      <c r="A339" s="95"/>
      <c r="B339" s="111"/>
    </row>
    <row r="340" spans="1:2" x14ac:dyDescent="0.2">
      <c r="A340" s="95"/>
      <c r="B340" s="111"/>
    </row>
    <row r="341" spans="1:2" x14ac:dyDescent="0.2">
      <c r="A341" s="95"/>
      <c r="B341" s="111"/>
    </row>
    <row r="342" spans="1:2" x14ac:dyDescent="0.2">
      <c r="A342" s="95"/>
      <c r="B342" s="111"/>
    </row>
    <row r="343" spans="1:2" x14ac:dyDescent="0.2">
      <c r="A343" s="95"/>
      <c r="B343" s="111"/>
    </row>
    <row r="344" spans="1:2" x14ac:dyDescent="0.2">
      <c r="A344" s="95"/>
      <c r="B344" s="111"/>
    </row>
    <row r="345" spans="1:2" x14ac:dyDescent="0.2">
      <c r="A345" s="95"/>
      <c r="B345" s="111"/>
    </row>
    <row r="346" spans="1:2" x14ac:dyDescent="0.2">
      <c r="A346" s="95"/>
      <c r="B346" s="111"/>
    </row>
    <row r="347" spans="1:2" x14ac:dyDescent="0.2">
      <c r="A347" s="95"/>
      <c r="B347" s="111"/>
    </row>
    <row r="348" spans="1:2" x14ac:dyDescent="0.2">
      <c r="A348" s="95"/>
      <c r="B348" s="111"/>
    </row>
    <row r="349" spans="1:2" x14ac:dyDescent="0.2">
      <c r="A349" s="95"/>
      <c r="B349" s="111"/>
    </row>
    <row r="350" spans="1:2" x14ac:dyDescent="0.2">
      <c r="A350" s="95"/>
      <c r="B350" s="111"/>
    </row>
    <row r="351" spans="1:2" x14ac:dyDescent="0.2">
      <c r="A351" s="95"/>
      <c r="B351" s="111"/>
    </row>
    <row r="352" spans="1:2" x14ac:dyDescent="0.2">
      <c r="A352" s="95"/>
      <c r="B352" s="111"/>
    </row>
    <row r="353" spans="1:2" x14ac:dyDescent="0.2">
      <c r="A353" s="95"/>
      <c r="B353" s="111"/>
    </row>
    <row r="354" spans="1:2" x14ac:dyDescent="0.2">
      <c r="A354" s="95"/>
      <c r="B354" s="111"/>
    </row>
    <row r="355" spans="1:2" x14ac:dyDescent="0.2">
      <c r="A355" s="95"/>
      <c r="B355" s="111"/>
    </row>
    <row r="356" spans="1:2" x14ac:dyDescent="0.2">
      <c r="A356" s="95"/>
      <c r="B356" s="111"/>
    </row>
    <row r="357" spans="1:2" x14ac:dyDescent="0.2">
      <c r="A357" s="95"/>
      <c r="B357" s="111"/>
    </row>
    <row r="358" spans="1:2" x14ac:dyDescent="0.2">
      <c r="A358" s="95"/>
      <c r="B358" s="111"/>
    </row>
    <row r="359" spans="1:2" x14ac:dyDescent="0.2">
      <c r="A359" s="95"/>
      <c r="B359" s="111"/>
    </row>
    <row r="360" spans="1:2" x14ac:dyDescent="0.2">
      <c r="A360" s="95"/>
      <c r="B360" s="111"/>
    </row>
    <row r="361" spans="1:2" x14ac:dyDescent="0.2">
      <c r="A361" s="95"/>
      <c r="B361" s="111"/>
    </row>
    <row r="362" spans="1:2" x14ac:dyDescent="0.2">
      <c r="A362" s="95"/>
      <c r="B362" s="111"/>
    </row>
    <row r="363" spans="1:2" x14ac:dyDescent="0.2">
      <c r="A363" s="95"/>
      <c r="B363" s="111"/>
    </row>
    <row r="364" spans="1:2" x14ac:dyDescent="0.2">
      <c r="A364" s="95"/>
      <c r="B364" s="111"/>
    </row>
    <row r="365" spans="1:2" x14ac:dyDescent="0.2">
      <c r="A365" s="95"/>
      <c r="B365" s="111"/>
    </row>
    <row r="366" spans="1:2" x14ac:dyDescent="0.2">
      <c r="A366" s="95"/>
      <c r="B366" s="111"/>
    </row>
    <row r="367" spans="1:2" x14ac:dyDescent="0.2">
      <c r="A367" s="95"/>
      <c r="B367" s="111"/>
    </row>
    <row r="368" spans="1:2" x14ac:dyDescent="0.2">
      <c r="A368" s="95"/>
      <c r="B368" s="111"/>
    </row>
    <row r="369" spans="1:2" x14ac:dyDescent="0.2">
      <c r="A369" s="95"/>
      <c r="B369" s="111"/>
    </row>
    <row r="370" spans="1:2" x14ac:dyDescent="0.2">
      <c r="A370" s="95"/>
      <c r="B370" s="111"/>
    </row>
    <row r="371" spans="1:2" x14ac:dyDescent="0.2">
      <c r="A371" s="95"/>
      <c r="B371" s="111"/>
    </row>
    <row r="372" spans="1:2" x14ac:dyDescent="0.2">
      <c r="A372" s="95"/>
      <c r="B372" s="111"/>
    </row>
    <row r="373" spans="1:2" x14ac:dyDescent="0.2">
      <c r="A373" s="95"/>
      <c r="B373" s="111"/>
    </row>
    <row r="374" spans="1:2" x14ac:dyDescent="0.2">
      <c r="A374" s="95"/>
      <c r="B374" s="111"/>
    </row>
    <row r="375" spans="1:2" x14ac:dyDescent="0.2">
      <c r="A375" s="95"/>
      <c r="B375" s="111"/>
    </row>
    <row r="376" spans="1:2" x14ac:dyDescent="0.2">
      <c r="A376" s="95"/>
      <c r="B376" s="111"/>
    </row>
    <row r="377" spans="1:2" x14ac:dyDescent="0.2">
      <c r="A377" s="95"/>
      <c r="B377" s="111"/>
    </row>
    <row r="378" spans="1:2" x14ac:dyDescent="0.2">
      <c r="A378" s="95"/>
      <c r="B378" s="111"/>
    </row>
    <row r="379" spans="1:2" x14ac:dyDescent="0.2">
      <c r="A379" s="95"/>
      <c r="B379" s="111"/>
    </row>
    <row r="380" spans="1:2" x14ac:dyDescent="0.2">
      <c r="A380" s="95"/>
      <c r="B380" s="111"/>
    </row>
    <row r="381" spans="1:2" x14ac:dyDescent="0.2">
      <c r="A381" s="95"/>
      <c r="B381" s="111"/>
    </row>
    <row r="382" spans="1:2" x14ac:dyDescent="0.2">
      <c r="A382" s="95"/>
      <c r="B382" s="111"/>
    </row>
    <row r="383" spans="1:2" x14ac:dyDescent="0.2">
      <c r="A383" s="95"/>
      <c r="B383" s="111"/>
    </row>
    <row r="384" spans="1:2" x14ac:dyDescent="0.2">
      <c r="A384" s="95"/>
      <c r="B384" s="111"/>
    </row>
    <row r="385" spans="1:2" x14ac:dyDescent="0.2">
      <c r="A385" s="95"/>
      <c r="B385" s="111"/>
    </row>
    <row r="386" spans="1:2" x14ac:dyDescent="0.2">
      <c r="A386" s="95"/>
      <c r="B386" s="111"/>
    </row>
    <row r="387" spans="1:2" x14ac:dyDescent="0.2">
      <c r="A387" s="95"/>
      <c r="B387" s="111"/>
    </row>
    <row r="388" spans="1:2" x14ac:dyDescent="0.2">
      <c r="A388" s="95"/>
      <c r="B388" s="111"/>
    </row>
    <row r="389" spans="1:2" x14ac:dyDescent="0.2">
      <c r="A389" s="95"/>
      <c r="B389" s="111"/>
    </row>
    <row r="390" spans="1:2" x14ac:dyDescent="0.2">
      <c r="A390" s="95"/>
      <c r="B390" s="111"/>
    </row>
    <row r="391" spans="1:2" x14ac:dyDescent="0.2">
      <c r="A391" s="95"/>
      <c r="B391" s="111"/>
    </row>
    <row r="392" spans="1:2" x14ac:dyDescent="0.2">
      <c r="A392" s="95"/>
      <c r="B392" s="111"/>
    </row>
    <row r="393" spans="1:2" x14ac:dyDescent="0.2">
      <c r="A393" s="95"/>
      <c r="B393" s="111"/>
    </row>
    <row r="394" spans="1:2" x14ac:dyDescent="0.2">
      <c r="A394" s="95"/>
      <c r="B394" s="111"/>
    </row>
    <row r="395" spans="1:2" x14ac:dyDescent="0.2">
      <c r="A395" s="95"/>
      <c r="B395" s="111"/>
    </row>
    <row r="396" spans="1:2" x14ac:dyDescent="0.2">
      <c r="A396" s="95"/>
      <c r="B396" s="111"/>
    </row>
    <row r="397" spans="1:2" x14ac:dyDescent="0.2">
      <c r="A397" s="95"/>
      <c r="B397" s="111"/>
    </row>
    <row r="398" spans="1:2" x14ac:dyDescent="0.2">
      <c r="A398" s="95"/>
      <c r="B398" s="111"/>
    </row>
    <row r="399" spans="1:2" x14ac:dyDescent="0.2">
      <c r="A399" s="95"/>
      <c r="B399" s="111"/>
    </row>
    <row r="400" spans="1:2" x14ac:dyDescent="0.2">
      <c r="A400" s="95"/>
      <c r="B400" s="111"/>
    </row>
    <row r="401" spans="1:2" x14ac:dyDescent="0.2">
      <c r="A401" s="95"/>
      <c r="B401" s="111"/>
    </row>
    <row r="402" spans="1:2" x14ac:dyDescent="0.2">
      <c r="A402" s="95"/>
      <c r="B402" s="111"/>
    </row>
    <row r="403" spans="1:2" x14ac:dyDescent="0.2">
      <c r="A403" s="95"/>
      <c r="B403" s="111"/>
    </row>
    <row r="404" spans="1:2" x14ac:dyDescent="0.2">
      <c r="A404" s="95"/>
      <c r="B404" s="111"/>
    </row>
    <row r="405" spans="1:2" x14ac:dyDescent="0.2">
      <c r="A405" s="95"/>
      <c r="B405" s="111"/>
    </row>
    <row r="406" spans="1:2" x14ac:dyDescent="0.2">
      <c r="A406" s="95"/>
      <c r="B406" s="111"/>
    </row>
    <row r="407" spans="1:2" x14ac:dyDescent="0.2">
      <c r="A407" s="95"/>
      <c r="B407" s="111"/>
    </row>
    <row r="408" spans="1:2" x14ac:dyDescent="0.2">
      <c r="A408" s="95"/>
      <c r="B408" s="111"/>
    </row>
    <row r="409" spans="1:2" x14ac:dyDescent="0.2">
      <c r="A409" s="95"/>
      <c r="B409" s="111"/>
    </row>
    <row r="410" spans="1:2" x14ac:dyDescent="0.2">
      <c r="A410" s="95"/>
      <c r="B410" s="111"/>
    </row>
    <row r="411" spans="1:2" x14ac:dyDescent="0.2">
      <c r="A411" s="95"/>
      <c r="B411" s="111"/>
    </row>
    <row r="412" spans="1:2" x14ac:dyDescent="0.2">
      <c r="A412" s="95"/>
      <c r="B412" s="111"/>
    </row>
    <row r="413" spans="1:2" x14ac:dyDescent="0.2">
      <c r="A413" s="95"/>
      <c r="B413" s="111"/>
    </row>
    <row r="414" spans="1:2" x14ac:dyDescent="0.2">
      <c r="A414" s="95"/>
      <c r="B414" s="111"/>
    </row>
    <row r="415" spans="1:2" x14ac:dyDescent="0.2">
      <c r="A415" s="95"/>
      <c r="B415" s="111"/>
    </row>
    <row r="416" spans="1:2" x14ac:dyDescent="0.2">
      <c r="A416" s="95"/>
      <c r="B416" s="111"/>
    </row>
    <row r="417" spans="1:2" x14ac:dyDescent="0.2">
      <c r="A417" s="95"/>
      <c r="B417" s="111"/>
    </row>
    <row r="418" spans="1:2" x14ac:dyDescent="0.2">
      <c r="A418" s="95"/>
      <c r="B418" s="111"/>
    </row>
    <row r="419" spans="1:2" x14ac:dyDescent="0.2">
      <c r="A419" s="95"/>
      <c r="B419" s="111"/>
    </row>
    <row r="420" spans="1:2" x14ac:dyDescent="0.2">
      <c r="A420" s="95"/>
      <c r="B420" s="111"/>
    </row>
    <row r="421" spans="1:2" x14ac:dyDescent="0.2">
      <c r="A421" s="95"/>
      <c r="B421" s="111"/>
    </row>
    <row r="422" spans="1:2" x14ac:dyDescent="0.2">
      <c r="A422" s="95"/>
      <c r="B422" s="111"/>
    </row>
    <row r="423" spans="1:2" x14ac:dyDescent="0.2">
      <c r="A423" s="95"/>
      <c r="B423" s="111"/>
    </row>
    <row r="424" spans="1:2" x14ac:dyDescent="0.2">
      <c r="A424" s="95"/>
      <c r="B424" s="111"/>
    </row>
    <row r="425" spans="1:2" x14ac:dyDescent="0.2">
      <c r="A425" s="95"/>
      <c r="B425" s="111"/>
    </row>
    <row r="426" spans="1:2" x14ac:dyDescent="0.2">
      <c r="A426" s="95"/>
      <c r="B426" s="111"/>
    </row>
    <row r="427" spans="1:2" x14ac:dyDescent="0.2">
      <c r="A427" s="95"/>
      <c r="B427" s="111"/>
    </row>
    <row r="428" spans="1:2" x14ac:dyDescent="0.2">
      <c r="A428" s="95"/>
      <c r="B428" s="111"/>
    </row>
    <row r="429" spans="1:2" x14ac:dyDescent="0.2">
      <c r="A429" s="95"/>
      <c r="B429" s="111"/>
    </row>
    <row r="430" spans="1:2" x14ac:dyDescent="0.2">
      <c r="A430" s="95"/>
      <c r="B430" s="111"/>
    </row>
    <row r="431" spans="1:2" x14ac:dyDescent="0.2">
      <c r="A431" s="95"/>
      <c r="B431" s="111"/>
    </row>
    <row r="432" spans="1:2" x14ac:dyDescent="0.2">
      <c r="A432" s="95"/>
      <c r="B432" s="111"/>
    </row>
    <row r="433" spans="1:2" x14ac:dyDescent="0.2">
      <c r="A433" s="95"/>
      <c r="B433" s="111"/>
    </row>
    <row r="434" spans="1:2" x14ac:dyDescent="0.2">
      <c r="A434" s="95"/>
      <c r="B434" s="111"/>
    </row>
    <row r="435" spans="1:2" x14ac:dyDescent="0.2">
      <c r="A435" s="95"/>
      <c r="B435" s="111"/>
    </row>
    <row r="436" spans="1:2" x14ac:dyDescent="0.2">
      <c r="A436" s="95"/>
      <c r="B436" s="111"/>
    </row>
    <row r="437" spans="1:2" x14ac:dyDescent="0.2">
      <c r="A437" s="95"/>
      <c r="B437" s="111"/>
    </row>
    <row r="438" spans="1:2" x14ac:dyDescent="0.2">
      <c r="A438" s="95"/>
      <c r="B438" s="111"/>
    </row>
    <row r="439" spans="1:2" x14ac:dyDescent="0.2">
      <c r="A439" s="95"/>
      <c r="B439" s="111"/>
    </row>
    <row r="440" spans="1:2" x14ac:dyDescent="0.2">
      <c r="A440" s="95"/>
      <c r="B440" s="111"/>
    </row>
    <row r="441" spans="1:2" x14ac:dyDescent="0.2">
      <c r="A441" s="95"/>
      <c r="B441" s="111"/>
    </row>
    <row r="442" spans="1:2" x14ac:dyDescent="0.2">
      <c r="A442" s="95"/>
      <c r="B442" s="111"/>
    </row>
    <row r="443" spans="1:2" x14ac:dyDescent="0.2">
      <c r="A443" s="95"/>
      <c r="B443" s="111"/>
    </row>
    <row r="444" spans="1:2" x14ac:dyDescent="0.2">
      <c r="A444" s="95"/>
      <c r="B444" s="111"/>
    </row>
    <row r="445" spans="1:2" x14ac:dyDescent="0.2">
      <c r="A445" s="95"/>
      <c r="B445" s="111"/>
    </row>
    <row r="446" spans="1:2" x14ac:dyDescent="0.2">
      <c r="A446" s="95"/>
      <c r="B446" s="111"/>
    </row>
    <row r="447" spans="1:2" x14ac:dyDescent="0.2">
      <c r="A447" s="95"/>
      <c r="B447" s="111"/>
    </row>
    <row r="448" spans="1:2" x14ac:dyDescent="0.2">
      <c r="A448" s="95"/>
      <c r="B448" s="111"/>
    </row>
    <row r="449" spans="1:2" x14ac:dyDescent="0.2">
      <c r="A449" s="95"/>
      <c r="B449" s="111"/>
    </row>
    <row r="450" spans="1:2" x14ac:dyDescent="0.2">
      <c r="A450" s="95"/>
      <c r="B450" s="111"/>
    </row>
    <row r="451" spans="1:2" x14ac:dyDescent="0.2">
      <c r="A451" s="95"/>
      <c r="B451" s="111"/>
    </row>
    <row r="452" spans="1:2" x14ac:dyDescent="0.2">
      <c r="A452" s="95"/>
      <c r="B452" s="111"/>
    </row>
    <row r="453" spans="1:2" x14ac:dyDescent="0.2">
      <c r="A453" s="95"/>
      <c r="B453" s="111"/>
    </row>
    <row r="454" spans="1:2" x14ac:dyDescent="0.2">
      <c r="A454" s="95"/>
      <c r="B454" s="111"/>
    </row>
    <row r="455" spans="1:2" x14ac:dyDescent="0.2">
      <c r="A455" s="95"/>
      <c r="B455" s="111"/>
    </row>
    <row r="456" spans="1:2" x14ac:dyDescent="0.2">
      <c r="A456" s="95"/>
      <c r="B456" s="111"/>
    </row>
    <row r="457" spans="1:2" x14ac:dyDescent="0.2">
      <c r="A457" s="95"/>
      <c r="B457" s="111"/>
    </row>
    <row r="458" spans="1:2" x14ac:dyDescent="0.2">
      <c r="A458" s="95"/>
      <c r="B458" s="111"/>
    </row>
    <row r="459" spans="1:2" x14ac:dyDescent="0.2">
      <c r="A459" s="95"/>
      <c r="B459" s="111"/>
    </row>
    <row r="460" spans="1:2" x14ac:dyDescent="0.2">
      <c r="A460" s="95"/>
      <c r="B460" s="111"/>
    </row>
    <row r="461" spans="1:2" x14ac:dyDescent="0.2">
      <c r="A461" s="95"/>
      <c r="B461" s="111"/>
    </row>
    <row r="462" spans="1:2" x14ac:dyDescent="0.2">
      <c r="A462" s="95"/>
      <c r="B462" s="111"/>
    </row>
    <row r="463" spans="1:2" x14ac:dyDescent="0.2">
      <c r="A463" s="95"/>
      <c r="B463" s="111"/>
    </row>
    <row r="464" spans="1:2" x14ac:dyDescent="0.2">
      <c r="A464" s="95"/>
      <c r="B464" s="111"/>
    </row>
    <row r="465" spans="1:2" x14ac:dyDescent="0.2">
      <c r="A465" s="95"/>
      <c r="B465" s="111"/>
    </row>
    <row r="466" spans="1:2" x14ac:dyDescent="0.2">
      <c r="A466" s="95"/>
      <c r="B466" s="111"/>
    </row>
    <row r="467" spans="1:2" x14ac:dyDescent="0.2">
      <c r="A467" s="95"/>
      <c r="B467" s="111"/>
    </row>
    <row r="468" spans="1:2" x14ac:dyDescent="0.2">
      <c r="A468" s="95"/>
      <c r="B468" s="111"/>
    </row>
    <row r="469" spans="1:2" x14ac:dyDescent="0.2">
      <c r="A469" s="95"/>
      <c r="B469" s="111"/>
    </row>
    <row r="470" spans="1:2" x14ac:dyDescent="0.2">
      <c r="A470" s="95"/>
      <c r="B470" s="111"/>
    </row>
    <row r="471" spans="1:2" x14ac:dyDescent="0.2">
      <c r="A471" s="95"/>
      <c r="B471" s="111"/>
    </row>
    <row r="472" spans="1:2" x14ac:dyDescent="0.2">
      <c r="A472" s="95"/>
      <c r="B472" s="111"/>
    </row>
    <row r="473" spans="1:2" x14ac:dyDescent="0.2">
      <c r="A473" s="95"/>
      <c r="B473" s="111"/>
    </row>
    <row r="474" spans="1:2" x14ac:dyDescent="0.2">
      <c r="A474" s="95"/>
      <c r="B474" s="111"/>
    </row>
    <row r="475" spans="1:2" x14ac:dyDescent="0.2">
      <c r="A475" s="95"/>
      <c r="B475" s="111"/>
    </row>
    <row r="476" spans="1:2" x14ac:dyDescent="0.2">
      <c r="A476" s="95"/>
      <c r="B476" s="111"/>
    </row>
    <row r="477" spans="1:2" x14ac:dyDescent="0.2">
      <c r="A477" s="95"/>
      <c r="B477" s="111"/>
    </row>
    <row r="478" spans="1:2" x14ac:dyDescent="0.2">
      <c r="A478" s="95"/>
      <c r="B478" s="111"/>
    </row>
    <row r="479" spans="1:2" x14ac:dyDescent="0.2">
      <c r="A479" s="95"/>
      <c r="B479" s="111"/>
    </row>
    <row r="480" spans="1:2" x14ac:dyDescent="0.2">
      <c r="A480" s="95"/>
      <c r="B480" s="111"/>
    </row>
    <row r="481" spans="1:2" x14ac:dyDescent="0.2">
      <c r="A481" s="95"/>
      <c r="B481" s="111"/>
    </row>
    <row r="482" spans="1:2" x14ac:dyDescent="0.2">
      <c r="A482" s="95"/>
      <c r="B482" s="111"/>
    </row>
    <row r="483" spans="1:2" x14ac:dyDescent="0.2">
      <c r="A483" s="95"/>
      <c r="B483" s="111"/>
    </row>
    <row r="484" spans="1:2" x14ac:dyDescent="0.2">
      <c r="A484" s="95"/>
      <c r="B484" s="111"/>
    </row>
    <row r="485" spans="1:2" x14ac:dyDescent="0.2">
      <c r="A485" s="95"/>
      <c r="B485" s="111"/>
    </row>
    <row r="486" spans="1:2" x14ac:dyDescent="0.2">
      <c r="A486" s="95"/>
      <c r="B486" s="111"/>
    </row>
    <row r="487" spans="1:2" x14ac:dyDescent="0.2">
      <c r="A487" s="95"/>
      <c r="B487" s="111"/>
    </row>
    <row r="488" spans="1:2" x14ac:dyDescent="0.2">
      <c r="A488" s="95"/>
      <c r="B488" s="111"/>
    </row>
    <row r="489" spans="1:2" x14ac:dyDescent="0.2">
      <c r="A489" s="95"/>
      <c r="B489" s="111"/>
    </row>
    <row r="490" spans="1:2" x14ac:dyDescent="0.2">
      <c r="A490" s="95"/>
      <c r="B490" s="111"/>
    </row>
    <row r="491" spans="1:2" x14ac:dyDescent="0.2">
      <c r="A491" s="95"/>
      <c r="B491" s="111"/>
    </row>
    <row r="492" spans="1:2" x14ac:dyDescent="0.2">
      <c r="A492" s="95"/>
      <c r="B492" s="111"/>
    </row>
    <row r="493" spans="1:2" x14ac:dyDescent="0.2">
      <c r="A493" s="95"/>
      <c r="B493" s="111"/>
    </row>
    <row r="494" spans="1:2" x14ac:dyDescent="0.2">
      <c r="A494" s="95"/>
      <c r="B494" s="111"/>
    </row>
    <row r="495" spans="1:2" x14ac:dyDescent="0.2">
      <c r="A495" s="95"/>
      <c r="B495" s="111"/>
    </row>
    <row r="496" spans="1:2" x14ac:dyDescent="0.2">
      <c r="A496" s="95"/>
      <c r="B496" s="111"/>
    </row>
    <row r="497" spans="1:2" x14ac:dyDescent="0.2">
      <c r="A497" s="95"/>
      <c r="B497" s="111"/>
    </row>
    <row r="498" spans="1:2" x14ac:dyDescent="0.2">
      <c r="A498" s="95"/>
      <c r="B498" s="111"/>
    </row>
    <row r="499" spans="1:2" x14ac:dyDescent="0.2">
      <c r="A499" s="95"/>
      <c r="B499" s="111"/>
    </row>
    <row r="500" spans="1:2" x14ac:dyDescent="0.2">
      <c r="A500" s="95"/>
      <c r="B500" s="111"/>
    </row>
    <row r="501" spans="1:2" x14ac:dyDescent="0.2">
      <c r="A501" s="95"/>
      <c r="B501" s="111"/>
    </row>
    <row r="502" spans="1:2" x14ac:dyDescent="0.2">
      <c r="A502" s="95"/>
      <c r="B502" s="111"/>
    </row>
    <row r="503" spans="1:2" x14ac:dyDescent="0.2">
      <c r="A503" s="95"/>
      <c r="B503" s="111"/>
    </row>
    <row r="504" spans="1:2" x14ac:dyDescent="0.2">
      <c r="A504" s="95"/>
      <c r="B504" s="111"/>
    </row>
    <row r="505" spans="1:2" x14ac:dyDescent="0.2">
      <c r="A505" s="95"/>
      <c r="B505" s="111"/>
    </row>
    <row r="506" spans="1:2" x14ac:dyDescent="0.2">
      <c r="A506" s="95"/>
      <c r="B506" s="111"/>
    </row>
    <row r="507" spans="1:2" x14ac:dyDescent="0.2">
      <c r="A507" s="95"/>
      <c r="B507" s="111"/>
    </row>
    <row r="508" spans="1:2" x14ac:dyDescent="0.2">
      <c r="A508" s="95"/>
      <c r="B508" s="111"/>
    </row>
    <row r="509" spans="1:2" x14ac:dyDescent="0.2">
      <c r="A509" s="95"/>
      <c r="B509" s="111"/>
    </row>
    <row r="510" spans="1:2" x14ac:dyDescent="0.2">
      <c r="A510" s="95"/>
      <c r="B510" s="111"/>
    </row>
    <row r="511" spans="1:2" x14ac:dyDescent="0.2">
      <c r="A511" s="95"/>
      <c r="B511" s="111"/>
    </row>
    <row r="512" spans="1:2" x14ac:dyDescent="0.2">
      <c r="A512" s="95"/>
      <c r="B512" s="111"/>
    </row>
    <row r="513" spans="1:2" x14ac:dyDescent="0.2">
      <c r="A513" s="95"/>
      <c r="B513" s="111"/>
    </row>
    <row r="514" spans="1:2" x14ac:dyDescent="0.2">
      <c r="A514" s="95"/>
      <c r="B514" s="111"/>
    </row>
    <row r="515" spans="1:2" x14ac:dyDescent="0.2">
      <c r="A515" s="95"/>
      <c r="B515" s="111"/>
    </row>
    <row r="516" spans="1:2" x14ac:dyDescent="0.2">
      <c r="A516" s="95"/>
      <c r="B516" s="111"/>
    </row>
    <row r="517" spans="1:2" x14ac:dyDescent="0.2">
      <c r="A517" s="95"/>
      <c r="B517" s="111"/>
    </row>
    <row r="518" spans="1:2" x14ac:dyDescent="0.2">
      <c r="A518" s="95"/>
      <c r="B518" s="111"/>
    </row>
    <row r="519" spans="1:2" x14ac:dyDescent="0.2">
      <c r="A519" s="95"/>
      <c r="B519" s="111"/>
    </row>
    <row r="520" spans="1:2" x14ac:dyDescent="0.2">
      <c r="A520" s="95"/>
      <c r="B520" s="111"/>
    </row>
    <row r="521" spans="1:2" x14ac:dyDescent="0.2">
      <c r="A521" s="95"/>
      <c r="B521" s="111"/>
    </row>
    <row r="522" spans="1:2" x14ac:dyDescent="0.2">
      <c r="A522" s="95"/>
      <c r="B522" s="111"/>
    </row>
    <row r="523" spans="1:2" x14ac:dyDescent="0.2">
      <c r="A523" s="95"/>
      <c r="B523" s="111"/>
    </row>
    <row r="524" spans="1:2" x14ac:dyDescent="0.2">
      <c r="A524" s="95"/>
      <c r="B524" s="111"/>
    </row>
    <row r="525" spans="1:2" x14ac:dyDescent="0.2">
      <c r="A525" s="95"/>
      <c r="B525" s="111"/>
    </row>
    <row r="526" spans="1:2" x14ac:dyDescent="0.2">
      <c r="A526" s="95"/>
      <c r="B526" s="111"/>
    </row>
    <row r="527" spans="1:2" x14ac:dyDescent="0.2">
      <c r="A527" s="95"/>
      <c r="B527" s="111"/>
    </row>
    <row r="528" spans="1:2" x14ac:dyDescent="0.2">
      <c r="A528" s="95"/>
      <c r="B528" s="111"/>
    </row>
    <row r="529" spans="1:2" x14ac:dyDescent="0.2">
      <c r="A529" s="95"/>
      <c r="B529" s="111"/>
    </row>
    <row r="530" spans="1:2" x14ac:dyDescent="0.2">
      <c r="A530" s="95"/>
      <c r="B530" s="111"/>
    </row>
    <row r="531" spans="1:2" x14ac:dyDescent="0.2">
      <c r="A531" s="95"/>
      <c r="B531" s="111"/>
    </row>
    <row r="532" spans="1:2" x14ac:dyDescent="0.2">
      <c r="A532" s="95"/>
      <c r="B532" s="111"/>
    </row>
    <row r="533" spans="1:2" x14ac:dyDescent="0.2">
      <c r="A533" s="95"/>
      <c r="B533" s="111"/>
    </row>
    <row r="534" spans="1:2" x14ac:dyDescent="0.2">
      <c r="A534" s="95"/>
      <c r="B534" s="111"/>
    </row>
    <row r="535" spans="1:2" x14ac:dyDescent="0.2">
      <c r="A535" s="95"/>
      <c r="B535" s="111"/>
    </row>
    <row r="536" spans="1:2" x14ac:dyDescent="0.2">
      <c r="A536" s="95"/>
      <c r="B536" s="111"/>
    </row>
    <row r="537" spans="1:2" x14ac:dyDescent="0.2">
      <c r="A537" s="95"/>
      <c r="B537" s="111"/>
    </row>
    <row r="538" spans="1:2" x14ac:dyDescent="0.2">
      <c r="A538" s="95"/>
      <c r="B538" s="111"/>
    </row>
    <row r="539" spans="1:2" x14ac:dyDescent="0.2">
      <c r="A539" s="95"/>
      <c r="B539" s="111"/>
    </row>
    <row r="540" spans="1:2" x14ac:dyDescent="0.2">
      <c r="A540" s="95"/>
      <c r="B540" s="111"/>
    </row>
    <row r="541" spans="1:2" x14ac:dyDescent="0.2">
      <c r="A541" s="95"/>
      <c r="B541" s="111"/>
    </row>
    <row r="542" spans="1:2" x14ac:dyDescent="0.2">
      <c r="A542" s="95"/>
      <c r="B542" s="111"/>
    </row>
    <row r="543" spans="1:2" x14ac:dyDescent="0.2">
      <c r="A543" s="95"/>
      <c r="B543" s="111"/>
    </row>
    <row r="544" spans="1:2" x14ac:dyDescent="0.2">
      <c r="A544" s="95"/>
      <c r="B544" s="111"/>
    </row>
    <row r="545" spans="1:2" x14ac:dyDescent="0.2">
      <c r="A545" s="95"/>
      <c r="B545" s="111"/>
    </row>
    <row r="546" spans="1:2" x14ac:dyDescent="0.2">
      <c r="A546" s="95"/>
      <c r="B546" s="111"/>
    </row>
    <row r="547" spans="1:2" x14ac:dyDescent="0.2">
      <c r="A547" s="95"/>
      <c r="B547" s="111"/>
    </row>
    <row r="548" spans="1:2" x14ac:dyDescent="0.2">
      <c r="A548" s="95"/>
      <c r="B548" s="111"/>
    </row>
    <row r="549" spans="1:2" x14ac:dyDescent="0.2">
      <c r="A549" s="95"/>
      <c r="B549" s="111"/>
    </row>
    <row r="550" spans="1:2" x14ac:dyDescent="0.2">
      <c r="A550" s="95"/>
      <c r="B550" s="111"/>
    </row>
    <row r="551" spans="1:2" x14ac:dyDescent="0.2">
      <c r="A551" s="95"/>
      <c r="B551" s="111"/>
    </row>
    <row r="552" spans="1:2" x14ac:dyDescent="0.2">
      <c r="A552" s="95"/>
      <c r="B552" s="111"/>
    </row>
    <row r="553" spans="1:2" x14ac:dyDescent="0.2">
      <c r="A553" s="95"/>
      <c r="B553" s="111"/>
    </row>
    <row r="554" spans="1:2" x14ac:dyDescent="0.2">
      <c r="A554" s="95"/>
      <c r="B554" s="111"/>
    </row>
    <row r="555" spans="1:2" x14ac:dyDescent="0.2">
      <c r="A555" s="95"/>
      <c r="B555" s="111"/>
    </row>
    <row r="556" spans="1:2" x14ac:dyDescent="0.2">
      <c r="A556" s="95"/>
      <c r="B556" s="111"/>
    </row>
    <row r="557" spans="1:2" x14ac:dyDescent="0.2">
      <c r="A557" s="95"/>
      <c r="B557" s="111"/>
    </row>
    <row r="558" spans="1:2" x14ac:dyDescent="0.2">
      <c r="A558" s="95"/>
      <c r="B558" s="111"/>
    </row>
    <row r="559" spans="1:2" x14ac:dyDescent="0.2">
      <c r="A559" s="95"/>
      <c r="B559" s="111"/>
    </row>
    <row r="560" spans="1:2" x14ac:dyDescent="0.2">
      <c r="A560" s="95"/>
      <c r="B560" s="111"/>
    </row>
    <row r="561" spans="1:2" x14ac:dyDescent="0.2">
      <c r="A561" s="95"/>
      <c r="B561" s="111"/>
    </row>
    <row r="562" spans="1:2" x14ac:dyDescent="0.2">
      <c r="A562" s="95"/>
      <c r="B562" s="111"/>
    </row>
    <row r="563" spans="1:2" x14ac:dyDescent="0.2">
      <c r="A563" s="95"/>
      <c r="B563" s="111"/>
    </row>
    <row r="564" spans="1:2" x14ac:dyDescent="0.2">
      <c r="A564" s="95"/>
      <c r="B564" s="111"/>
    </row>
    <row r="565" spans="1:2" x14ac:dyDescent="0.2">
      <c r="A565" s="95"/>
      <c r="B565" s="111"/>
    </row>
    <row r="566" spans="1:2" x14ac:dyDescent="0.2">
      <c r="A566" s="95"/>
      <c r="B566" s="111"/>
    </row>
    <row r="567" spans="1:2" x14ac:dyDescent="0.2">
      <c r="A567" s="95"/>
      <c r="B567" s="111"/>
    </row>
    <row r="568" spans="1:2" x14ac:dyDescent="0.2">
      <c r="A568" s="95"/>
      <c r="B568" s="111"/>
    </row>
    <row r="569" spans="1:2" x14ac:dyDescent="0.2">
      <c r="A569" s="95"/>
      <c r="B569" s="111"/>
    </row>
    <row r="570" spans="1:2" x14ac:dyDescent="0.2">
      <c r="A570" s="95"/>
      <c r="B570" s="111"/>
    </row>
    <row r="571" spans="1:2" x14ac:dyDescent="0.2">
      <c r="A571" s="95"/>
      <c r="B571" s="111"/>
    </row>
    <row r="572" spans="1:2" x14ac:dyDescent="0.2">
      <c r="A572" s="95"/>
      <c r="B572" s="111"/>
    </row>
    <row r="573" spans="1:2" x14ac:dyDescent="0.2">
      <c r="A573" s="95"/>
      <c r="B573" s="111"/>
    </row>
    <row r="574" spans="1:2" x14ac:dyDescent="0.2">
      <c r="A574" s="95"/>
      <c r="B574" s="111"/>
    </row>
    <row r="575" spans="1:2" x14ac:dyDescent="0.2">
      <c r="A575" s="95"/>
      <c r="B575" s="111"/>
    </row>
    <row r="576" spans="1:2" x14ac:dyDescent="0.2">
      <c r="A576" s="95"/>
      <c r="B576" s="111"/>
    </row>
    <row r="577" spans="1:2" x14ac:dyDescent="0.2">
      <c r="A577" s="95"/>
      <c r="B577" s="111"/>
    </row>
    <row r="578" spans="1:2" x14ac:dyDescent="0.2">
      <c r="A578" s="95"/>
      <c r="B578" s="111"/>
    </row>
    <row r="579" spans="1:2" x14ac:dyDescent="0.2">
      <c r="A579" s="95"/>
      <c r="B579" s="111"/>
    </row>
    <row r="580" spans="1:2" x14ac:dyDescent="0.2">
      <c r="A580" s="95"/>
      <c r="B580" s="111"/>
    </row>
    <row r="581" spans="1:2" x14ac:dyDescent="0.2">
      <c r="A581" s="95"/>
      <c r="B581" s="111"/>
    </row>
    <row r="582" spans="1:2" x14ac:dyDescent="0.2">
      <c r="A582" s="95"/>
      <c r="B582" s="111"/>
    </row>
    <row r="583" spans="1:2" x14ac:dyDescent="0.2">
      <c r="A583" s="95"/>
      <c r="B583" s="111"/>
    </row>
    <row r="584" spans="1:2" x14ac:dyDescent="0.2">
      <c r="A584" s="95"/>
      <c r="B584" s="111"/>
    </row>
    <row r="585" spans="1:2" x14ac:dyDescent="0.2">
      <c r="A585" s="95"/>
      <c r="B585" s="111"/>
    </row>
    <row r="586" spans="1:2" x14ac:dyDescent="0.2">
      <c r="A586" s="95"/>
      <c r="B586" s="111"/>
    </row>
    <row r="587" spans="1:2" x14ac:dyDescent="0.2">
      <c r="A587" s="95"/>
      <c r="B587" s="111"/>
    </row>
    <row r="588" spans="1:2" x14ac:dyDescent="0.2">
      <c r="A588" s="95"/>
      <c r="B588" s="111"/>
    </row>
    <row r="589" spans="1:2" x14ac:dyDescent="0.2">
      <c r="A589" s="95"/>
      <c r="B589" s="111"/>
    </row>
    <row r="590" spans="1:2" x14ac:dyDescent="0.2">
      <c r="A590" s="95"/>
      <c r="B590" s="111"/>
    </row>
    <row r="591" spans="1:2" x14ac:dyDescent="0.2">
      <c r="A591" s="95"/>
      <c r="B591" s="111"/>
    </row>
    <row r="592" spans="1:2" x14ac:dyDescent="0.2">
      <c r="A592" s="95"/>
      <c r="B592" s="111"/>
    </row>
    <row r="593" spans="1:2" x14ac:dyDescent="0.2">
      <c r="A593" s="95"/>
      <c r="B593" s="111"/>
    </row>
    <row r="594" spans="1:2" x14ac:dyDescent="0.2">
      <c r="A594" s="95"/>
      <c r="B594" s="111"/>
    </row>
    <row r="595" spans="1:2" x14ac:dyDescent="0.2">
      <c r="A595" s="95"/>
      <c r="B595" s="111"/>
    </row>
    <row r="596" spans="1:2" x14ac:dyDescent="0.2">
      <c r="A596" s="95"/>
      <c r="B596" s="111"/>
    </row>
    <row r="597" spans="1:2" x14ac:dyDescent="0.2">
      <c r="A597" s="95"/>
      <c r="B597" s="111"/>
    </row>
    <row r="598" spans="1:2" x14ac:dyDescent="0.2">
      <c r="A598" s="95"/>
      <c r="B598" s="111"/>
    </row>
    <row r="599" spans="1:2" x14ac:dyDescent="0.2">
      <c r="A599" s="95"/>
      <c r="B599" s="111"/>
    </row>
    <row r="600" spans="1:2" x14ac:dyDescent="0.2">
      <c r="A600" s="95"/>
      <c r="B600" s="111"/>
    </row>
    <row r="601" spans="1:2" x14ac:dyDescent="0.2">
      <c r="A601" s="95"/>
      <c r="B601" s="111"/>
    </row>
    <row r="602" spans="1:2" x14ac:dyDescent="0.2">
      <c r="A602" s="95"/>
      <c r="B602" s="111"/>
    </row>
    <row r="603" spans="1:2" x14ac:dyDescent="0.2">
      <c r="A603" s="95"/>
      <c r="B603" s="111"/>
    </row>
    <row r="604" spans="1:2" x14ac:dyDescent="0.2">
      <c r="A604" s="95"/>
      <c r="B604" s="111"/>
    </row>
    <row r="605" spans="1:2" x14ac:dyDescent="0.2">
      <c r="A605" s="95"/>
      <c r="B605" s="111"/>
    </row>
    <row r="606" spans="1:2" x14ac:dyDescent="0.2">
      <c r="A606" s="95"/>
      <c r="B606" s="111"/>
    </row>
    <row r="607" spans="1:2" x14ac:dyDescent="0.2">
      <c r="A607" s="95"/>
      <c r="B607" s="111"/>
    </row>
    <row r="608" spans="1:2" x14ac:dyDescent="0.2">
      <c r="A608" s="95"/>
      <c r="B608" s="111"/>
    </row>
    <row r="609" spans="1:2" x14ac:dyDescent="0.2">
      <c r="A609" s="95"/>
      <c r="B609" s="111"/>
    </row>
    <row r="610" spans="1:2" x14ac:dyDescent="0.2">
      <c r="A610" s="95"/>
      <c r="B610" s="111"/>
    </row>
    <row r="611" spans="1:2" x14ac:dyDescent="0.2">
      <c r="A611" s="95"/>
      <c r="B611" s="111"/>
    </row>
    <row r="612" spans="1:2" x14ac:dyDescent="0.2">
      <c r="A612" s="95"/>
      <c r="B612" s="111"/>
    </row>
    <row r="613" spans="1:2" x14ac:dyDescent="0.2">
      <c r="A613" s="95"/>
      <c r="B613" s="111"/>
    </row>
    <row r="614" spans="1:2" x14ac:dyDescent="0.2">
      <c r="A614" s="95"/>
      <c r="B614" s="111"/>
    </row>
    <row r="615" spans="1:2" x14ac:dyDescent="0.2">
      <c r="A615" s="95"/>
      <c r="B615" s="111"/>
    </row>
    <row r="616" spans="1:2" x14ac:dyDescent="0.2">
      <c r="A616" s="95"/>
      <c r="B616" s="111"/>
    </row>
    <row r="617" spans="1:2" x14ac:dyDescent="0.2">
      <c r="A617" s="95"/>
      <c r="B617" s="111"/>
    </row>
    <row r="618" spans="1:2" x14ac:dyDescent="0.2">
      <c r="A618" s="95"/>
      <c r="B618" s="111"/>
    </row>
    <row r="619" spans="1:2" x14ac:dyDescent="0.2">
      <c r="A619" s="95"/>
      <c r="B619" s="111"/>
    </row>
    <row r="620" spans="1:2" x14ac:dyDescent="0.2">
      <c r="A620" s="95"/>
      <c r="B620" s="111"/>
    </row>
    <row r="621" spans="1:2" x14ac:dyDescent="0.2">
      <c r="A621" s="95"/>
      <c r="B621" s="111"/>
    </row>
    <row r="622" spans="1:2" x14ac:dyDescent="0.2">
      <c r="A622" s="95"/>
      <c r="B622" s="111"/>
    </row>
    <row r="623" spans="1:2" x14ac:dyDescent="0.2">
      <c r="A623" s="95"/>
      <c r="B623" s="111"/>
    </row>
    <row r="624" spans="1:2" x14ac:dyDescent="0.2">
      <c r="A624" s="95"/>
      <c r="B624" s="111"/>
    </row>
    <row r="625" spans="1:2" x14ac:dyDescent="0.2">
      <c r="A625" s="95"/>
      <c r="B625" s="111"/>
    </row>
    <row r="626" spans="1:2" x14ac:dyDescent="0.2">
      <c r="A626" s="95"/>
      <c r="B626" s="111"/>
    </row>
    <row r="627" spans="1:2" x14ac:dyDescent="0.2">
      <c r="A627" s="95"/>
      <c r="B627" s="111"/>
    </row>
    <row r="628" spans="1:2" x14ac:dyDescent="0.2">
      <c r="A628" s="95"/>
      <c r="B628" s="111"/>
    </row>
    <row r="629" spans="1:2" x14ac:dyDescent="0.2">
      <c r="A629" s="95"/>
      <c r="B629" s="111"/>
    </row>
    <row r="630" spans="1:2" x14ac:dyDescent="0.2">
      <c r="A630" s="95"/>
      <c r="B630" s="111"/>
    </row>
    <row r="631" spans="1:2" x14ac:dyDescent="0.2">
      <c r="A631" s="95"/>
      <c r="B631" s="111"/>
    </row>
    <row r="632" spans="1:2" x14ac:dyDescent="0.2">
      <c r="A632" s="95"/>
      <c r="B632" s="111"/>
    </row>
    <row r="633" spans="1:2" x14ac:dyDescent="0.2">
      <c r="A633" s="95"/>
      <c r="B633" s="111"/>
    </row>
    <row r="634" spans="1:2" x14ac:dyDescent="0.2">
      <c r="A634" s="95"/>
      <c r="B634" s="111"/>
    </row>
    <row r="635" spans="1:2" x14ac:dyDescent="0.2">
      <c r="A635" s="95"/>
      <c r="B635" s="111"/>
    </row>
    <row r="636" spans="1:2" x14ac:dyDescent="0.2">
      <c r="A636" s="95"/>
      <c r="B636" s="111"/>
    </row>
    <row r="637" spans="1:2" x14ac:dyDescent="0.2">
      <c r="A637" s="95"/>
      <c r="B637" s="111"/>
    </row>
    <row r="638" spans="1:2" x14ac:dyDescent="0.2">
      <c r="A638" s="95"/>
      <c r="B638" s="111"/>
    </row>
    <row r="639" spans="1:2" x14ac:dyDescent="0.2">
      <c r="A639" s="95"/>
      <c r="B639" s="111"/>
    </row>
    <row r="640" spans="1:2" x14ac:dyDescent="0.2">
      <c r="A640" s="95"/>
      <c r="B640" s="111"/>
    </row>
    <row r="641" spans="1:2" x14ac:dyDescent="0.2">
      <c r="A641" s="95"/>
      <c r="B641" s="111"/>
    </row>
    <row r="642" spans="1:2" x14ac:dyDescent="0.2">
      <c r="A642" s="95"/>
      <c r="B642" s="111"/>
    </row>
    <row r="643" spans="1:2" x14ac:dyDescent="0.2">
      <c r="A643" s="95"/>
      <c r="B643" s="111"/>
    </row>
    <row r="644" spans="1:2" x14ac:dyDescent="0.2">
      <c r="A644" s="95"/>
      <c r="B644" s="111"/>
    </row>
    <row r="645" spans="1:2" x14ac:dyDescent="0.2">
      <c r="A645" s="95"/>
      <c r="B645" s="111"/>
    </row>
    <row r="646" spans="1:2" x14ac:dyDescent="0.2">
      <c r="A646" s="95"/>
      <c r="B646" s="111"/>
    </row>
    <row r="647" spans="1:2" x14ac:dyDescent="0.2">
      <c r="A647" s="95"/>
      <c r="B647" s="111"/>
    </row>
    <row r="648" spans="1:2" x14ac:dyDescent="0.2">
      <c r="A648" s="95"/>
      <c r="B648" s="111"/>
    </row>
    <row r="649" spans="1:2" x14ac:dyDescent="0.2">
      <c r="A649" s="95"/>
      <c r="B649" s="111"/>
    </row>
    <row r="650" spans="1:2" x14ac:dyDescent="0.2">
      <c r="A650" s="95"/>
      <c r="B650" s="111"/>
    </row>
    <row r="651" spans="1:2" x14ac:dyDescent="0.2">
      <c r="A651" s="95"/>
      <c r="B651" s="111"/>
    </row>
    <row r="652" spans="1:2" x14ac:dyDescent="0.2">
      <c r="A652" s="95"/>
      <c r="B652" s="111"/>
    </row>
    <row r="653" spans="1:2" x14ac:dyDescent="0.2">
      <c r="A653" s="95"/>
      <c r="B653" s="111"/>
    </row>
    <row r="654" spans="1:2" x14ac:dyDescent="0.2">
      <c r="A654" s="95"/>
      <c r="B654" s="111"/>
    </row>
    <row r="655" spans="1:2" x14ac:dyDescent="0.2">
      <c r="A655" s="95"/>
      <c r="B655" s="111"/>
    </row>
    <row r="656" spans="1:2" x14ac:dyDescent="0.2">
      <c r="A656" s="95"/>
      <c r="B656" s="111"/>
    </row>
    <row r="657" spans="1:2" x14ac:dyDescent="0.2">
      <c r="A657" s="95"/>
      <c r="B657" s="111"/>
    </row>
    <row r="658" spans="1:2" x14ac:dyDescent="0.2">
      <c r="A658" s="95"/>
      <c r="B658" s="111"/>
    </row>
    <row r="659" spans="1:2" x14ac:dyDescent="0.2">
      <c r="A659" s="95"/>
      <c r="B659" s="111"/>
    </row>
    <row r="660" spans="1:2" x14ac:dyDescent="0.2">
      <c r="A660" s="95"/>
      <c r="B660" s="111"/>
    </row>
    <row r="661" spans="1:2" x14ac:dyDescent="0.2">
      <c r="A661" s="95"/>
      <c r="B661" s="111"/>
    </row>
    <row r="662" spans="1:2" x14ac:dyDescent="0.2">
      <c r="A662" s="95"/>
      <c r="B662" s="111"/>
    </row>
    <row r="663" spans="1:2" x14ac:dyDescent="0.2">
      <c r="A663" s="95"/>
      <c r="B663" s="111"/>
    </row>
    <row r="664" spans="1:2" x14ac:dyDescent="0.2">
      <c r="A664" s="95"/>
      <c r="B664" s="111"/>
    </row>
    <row r="665" spans="1:2" x14ac:dyDescent="0.2">
      <c r="A665" s="95"/>
      <c r="B665" s="111"/>
    </row>
    <row r="666" spans="1:2" x14ac:dyDescent="0.2">
      <c r="A666" s="95"/>
      <c r="B666" s="111"/>
    </row>
    <row r="667" spans="1:2" x14ac:dyDescent="0.2">
      <c r="A667" s="95"/>
      <c r="B667" s="111"/>
    </row>
    <row r="668" spans="1:2" x14ac:dyDescent="0.2">
      <c r="A668" s="95"/>
      <c r="B668" s="111"/>
    </row>
    <row r="669" spans="1:2" x14ac:dyDescent="0.2">
      <c r="A669" s="95"/>
      <c r="B669" s="111"/>
    </row>
    <row r="670" spans="1:2" x14ac:dyDescent="0.2">
      <c r="A670" s="95"/>
      <c r="B670" s="111"/>
    </row>
    <row r="671" spans="1:2" x14ac:dyDescent="0.2">
      <c r="A671" s="95"/>
      <c r="B671" s="111"/>
    </row>
    <row r="672" spans="1:2" x14ac:dyDescent="0.2">
      <c r="A672" s="95"/>
      <c r="B672" s="111"/>
    </row>
    <row r="673" spans="1:2" x14ac:dyDescent="0.2">
      <c r="A673" s="95"/>
      <c r="B673" s="111"/>
    </row>
    <row r="674" spans="1:2" x14ac:dyDescent="0.2">
      <c r="A674" s="95"/>
      <c r="B674" s="111"/>
    </row>
    <row r="675" spans="1:2" x14ac:dyDescent="0.2">
      <c r="A675" s="95"/>
      <c r="B675" s="111"/>
    </row>
    <row r="676" spans="1:2" x14ac:dyDescent="0.2">
      <c r="A676" s="95"/>
      <c r="B676" s="111"/>
    </row>
    <row r="677" spans="1:2" x14ac:dyDescent="0.2">
      <c r="A677" s="95"/>
      <c r="B677" s="111"/>
    </row>
    <row r="678" spans="1:2" x14ac:dyDescent="0.2">
      <c r="A678" s="95"/>
      <c r="B678" s="111"/>
    </row>
    <row r="679" spans="1:2" x14ac:dyDescent="0.2">
      <c r="A679" s="95"/>
      <c r="B679" s="111"/>
    </row>
    <row r="680" spans="1:2" x14ac:dyDescent="0.2">
      <c r="A680" s="95"/>
      <c r="B680" s="111"/>
    </row>
    <row r="681" spans="1:2" x14ac:dyDescent="0.2">
      <c r="A681" s="95"/>
      <c r="B681" s="111"/>
    </row>
    <row r="682" spans="1:2" x14ac:dyDescent="0.2">
      <c r="A682" s="95"/>
      <c r="B682" s="111"/>
    </row>
    <row r="683" spans="1:2" x14ac:dyDescent="0.2">
      <c r="A683" s="95"/>
      <c r="B683" s="111"/>
    </row>
    <row r="684" spans="1:2" x14ac:dyDescent="0.2">
      <c r="A684" s="95"/>
      <c r="B684" s="111"/>
    </row>
    <row r="685" spans="1:2" x14ac:dyDescent="0.2">
      <c r="A685" s="95"/>
      <c r="B685" s="111"/>
    </row>
    <row r="686" spans="1:2" x14ac:dyDescent="0.2">
      <c r="A686" s="95"/>
      <c r="B686" s="111"/>
    </row>
    <row r="687" spans="1:2" x14ac:dyDescent="0.2">
      <c r="A687" s="95"/>
      <c r="B687" s="111"/>
    </row>
    <row r="688" spans="1:2" x14ac:dyDescent="0.2">
      <c r="A688" s="95"/>
      <c r="B688" s="111"/>
    </row>
    <row r="689" spans="1:2" x14ac:dyDescent="0.2">
      <c r="A689" s="95"/>
      <c r="B689" s="111"/>
    </row>
    <row r="690" spans="1:2" x14ac:dyDescent="0.2">
      <c r="A690" s="95"/>
      <c r="B690" s="111"/>
    </row>
    <row r="691" spans="1:2" x14ac:dyDescent="0.2">
      <c r="A691" s="95"/>
      <c r="B691" s="111"/>
    </row>
    <row r="692" spans="1:2" x14ac:dyDescent="0.2">
      <c r="A692" s="95"/>
      <c r="B692" s="111"/>
    </row>
    <row r="693" spans="1:2" x14ac:dyDescent="0.2">
      <c r="A693" s="95"/>
      <c r="B693" s="111"/>
    </row>
    <row r="694" spans="1:2" x14ac:dyDescent="0.2">
      <c r="A694" s="95"/>
      <c r="B694" s="111"/>
    </row>
    <row r="695" spans="1:2" x14ac:dyDescent="0.2">
      <c r="A695" s="95"/>
      <c r="B695" s="111"/>
    </row>
    <row r="696" spans="1:2" x14ac:dyDescent="0.2">
      <c r="A696" s="95"/>
      <c r="B696" s="111"/>
    </row>
    <row r="697" spans="1:2" x14ac:dyDescent="0.2">
      <c r="A697" s="95"/>
      <c r="B697" s="111"/>
    </row>
    <row r="698" spans="1:2" x14ac:dyDescent="0.2">
      <c r="A698" s="95"/>
      <c r="B698" s="111"/>
    </row>
    <row r="699" spans="1:2" x14ac:dyDescent="0.2">
      <c r="A699" s="95"/>
      <c r="B699" s="111"/>
    </row>
    <row r="700" spans="1:2" x14ac:dyDescent="0.2">
      <c r="A700" s="95"/>
      <c r="B700" s="111"/>
    </row>
    <row r="701" spans="1:2" x14ac:dyDescent="0.2">
      <c r="A701" s="95"/>
      <c r="B701" s="111"/>
    </row>
    <row r="702" spans="1:2" x14ac:dyDescent="0.2">
      <c r="A702" s="95"/>
      <c r="B702" s="111"/>
    </row>
    <row r="703" spans="1:2" x14ac:dyDescent="0.2">
      <c r="A703" s="95"/>
      <c r="B703" s="111"/>
    </row>
    <row r="704" spans="1:2" x14ac:dyDescent="0.2">
      <c r="A704" s="95"/>
      <c r="B704" s="111"/>
    </row>
    <row r="705" spans="1:2" x14ac:dyDescent="0.2">
      <c r="A705" s="95"/>
      <c r="B705" s="111"/>
    </row>
    <row r="706" spans="1:2" x14ac:dyDescent="0.2">
      <c r="A706" s="95"/>
      <c r="B706" s="111"/>
    </row>
    <row r="707" spans="1:2" x14ac:dyDescent="0.2">
      <c r="A707" s="95"/>
      <c r="B707" s="111"/>
    </row>
    <row r="708" spans="1:2" x14ac:dyDescent="0.2">
      <c r="A708" s="95"/>
      <c r="B708" s="111"/>
    </row>
    <row r="709" spans="1:2" x14ac:dyDescent="0.2">
      <c r="A709" s="95"/>
      <c r="B709" s="111"/>
    </row>
    <row r="710" spans="1:2" x14ac:dyDescent="0.2">
      <c r="A710" s="95"/>
      <c r="B710" s="111"/>
    </row>
    <row r="711" spans="1:2" x14ac:dyDescent="0.2">
      <c r="A711" s="95"/>
      <c r="B711" s="111"/>
    </row>
    <row r="712" spans="1:2" x14ac:dyDescent="0.2">
      <c r="A712" s="95"/>
      <c r="B712" s="111"/>
    </row>
    <row r="713" spans="1:2" x14ac:dyDescent="0.2">
      <c r="A713" s="95"/>
      <c r="B713" s="111"/>
    </row>
    <row r="714" spans="1:2" x14ac:dyDescent="0.2">
      <c r="A714" s="95"/>
      <c r="B714" s="111"/>
    </row>
    <row r="715" spans="1:2" x14ac:dyDescent="0.2">
      <c r="A715" s="95"/>
      <c r="B715" s="111"/>
    </row>
    <row r="716" spans="1:2" x14ac:dyDescent="0.2">
      <c r="A716" s="95"/>
      <c r="B716" s="111"/>
    </row>
    <row r="717" spans="1:2" x14ac:dyDescent="0.2">
      <c r="A717" s="95"/>
      <c r="B717" s="111"/>
    </row>
    <row r="718" spans="1:2" x14ac:dyDescent="0.2">
      <c r="A718" s="95"/>
      <c r="B718" s="111"/>
    </row>
    <row r="719" spans="1:2" x14ac:dyDescent="0.2">
      <c r="A719" s="95"/>
      <c r="B719" s="111"/>
    </row>
    <row r="720" spans="1:2" x14ac:dyDescent="0.2">
      <c r="A720" s="95"/>
      <c r="B720" s="111"/>
    </row>
    <row r="721" spans="1:2" x14ac:dyDescent="0.2">
      <c r="A721" s="95"/>
      <c r="B721" s="111"/>
    </row>
    <row r="722" spans="1:2" x14ac:dyDescent="0.2">
      <c r="A722" s="95"/>
      <c r="B722" s="111"/>
    </row>
    <row r="723" spans="1:2" x14ac:dyDescent="0.2">
      <c r="A723" s="95"/>
      <c r="B723" s="111"/>
    </row>
    <row r="724" spans="1:2" x14ac:dyDescent="0.2">
      <c r="A724" s="95"/>
      <c r="B724" s="111"/>
    </row>
    <row r="725" spans="1:2" x14ac:dyDescent="0.2">
      <c r="A725" s="95"/>
      <c r="B725" s="111"/>
    </row>
    <row r="726" spans="1:2" x14ac:dyDescent="0.2">
      <c r="A726" s="95"/>
      <c r="B726" s="111"/>
    </row>
    <row r="727" spans="1:2" x14ac:dyDescent="0.2">
      <c r="A727" s="95"/>
      <c r="B727" s="111"/>
    </row>
    <row r="728" spans="1:2" x14ac:dyDescent="0.2">
      <c r="A728" s="95"/>
      <c r="B728" s="111"/>
    </row>
    <row r="729" spans="1:2" x14ac:dyDescent="0.2">
      <c r="A729" s="95"/>
      <c r="B729" s="111"/>
    </row>
    <row r="730" spans="1:2" x14ac:dyDescent="0.2">
      <c r="A730" s="95"/>
      <c r="B730" s="111"/>
    </row>
    <row r="731" spans="1:2" x14ac:dyDescent="0.2">
      <c r="A731" s="95"/>
      <c r="B731" s="111"/>
    </row>
    <row r="732" spans="1:2" x14ac:dyDescent="0.2">
      <c r="A732" s="95"/>
      <c r="B732" s="111"/>
    </row>
    <row r="733" spans="1:2" x14ac:dyDescent="0.2">
      <c r="A733" s="95"/>
      <c r="B733" s="111"/>
    </row>
    <row r="734" spans="1:2" x14ac:dyDescent="0.2">
      <c r="A734" s="95"/>
      <c r="B734" s="111"/>
    </row>
    <row r="735" spans="1:2" x14ac:dyDescent="0.2">
      <c r="A735" s="95"/>
      <c r="B735" s="111"/>
    </row>
    <row r="736" spans="1:2" x14ac:dyDescent="0.2">
      <c r="A736" s="95"/>
      <c r="B736" s="111"/>
    </row>
    <row r="737" spans="1:2" x14ac:dyDescent="0.2">
      <c r="A737" s="95"/>
      <c r="B737" s="111"/>
    </row>
    <row r="738" spans="1:2" x14ac:dyDescent="0.2">
      <c r="A738" s="95"/>
      <c r="B738" s="111"/>
    </row>
    <row r="739" spans="1:2" x14ac:dyDescent="0.2">
      <c r="A739" s="95"/>
      <c r="B739" s="111"/>
    </row>
    <row r="740" spans="1:2" x14ac:dyDescent="0.2">
      <c r="A740" s="95"/>
      <c r="B740" s="111"/>
    </row>
    <row r="741" spans="1:2" x14ac:dyDescent="0.2">
      <c r="A741" s="95"/>
      <c r="B741" s="111"/>
    </row>
    <row r="742" spans="1:2" x14ac:dyDescent="0.2">
      <c r="A742" s="95"/>
      <c r="B742" s="111"/>
    </row>
    <row r="743" spans="1:2" x14ac:dyDescent="0.2">
      <c r="A743" s="95"/>
      <c r="B743" s="111"/>
    </row>
    <row r="744" spans="1:2" x14ac:dyDescent="0.2">
      <c r="A744" s="95"/>
      <c r="B744" s="111"/>
    </row>
    <row r="745" spans="1:2" x14ac:dyDescent="0.2">
      <c r="A745" s="95"/>
      <c r="B745" s="111"/>
    </row>
    <row r="746" spans="1:2" x14ac:dyDescent="0.2">
      <c r="A746" s="95"/>
      <c r="B746" s="111"/>
    </row>
    <row r="747" spans="1:2" x14ac:dyDescent="0.2">
      <c r="A747" s="95"/>
      <c r="B747" s="111"/>
    </row>
    <row r="748" spans="1:2" x14ac:dyDescent="0.2">
      <c r="A748" s="95"/>
      <c r="B748" s="111"/>
    </row>
    <row r="749" spans="1:2" x14ac:dyDescent="0.2">
      <c r="A749" s="95"/>
      <c r="B749" s="111"/>
    </row>
    <row r="750" spans="1:2" x14ac:dyDescent="0.2">
      <c r="A750" s="95"/>
      <c r="B750" s="111"/>
    </row>
    <row r="751" spans="1:2" x14ac:dyDescent="0.2">
      <c r="A751" s="95"/>
      <c r="B751" s="111"/>
    </row>
    <row r="752" spans="1:2" x14ac:dyDescent="0.2">
      <c r="A752" s="95"/>
      <c r="B752" s="111"/>
    </row>
    <row r="753" spans="1:2" x14ac:dyDescent="0.2">
      <c r="A753" s="95"/>
      <c r="B753" s="111"/>
    </row>
    <row r="754" spans="1:2" x14ac:dyDescent="0.2">
      <c r="A754" s="95"/>
      <c r="B754" s="111"/>
    </row>
    <row r="755" spans="1:2" x14ac:dyDescent="0.2">
      <c r="A755" s="95"/>
      <c r="B755" s="111"/>
    </row>
    <row r="756" spans="1:2" x14ac:dyDescent="0.2">
      <c r="A756" s="95"/>
      <c r="B756" s="111"/>
    </row>
    <row r="757" spans="1:2" x14ac:dyDescent="0.2">
      <c r="A757" s="95"/>
      <c r="B757" s="111"/>
    </row>
    <row r="758" spans="1:2" x14ac:dyDescent="0.2">
      <c r="A758" s="95"/>
      <c r="B758" s="111"/>
    </row>
    <row r="759" spans="1:2" x14ac:dyDescent="0.2">
      <c r="A759" s="95"/>
      <c r="B759" s="111"/>
    </row>
    <row r="760" spans="1:2" x14ac:dyDescent="0.2">
      <c r="A760" s="95"/>
      <c r="B760" s="111"/>
    </row>
    <row r="761" spans="1:2" x14ac:dyDescent="0.2">
      <c r="A761" s="95"/>
      <c r="B761" s="111"/>
    </row>
    <row r="762" spans="1:2" x14ac:dyDescent="0.2">
      <c r="A762" s="95"/>
      <c r="B762" s="111"/>
    </row>
    <row r="763" spans="1:2" x14ac:dyDescent="0.2">
      <c r="A763" s="95"/>
      <c r="B763" s="111"/>
    </row>
    <row r="764" spans="1:2" x14ac:dyDescent="0.2">
      <c r="A764" s="95"/>
      <c r="B764" s="111"/>
    </row>
    <row r="765" spans="1:2" x14ac:dyDescent="0.2">
      <c r="A765" s="95"/>
      <c r="B765" s="111"/>
    </row>
    <row r="766" spans="1:2" x14ac:dyDescent="0.2">
      <c r="A766" s="95"/>
      <c r="B766" s="111"/>
    </row>
    <row r="767" spans="1:2" x14ac:dyDescent="0.2">
      <c r="A767" s="95"/>
      <c r="B767" s="111"/>
    </row>
    <row r="768" spans="1:2" x14ac:dyDescent="0.2">
      <c r="A768" s="95"/>
      <c r="B768" s="111"/>
    </row>
    <row r="769" spans="1:2" x14ac:dyDescent="0.2">
      <c r="A769" s="95"/>
      <c r="B769" s="111"/>
    </row>
    <row r="770" spans="1:2" x14ac:dyDescent="0.2">
      <c r="A770" s="95"/>
      <c r="B770" s="111"/>
    </row>
    <row r="771" spans="1:2" x14ac:dyDescent="0.2">
      <c r="A771" s="95"/>
      <c r="B771" s="111"/>
    </row>
    <row r="772" spans="1:2" x14ac:dyDescent="0.2">
      <c r="A772" s="95"/>
      <c r="B772" s="111"/>
    </row>
    <row r="773" spans="1:2" x14ac:dyDescent="0.2">
      <c r="A773" s="95"/>
      <c r="B773" s="111"/>
    </row>
    <row r="774" spans="1:2" x14ac:dyDescent="0.2">
      <c r="A774" s="95"/>
      <c r="B774" s="111"/>
    </row>
    <row r="775" spans="1:2" x14ac:dyDescent="0.2">
      <c r="A775" s="95"/>
      <c r="B775" s="111"/>
    </row>
    <row r="776" spans="1:2" x14ac:dyDescent="0.2">
      <c r="A776" s="95"/>
      <c r="B776" s="111"/>
    </row>
    <row r="777" spans="1:2" x14ac:dyDescent="0.2">
      <c r="A777" s="95"/>
      <c r="B777" s="111"/>
    </row>
    <row r="778" spans="1:2" x14ac:dyDescent="0.2">
      <c r="A778" s="95"/>
      <c r="B778" s="111"/>
    </row>
    <row r="779" spans="1:2" x14ac:dyDescent="0.2">
      <c r="A779" s="95"/>
      <c r="B779" s="111"/>
    </row>
    <row r="780" spans="1:2" x14ac:dyDescent="0.2">
      <c r="A780" s="95"/>
      <c r="B780" s="111"/>
    </row>
    <row r="781" spans="1:2" x14ac:dyDescent="0.2">
      <c r="A781" s="95"/>
      <c r="B781" s="111"/>
    </row>
    <row r="782" spans="1:2" x14ac:dyDescent="0.2">
      <c r="A782" s="95"/>
      <c r="B782" s="111"/>
    </row>
    <row r="783" spans="1:2" x14ac:dyDescent="0.2">
      <c r="A783" s="95"/>
      <c r="B783" s="111"/>
    </row>
    <row r="784" spans="1:2" x14ac:dyDescent="0.2">
      <c r="A784" s="95"/>
      <c r="B784" s="111"/>
    </row>
    <row r="785" spans="1:2" x14ac:dyDescent="0.2">
      <c r="A785" s="95"/>
      <c r="B785" s="111"/>
    </row>
    <row r="786" spans="1:2" x14ac:dyDescent="0.2">
      <c r="A786" s="95"/>
      <c r="B786" s="111"/>
    </row>
    <row r="787" spans="1:2" x14ac:dyDescent="0.2">
      <c r="A787" s="95"/>
      <c r="B787" s="111"/>
    </row>
    <row r="788" spans="1:2" x14ac:dyDescent="0.2">
      <c r="A788" s="95"/>
      <c r="B788" s="111"/>
    </row>
    <row r="789" spans="1:2" x14ac:dyDescent="0.2">
      <c r="A789" s="95"/>
      <c r="B789" s="111"/>
    </row>
    <row r="790" spans="1:2" x14ac:dyDescent="0.2">
      <c r="A790" s="95"/>
      <c r="B790" s="111"/>
    </row>
    <row r="791" spans="1:2" x14ac:dyDescent="0.2">
      <c r="A791" s="95"/>
      <c r="B791" s="111"/>
    </row>
    <row r="792" spans="1:2" x14ac:dyDescent="0.2">
      <c r="A792" s="95"/>
      <c r="B792" s="111"/>
    </row>
    <row r="793" spans="1:2" x14ac:dyDescent="0.2">
      <c r="A793" s="95"/>
      <c r="B793" s="111"/>
    </row>
    <row r="794" spans="1:2" x14ac:dyDescent="0.2">
      <c r="A794" s="95"/>
      <c r="B794" s="111"/>
    </row>
    <row r="795" spans="1:2" x14ac:dyDescent="0.2">
      <c r="A795" s="95"/>
      <c r="B795" s="111"/>
    </row>
    <row r="796" spans="1:2" x14ac:dyDescent="0.2">
      <c r="A796" s="95"/>
      <c r="B796" s="111"/>
    </row>
    <row r="797" spans="1:2" x14ac:dyDescent="0.2">
      <c r="A797" s="95"/>
      <c r="B797" s="111"/>
    </row>
    <row r="798" spans="1:2" x14ac:dyDescent="0.2">
      <c r="A798" s="95"/>
      <c r="B798" s="111"/>
    </row>
    <row r="799" spans="1:2" x14ac:dyDescent="0.2">
      <c r="A799" s="95"/>
      <c r="B799" s="111"/>
    </row>
    <row r="800" spans="1:2" x14ac:dyDescent="0.2">
      <c r="A800" s="95"/>
      <c r="B800" s="111"/>
    </row>
    <row r="801" spans="1:2" x14ac:dyDescent="0.2">
      <c r="A801" s="95"/>
      <c r="B801" s="111"/>
    </row>
    <row r="802" spans="1:2" x14ac:dyDescent="0.2">
      <c r="A802" s="95"/>
      <c r="B802" s="111"/>
    </row>
    <row r="803" spans="1:2" x14ac:dyDescent="0.2">
      <c r="A803" s="95"/>
      <c r="B803" s="111"/>
    </row>
    <row r="804" spans="1:2" x14ac:dyDescent="0.2">
      <c r="A804" s="95"/>
      <c r="B804" s="111"/>
    </row>
    <row r="805" spans="1:2" x14ac:dyDescent="0.2">
      <c r="A805" s="95"/>
      <c r="B805" s="111"/>
    </row>
    <row r="806" spans="1:2" x14ac:dyDescent="0.2">
      <c r="A806" s="95"/>
      <c r="B806" s="111"/>
    </row>
    <row r="807" spans="1:2" x14ac:dyDescent="0.2">
      <c r="A807" s="95"/>
      <c r="B807" s="111"/>
    </row>
    <row r="808" spans="1:2" x14ac:dyDescent="0.2">
      <c r="A808" s="95"/>
      <c r="B808" s="111"/>
    </row>
    <row r="809" spans="1:2" x14ac:dyDescent="0.2">
      <c r="A809" s="95"/>
      <c r="B809" s="111"/>
    </row>
    <row r="810" spans="1:2" x14ac:dyDescent="0.2">
      <c r="A810" s="95"/>
      <c r="B810" s="111"/>
    </row>
    <row r="811" spans="1:2" x14ac:dyDescent="0.2">
      <c r="A811" s="95"/>
      <c r="B811" s="111"/>
    </row>
    <row r="812" spans="1:2" x14ac:dyDescent="0.2">
      <c r="A812" s="95"/>
      <c r="B812" s="111"/>
    </row>
    <row r="813" spans="1:2" x14ac:dyDescent="0.2">
      <c r="A813" s="95"/>
      <c r="B813" s="111"/>
    </row>
    <row r="814" spans="1:2" x14ac:dyDescent="0.2">
      <c r="A814" s="95"/>
      <c r="B814" s="111"/>
    </row>
    <row r="815" spans="1:2" x14ac:dyDescent="0.2">
      <c r="A815" s="95"/>
      <c r="B815" s="111"/>
    </row>
    <row r="816" spans="1:2" x14ac:dyDescent="0.2">
      <c r="A816" s="95"/>
      <c r="B816" s="111"/>
    </row>
    <row r="817" spans="1:2" x14ac:dyDescent="0.2">
      <c r="A817" s="95"/>
      <c r="B817" s="111"/>
    </row>
    <row r="818" spans="1:2" x14ac:dyDescent="0.2">
      <c r="A818" s="95"/>
      <c r="B818" s="111"/>
    </row>
    <row r="819" spans="1:2" x14ac:dyDescent="0.2">
      <c r="A819" s="95"/>
      <c r="B819" s="111"/>
    </row>
    <row r="820" spans="1:2" x14ac:dyDescent="0.2">
      <c r="A820" s="95"/>
      <c r="B820" s="111"/>
    </row>
    <row r="821" spans="1:2" x14ac:dyDescent="0.2">
      <c r="A821" s="95"/>
      <c r="B821" s="111"/>
    </row>
    <row r="822" spans="1:2" x14ac:dyDescent="0.2">
      <c r="A822" s="95"/>
      <c r="B822" s="111"/>
    </row>
    <row r="823" spans="1:2" x14ac:dyDescent="0.2">
      <c r="A823" s="95"/>
      <c r="B823" s="111"/>
    </row>
    <row r="824" spans="1:2" x14ac:dyDescent="0.2">
      <c r="A824" s="95"/>
      <c r="B824" s="111"/>
    </row>
    <row r="825" spans="1:2" x14ac:dyDescent="0.2">
      <c r="A825" s="95"/>
      <c r="B825" s="111"/>
    </row>
    <row r="826" spans="1:2" x14ac:dyDescent="0.2">
      <c r="A826" s="95"/>
      <c r="B826" s="111"/>
    </row>
    <row r="827" spans="1:2" x14ac:dyDescent="0.2">
      <c r="A827" s="95"/>
      <c r="B827" s="111"/>
    </row>
    <row r="828" spans="1:2" x14ac:dyDescent="0.2">
      <c r="A828" s="95"/>
      <c r="B828" s="111"/>
    </row>
    <row r="829" spans="1:2" x14ac:dyDescent="0.2">
      <c r="A829" s="95"/>
      <c r="B829" s="111"/>
    </row>
    <row r="830" spans="1:2" x14ac:dyDescent="0.2">
      <c r="A830" s="95"/>
      <c r="B830" s="111"/>
    </row>
    <row r="831" spans="1:2" x14ac:dyDescent="0.2">
      <c r="A831" s="95"/>
      <c r="B831" s="111"/>
    </row>
    <row r="832" spans="1:2" x14ac:dyDescent="0.2">
      <c r="A832" s="95"/>
      <c r="B832" s="111"/>
    </row>
    <row r="833" spans="1:2" x14ac:dyDescent="0.2">
      <c r="A833" s="95"/>
      <c r="B833" s="111"/>
    </row>
    <row r="834" spans="1:2" x14ac:dyDescent="0.2">
      <c r="A834" s="95"/>
      <c r="B834" s="111"/>
    </row>
    <row r="835" spans="1:2" x14ac:dyDescent="0.2">
      <c r="A835" s="95"/>
      <c r="B835" s="111"/>
    </row>
    <row r="836" spans="1:2" x14ac:dyDescent="0.2">
      <c r="A836" s="95"/>
      <c r="B836" s="111"/>
    </row>
    <row r="837" spans="1:2" x14ac:dyDescent="0.2">
      <c r="A837" s="95"/>
      <c r="B837" s="111"/>
    </row>
    <row r="838" spans="1:2" x14ac:dyDescent="0.2">
      <c r="A838" s="95"/>
      <c r="B838" s="111"/>
    </row>
    <row r="839" spans="1:2" x14ac:dyDescent="0.2">
      <c r="A839" s="95"/>
      <c r="B839" s="111"/>
    </row>
    <row r="840" spans="1:2" x14ac:dyDescent="0.2">
      <c r="A840" s="95"/>
      <c r="B840" s="111"/>
    </row>
    <row r="841" spans="1:2" x14ac:dyDescent="0.2">
      <c r="A841" s="95"/>
      <c r="B841" s="111"/>
    </row>
    <row r="842" spans="1:2" x14ac:dyDescent="0.2">
      <c r="A842" s="95"/>
      <c r="B842" s="111"/>
    </row>
    <row r="843" spans="1:2" x14ac:dyDescent="0.2">
      <c r="A843" s="95"/>
      <c r="B843" s="111"/>
    </row>
    <row r="844" spans="1:2" x14ac:dyDescent="0.2">
      <c r="A844" s="95"/>
      <c r="B844" s="111"/>
    </row>
    <row r="845" spans="1:2" x14ac:dyDescent="0.2">
      <c r="A845" s="95"/>
      <c r="B845" s="111"/>
    </row>
    <row r="846" spans="1:2" x14ac:dyDescent="0.2">
      <c r="A846" s="95"/>
      <c r="B846" s="111"/>
    </row>
    <row r="847" spans="1:2" x14ac:dyDescent="0.2">
      <c r="A847" s="95"/>
      <c r="B847" s="111"/>
    </row>
    <row r="848" spans="1:2" x14ac:dyDescent="0.2">
      <c r="A848" s="95"/>
      <c r="B848" s="111"/>
    </row>
    <row r="849" spans="1:2" x14ac:dyDescent="0.2">
      <c r="A849" s="95"/>
      <c r="B849" s="111"/>
    </row>
    <row r="850" spans="1:2" x14ac:dyDescent="0.2">
      <c r="A850" s="95"/>
      <c r="B850" s="111"/>
    </row>
    <row r="851" spans="1:2" x14ac:dyDescent="0.2">
      <c r="A851" s="95"/>
      <c r="B851" s="111"/>
    </row>
    <row r="852" spans="1:2" x14ac:dyDescent="0.2">
      <c r="A852" s="95"/>
      <c r="B852" s="111"/>
    </row>
    <row r="853" spans="1:2" x14ac:dyDescent="0.2">
      <c r="A853" s="95"/>
      <c r="B853" s="111"/>
    </row>
    <row r="854" spans="1:2" x14ac:dyDescent="0.2">
      <c r="A854" s="95"/>
      <c r="B854" s="111"/>
    </row>
    <row r="855" spans="1:2" x14ac:dyDescent="0.2">
      <c r="A855" s="95"/>
      <c r="B855" s="111"/>
    </row>
    <row r="856" spans="1:2" x14ac:dyDescent="0.2">
      <c r="A856" s="95"/>
      <c r="B856" s="111"/>
    </row>
    <row r="857" spans="1:2" x14ac:dyDescent="0.2">
      <c r="A857" s="95"/>
      <c r="B857" s="111"/>
    </row>
    <row r="858" spans="1:2" x14ac:dyDescent="0.2">
      <c r="A858" s="95"/>
      <c r="B858" s="111"/>
    </row>
    <row r="859" spans="1:2" x14ac:dyDescent="0.2">
      <c r="A859" s="95"/>
      <c r="B859" s="111"/>
    </row>
    <row r="860" spans="1:2" x14ac:dyDescent="0.2">
      <c r="A860" s="95"/>
      <c r="B860" s="111"/>
    </row>
    <row r="861" spans="1:2" x14ac:dyDescent="0.2">
      <c r="A861" s="95"/>
      <c r="B861" s="111"/>
    </row>
    <row r="862" spans="1:2" x14ac:dyDescent="0.2">
      <c r="A862" s="95"/>
      <c r="B862" s="111"/>
    </row>
    <row r="863" spans="1:2" x14ac:dyDescent="0.2">
      <c r="A863" s="95"/>
      <c r="B863" s="111"/>
    </row>
    <row r="864" spans="1:2" x14ac:dyDescent="0.2">
      <c r="A864" s="95"/>
      <c r="B864" s="111"/>
    </row>
    <row r="865" spans="1:2" x14ac:dyDescent="0.2">
      <c r="A865" s="95"/>
      <c r="B865" s="111"/>
    </row>
    <row r="866" spans="1:2" x14ac:dyDescent="0.2">
      <c r="A866" s="95"/>
      <c r="B866" s="111"/>
    </row>
    <row r="867" spans="1:2" x14ac:dyDescent="0.2">
      <c r="A867" s="95"/>
      <c r="B867" s="111"/>
    </row>
    <row r="868" spans="1:2" x14ac:dyDescent="0.2">
      <c r="A868" s="95"/>
      <c r="B868" s="111"/>
    </row>
    <row r="869" spans="1:2" x14ac:dyDescent="0.2">
      <c r="A869" s="95"/>
      <c r="B869" s="111"/>
    </row>
    <row r="870" spans="1:2" x14ac:dyDescent="0.2">
      <c r="A870" s="95"/>
      <c r="B870" s="111"/>
    </row>
    <row r="871" spans="1:2" x14ac:dyDescent="0.2">
      <c r="A871" s="95"/>
      <c r="B871" s="111"/>
    </row>
    <row r="872" spans="1:2" x14ac:dyDescent="0.2">
      <c r="A872" s="95"/>
      <c r="B872" s="111"/>
    </row>
    <row r="873" spans="1:2" x14ac:dyDescent="0.2">
      <c r="A873" s="95"/>
      <c r="B873" s="111"/>
    </row>
    <row r="874" spans="1:2" x14ac:dyDescent="0.2">
      <c r="A874" s="95"/>
      <c r="B874" s="111"/>
    </row>
    <row r="875" spans="1:2" x14ac:dyDescent="0.2">
      <c r="A875" s="95"/>
      <c r="B875" s="111"/>
    </row>
    <row r="876" spans="1:2" x14ac:dyDescent="0.2">
      <c r="A876" s="95"/>
      <c r="B876" s="111"/>
    </row>
    <row r="877" spans="1:2" x14ac:dyDescent="0.2">
      <c r="A877" s="95"/>
      <c r="B877" s="111"/>
    </row>
    <row r="878" spans="1:2" x14ac:dyDescent="0.2">
      <c r="A878" s="95"/>
      <c r="B878" s="111"/>
    </row>
    <row r="879" spans="1:2" x14ac:dyDescent="0.2">
      <c r="A879" s="95"/>
      <c r="B879" s="111"/>
    </row>
    <row r="880" spans="1:2" x14ac:dyDescent="0.2">
      <c r="A880" s="95"/>
      <c r="B880" s="111"/>
    </row>
    <row r="881" spans="1:2" x14ac:dyDescent="0.2">
      <c r="A881" s="95"/>
      <c r="B881" s="111"/>
    </row>
    <row r="882" spans="1:2" x14ac:dyDescent="0.2">
      <c r="A882" s="95"/>
      <c r="B882" s="111"/>
    </row>
    <row r="883" spans="1:2" x14ac:dyDescent="0.2">
      <c r="A883" s="95"/>
      <c r="B883" s="111"/>
    </row>
    <row r="884" spans="1:2" x14ac:dyDescent="0.2">
      <c r="A884" s="95"/>
      <c r="B884" s="111"/>
    </row>
    <row r="885" spans="1:2" x14ac:dyDescent="0.2">
      <c r="A885" s="95"/>
      <c r="B885" s="111"/>
    </row>
    <row r="886" spans="1:2" x14ac:dyDescent="0.2">
      <c r="A886" s="95"/>
      <c r="B886" s="111"/>
    </row>
    <row r="887" spans="1:2" x14ac:dyDescent="0.2">
      <c r="A887" s="95"/>
      <c r="B887" s="111"/>
    </row>
    <row r="888" spans="1:2" x14ac:dyDescent="0.2">
      <c r="A888" s="95"/>
      <c r="B888" s="111"/>
    </row>
    <row r="889" spans="1:2" x14ac:dyDescent="0.2">
      <c r="A889" s="95"/>
      <c r="B889" s="111"/>
    </row>
    <row r="890" spans="1:2" x14ac:dyDescent="0.2">
      <c r="A890" s="95"/>
      <c r="B890" s="111"/>
    </row>
    <row r="891" spans="1:2" x14ac:dyDescent="0.2">
      <c r="A891" s="95"/>
      <c r="B891" s="111"/>
    </row>
    <row r="892" spans="1:2" x14ac:dyDescent="0.2">
      <c r="A892" s="95"/>
      <c r="B892" s="111"/>
    </row>
    <row r="893" spans="1:2" x14ac:dyDescent="0.2">
      <c r="A893" s="95"/>
      <c r="B893" s="111"/>
    </row>
    <row r="894" spans="1:2" x14ac:dyDescent="0.2">
      <c r="A894" s="95"/>
      <c r="B894" s="111"/>
    </row>
    <row r="895" spans="1:2" x14ac:dyDescent="0.2">
      <c r="A895" s="95"/>
      <c r="B895" s="111"/>
    </row>
    <row r="896" spans="1:2" x14ac:dyDescent="0.2">
      <c r="A896" s="95"/>
      <c r="B896" s="111"/>
    </row>
    <row r="897" spans="1:2" x14ac:dyDescent="0.2">
      <c r="A897" s="95"/>
      <c r="B897" s="111"/>
    </row>
    <row r="898" spans="1:2" x14ac:dyDescent="0.2">
      <c r="A898" s="95"/>
      <c r="B898" s="111"/>
    </row>
    <row r="899" spans="1:2" x14ac:dyDescent="0.2">
      <c r="A899" s="95"/>
      <c r="B899" s="111"/>
    </row>
    <row r="900" spans="1:2" x14ac:dyDescent="0.2">
      <c r="A900" s="95"/>
      <c r="B900" s="111"/>
    </row>
    <row r="901" spans="1:2" x14ac:dyDescent="0.2">
      <c r="A901" s="95"/>
      <c r="B901" s="111"/>
    </row>
    <row r="902" spans="1:2" x14ac:dyDescent="0.2">
      <c r="A902" s="95"/>
      <c r="B902" s="111"/>
    </row>
    <row r="903" spans="1:2" x14ac:dyDescent="0.2">
      <c r="A903" s="95"/>
      <c r="B903" s="111"/>
    </row>
    <row r="904" spans="1:2" x14ac:dyDescent="0.2">
      <c r="A904" s="95"/>
      <c r="B904" s="111"/>
    </row>
    <row r="905" spans="1:2" x14ac:dyDescent="0.2">
      <c r="A905" s="95"/>
      <c r="B905" s="111"/>
    </row>
    <row r="906" spans="1:2" x14ac:dyDescent="0.2">
      <c r="A906" s="95"/>
      <c r="B906" s="111"/>
    </row>
    <row r="907" spans="1:2" x14ac:dyDescent="0.2">
      <c r="A907" s="95"/>
      <c r="B907" s="111"/>
    </row>
    <row r="908" spans="1:2" x14ac:dyDescent="0.2">
      <c r="A908" s="95"/>
      <c r="B908" s="111"/>
    </row>
    <row r="909" spans="1:2" x14ac:dyDescent="0.2">
      <c r="A909" s="95"/>
      <c r="B909" s="111"/>
    </row>
    <row r="910" spans="1:2" x14ac:dyDescent="0.2">
      <c r="A910" s="95"/>
      <c r="B910" s="111"/>
    </row>
    <row r="911" spans="1:2" x14ac:dyDescent="0.2">
      <c r="A911" s="95"/>
      <c r="B911" s="111"/>
    </row>
    <row r="912" spans="1:2" x14ac:dyDescent="0.2">
      <c r="A912" s="95"/>
      <c r="B912" s="111"/>
    </row>
    <row r="913" spans="1:2" x14ac:dyDescent="0.2">
      <c r="A913" s="95"/>
      <c r="B913" s="111"/>
    </row>
    <row r="914" spans="1:2" x14ac:dyDescent="0.2">
      <c r="A914" s="95"/>
      <c r="B914" s="111"/>
    </row>
    <row r="915" spans="1:2" x14ac:dyDescent="0.2">
      <c r="A915" s="95"/>
      <c r="B915" s="111"/>
    </row>
    <row r="916" spans="1:2" x14ac:dyDescent="0.2">
      <c r="A916" s="95"/>
      <c r="B916" s="111"/>
    </row>
    <row r="917" spans="1:2" x14ac:dyDescent="0.2">
      <c r="A917" s="95"/>
      <c r="B917" s="111"/>
    </row>
    <row r="918" spans="1:2" x14ac:dyDescent="0.2">
      <c r="A918" s="95"/>
      <c r="B918" s="111"/>
    </row>
    <row r="919" spans="1:2" x14ac:dyDescent="0.2">
      <c r="A919" s="95"/>
      <c r="B919" s="111"/>
    </row>
    <row r="920" spans="1:2" x14ac:dyDescent="0.2">
      <c r="A920" s="95"/>
      <c r="B920" s="111"/>
    </row>
    <row r="921" spans="1:2" x14ac:dyDescent="0.2">
      <c r="A921" s="95"/>
      <c r="B921" s="111"/>
    </row>
    <row r="922" spans="1:2" x14ac:dyDescent="0.2">
      <c r="A922" s="95"/>
      <c r="B922" s="111"/>
    </row>
    <row r="923" spans="1:2" x14ac:dyDescent="0.2">
      <c r="A923" s="95"/>
      <c r="B923" s="111"/>
    </row>
    <row r="924" spans="1:2" x14ac:dyDescent="0.2">
      <c r="A924" s="95"/>
      <c r="B924" s="111"/>
    </row>
    <row r="925" spans="1:2" x14ac:dyDescent="0.2">
      <c r="A925" s="95"/>
      <c r="B925" s="111"/>
    </row>
    <row r="926" spans="1:2" x14ac:dyDescent="0.2">
      <c r="A926" s="95"/>
      <c r="B926" s="111"/>
    </row>
    <row r="927" spans="1:2" x14ac:dyDescent="0.2">
      <c r="A927" s="95"/>
      <c r="B927" s="111"/>
    </row>
    <row r="928" spans="1:2" x14ac:dyDescent="0.2">
      <c r="A928" s="95"/>
      <c r="B928" s="111"/>
    </row>
    <row r="929" spans="1:2" x14ac:dyDescent="0.2">
      <c r="A929" s="95"/>
      <c r="B929" s="111"/>
    </row>
    <row r="930" spans="1:2" x14ac:dyDescent="0.2">
      <c r="A930" s="95"/>
      <c r="B930" s="111"/>
    </row>
    <row r="931" spans="1:2" x14ac:dyDescent="0.2">
      <c r="A931" s="95"/>
      <c r="B931" s="111"/>
    </row>
    <row r="932" spans="1:2" x14ac:dyDescent="0.2">
      <c r="A932" s="95"/>
      <c r="B932" s="111"/>
    </row>
    <row r="933" spans="1:2" x14ac:dyDescent="0.2">
      <c r="A933" s="95"/>
      <c r="B933" s="111"/>
    </row>
    <row r="934" spans="1:2" x14ac:dyDescent="0.2">
      <c r="A934" s="95"/>
      <c r="B934" s="111"/>
    </row>
    <row r="935" spans="1:2" x14ac:dyDescent="0.2">
      <c r="A935" s="95"/>
      <c r="B935" s="111"/>
    </row>
    <row r="936" spans="1:2" x14ac:dyDescent="0.2">
      <c r="A936" s="95"/>
      <c r="B936" s="111"/>
    </row>
    <row r="937" spans="1:2" x14ac:dyDescent="0.2">
      <c r="A937" s="95"/>
      <c r="B937" s="111"/>
    </row>
    <row r="938" spans="1:2" x14ac:dyDescent="0.2">
      <c r="A938" s="95"/>
      <c r="B938" s="111"/>
    </row>
    <row r="939" spans="1:2" x14ac:dyDescent="0.2">
      <c r="A939" s="95"/>
      <c r="B939" s="111"/>
    </row>
    <row r="940" spans="1:2" x14ac:dyDescent="0.2">
      <c r="A940" s="95"/>
      <c r="B940" s="111"/>
    </row>
    <row r="941" spans="1:2" x14ac:dyDescent="0.2">
      <c r="A941" s="95"/>
      <c r="B941" s="111"/>
    </row>
    <row r="942" spans="1:2" x14ac:dyDescent="0.2">
      <c r="A942" s="95"/>
      <c r="B942" s="111"/>
    </row>
    <row r="943" spans="1:2" x14ac:dyDescent="0.2">
      <c r="A943" s="95"/>
      <c r="B943" s="111"/>
    </row>
    <row r="944" spans="1:2" x14ac:dyDescent="0.2">
      <c r="A944" s="95"/>
      <c r="B944" s="111"/>
    </row>
    <row r="945" spans="1:2" x14ac:dyDescent="0.2">
      <c r="A945" s="95"/>
      <c r="B945" s="111"/>
    </row>
    <row r="946" spans="1:2" x14ac:dyDescent="0.2">
      <c r="A946" s="95"/>
      <c r="B946" s="111"/>
    </row>
    <row r="947" spans="1:2" x14ac:dyDescent="0.2">
      <c r="A947" s="95"/>
      <c r="B947" s="111"/>
    </row>
    <row r="948" spans="1:2" x14ac:dyDescent="0.2">
      <c r="A948" s="95"/>
      <c r="B948" s="111"/>
    </row>
    <row r="949" spans="1:2" x14ac:dyDescent="0.2">
      <c r="A949" s="95"/>
      <c r="B949" s="111"/>
    </row>
    <row r="950" spans="1:2" x14ac:dyDescent="0.2">
      <c r="A950" s="95"/>
      <c r="B950" s="111"/>
    </row>
    <row r="951" spans="1:2" x14ac:dyDescent="0.2">
      <c r="A951" s="95"/>
      <c r="B951" s="111"/>
    </row>
    <row r="952" spans="1:2" x14ac:dyDescent="0.2">
      <c r="A952" s="95"/>
      <c r="B952" s="111"/>
    </row>
    <row r="953" spans="1:2" x14ac:dyDescent="0.2">
      <c r="A953" s="95"/>
      <c r="B953" s="111"/>
    </row>
    <row r="954" spans="1:2" x14ac:dyDescent="0.2">
      <c r="A954" s="95"/>
      <c r="B954" s="111"/>
    </row>
    <row r="955" spans="1:2" x14ac:dyDescent="0.2">
      <c r="A955" s="95"/>
      <c r="B955" s="111"/>
    </row>
    <row r="956" spans="1:2" x14ac:dyDescent="0.2">
      <c r="A956" s="95"/>
      <c r="B956" s="111"/>
    </row>
    <row r="957" spans="1:2" x14ac:dyDescent="0.2">
      <c r="A957" s="95"/>
      <c r="B957" s="111"/>
    </row>
    <row r="958" spans="1:2" x14ac:dyDescent="0.2">
      <c r="A958" s="95"/>
      <c r="B958" s="111"/>
    </row>
    <row r="959" spans="1:2" x14ac:dyDescent="0.2">
      <c r="A959" s="95"/>
      <c r="B959" s="111"/>
    </row>
    <row r="960" spans="1:2" x14ac:dyDescent="0.2">
      <c r="A960" s="95"/>
      <c r="B960" s="111"/>
    </row>
    <row r="961" spans="1:2" x14ac:dyDescent="0.2">
      <c r="A961" s="95"/>
      <c r="B961" s="111"/>
    </row>
    <row r="962" spans="1:2" x14ac:dyDescent="0.2">
      <c r="A962" s="95"/>
      <c r="B962" s="111"/>
    </row>
    <row r="963" spans="1:2" x14ac:dyDescent="0.2">
      <c r="A963" s="95"/>
      <c r="B963" s="111"/>
    </row>
    <row r="964" spans="1:2" x14ac:dyDescent="0.2">
      <c r="A964" s="95"/>
      <c r="B964" s="111"/>
    </row>
    <row r="965" spans="1:2" x14ac:dyDescent="0.2">
      <c r="A965" s="95"/>
      <c r="B965" s="111"/>
    </row>
    <row r="966" spans="1:2" x14ac:dyDescent="0.2">
      <c r="A966" s="95"/>
      <c r="B966" s="111"/>
    </row>
    <row r="967" spans="1:2" x14ac:dyDescent="0.2">
      <c r="A967" s="95"/>
      <c r="B967" s="111"/>
    </row>
    <row r="968" spans="1:2" x14ac:dyDescent="0.2">
      <c r="A968" s="95"/>
      <c r="B968" s="111"/>
    </row>
    <row r="969" spans="1:2" x14ac:dyDescent="0.2">
      <c r="A969" s="95"/>
      <c r="B969" s="111"/>
    </row>
    <row r="970" spans="1:2" x14ac:dyDescent="0.2">
      <c r="A970" s="95"/>
      <c r="B970" s="111"/>
    </row>
    <row r="971" spans="1:2" x14ac:dyDescent="0.2">
      <c r="A971" s="95"/>
      <c r="B971" s="111"/>
    </row>
    <row r="972" spans="1:2" x14ac:dyDescent="0.2">
      <c r="A972" s="95"/>
      <c r="B972" s="111"/>
    </row>
    <row r="973" spans="1:2" x14ac:dyDescent="0.2">
      <c r="A973" s="95"/>
      <c r="B973" s="111"/>
    </row>
    <row r="974" spans="1:2" x14ac:dyDescent="0.2">
      <c r="A974" s="95"/>
      <c r="B974" s="111"/>
    </row>
    <row r="975" spans="1:2" x14ac:dyDescent="0.2">
      <c r="A975" s="95"/>
      <c r="B975" s="111"/>
    </row>
    <row r="976" spans="1:2" x14ac:dyDescent="0.2">
      <c r="A976" s="95"/>
      <c r="B976" s="111"/>
    </row>
    <row r="977" spans="1:2" x14ac:dyDescent="0.2">
      <c r="A977" s="95"/>
      <c r="B977" s="111"/>
    </row>
    <row r="978" spans="1:2" x14ac:dyDescent="0.2">
      <c r="A978" s="95"/>
      <c r="B978" s="111"/>
    </row>
    <row r="979" spans="1:2" x14ac:dyDescent="0.2">
      <c r="A979" s="95"/>
      <c r="B979" s="111"/>
    </row>
    <row r="980" spans="1:2" x14ac:dyDescent="0.2">
      <c r="A980" s="95"/>
      <c r="B980" s="111"/>
    </row>
    <row r="981" spans="1:2" x14ac:dyDescent="0.2">
      <c r="A981" s="95"/>
      <c r="B981" s="111"/>
    </row>
    <row r="982" spans="1:2" x14ac:dyDescent="0.2">
      <c r="A982" s="95"/>
      <c r="B982" s="111"/>
    </row>
    <row r="983" spans="1:2" x14ac:dyDescent="0.2">
      <c r="A983" s="95"/>
      <c r="B983" s="111"/>
    </row>
    <row r="984" spans="1:2" x14ac:dyDescent="0.2">
      <c r="A984" s="95"/>
      <c r="B984" s="111"/>
    </row>
    <row r="985" spans="1:2" x14ac:dyDescent="0.2">
      <c r="A985" s="95"/>
      <c r="B985" s="111"/>
    </row>
    <row r="986" spans="1:2" x14ac:dyDescent="0.2">
      <c r="A986" s="95"/>
      <c r="B986" s="111"/>
    </row>
    <row r="987" spans="1:2" x14ac:dyDescent="0.2">
      <c r="A987" s="95"/>
      <c r="B987" s="111"/>
    </row>
    <row r="988" spans="1:2" x14ac:dyDescent="0.2">
      <c r="A988" s="95"/>
      <c r="B988" s="111"/>
    </row>
    <row r="989" spans="1:2" x14ac:dyDescent="0.2">
      <c r="A989" s="95"/>
      <c r="B989" s="111"/>
    </row>
    <row r="990" spans="1:2" x14ac:dyDescent="0.2">
      <c r="A990" s="95"/>
      <c r="B990" s="111"/>
    </row>
    <row r="991" spans="1:2" x14ac:dyDescent="0.2">
      <c r="A991" s="95"/>
      <c r="B991" s="111"/>
    </row>
    <row r="992" spans="1:2" x14ac:dyDescent="0.2">
      <c r="A992" s="95"/>
      <c r="B992" s="111"/>
    </row>
    <row r="993" spans="1:2" x14ac:dyDescent="0.2">
      <c r="A993" s="95"/>
      <c r="B993" s="111"/>
    </row>
    <row r="994" spans="1:2" x14ac:dyDescent="0.2">
      <c r="A994" s="95"/>
      <c r="B994" s="111"/>
    </row>
    <row r="995" spans="1:2" x14ac:dyDescent="0.2">
      <c r="A995" s="95"/>
      <c r="B995" s="111"/>
    </row>
    <row r="996" spans="1:2" x14ac:dyDescent="0.2">
      <c r="A996" s="95"/>
      <c r="B996" s="111"/>
    </row>
    <row r="997" spans="1:2" x14ac:dyDescent="0.2">
      <c r="A997" s="95"/>
      <c r="B997" s="111"/>
    </row>
    <row r="998" spans="1:2" x14ac:dyDescent="0.2">
      <c r="A998" s="95"/>
      <c r="B998" s="111"/>
    </row>
    <row r="999" spans="1:2" x14ac:dyDescent="0.2">
      <c r="A999" s="95"/>
      <c r="B999" s="111"/>
    </row>
    <row r="1000" spans="1:2" x14ac:dyDescent="0.2">
      <c r="A1000" s="95"/>
      <c r="B1000" s="111"/>
    </row>
    <row r="1001" spans="1:2" x14ac:dyDescent="0.2">
      <c r="A1001" s="95"/>
      <c r="B1001" s="111"/>
    </row>
    <row r="1002" spans="1:2" x14ac:dyDescent="0.2">
      <c r="A1002" s="95"/>
      <c r="B1002" s="111"/>
    </row>
    <row r="1003" spans="1:2" x14ac:dyDescent="0.2">
      <c r="A1003" s="95"/>
      <c r="B1003" s="111"/>
    </row>
    <row r="1004" spans="1:2" x14ac:dyDescent="0.2">
      <c r="A1004" s="95"/>
      <c r="B1004" s="111"/>
    </row>
    <row r="1005" spans="1:2" x14ac:dyDescent="0.2">
      <c r="A1005" s="95"/>
      <c r="B1005" s="111"/>
    </row>
    <row r="1006" spans="1:2" x14ac:dyDescent="0.2">
      <c r="A1006" s="95"/>
      <c r="B1006" s="111"/>
    </row>
    <row r="1007" spans="1:2" x14ac:dyDescent="0.2">
      <c r="A1007" s="95"/>
      <c r="B1007" s="111"/>
    </row>
    <row r="1008" spans="1:2" x14ac:dyDescent="0.2">
      <c r="A1008" s="95"/>
      <c r="B1008" s="111"/>
    </row>
    <row r="1009" spans="1:2" x14ac:dyDescent="0.2">
      <c r="A1009" s="95"/>
      <c r="B1009" s="111"/>
    </row>
    <row r="1010" spans="1:2" x14ac:dyDescent="0.2">
      <c r="A1010" s="95"/>
      <c r="B1010" s="111"/>
    </row>
    <row r="1011" spans="1:2" x14ac:dyDescent="0.2">
      <c r="A1011" s="95"/>
      <c r="B1011" s="111"/>
    </row>
    <row r="1012" spans="1:2" x14ac:dyDescent="0.2">
      <c r="A1012" s="95"/>
      <c r="B1012" s="111"/>
    </row>
    <row r="1013" spans="1:2" x14ac:dyDescent="0.2">
      <c r="A1013" s="95"/>
      <c r="B1013" s="111"/>
    </row>
    <row r="1014" spans="1:2" x14ac:dyDescent="0.2">
      <c r="A1014" s="95"/>
      <c r="B1014" s="111"/>
    </row>
    <row r="1015" spans="1:2" x14ac:dyDescent="0.2">
      <c r="A1015" s="95"/>
      <c r="B1015" s="111"/>
    </row>
    <row r="1016" spans="1:2" x14ac:dyDescent="0.2">
      <c r="A1016" s="95"/>
      <c r="B1016" s="111"/>
    </row>
    <row r="1017" spans="1:2" x14ac:dyDescent="0.2">
      <c r="A1017" s="95"/>
      <c r="B1017" s="111"/>
    </row>
    <row r="1018" spans="1:2" x14ac:dyDescent="0.2">
      <c r="A1018" s="95"/>
      <c r="B1018" s="111"/>
    </row>
    <row r="1019" spans="1:2" x14ac:dyDescent="0.2">
      <c r="A1019" s="95"/>
      <c r="B1019" s="111"/>
    </row>
    <row r="1020" spans="1:2" x14ac:dyDescent="0.2">
      <c r="A1020" s="95"/>
      <c r="B1020" s="111"/>
    </row>
    <row r="1021" spans="1:2" x14ac:dyDescent="0.2">
      <c r="A1021" s="95"/>
      <c r="B1021" s="111"/>
    </row>
    <row r="1022" spans="1:2" x14ac:dyDescent="0.2">
      <c r="A1022" s="95"/>
      <c r="B1022" s="111"/>
    </row>
    <row r="1023" spans="1:2" x14ac:dyDescent="0.2">
      <c r="A1023" s="95"/>
      <c r="B1023" s="111"/>
    </row>
    <row r="1024" spans="1:2" x14ac:dyDescent="0.2">
      <c r="A1024" s="95"/>
      <c r="B1024" s="111"/>
    </row>
    <row r="1025" spans="1:2" x14ac:dyDescent="0.2">
      <c r="A1025" s="95"/>
      <c r="B1025" s="111"/>
    </row>
    <row r="1026" spans="1:2" x14ac:dyDescent="0.2">
      <c r="A1026" s="95"/>
      <c r="B1026" s="111"/>
    </row>
    <row r="1027" spans="1:2" x14ac:dyDescent="0.2">
      <c r="A1027" s="95"/>
      <c r="B1027" s="111"/>
    </row>
    <row r="1028" spans="1:2" x14ac:dyDescent="0.2">
      <c r="A1028" s="95"/>
      <c r="B1028" s="111"/>
    </row>
    <row r="1029" spans="1:2" x14ac:dyDescent="0.2">
      <c r="A1029" s="95"/>
      <c r="B1029" s="111"/>
    </row>
    <row r="1030" spans="1:2" x14ac:dyDescent="0.2">
      <c r="A1030" s="95"/>
      <c r="B1030" s="111"/>
    </row>
    <row r="1031" spans="1:2" x14ac:dyDescent="0.2">
      <c r="A1031" s="95"/>
      <c r="B1031" s="111"/>
    </row>
    <row r="1032" spans="1:2" x14ac:dyDescent="0.2">
      <c r="A1032" s="95"/>
      <c r="B1032" s="111"/>
    </row>
    <row r="1033" spans="1:2" x14ac:dyDescent="0.2">
      <c r="A1033" s="95"/>
      <c r="B1033" s="111"/>
    </row>
    <row r="1034" spans="1:2" x14ac:dyDescent="0.2">
      <c r="A1034" s="95"/>
      <c r="B1034" s="111"/>
    </row>
    <row r="1035" spans="1:2" x14ac:dyDescent="0.2">
      <c r="A1035" s="95"/>
      <c r="B1035" s="111"/>
    </row>
    <row r="1036" spans="1:2" x14ac:dyDescent="0.2">
      <c r="A1036" s="95"/>
      <c r="B1036" s="111"/>
    </row>
    <row r="1037" spans="1:2" x14ac:dyDescent="0.2">
      <c r="A1037" s="95"/>
      <c r="B1037" s="111"/>
    </row>
    <row r="1038" spans="1:2" x14ac:dyDescent="0.2">
      <c r="A1038" s="95"/>
      <c r="B1038" s="111"/>
    </row>
    <row r="1039" spans="1:2" x14ac:dyDescent="0.2">
      <c r="A1039" s="95"/>
      <c r="B1039" s="111"/>
    </row>
    <row r="1040" spans="1:2" x14ac:dyDescent="0.2">
      <c r="A1040" s="95"/>
      <c r="B1040" s="111"/>
    </row>
    <row r="1041" spans="1:2" x14ac:dyDescent="0.2">
      <c r="A1041" s="95"/>
      <c r="B1041" s="111"/>
    </row>
    <row r="1042" spans="1:2" x14ac:dyDescent="0.2">
      <c r="A1042" s="95"/>
      <c r="B1042" s="111"/>
    </row>
    <row r="1043" spans="1:2" x14ac:dyDescent="0.2">
      <c r="A1043" s="95"/>
      <c r="B1043" s="111"/>
    </row>
    <row r="1044" spans="1:2" x14ac:dyDescent="0.2">
      <c r="A1044" s="95"/>
      <c r="B1044" s="111"/>
    </row>
    <row r="1045" spans="1:2" x14ac:dyDescent="0.2">
      <c r="A1045" s="95"/>
      <c r="B1045" s="111"/>
    </row>
    <row r="1046" spans="1:2" x14ac:dyDescent="0.2">
      <c r="A1046" s="95"/>
      <c r="B1046" s="111"/>
    </row>
    <row r="1047" spans="1:2" x14ac:dyDescent="0.2">
      <c r="A1047" s="95"/>
      <c r="B1047" s="111"/>
    </row>
    <row r="1048" spans="1:2" x14ac:dyDescent="0.2">
      <c r="A1048" s="95"/>
      <c r="B1048" s="111"/>
    </row>
    <row r="1049" spans="1:2" x14ac:dyDescent="0.2">
      <c r="A1049" s="95"/>
      <c r="B1049" s="111"/>
    </row>
    <row r="1050" spans="1:2" x14ac:dyDescent="0.2">
      <c r="A1050" s="95"/>
      <c r="B1050" s="111"/>
    </row>
    <row r="1051" spans="1:2" x14ac:dyDescent="0.2">
      <c r="A1051" s="95"/>
      <c r="B1051" s="111"/>
    </row>
    <row r="1052" spans="1:2" x14ac:dyDescent="0.2">
      <c r="A1052" s="95"/>
      <c r="B1052" s="111"/>
    </row>
    <row r="1053" spans="1:2" x14ac:dyDescent="0.2">
      <c r="A1053" s="95"/>
      <c r="B1053" s="111"/>
    </row>
    <row r="1054" spans="1:2" x14ac:dyDescent="0.2">
      <c r="A1054" s="95"/>
      <c r="B1054" s="111"/>
    </row>
    <row r="1055" spans="1:2" x14ac:dyDescent="0.2">
      <c r="A1055" s="95"/>
      <c r="B1055" s="111"/>
    </row>
    <row r="1056" spans="1:2" x14ac:dyDescent="0.2">
      <c r="A1056" s="95"/>
      <c r="B1056" s="111"/>
    </row>
    <row r="1057" spans="1:2" x14ac:dyDescent="0.2">
      <c r="A1057" s="95"/>
      <c r="B1057" s="111"/>
    </row>
    <row r="1058" spans="1:2" x14ac:dyDescent="0.2">
      <c r="A1058" s="95"/>
      <c r="B1058" s="111"/>
    </row>
    <row r="1059" spans="1:2" x14ac:dyDescent="0.2">
      <c r="A1059" s="95"/>
      <c r="B1059" s="111"/>
    </row>
    <row r="1060" spans="1:2" x14ac:dyDescent="0.2">
      <c r="A1060" s="95"/>
      <c r="B1060" s="111"/>
    </row>
    <row r="1061" spans="1:2" x14ac:dyDescent="0.2">
      <c r="A1061" s="95"/>
      <c r="B1061" s="111"/>
    </row>
    <row r="1062" spans="1:2" x14ac:dyDescent="0.2">
      <c r="A1062" s="95"/>
      <c r="B1062" s="111"/>
    </row>
    <row r="1063" spans="1:2" x14ac:dyDescent="0.2">
      <c r="A1063" s="95"/>
      <c r="B1063" s="111"/>
    </row>
    <row r="1064" spans="1:2" x14ac:dyDescent="0.2">
      <c r="A1064" s="95"/>
      <c r="B1064" s="111"/>
    </row>
    <row r="1065" spans="1:2" x14ac:dyDescent="0.2">
      <c r="A1065" s="95"/>
      <c r="B1065" s="111"/>
    </row>
    <row r="1066" spans="1:2" x14ac:dyDescent="0.2">
      <c r="A1066" s="95"/>
      <c r="B1066" s="111"/>
    </row>
    <row r="1067" spans="1:2" x14ac:dyDescent="0.2">
      <c r="A1067" s="95"/>
      <c r="B1067" s="111"/>
    </row>
    <row r="1068" spans="1:2" x14ac:dyDescent="0.2">
      <c r="A1068" s="95"/>
      <c r="B1068" s="111"/>
    </row>
    <row r="1069" spans="1:2" x14ac:dyDescent="0.2">
      <c r="A1069" s="95"/>
      <c r="B1069" s="111"/>
    </row>
    <row r="1070" spans="1:2" x14ac:dyDescent="0.2">
      <c r="A1070" s="95"/>
      <c r="B1070" s="111"/>
    </row>
    <row r="1071" spans="1:2" x14ac:dyDescent="0.2">
      <c r="A1071" s="95"/>
      <c r="B1071" s="111"/>
    </row>
    <row r="1072" spans="1:2" x14ac:dyDescent="0.2">
      <c r="A1072" s="95"/>
      <c r="B1072" s="111"/>
    </row>
    <row r="1073" spans="1:2" x14ac:dyDescent="0.2">
      <c r="A1073" s="95"/>
      <c r="B1073" s="111"/>
    </row>
    <row r="1074" spans="1:2" x14ac:dyDescent="0.2">
      <c r="A1074" s="95"/>
      <c r="B1074" s="111"/>
    </row>
    <row r="1075" spans="1:2" x14ac:dyDescent="0.2">
      <c r="A1075" s="95"/>
      <c r="B1075" s="111"/>
    </row>
    <row r="1076" spans="1:2" x14ac:dyDescent="0.2">
      <c r="A1076" s="95"/>
      <c r="B1076" s="111"/>
    </row>
    <row r="1077" spans="1:2" x14ac:dyDescent="0.2">
      <c r="A1077" s="95"/>
      <c r="B1077" s="111"/>
    </row>
    <row r="1078" spans="1:2" x14ac:dyDescent="0.2">
      <c r="A1078" s="95"/>
      <c r="B1078" s="111"/>
    </row>
    <row r="1079" spans="1:2" x14ac:dyDescent="0.2">
      <c r="A1079" s="95"/>
      <c r="B1079" s="111"/>
    </row>
    <row r="1080" spans="1:2" x14ac:dyDescent="0.2">
      <c r="A1080" s="95"/>
      <c r="B1080" s="111"/>
    </row>
    <row r="1081" spans="1:2" x14ac:dyDescent="0.2">
      <c r="A1081" s="95"/>
      <c r="B1081" s="111"/>
    </row>
    <row r="1082" spans="1:2" x14ac:dyDescent="0.2">
      <c r="A1082" s="95"/>
      <c r="B1082" s="111"/>
    </row>
    <row r="1083" spans="1:2" x14ac:dyDescent="0.2">
      <c r="A1083" s="95"/>
      <c r="B1083" s="111"/>
    </row>
    <row r="1084" spans="1:2" x14ac:dyDescent="0.2">
      <c r="A1084" s="95"/>
      <c r="B1084" s="111"/>
    </row>
    <row r="1085" spans="1:2" x14ac:dyDescent="0.2">
      <c r="A1085" s="95"/>
      <c r="B1085" s="111"/>
    </row>
    <row r="1086" spans="1:2" x14ac:dyDescent="0.2">
      <c r="A1086" s="95"/>
      <c r="B1086" s="111"/>
    </row>
    <row r="1087" spans="1:2" x14ac:dyDescent="0.2">
      <c r="A1087" s="95"/>
      <c r="B1087" s="111"/>
    </row>
    <row r="1088" spans="1:2" x14ac:dyDescent="0.2">
      <c r="A1088" s="95"/>
      <c r="B1088" s="111"/>
    </row>
    <row r="1089" spans="1:2" x14ac:dyDescent="0.2">
      <c r="A1089" s="95"/>
      <c r="B1089" s="111"/>
    </row>
    <row r="1090" spans="1:2" x14ac:dyDescent="0.2">
      <c r="A1090" s="95"/>
      <c r="B1090" s="111"/>
    </row>
    <row r="1091" spans="1:2" x14ac:dyDescent="0.2">
      <c r="A1091" s="95"/>
      <c r="B1091" s="111"/>
    </row>
    <row r="1092" spans="1:2" x14ac:dyDescent="0.2">
      <c r="A1092" s="95"/>
      <c r="B1092" s="111"/>
    </row>
    <row r="1093" spans="1:2" x14ac:dyDescent="0.2">
      <c r="A1093" s="95"/>
      <c r="B1093" s="111"/>
    </row>
    <row r="1094" spans="1:2" x14ac:dyDescent="0.2">
      <c r="A1094" s="95"/>
      <c r="B1094" s="111"/>
    </row>
    <row r="1095" spans="1:2" x14ac:dyDescent="0.2">
      <c r="A1095" s="95"/>
      <c r="B1095" s="111"/>
    </row>
    <row r="1096" spans="1:2" x14ac:dyDescent="0.2">
      <c r="A1096" s="95"/>
      <c r="B1096" s="111"/>
    </row>
    <row r="1097" spans="1:2" x14ac:dyDescent="0.2">
      <c r="A1097" s="95"/>
      <c r="B1097" s="111"/>
    </row>
    <row r="1098" spans="1:2" x14ac:dyDescent="0.2">
      <c r="A1098" s="95"/>
      <c r="B1098" s="111"/>
    </row>
    <row r="1099" spans="1:2" x14ac:dyDescent="0.2">
      <c r="A1099" s="95"/>
      <c r="B1099" s="111"/>
    </row>
    <row r="1100" spans="1:2" x14ac:dyDescent="0.2">
      <c r="A1100" s="95"/>
      <c r="B1100" s="111"/>
    </row>
    <row r="1101" spans="1:2" x14ac:dyDescent="0.2">
      <c r="A1101" s="95"/>
      <c r="B1101" s="111"/>
    </row>
    <row r="1102" spans="1:2" x14ac:dyDescent="0.2">
      <c r="A1102" s="95"/>
      <c r="B1102" s="111"/>
    </row>
    <row r="1103" spans="1:2" x14ac:dyDescent="0.2">
      <c r="A1103" s="95"/>
      <c r="B1103" s="111"/>
    </row>
    <row r="1104" spans="1:2" x14ac:dyDescent="0.2">
      <c r="A1104" s="95"/>
      <c r="B1104" s="111"/>
    </row>
    <row r="1105" spans="1:2" x14ac:dyDescent="0.2">
      <c r="A1105" s="95"/>
      <c r="B1105" s="111"/>
    </row>
    <row r="1106" spans="1:2" x14ac:dyDescent="0.2">
      <c r="A1106" s="95"/>
      <c r="B1106" s="111"/>
    </row>
    <row r="1107" spans="1:2" x14ac:dyDescent="0.2">
      <c r="A1107" s="95"/>
      <c r="B1107" s="111"/>
    </row>
    <row r="1108" spans="1:2" x14ac:dyDescent="0.2">
      <c r="A1108" s="95"/>
      <c r="B1108" s="111"/>
    </row>
    <row r="1109" spans="1:2" x14ac:dyDescent="0.2">
      <c r="A1109" s="95"/>
      <c r="B1109" s="111"/>
    </row>
    <row r="1110" spans="1:2" x14ac:dyDescent="0.2">
      <c r="A1110" s="95"/>
      <c r="B1110" s="111"/>
    </row>
    <row r="1111" spans="1:2" x14ac:dyDescent="0.2">
      <c r="A1111" s="95"/>
      <c r="B1111" s="111"/>
    </row>
    <row r="1112" spans="1:2" x14ac:dyDescent="0.2">
      <c r="A1112" s="95"/>
      <c r="B1112" s="111"/>
    </row>
    <row r="1113" spans="1:2" x14ac:dyDescent="0.2">
      <c r="A1113" s="95"/>
      <c r="B1113" s="111"/>
    </row>
    <row r="1114" spans="1:2" x14ac:dyDescent="0.2">
      <c r="A1114" s="95"/>
      <c r="B1114" s="111"/>
    </row>
    <row r="1115" spans="1:2" x14ac:dyDescent="0.2">
      <c r="A1115" s="95"/>
      <c r="B1115" s="111"/>
    </row>
    <row r="1116" spans="1:2" x14ac:dyDescent="0.2">
      <c r="A1116" s="95"/>
      <c r="B1116" s="111"/>
    </row>
    <row r="1117" spans="1:2" x14ac:dyDescent="0.2">
      <c r="A1117" s="95"/>
      <c r="B1117" s="111"/>
    </row>
    <row r="1118" spans="1:2" x14ac:dyDescent="0.2">
      <c r="A1118" s="95"/>
      <c r="B1118" s="111"/>
    </row>
    <row r="1119" spans="1:2" x14ac:dyDescent="0.2">
      <c r="A1119" s="95"/>
      <c r="B1119" s="111"/>
    </row>
    <row r="1120" spans="1:2" x14ac:dyDescent="0.2">
      <c r="A1120" s="95"/>
      <c r="B1120" s="111"/>
    </row>
    <row r="1121" spans="1:2" x14ac:dyDescent="0.2">
      <c r="A1121" s="95"/>
      <c r="B1121" s="111"/>
    </row>
    <row r="1122" spans="1:2" x14ac:dyDescent="0.2">
      <c r="A1122" s="95"/>
      <c r="B1122" s="111"/>
    </row>
    <row r="1123" spans="1:2" x14ac:dyDescent="0.2">
      <c r="A1123" s="95"/>
      <c r="B1123" s="111"/>
    </row>
    <row r="1124" spans="1:2" x14ac:dyDescent="0.2">
      <c r="A1124" s="95"/>
      <c r="B1124" s="111"/>
    </row>
    <row r="1125" spans="1:2" x14ac:dyDescent="0.2">
      <c r="A1125" s="95"/>
      <c r="B1125" s="111"/>
    </row>
    <row r="1126" spans="1:2" x14ac:dyDescent="0.2">
      <c r="A1126" s="95"/>
      <c r="B1126" s="111"/>
    </row>
    <row r="1127" spans="1:2" x14ac:dyDescent="0.2">
      <c r="A1127" s="95"/>
      <c r="B1127" s="111"/>
    </row>
    <row r="1128" spans="1:2" x14ac:dyDescent="0.2">
      <c r="A1128" s="95"/>
      <c r="B1128" s="111"/>
    </row>
    <row r="1129" spans="1:2" x14ac:dyDescent="0.2">
      <c r="A1129" s="95"/>
      <c r="B1129" s="111"/>
    </row>
    <row r="1130" spans="1:2" x14ac:dyDescent="0.2">
      <c r="A1130" s="95"/>
      <c r="B1130" s="111"/>
    </row>
    <row r="1131" spans="1:2" x14ac:dyDescent="0.2">
      <c r="A1131" s="95"/>
      <c r="B1131" s="111"/>
    </row>
    <row r="1132" spans="1:2" x14ac:dyDescent="0.2">
      <c r="A1132" s="95"/>
      <c r="B1132" s="111"/>
    </row>
    <row r="1133" spans="1:2" x14ac:dyDescent="0.2">
      <c r="A1133" s="95"/>
      <c r="B1133" s="111"/>
    </row>
    <row r="1134" spans="1:2" x14ac:dyDescent="0.2">
      <c r="A1134" s="95"/>
      <c r="B1134" s="111"/>
    </row>
    <row r="1135" spans="1:2" x14ac:dyDescent="0.2">
      <c r="A1135" s="95"/>
      <c r="B1135" s="111"/>
    </row>
    <row r="1136" spans="1:2" x14ac:dyDescent="0.2">
      <c r="A1136" s="95"/>
      <c r="B1136" s="111"/>
    </row>
    <row r="1137" spans="1:2" x14ac:dyDescent="0.2">
      <c r="A1137" s="95"/>
      <c r="B1137" s="111"/>
    </row>
    <row r="1138" spans="1:2" x14ac:dyDescent="0.2">
      <c r="A1138" s="95"/>
      <c r="B1138" s="111"/>
    </row>
    <row r="1139" spans="1:2" x14ac:dyDescent="0.2">
      <c r="A1139" s="95"/>
      <c r="B1139" s="111"/>
    </row>
    <row r="1140" spans="1:2" x14ac:dyDescent="0.2">
      <c r="A1140" s="95"/>
      <c r="B1140" s="111"/>
    </row>
    <row r="1141" spans="1:2" x14ac:dyDescent="0.2">
      <c r="A1141" s="95"/>
      <c r="B1141" s="111"/>
    </row>
    <row r="1142" spans="1:2" x14ac:dyDescent="0.2">
      <c r="A1142" s="95"/>
      <c r="B1142" s="111"/>
    </row>
    <row r="1143" spans="1:2" x14ac:dyDescent="0.2">
      <c r="A1143" s="95"/>
      <c r="B1143" s="111"/>
    </row>
    <row r="1144" spans="1:2" x14ac:dyDescent="0.2">
      <c r="A1144" s="95"/>
      <c r="B1144" s="111"/>
    </row>
    <row r="1145" spans="1:2" x14ac:dyDescent="0.2">
      <c r="A1145" s="95"/>
      <c r="B1145" s="111"/>
    </row>
    <row r="1146" spans="1:2" x14ac:dyDescent="0.2">
      <c r="A1146" s="95"/>
      <c r="B1146" s="111"/>
    </row>
    <row r="1147" spans="1:2" x14ac:dyDescent="0.2">
      <c r="A1147" s="95"/>
      <c r="B1147" s="111"/>
    </row>
    <row r="1148" spans="1:2" x14ac:dyDescent="0.2">
      <c r="A1148" s="95"/>
      <c r="B1148" s="111"/>
    </row>
    <row r="1149" spans="1:2" x14ac:dyDescent="0.2">
      <c r="A1149" s="95"/>
      <c r="B1149" s="111"/>
    </row>
    <row r="1150" spans="1:2" x14ac:dyDescent="0.2">
      <c r="A1150" s="95"/>
      <c r="B1150" s="111"/>
    </row>
    <row r="1151" spans="1:2" x14ac:dyDescent="0.2">
      <c r="A1151" s="95"/>
      <c r="B1151" s="111"/>
    </row>
    <row r="1152" spans="1:2" x14ac:dyDescent="0.2">
      <c r="A1152" s="95"/>
      <c r="B1152" s="111"/>
    </row>
    <row r="1153" spans="1:2" x14ac:dyDescent="0.2">
      <c r="A1153" s="95"/>
      <c r="B1153" s="111"/>
    </row>
    <row r="1154" spans="1:2" x14ac:dyDescent="0.2">
      <c r="A1154" s="95"/>
      <c r="B1154" s="111"/>
    </row>
    <row r="1155" spans="1:2" x14ac:dyDescent="0.2">
      <c r="A1155" s="95"/>
      <c r="B1155" s="111"/>
    </row>
    <row r="1156" spans="1:2" x14ac:dyDescent="0.2">
      <c r="A1156" s="95"/>
      <c r="B1156" s="111"/>
    </row>
    <row r="1157" spans="1:2" x14ac:dyDescent="0.2">
      <c r="A1157" s="95"/>
      <c r="B1157" s="111"/>
    </row>
    <row r="1158" spans="1:2" x14ac:dyDescent="0.2">
      <c r="A1158" s="95"/>
      <c r="B1158" s="111"/>
    </row>
    <row r="1159" spans="1:2" x14ac:dyDescent="0.2">
      <c r="A1159" s="95"/>
      <c r="B1159" s="111"/>
    </row>
    <row r="1160" spans="1:2" x14ac:dyDescent="0.2">
      <c r="A1160" s="95"/>
      <c r="B1160" s="111"/>
    </row>
    <row r="1161" spans="1:2" x14ac:dyDescent="0.2">
      <c r="A1161" s="95"/>
      <c r="B1161" s="111"/>
    </row>
    <row r="1162" spans="1:2" x14ac:dyDescent="0.2">
      <c r="A1162" s="95"/>
      <c r="B1162" s="111"/>
    </row>
    <row r="1163" spans="1:2" x14ac:dyDescent="0.2">
      <c r="A1163" s="95"/>
      <c r="B1163" s="111"/>
    </row>
    <row r="1164" spans="1:2" x14ac:dyDescent="0.2">
      <c r="A1164" s="95"/>
      <c r="B1164" s="111"/>
    </row>
    <row r="1165" spans="1:2" x14ac:dyDescent="0.2">
      <c r="A1165" s="95"/>
      <c r="B1165" s="111"/>
    </row>
    <row r="1166" spans="1:2" x14ac:dyDescent="0.2">
      <c r="A1166" s="95"/>
      <c r="B1166" s="111"/>
    </row>
    <row r="1167" spans="1:2" x14ac:dyDescent="0.2">
      <c r="A1167" s="95"/>
      <c r="B1167" s="111"/>
    </row>
    <row r="1168" spans="1:2" x14ac:dyDescent="0.2">
      <c r="A1168" s="95"/>
      <c r="B1168" s="111"/>
    </row>
    <row r="1169" spans="1:2" x14ac:dyDescent="0.2">
      <c r="A1169" s="95"/>
      <c r="B1169" s="111"/>
    </row>
    <row r="1170" spans="1:2" x14ac:dyDescent="0.2">
      <c r="A1170" s="95"/>
      <c r="B1170" s="111"/>
    </row>
    <row r="1171" spans="1:2" x14ac:dyDescent="0.2">
      <c r="A1171" s="95"/>
      <c r="B1171" s="111"/>
    </row>
    <row r="1172" spans="1:2" x14ac:dyDescent="0.2">
      <c r="A1172" s="95"/>
      <c r="B1172" s="111"/>
    </row>
    <row r="1173" spans="1:2" x14ac:dyDescent="0.2">
      <c r="A1173" s="95"/>
      <c r="B1173" s="111"/>
    </row>
    <row r="1174" spans="1:2" x14ac:dyDescent="0.2">
      <c r="A1174" s="95"/>
      <c r="B1174" s="111"/>
    </row>
    <row r="1175" spans="1:2" x14ac:dyDescent="0.2">
      <c r="A1175" s="95"/>
      <c r="B1175" s="111"/>
    </row>
    <row r="1176" spans="1:2" x14ac:dyDescent="0.2">
      <c r="A1176" s="95"/>
      <c r="B1176" s="111"/>
    </row>
    <row r="1177" spans="1:2" x14ac:dyDescent="0.2">
      <c r="A1177" s="95"/>
      <c r="B1177" s="111"/>
    </row>
    <row r="1178" spans="1:2" x14ac:dyDescent="0.2">
      <c r="A1178" s="95"/>
      <c r="B1178" s="111"/>
    </row>
    <row r="1179" spans="1:2" x14ac:dyDescent="0.2">
      <c r="A1179" s="95"/>
      <c r="B1179" s="111"/>
    </row>
    <row r="1180" spans="1:2" x14ac:dyDescent="0.2">
      <c r="A1180" s="95"/>
      <c r="B1180" s="111"/>
    </row>
    <row r="1181" spans="1:2" x14ac:dyDescent="0.2">
      <c r="A1181" s="95"/>
      <c r="B1181" s="111"/>
    </row>
    <row r="1182" spans="1:2" x14ac:dyDescent="0.2">
      <c r="A1182" s="95"/>
      <c r="B1182" s="111"/>
    </row>
    <row r="1183" spans="1:2" x14ac:dyDescent="0.2">
      <c r="A1183" s="95"/>
      <c r="B1183" s="111"/>
    </row>
    <row r="1184" spans="1:2" x14ac:dyDescent="0.2">
      <c r="A1184" s="95"/>
      <c r="B1184" s="111"/>
    </row>
    <row r="1185" spans="1:2" x14ac:dyDescent="0.2">
      <c r="A1185" s="95"/>
      <c r="B1185" s="111"/>
    </row>
    <row r="1186" spans="1:2" x14ac:dyDescent="0.2">
      <c r="A1186" s="95"/>
      <c r="B1186" s="111"/>
    </row>
    <row r="1187" spans="1:2" x14ac:dyDescent="0.2">
      <c r="A1187" s="95"/>
      <c r="B1187" s="111"/>
    </row>
    <row r="1188" spans="1:2" x14ac:dyDescent="0.2">
      <c r="A1188" s="95"/>
      <c r="B1188" s="111"/>
    </row>
    <row r="1189" spans="1:2" x14ac:dyDescent="0.2">
      <c r="A1189" s="95"/>
      <c r="B1189" s="111"/>
    </row>
    <row r="1190" spans="1:2" x14ac:dyDescent="0.2">
      <c r="A1190" s="95"/>
      <c r="B1190" s="111"/>
    </row>
    <row r="1191" spans="1:2" x14ac:dyDescent="0.2">
      <c r="A1191" s="95"/>
      <c r="B1191" s="111"/>
    </row>
    <row r="1192" spans="1:2" x14ac:dyDescent="0.2">
      <c r="A1192" s="95"/>
      <c r="B1192" s="111"/>
    </row>
    <row r="1193" spans="1:2" x14ac:dyDescent="0.2">
      <c r="A1193" s="95"/>
      <c r="B1193" s="111"/>
    </row>
    <row r="1194" spans="1:2" x14ac:dyDescent="0.2">
      <c r="A1194" s="95"/>
      <c r="B1194" s="111"/>
    </row>
    <row r="1195" spans="1:2" x14ac:dyDescent="0.2">
      <c r="A1195" s="95"/>
      <c r="B1195" s="111"/>
    </row>
    <row r="1196" spans="1:2" x14ac:dyDescent="0.2">
      <c r="A1196" s="95"/>
      <c r="B1196" s="111"/>
    </row>
    <row r="1197" spans="1:2" x14ac:dyDescent="0.2">
      <c r="A1197" s="95"/>
      <c r="B1197" s="111"/>
    </row>
    <row r="1198" spans="1:2" x14ac:dyDescent="0.2">
      <c r="A1198" s="95"/>
      <c r="B1198" s="111"/>
    </row>
    <row r="1199" spans="1:2" x14ac:dyDescent="0.2">
      <c r="A1199" s="95"/>
      <c r="B1199" s="111"/>
    </row>
    <row r="1200" spans="1:2" x14ac:dyDescent="0.2">
      <c r="A1200" s="95"/>
      <c r="B1200" s="111"/>
    </row>
    <row r="1201" spans="1:2" x14ac:dyDescent="0.2">
      <c r="A1201" s="95"/>
      <c r="B1201" s="111"/>
    </row>
    <row r="1202" spans="1:2" x14ac:dyDescent="0.2">
      <c r="A1202" s="95"/>
      <c r="B1202" s="111"/>
    </row>
    <row r="1203" spans="1:2" x14ac:dyDescent="0.2">
      <c r="A1203" s="95"/>
      <c r="B1203" s="111"/>
    </row>
    <row r="1204" spans="1:2" x14ac:dyDescent="0.2">
      <c r="A1204" s="95"/>
      <c r="B1204" s="111"/>
    </row>
    <row r="1205" spans="1:2" x14ac:dyDescent="0.2">
      <c r="A1205" s="95"/>
      <c r="B1205" s="111"/>
    </row>
    <row r="1206" spans="1:2" x14ac:dyDescent="0.2">
      <c r="A1206" s="95"/>
      <c r="B1206" s="111"/>
    </row>
    <row r="1207" spans="1:2" x14ac:dyDescent="0.2">
      <c r="A1207" s="95"/>
      <c r="B1207" s="111"/>
    </row>
    <row r="1208" spans="1:2" x14ac:dyDescent="0.2">
      <c r="A1208" s="95"/>
      <c r="B1208" s="111"/>
    </row>
    <row r="1209" spans="1:2" x14ac:dyDescent="0.2">
      <c r="A1209" s="95"/>
      <c r="B1209" s="111"/>
    </row>
    <row r="1210" spans="1:2" x14ac:dyDescent="0.2">
      <c r="A1210" s="95"/>
      <c r="B1210" s="111"/>
    </row>
    <row r="1211" spans="1:2" x14ac:dyDescent="0.2">
      <c r="A1211" s="95"/>
      <c r="B1211" s="111"/>
    </row>
    <row r="1212" spans="1:2" x14ac:dyDescent="0.2">
      <c r="A1212" s="95"/>
      <c r="B1212" s="111"/>
    </row>
    <row r="1213" spans="1:2" x14ac:dyDescent="0.2">
      <c r="A1213" s="95"/>
      <c r="B1213" s="111"/>
    </row>
    <row r="1214" spans="1:2" x14ac:dyDescent="0.2">
      <c r="A1214" s="95"/>
      <c r="B1214" s="111"/>
    </row>
    <row r="1215" spans="1:2" x14ac:dyDescent="0.2">
      <c r="A1215" s="95"/>
      <c r="B1215" s="111"/>
    </row>
    <row r="1216" spans="1:2" x14ac:dyDescent="0.2">
      <c r="A1216" s="95"/>
      <c r="B1216" s="111"/>
    </row>
    <row r="1217" spans="1:2" x14ac:dyDescent="0.2">
      <c r="A1217" s="95"/>
      <c r="B1217" s="111"/>
    </row>
    <row r="1218" spans="1:2" x14ac:dyDescent="0.2">
      <c r="A1218" s="95"/>
      <c r="B1218" s="111"/>
    </row>
    <row r="1219" spans="1:2" x14ac:dyDescent="0.2">
      <c r="A1219" s="95"/>
      <c r="B1219" s="111"/>
    </row>
    <row r="1220" spans="1:2" x14ac:dyDescent="0.2">
      <c r="A1220" s="95"/>
      <c r="B1220" s="111"/>
    </row>
    <row r="1221" spans="1:2" x14ac:dyDescent="0.2">
      <c r="A1221" s="95"/>
      <c r="B1221" s="111"/>
    </row>
    <row r="1222" spans="1:2" x14ac:dyDescent="0.2">
      <c r="A1222" s="95"/>
      <c r="B1222" s="111"/>
    </row>
    <row r="1223" spans="1:2" x14ac:dyDescent="0.2">
      <c r="A1223" s="95"/>
      <c r="B1223" s="111"/>
    </row>
    <row r="1224" spans="1:2" x14ac:dyDescent="0.2">
      <c r="A1224" s="95"/>
      <c r="B1224" s="111"/>
    </row>
    <row r="1225" spans="1:2" x14ac:dyDescent="0.2">
      <c r="A1225" s="95"/>
      <c r="B1225" s="111"/>
    </row>
    <row r="1226" spans="1:2" x14ac:dyDescent="0.2">
      <c r="A1226" s="95"/>
      <c r="B1226" s="111"/>
    </row>
    <row r="1227" spans="1:2" x14ac:dyDescent="0.2">
      <c r="A1227" s="95"/>
      <c r="B1227" s="111"/>
    </row>
    <row r="1228" spans="1:2" x14ac:dyDescent="0.2">
      <c r="A1228" s="95"/>
      <c r="B1228" s="111"/>
    </row>
    <row r="1229" spans="1:2" x14ac:dyDescent="0.2">
      <c r="A1229" s="95"/>
      <c r="B1229" s="111"/>
    </row>
    <row r="1230" spans="1:2" x14ac:dyDescent="0.2">
      <c r="A1230" s="95"/>
      <c r="B1230" s="111"/>
    </row>
    <row r="1231" spans="1:2" x14ac:dyDescent="0.2">
      <c r="A1231" s="95"/>
      <c r="B1231" s="111"/>
    </row>
    <row r="1232" spans="1:2" x14ac:dyDescent="0.2">
      <c r="A1232" s="95"/>
      <c r="B1232" s="111"/>
    </row>
    <row r="1233" spans="1:2" x14ac:dyDescent="0.2">
      <c r="A1233" s="95"/>
      <c r="B1233" s="111"/>
    </row>
    <row r="1234" spans="1:2" x14ac:dyDescent="0.2">
      <c r="A1234" s="95"/>
      <c r="B1234" s="111"/>
    </row>
    <row r="1235" spans="1:2" x14ac:dyDescent="0.2">
      <c r="A1235" s="95"/>
      <c r="B1235" s="111"/>
    </row>
    <row r="1236" spans="1:2" x14ac:dyDescent="0.2">
      <c r="A1236" s="95"/>
      <c r="B1236" s="111"/>
    </row>
    <row r="1237" spans="1:2" x14ac:dyDescent="0.2">
      <c r="A1237" s="95"/>
      <c r="B1237" s="111"/>
    </row>
    <row r="1238" spans="1:2" x14ac:dyDescent="0.2">
      <c r="A1238" s="95"/>
      <c r="B1238" s="111"/>
    </row>
    <row r="1239" spans="1:2" x14ac:dyDescent="0.2">
      <c r="A1239" s="95"/>
      <c r="B1239" s="111"/>
    </row>
    <row r="1240" spans="1:2" x14ac:dyDescent="0.2">
      <c r="A1240" s="95"/>
      <c r="B1240" s="111"/>
    </row>
    <row r="1241" spans="1:2" x14ac:dyDescent="0.2">
      <c r="A1241" s="95"/>
      <c r="B1241" s="111"/>
    </row>
    <row r="1242" spans="1:2" x14ac:dyDescent="0.2">
      <c r="A1242" s="95"/>
      <c r="B1242" s="111"/>
    </row>
    <row r="1243" spans="1:2" x14ac:dyDescent="0.2">
      <c r="A1243" s="95"/>
      <c r="B1243" s="111"/>
    </row>
    <row r="1244" spans="1:2" x14ac:dyDescent="0.2">
      <c r="A1244" s="95"/>
      <c r="B1244" s="111"/>
    </row>
    <row r="1245" spans="1:2" x14ac:dyDescent="0.2">
      <c r="A1245" s="95"/>
      <c r="B1245" s="111"/>
    </row>
    <row r="1246" spans="1:2" x14ac:dyDescent="0.2">
      <c r="A1246" s="95"/>
      <c r="B1246" s="111"/>
    </row>
    <row r="1247" spans="1:2" x14ac:dyDescent="0.2">
      <c r="A1247" s="95"/>
      <c r="B1247" s="111"/>
    </row>
    <row r="1248" spans="1:2" x14ac:dyDescent="0.2">
      <c r="A1248" s="95"/>
      <c r="B1248" s="111"/>
    </row>
    <row r="1249" spans="1:2" x14ac:dyDescent="0.2">
      <c r="A1249" s="95"/>
      <c r="B1249" s="111"/>
    </row>
    <row r="1250" spans="1:2" x14ac:dyDescent="0.2">
      <c r="A1250" s="95"/>
      <c r="B1250" s="111"/>
    </row>
    <row r="1251" spans="1:2" x14ac:dyDescent="0.2">
      <c r="A1251" s="95"/>
      <c r="B1251" s="111"/>
    </row>
    <row r="1252" spans="1:2" x14ac:dyDescent="0.2">
      <c r="A1252" s="95"/>
      <c r="B1252" s="111"/>
    </row>
    <row r="1253" spans="1:2" x14ac:dyDescent="0.2">
      <c r="A1253" s="95"/>
      <c r="B1253" s="111"/>
    </row>
    <row r="1254" spans="1:2" x14ac:dyDescent="0.2">
      <c r="A1254" s="95"/>
      <c r="B1254" s="111"/>
    </row>
    <row r="1255" spans="1:2" x14ac:dyDescent="0.2">
      <c r="A1255" s="95"/>
      <c r="B1255" s="111"/>
    </row>
    <row r="1256" spans="1:2" x14ac:dyDescent="0.2">
      <c r="A1256" s="95"/>
      <c r="B1256" s="111"/>
    </row>
    <row r="1257" spans="1:2" x14ac:dyDescent="0.2">
      <c r="A1257" s="95"/>
      <c r="B1257" s="111"/>
    </row>
    <row r="1258" spans="1:2" x14ac:dyDescent="0.2">
      <c r="A1258" s="95"/>
      <c r="B1258" s="111"/>
    </row>
    <row r="1259" spans="1:2" x14ac:dyDescent="0.2">
      <c r="A1259" s="95"/>
      <c r="B1259" s="111"/>
    </row>
    <row r="1260" spans="1:2" x14ac:dyDescent="0.2">
      <c r="A1260" s="95"/>
      <c r="B1260" s="111"/>
    </row>
    <row r="1261" spans="1:2" x14ac:dyDescent="0.2">
      <c r="A1261" s="95"/>
      <c r="B1261" s="111"/>
    </row>
    <row r="1262" spans="1:2" x14ac:dyDescent="0.2">
      <c r="A1262" s="95"/>
      <c r="B1262" s="111"/>
    </row>
    <row r="1263" spans="1:2" x14ac:dyDescent="0.2">
      <c r="A1263" s="95"/>
      <c r="B1263" s="111"/>
    </row>
    <row r="1264" spans="1:2" x14ac:dyDescent="0.2">
      <c r="A1264" s="95"/>
      <c r="B1264" s="111"/>
    </row>
    <row r="1265" spans="1:2" x14ac:dyDescent="0.2">
      <c r="A1265" s="95"/>
      <c r="B1265" s="111"/>
    </row>
    <row r="1266" spans="1:2" x14ac:dyDescent="0.2">
      <c r="A1266" s="95"/>
      <c r="B1266" s="111"/>
    </row>
    <row r="1267" spans="1:2" x14ac:dyDescent="0.2">
      <c r="A1267" s="95"/>
      <c r="B1267" s="111"/>
    </row>
    <row r="1268" spans="1:2" x14ac:dyDescent="0.2">
      <c r="A1268" s="95"/>
      <c r="B1268" s="111"/>
    </row>
    <row r="1269" spans="1:2" x14ac:dyDescent="0.2">
      <c r="A1269" s="95"/>
      <c r="B1269" s="111"/>
    </row>
    <row r="1270" spans="1:2" x14ac:dyDescent="0.2">
      <c r="A1270" s="95"/>
      <c r="B1270" s="111"/>
    </row>
    <row r="1271" spans="1:2" x14ac:dyDescent="0.2">
      <c r="A1271" s="95"/>
      <c r="B1271" s="111"/>
    </row>
    <row r="1272" spans="1:2" x14ac:dyDescent="0.2">
      <c r="A1272" s="95"/>
      <c r="B1272" s="111"/>
    </row>
    <row r="1273" spans="1:2" x14ac:dyDescent="0.2">
      <c r="A1273" s="95"/>
      <c r="B1273" s="111"/>
    </row>
    <row r="1274" spans="1:2" x14ac:dyDescent="0.2">
      <c r="A1274" s="95"/>
      <c r="B1274" s="111"/>
    </row>
    <row r="1275" spans="1:2" x14ac:dyDescent="0.2">
      <c r="A1275" s="95"/>
      <c r="B1275" s="111"/>
    </row>
    <row r="1276" spans="1:2" x14ac:dyDescent="0.2">
      <c r="A1276" s="95"/>
      <c r="B1276" s="111"/>
    </row>
    <row r="1277" spans="1:2" x14ac:dyDescent="0.2">
      <c r="A1277" s="95"/>
      <c r="B1277" s="111"/>
    </row>
    <row r="1278" spans="1:2" x14ac:dyDescent="0.2">
      <c r="A1278" s="95"/>
      <c r="B1278" s="111"/>
    </row>
    <row r="1279" spans="1:2" x14ac:dyDescent="0.2">
      <c r="A1279" s="95"/>
      <c r="B1279" s="111"/>
    </row>
    <row r="1280" spans="1:2" x14ac:dyDescent="0.2">
      <c r="A1280" s="95"/>
      <c r="B1280" s="111"/>
    </row>
    <row r="1281" spans="1:2" x14ac:dyDescent="0.2">
      <c r="A1281" s="95"/>
      <c r="B1281" s="111"/>
    </row>
    <row r="1282" spans="1:2" x14ac:dyDescent="0.2">
      <c r="A1282" s="95"/>
      <c r="B1282" s="111"/>
    </row>
    <row r="1283" spans="1:2" x14ac:dyDescent="0.2">
      <c r="A1283" s="95"/>
      <c r="B1283" s="111"/>
    </row>
    <row r="1284" spans="1:2" x14ac:dyDescent="0.2">
      <c r="A1284" s="95"/>
      <c r="B1284" s="111"/>
    </row>
    <row r="1285" spans="1:2" x14ac:dyDescent="0.2">
      <c r="A1285" s="95"/>
      <c r="B1285" s="111"/>
    </row>
    <row r="1286" spans="1:2" x14ac:dyDescent="0.2">
      <c r="A1286" s="95"/>
      <c r="B1286" s="111"/>
    </row>
    <row r="1287" spans="1:2" x14ac:dyDescent="0.2">
      <c r="A1287" s="95"/>
      <c r="B1287" s="111"/>
    </row>
    <row r="1288" spans="1:2" x14ac:dyDescent="0.2">
      <c r="A1288" s="95"/>
      <c r="B1288" s="111"/>
    </row>
    <row r="1289" spans="1:2" x14ac:dyDescent="0.2">
      <c r="A1289" s="95"/>
      <c r="B1289" s="111"/>
    </row>
    <row r="1290" spans="1:2" x14ac:dyDescent="0.2">
      <c r="A1290" s="95"/>
      <c r="B1290" s="111"/>
    </row>
    <row r="1291" spans="1:2" x14ac:dyDescent="0.2">
      <c r="A1291" s="95"/>
      <c r="B1291" s="111"/>
    </row>
    <row r="1292" spans="1:2" x14ac:dyDescent="0.2">
      <c r="A1292" s="95"/>
      <c r="B1292" s="111"/>
    </row>
    <row r="1293" spans="1:2" x14ac:dyDescent="0.2">
      <c r="A1293" s="95"/>
      <c r="B1293" s="111"/>
    </row>
    <row r="1294" spans="1:2" x14ac:dyDescent="0.2">
      <c r="A1294" s="95"/>
      <c r="B1294" s="111"/>
    </row>
    <row r="1295" spans="1:2" x14ac:dyDescent="0.2">
      <c r="A1295" s="95"/>
      <c r="B1295" s="111"/>
    </row>
    <row r="1296" spans="1:2" x14ac:dyDescent="0.2">
      <c r="A1296" s="95"/>
      <c r="B1296" s="111"/>
    </row>
    <row r="1297" spans="1:2" x14ac:dyDescent="0.2">
      <c r="A1297" s="95"/>
      <c r="B1297" s="111"/>
    </row>
    <row r="1298" spans="1:2" x14ac:dyDescent="0.2">
      <c r="A1298" s="95"/>
      <c r="B1298" s="111"/>
    </row>
    <row r="1299" spans="1:2" x14ac:dyDescent="0.2">
      <c r="A1299" s="95"/>
      <c r="B1299" s="111"/>
    </row>
    <row r="1300" spans="1:2" x14ac:dyDescent="0.2">
      <c r="A1300" s="95"/>
      <c r="B1300" s="111"/>
    </row>
    <row r="1301" spans="1:2" x14ac:dyDescent="0.2">
      <c r="A1301" s="95"/>
      <c r="B1301" s="111"/>
    </row>
    <row r="1302" spans="1:2" x14ac:dyDescent="0.2">
      <c r="A1302" s="95"/>
      <c r="B1302" s="111"/>
    </row>
    <row r="1303" spans="1:2" x14ac:dyDescent="0.2">
      <c r="A1303" s="95"/>
      <c r="B1303" s="111"/>
    </row>
    <row r="1304" spans="1:2" x14ac:dyDescent="0.2">
      <c r="A1304" s="95"/>
      <c r="B1304" s="111"/>
    </row>
    <row r="1305" spans="1:2" x14ac:dyDescent="0.2">
      <c r="A1305" s="95"/>
      <c r="B1305" s="111"/>
    </row>
    <row r="1306" spans="1:2" x14ac:dyDescent="0.2">
      <c r="A1306" s="95"/>
      <c r="B1306" s="111"/>
    </row>
    <row r="1307" spans="1:2" x14ac:dyDescent="0.2">
      <c r="A1307" s="95"/>
      <c r="B1307" s="111"/>
    </row>
    <row r="1308" spans="1:2" x14ac:dyDescent="0.2">
      <c r="A1308" s="95"/>
      <c r="B1308" s="111"/>
    </row>
    <row r="1309" spans="1:2" x14ac:dyDescent="0.2">
      <c r="A1309" s="95"/>
      <c r="B1309" s="111"/>
    </row>
    <row r="1310" spans="1:2" x14ac:dyDescent="0.2">
      <c r="A1310" s="95"/>
      <c r="B1310" s="111"/>
    </row>
    <row r="1311" spans="1:2" x14ac:dyDescent="0.2">
      <c r="A1311" s="95"/>
      <c r="B1311" s="111"/>
    </row>
    <row r="1312" spans="1:2" x14ac:dyDescent="0.2">
      <c r="A1312" s="95"/>
      <c r="B1312" s="111"/>
    </row>
    <row r="1313" spans="1:2" x14ac:dyDescent="0.2">
      <c r="A1313" s="95"/>
      <c r="B1313" s="111"/>
    </row>
    <row r="1314" spans="1:2" x14ac:dyDescent="0.2">
      <c r="A1314" s="95"/>
      <c r="B1314" s="111"/>
    </row>
    <row r="1315" spans="1:2" x14ac:dyDescent="0.2">
      <c r="A1315" s="95"/>
      <c r="B1315" s="111"/>
    </row>
    <row r="1316" spans="1:2" x14ac:dyDescent="0.2">
      <c r="A1316" s="95"/>
      <c r="B1316" s="111"/>
    </row>
    <row r="1317" spans="1:2" x14ac:dyDescent="0.2">
      <c r="A1317" s="95"/>
      <c r="B1317" s="111"/>
    </row>
    <row r="1318" spans="1:2" x14ac:dyDescent="0.2">
      <c r="A1318" s="95"/>
      <c r="B1318" s="111"/>
    </row>
    <row r="1319" spans="1:2" x14ac:dyDescent="0.2">
      <c r="A1319" s="95"/>
      <c r="B1319" s="111"/>
    </row>
    <row r="1320" spans="1:2" x14ac:dyDescent="0.2">
      <c r="A1320" s="95"/>
      <c r="B1320" s="111"/>
    </row>
    <row r="1321" spans="1:2" x14ac:dyDescent="0.2">
      <c r="A1321" s="95"/>
      <c r="B1321" s="111"/>
    </row>
    <row r="1322" spans="1:2" x14ac:dyDescent="0.2">
      <c r="A1322" s="95"/>
      <c r="B1322" s="111"/>
    </row>
    <row r="1323" spans="1:2" x14ac:dyDescent="0.2">
      <c r="A1323" s="95"/>
      <c r="B1323" s="111"/>
    </row>
    <row r="1324" spans="1:2" x14ac:dyDescent="0.2">
      <c r="A1324" s="95"/>
      <c r="B1324" s="111"/>
    </row>
    <row r="1325" spans="1:2" x14ac:dyDescent="0.2">
      <c r="A1325" s="95"/>
      <c r="B1325" s="111"/>
    </row>
    <row r="1326" spans="1:2" x14ac:dyDescent="0.2">
      <c r="A1326" s="95"/>
      <c r="B1326" s="111"/>
    </row>
    <row r="1327" spans="1:2" x14ac:dyDescent="0.2">
      <c r="A1327" s="95"/>
      <c r="B1327" s="111"/>
    </row>
    <row r="1328" spans="1:2" x14ac:dyDescent="0.2">
      <c r="A1328" s="95"/>
      <c r="B1328" s="111"/>
    </row>
    <row r="1329" spans="1:2" x14ac:dyDescent="0.2">
      <c r="A1329" s="95"/>
      <c r="B1329" s="111"/>
    </row>
    <row r="1330" spans="1:2" x14ac:dyDescent="0.2">
      <c r="A1330" s="95"/>
      <c r="B1330" s="111"/>
    </row>
    <row r="1331" spans="1:2" x14ac:dyDescent="0.2">
      <c r="A1331" s="95"/>
      <c r="B1331" s="111"/>
    </row>
    <row r="1332" spans="1:2" x14ac:dyDescent="0.2">
      <c r="A1332" s="95"/>
      <c r="B1332" s="111"/>
    </row>
    <row r="1333" spans="1:2" x14ac:dyDescent="0.2">
      <c r="A1333" s="95"/>
      <c r="B1333" s="111"/>
    </row>
    <row r="1334" spans="1:2" x14ac:dyDescent="0.2">
      <c r="A1334" s="95"/>
      <c r="B1334" s="111"/>
    </row>
    <row r="1335" spans="1:2" x14ac:dyDescent="0.2">
      <c r="A1335" s="95"/>
      <c r="B1335" s="111"/>
    </row>
    <row r="1336" spans="1:2" x14ac:dyDescent="0.2">
      <c r="A1336" s="95"/>
      <c r="B1336" s="111"/>
    </row>
    <row r="1337" spans="1:2" x14ac:dyDescent="0.2">
      <c r="A1337" s="95"/>
      <c r="B1337" s="111"/>
    </row>
    <row r="1338" spans="1:2" x14ac:dyDescent="0.2">
      <c r="A1338" s="95"/>
      <c r="B1338" s="111"/>
    </row>
    <row r="1339" spans="1:2" x14ac:dyDescent="0.2">
      <c r="A1339" s="95"/>
      <c r="B1339" s="111"/>
    </row>
    <row r="1340" spans="1:2" x14ac:dyDescent="0.2">
      <c r="A1340" s="95"/>
      <c r="B1340" s="111"/>
    </row>
    <row r="1341" spans="1:2" x14ac:dyDescent="0.2">
      <c r="A1341" s="95"/>
      <c r="B1341" s="111"/>
    </row>
    <row r="1342" spans="1:2" x14ac:dyDescent="0.2">
      <c r="A1342" s="95"/>
      <c r="B1342" s="111"/>
    </row>
    <row r="1343" spans="1:2" x14ac:dyDescent="0.2">
      <c r="A1343" s="95"/>
      <c r="B1343" s="111"/>
    </row>
    <row r="1344" spans="1:2" x14ac:dyDescent="0.2">
      <c r="A1344" s="95"/>
      <c r="B1344" s="111"/>
    </row>
    <row r="1345" spans="1:2" x14ac:dyDescent="0.2">
      <c r="A1345" s="95"/>
      <c r="B1345" s="111"/>
    </row>
    <row r="1346" spans="1:2" x14ac:dyDescent="0.2">
      <c r="A1346" s="95"/>
      <c r="B1346" s="111"/>
    </row>
    <row r="1347" spans="1:2" x14ac:dyDescent="0.2">
      <c r="A1347" s="95"/>
      <c r="B1347" s="111"/>
    </row>
    <row r="1348" spans="1:2" x14ac:dyDescent="0.2">
      <c r="A1348" s="95"/>
      <c r="B1348" s="111"/>
    </row>
    <row r="1349" spans="1:2" x14ac:dyDescent="0.2">
      <c r="A1349" s="95"/>
      <c r="B1349" s="111"/>
    </row>
    <row r="1350" spans="1:2" x14ac:dyDescent="0.2">
      <c r="A1350" s="95"/>
      <c r="B1350" s="111"/>
    </row>
    <row r="1351" spans="1:2" x14ac:dyDescent="0.2">
      <c r="A1351" s="95"/>
      <c r="B1351" s="111"/>
    </row>
    <row r="1352" spans="1:2" x14ac:dyDescent="0.2">
      <c r="A1352" s="95"/>
      <c r="B1352" s="111"/>
    </row>
    <row r="1353" spans="1:2" x14ac:dyDescent="0.2">
      <c r="A1353" s="95"/>
      <c r="B1353" s="111"/>
    </row>
    <row r="1354" spans="1:2" x14ac:dyDescent="0.2">
      <c r="A1354" s="95"/>
      <c r="B1354" s="111"/>
    </row>
    <row r="1355" spans="1:2" x14ac:dyDescent="0.2">
      <c r="A1355" s="95"/>
      <c r="B1355" s="111"/>
    </row>
    <row r="1356" spans="1:2" x14ac:dyDescent="0.2">
      <c r="A1356" s="95"/>
      <c r="B1356" s="111"/>
    </row>
    <row r="1357" spans="1:2" x14ac:dyDescent="0.2">
      <c r="A1357" s="95"/>
      <c r="B1357" s="111"/>
    </row>
    <row r="1358" spans="1:2" x14ac:dyDescent="0.2">
      <c r="A1358" s="95"/>
      <c r="B1358" s="111"/>
    </row>
    <row r="1359" spans="1:2" x14ac:dyDescent="0.2">
      <c r="A1359" s="95"/>
      <c r="B1359" s="111"/>
    </row>
    <row r="1360" spans="1:2" x14ac:dyDescent="0.2">
      <c r="A1360" s="95"/>
      <c r="B1360" s="111"/>
    </row>
    <row r="1361" spans="1:2" x14ac:dyDescent="0.2">
      <c r="A1361" s="95"/>
      <c r="B1361" s="111"/>
    </row>
    <row r="1362" spans="1:2" x14ac:dyDescent="0.2">
      <c r="A1362" s="95"/>
      <c r="B1362" s="111"/>
    </row>
    <row r="1363" spans="1:2" x14ac:dyDescent="0.2">
      <c r="A1363" s="95"/>
      <c r="B1363" s="111"/>
    </row>
    <row r="1364" spans="1:2" x14ac:dyDescent="0.2">
      <c r="A1364" s="95"/>
      <c r="B1364" s="111"/>
    </row>
    <row r="1365" spans="1:2" x14ac:dyDescent="0.2">
      <c r="A1365" s="95"/>
      <c r="B1365" s="111"/>
    </row>
    <row r="1366" spans="1:2" x14ac:dyDescent="0.2">
      <c r="A1366" s="95"/>
      <c r="B1366" s="111"/>
    </row>
    <row r="1367" spans="1:2" x14ac:dyDescent="0.2">
      <c r="A1367" s="95"/>
      <c r="B1367" s="111"/>
    </row>
    <row r="1368" spans="1:2" x14ac:dyDescent="0.2">
      <c r="A1368" s="95"/>
      <c r="B1368" s="111"/>
    </row>
    <row r="1369" spans="1:2" x14ac:dyDescent="0.2">
      <c r="A1369" s="95"/>
      <c r="B1369" s="111"/>
    </row>
    <row r="1370" spans="1:2" x14ac:dyDescent="0.2">
      <c r="A1370" s="95"/>
      <c r="B1370" s="111"/>
    </row>
    <row r="1371" spans="1:2" x14ac:dyDescent="0.2">
      <c r="A1371" s="95"/>
      <c r="B1371" s="111"/>
    </row>
    <row r="1372" spans="1:2" x14ac:dyDescent="0.2">
      <c r="A1372" s="95"/>
      <c r="B1372" s="111"/>
    </row>
    <row r="1373" spans="1:2" x14ac:dyDescent="0.2">
      <c r="A1373" s="95"/>
      <c r="B1373" s="111"/>
    </row>
    <row r="1374" spans="1:2" x14ac:dyDescent="0.2">
      <c r="A1374" s="95"/>
      <c r="B1374" s="111"/>
    </row>
    <row r="1375" spans="1:2" x14ac:dyDescent="0.2">
      <c r="A1375" s="95"/>
      <c r="B1375" s="111"/>
    </row>
    <row r="1376" spans="1:2" x14ac:dyDescent="0.2">
      <c r="A1376" s="95"/>
      <c r="B1376" s="111"/>
    </row>
    <row r="1377" spans="1:2" x14ac:dyDescent="0.2">
      <c r="A1377" s="95"/>
      <c r="B1377" s="111"/>
    </row>
    <row r="1378" spans="1:2" x14ac:dyDescent="0.2">
      <c r="A1378" s="95"/>
      <c r="B1378" s="111"/>
    </row>
    <row r="1379" spans="1:2" x14ac:dyDescent="0.2">
      <c r="A1379" s="95"/>
      <c r="B1379" s="111"/>
    </row>
    <row r="1380" spans="1:2" x14ac:dyDescent="0.2">
      <c r="A1380" s="95"/>
      <c r="B1380" s="111"/>
    </row>
    <row r="1381" spans="1:2" x14ac:dyDescent="0.2">
      <c r="A1381" s="95"/>
      <c r="B1381" s="111"/>
    </row>
    <row r="1382" spans="1:2" x14ac:dyDescent="0.2">
      <c r="A1382" s="95"/>
      <c r="B1382" s="111"/>
    </row>
    <row r="1383" spans="1:2" x14ac:dyDescent="0.2">
      <c r="A1383" s="95"/>
      <c r="B1383" s="111"/>
    </row>
    <row r="1384" spans="1:2" x14ac:dyDescent="0.2">
      <c r="A1384" s="95"/>
      <c r="B1384" s="111"/>
    </row>
    <row r="1385" spans="1:2" x14ac:dyDescent="0.2">
      <c r="A1385" s="95"/>
      <c r="B1385" s="111"/>
    </row>
    <row r="1386" spans="1:2" x14ac:dyDescent="0.2">
      <c r="A1386" s="95"/>
      <c r="B1386" s="111"/>
    </row>
    <row r="1387" spans="1:2" x14ac:dyDescent="0.2">
      <c r="A1387" s="95"/>
      <c r="B1387" s="111"/>
    </row>
    <row r="1388" spans="1:2" x14ac:dyDescent="0.2">
      <c r="A1388" s="95"/>
      <c r="B1388" s="111"/>
    </row>
    <row r="1389" spans="1:2" x14ac:dyDescent="0.2">
      <c r="A1389" s="95"/>
      <c r="B1389" s="111"/>
    </row>
    <row r="1390" spans="1:2" x14ac:dyDescent="0.2">
      <c r="A1390" s="95"/>
      <c r="B1390" s="111"/>
    </row>
    <row r="1391" spans="1:2" x14ac:dyDescent="0.2">
      <c r="A1391" s="95"/>
      <c r="B1391" s="111"/>
    </row>
    <row r="1392" spans="1:2" x14ac:dyDescent="0.2">
      <c r="A1392" s="95"/>
      <c r="B1392" s="111"/>
    </row>
    <row r="1393" spans="1:2" x14ac:dyDescent="0.2">
      <c r="A1393" s="95"/>
      <c r="B1393" s="111"/>
    </row>
    <row r="1394" spans="1:2" x14ac:dyDescent="0.2">
      <c r="A1394" s="95"/>
      <c r="B1394" s="111"/>
    </row>
    <row r="1395" spans="1:2" x14ac:dyDescent="0.2">
      <c r="A1395" s="95"/>
      <c r="B1395" s="111"/>
    </row>
    <row r="1396" spans="1:2" x14ac:dyDescent="0.2">
      <c r="A1396" s="95"/>
      <c r="B1396" s="111"/>
    </row>
    <row r="1397" spans="1:2" x14ac:dyDescent="0.2">
      <c r="A1397" s="95"/>
      <c r="B1397" s="111"/>
    </row>
    <row r="1398" spans="1:2" x14ac:dyDescent="0.2">
      <c r="A1398" s="95"/>
      <c r="B1398" s="111"/>
    </row>
    <row r="1399" spans="1:2" x14ac:dyDescent="0.2">
      <c r="A1399" s="95"/>
      <c r="B1399" s="111"/>
    </row>
    <row r="1400" spans="1:2" x14ac:dyDescent="0.2">
      <c r="A1400" s="95"/>
      <c r="B1400" s="111"/>
    </row>
    <row r="1401" spans="1:2" x14ac:dyDescent="0.2">
      <c r="A1401" s="95"/>
      <c r="B1401" s="111"/>
    </row>
    <row r="1402" spans="1:2" x14ac:dyDescent="0.2">
      <c r="A1402" s="95"/>
      <c r="B1402" s="111"/>
    </row>
    <row r="1403" spans="1:2" x14ac:dyDescent="0.2">
      <c r="A1403" s="95"/>
      <c r="B1403" s="111"/>
    </row>
    <row r="1404" spans="1:2" x14ac:dyDescent="0.2">
      <c r="A1404" s="95"/>
      <c r="B1404" s="111"/>
    </row>
    <row r="1405" spans="1:2" x14ac:dyDescent="0.2">
      <c r="A1405" s="95"/>
      <c r="B1405" s="111"/>
    </row>
    <row r="1406" spans="1:2" x14ac:dyDescent="0.2">
      <c r="A1406" s="95"/>
      <c r="B1406" s="111"/>
    </row>
    <row r="1407" spans="1:2" x14ac:dyDescent="0.2">
      <c r="A1407" s="95"/>
      <c r="B1407" s="111"/>
    </row>
    <row r="1408" spans="1:2" x14ac:dyDescent="0.2">
      <c r="A1408" s="95"/>
      <c r="B1408" s="111"/>
    </row>
    <row r="1409" spans="1:2" x14ac:dyDescent="0.2">
      <c r="A1409" s="95"/>
      <c r="B1409" s="111"/>
    </row>
    <row r="1410" spans="1:2" x14ac:dyDescent="0.2">
      <c r="A1410" s="95"/>
      <c r="B1410" s="111"/>
    </row>
    <row r="1411" spans="1:2" x14ac:dyDescent="0.2">
      <c r="A1411" s="95"/>
      <c r="B1411" s="111"/>
    </row>
    <row r="1412" spans="1:2" x14ac:dyDescent="0.2">
      <c r="A1412" s="95"/>
      <c r="B1412" s="111"/>
    </row>
    <row r="1413" spans="1:2" x14ac:dyDescent="0.2">
      <c r="A1413" s="95"/>
      <c r="B1413" s="111"/>
    </row>
    <row r="1414" spans="1:2" x14ac:dyDescent="0.2">
      <c r="A1414" s="95"/>
      <c r="B1414" s="111"/>
    </row>
    <row r="1415" spans="1:2" x14ac:dyDescent="0.2">
      <c r="A1415" s="95"/>
      <c r="B1415" s="111"/>
    </row>
    <row r="1416" spans="1:2" x14ac:dyDescent="0.2">
      <c r="A1416" s="95"/>
      <c r="B1416" s="111"/>
    </row>
    <row r="1417" spans="1:2" x14ac:dyDescent="0.2">
      <c r="A1417" s="95"/>
      <c r="B1417" s="111"/>
    </row>
    <row r="1418" spans="1:2" x14ac:dyDescent="0.2">
      <c r="A1418" s="95"/>
      <c r="B1418" s="111"/>
    </row>
    <row r="1419" spans="1:2" x14ac:dyDescent="0.2">
      <c r="A1419" s="95"/>
      <c r="B1419" s="111"/>
    </row>
    <row r="1420" spans="1:2" x14ac:dyDescent="0.2">
      <c r="A1420" s="95"/>
      <c r="B1420" s="111"/>
    </row>
    <row r="1421" spans="1:2" x14ac:dyDescent="0.2">
      <c r="A1421" s="95"/>
      <c r="B1421" s="111"/>
    </row>
    <row r="1422" spans="1:2" x14ac:dyDescent="0.2">
      <c r="A1422" s="95"/>
      <c r="B1422" s="111"/>
    </row>
    <row r="1423" spans="1:2" x14ac:dyDescent="0.2">
      <c r="A1423" s="95"/>
      <c r="B1423" s="111"/>
    </row>
    <row r="1424" spans="1:2" x14ac:dyDescent="0.2">
      <c r="A1424" s="95"/>
      <c r="B1424" s="111"/>
    </row>
    <row r="1425" spans="1:2" x14ac:dyDescent="0.2">
      <c r="A1425" s="95"/>
      <c r="B1425" s="111"/>
    </row>
    <row r="1426" spans="1:2" x14ac:dyDescent="0.2">
      <c r="A1426" s="95"/>
      <c r="B1426" s="111"/>
    </row>
    <row r="1427" spans="1:2" x14ac:dyDescent="0.2">
      <c r="A1427" s="95"/>
      <c r="B1427" s="111"/>
    </row>
    <row r="1428" spans="1:2" x14ac:dyDescent="0.2">
      <c r="A1428" s="95"/>
      <c r="B1428" s="111"/>
    </row>
    <row r="1429" spans="1:2" x14ac:dyDescent="0.2">
      <c r="A1429" s="95"/>
      <c r="B1429" s="111"/>
    </row>
    <row r="1430" spans="1:2" x14ac:dyDescent="0.2">
      <c r="A1430" s="95"/>
      <c r="B1430" s="111"/>
    </row>
    <row r="1431" spans="1:2" x14ac:dyDescent="0.2">
      <c r="A1431" s="95"/>
      <c r="B1431" s="111"/>
    </row>
    <row r="1432" spans="1:2" x14ac:dyDescent="0.2">
      <c r="A1432" s="95"/>
      <c r="B1432" s="111"/>
    </row>
    <row r="1433" spans="1:2" x14ac:dyDescent="0.2">
      <c r="A1433" s="95"/>
      <c r="B1433" s="111"/>
    </row>
    <row r="1434" spans="1:2" x14ac:dyDescent="0.2">
      <c r="A1434" s="95"/>
      <c r="B1434" s="111"/>
    </row>
    <row r="1435" spans="1:2" x14ac:dyDescent="0.2">
      <c r="A1435" s="95"/>
      <c r="B1435" s="111"/>
    </row>
    <row r="1436" spans="1:2" x14ac:dyDescent="0.2">
      <c r="A1436" s="95"/>
      <c r="B1436" s="111"/>
    </row>
    <row r="1437" spans="1:2" x14ac:dyDescent="0.2">
      <c r="A1437" s="95"/>
      <c r="B1437" s="111"/>
    </row>
    <row r="1438" spans="1:2" x14ac:dyDescent="0.2">
      <c r="A1438" s="95"/>
      <c r="B1438" s="111"/>
    </row>
    <row r="1439" spans="1:2" x14ac:dyDescent="0.2">
      <c r="A1439" s="95"/>
      <c r="B1439" s="111"/>
    </row>
    <row r="1440" spans="1:2" x14ac:dyDescent="0.2">
      <c r="A1440" s="95"/>
      <c r="B1440" s="111"/>
    </row>
    <row r="1441" spans="1:2" x14ac:dyDescent="0.2">
      <c r="A1441" s="95"/>
      <c r="B1441" s="111"/>
    </row>
    <row r="1442" spans="1:2" x14ac:dyDescent="0.2">
      <c r="A1442" s="95"/>
      <c r="B1442" s="111"/>
    </row>
    <row r="1443" spans="1:2" x14ac:dyDescent="0.2">
      <c r="A1443" s="95"/>
      <c r="B1443" s="111"/>
    </row>
    <row r="1444" spans="1:2" x14ac:dyDescent="0.2">
      <c r="A1444" s="95"/>
      <c r="B1444" s="111"/>
    </row>
    <row r="1445" spans="1:2" x14ac:dyDescent="0.2">
      <c r="A1445" s="95"/>
      <c r="B1445" s="111"/>
    </row>
    <row r="1446" spans="1:2" x14ac:dyDescent="0.2">
      <c r="A1446" s="95"/>
      <c r="B1446" s="111"/>
    </row>
    <row r="1447" spans="1:2" x14ac:dyDescent="0.2">
      <c r="A1447" s="95"/>
      <c r="B1447" s="111"/>
    </row>
    <row r="1448" spans="1:2" x14ac:dyDescent="0.2">
      <c r="A1448" s="95"/>
      <c r="B1448" s="111"/>
    </row>
    <row r="1449" spans="1:2" x14ac:dyDescent="0.2">
      <c r="A1449" s="95"/>
      <c r="B1449" s="111"/>
    </row>
    <row r="1450" spans="1:2" x14ac:dyDescent="0.2">
      <c r="A1450" s="95"/>
      <c r="B1450" s="111"/>
    </row>
    <row r="1451" spans="1:2" x14ac:dyDescent="0.2">
      <c r="A1451" s="95"/>
      <c r="B1451" s="111"/>
    </row>
    <row r="1452" spans="1:2" x14ac:dyDescent="0.2">
      <c r="A1452" s="95"/>
      <c r="B1452" s="111"/>
    </row>
    <row r="1453" spans="1:2" x14ac:dyDescent="0.2">
      <c r="A1453" s="95"/>
      <c r="B1453" s="111"/>
    </row>
    <row r="1454" spans="1:2" x14ac:dyDescent="0.2">
      <c r="A1454" s="95"/>
      <c r="B1454" s="111"/>
    </row>
    <row r="1455" spans="1:2" x14ac:dyDescent="0.2">
      <c r="A1455" s="95"/>
      <c r="B1455" s="111"/>
    </row>
    <row r="1456" spans="1:2" x14ac:dyDescent="0.2">
      <c r="A1456" s="95"/>
      <c r="B1456" s="111"/>
    </row>
    <row r="1457" spans="1:2" x14ac:dyDescent="0.2">
      <c r="A1457" s="95"/>
      <c r="B1457" s="111"/>
    </row>
    <row r="1458" spans="1:2" x14ac:dyDescent="0.2">
      <c r="A1458" s="95"/>
      <c r="B1458" s="111"/>
    </row>
    <row r="1459" spans="1:2" x14ac:dyDescent="0.2">
      <c r="A1459" s="95"/>
      <c r="B1459" s="111"/>
    </row>
    <row r="1460" spans="1:2" x14ac:dyDescent="0.2">
      <c r="A1460" s="95"/>
      <c r="B1460" s="111"/>
    </row>
    <row r="1461" spans="1:2" x14ac:dyDescent="0.2">
      <c r="A1461" s="95"/>
      <c r="B1461" s="111"/>
    </row>
    <row r="1462" spans="1:2" x14ac:dyDescent="0.2">
      <c r="A1462" s="95"/>
      <c r="B1462" s="111"/>
    </row>
    <row r="1463" spans="1:2" x14ac:dyDescent="0.2">
      <c r="A1463" s="95"/>
      <c r="B1463" s="111"/>
    </row>
    <row r="1464" spans="1:2" x14ac:dyDescent="0.2">
      <c r="A1464" s="95"/>
      <c r="B1464" s="111"/>
    </row>
    <row r="1465" spans="1:2" x14ac:dyDescent="0.2">
      <c r="A1465" s="95"/>
      <c r="B1465" s="111"/>
    </row>
    <row r="1466" spans="1:2" x14ac:dyDescent="0.2">
      <c r="A1466" s="95"/>
      <c r="B1466" s="111"/>
    </row>
    <row r="1467" spans="1:2" x14ac:dyDescent="0.2">
      <c r="A1467" s="95"/>
      <c r="B1467" s="111"/>
    </row>
    <row r="1468" spans="1:2" x14ac:dyDescent="0.2">
      <c r="A1468" s="95"/>
      <c r="B1468" s="111"/>
    </row>
    <row r="1469" spans="1:2" x14ac:dyDescent="0.2">
      <c r="A1469" s="95"/>
      <c r="B1469" s="111"/>
    </row>
    <row r="1470" spans="1:2" x14ac:dyDescent="0.2">
      <c r="A1470" s="95"/>
      <c r="B1470" s="111"/>
    </row>
    <row r="1471" spans="1:2" x14ac:dyDescent="0.2">
      <c r="A1471" s="95"/>
      <c r="B1471" s="111"/>
    </row>
    <row r="1472" spans="1:2" x14ac:dyDescent="0.2">
      <c r="A1472" s="95"/>
      <c r="B1472" s="111"/>
    </row>
    <row r="1473" spans="1:2" x14ac:dyDescent="0.2">
      <c r="A1473" s="95"/>
      <c r="B1473" s="111"/>
    </row>
    <row r="1474" spans="1:2" x14ac:dyDescent="0.2">
      <c r="A1474" s="95"/>
      <c r="B1474" s="111"/>
    </row>
    <row r="1475" spans="1:2" x14ac:dyDescent="0.2">
      <c r="A1475" s="95"/>
      <c r="B1475" s="111"/>
    </row>
    <row r="1476" spans="1:2" x14ac:dyDescent="0.2">
      <c r="A1476" s="95"/>
      <c r="B1476" s="111"/>
    </row>
    <row r="1477" spans="1:2" x14ac:dyDescent="0.2">
      <c r="A1477" s="95"/>
      <c r="B1477" s="111"/>
    </row>
    <row r="1478" spans="1:2" x14ac:dyDescent="0.2">
      <c r="A1478" s="95"/>
      <c r="B1478" s="111"/>
    </row>
    <row r="1479" spans="1:2" x14ac:dyDescent="0.2">
      <c r="A1479" s="95"/>
      <c r="B1479" s="111"/>
    </row>
    <row r="1480" spans="1:2" x14ac:dyDescent="0.2">
      <c r="A1480" s="95"/>
      <c r="B1480" s="111"/>
    </row>
    <row r="1481" spans="1:2" x14ac:dyDescent="0.2">
      <c r="A1481" s="95"/>
      <c r="B1481" s="111"/>
    </row>
    <row r="1482" spans="1:2" x14ac:dyDescent="0.2">
      <c r="A1482" s="95"/>
      <c r="B1482" s="111"/>
    </row>
    <row r="1483" spans="1:2" x14ac:dyDescent="0.2">
      <c r="A1483" s="95"/>
      <c r="B1483" s="111"/>
    </row>
    <row r="1484" spans="1:2" x14ac:dyDescent="0.2">
      <c r="A1484" s="95"/>
      <c r="B1484" s="111"/>
    </row>
    <row r="1485" spans="1:2" x14ac:dyDescent="0.2">
      <c r="A1485" s="95"/>
      <c r="B1485" s="111"/>
    </row>
    <row r="1486" spans="1:2" x14ac:dyDescent="0.2">
      <c r="A1486" s="95"/>
      <c r="B1486" s="111"/>
    </row>
    <row r="1487" spans="1:2" x14ac:dyDescent="0.2">
      <c r="A1487" s="95"/>
      <c r="B1487" s="111"/>
    </row>
    <row r="1488" spans="1:2" x14ac:dyDescent="0.2">
      <c r="A1488" s="95"/>
      <c r="B1488" s="111"/>
    </row>
    <row r="1489" spans="1:2" x14ac:dyDescent="0.2">
      <c r="A1489" s="95"/>
      <c r="B1489" s="111"/>
    </row>
    <row r="1490" spans="1:2" x14ac:dyDescent="0.2">
      <c r="A1490" s="95"/>
      <c r="B1490" s="111"/>
    </row>
    <row r="1491" spans="1:2" x14ac:dyDescent="0.2">
      <c r="A1491" s="95"/>
      <c r="B1491" s="111"/>
    </row>
    <row r="1492" spans="1:2" x14ac:dyDescent="0.2">
      <c r="A1492" s="95"/>
      <c r="B1492" s="111"/>
    </row>
    <row r="1493" spans="1:2" x14ac:dyDescent="0.2">
      <c r="A1493" s="95"/>
      <c r="B1493" s="111"/>
    </row>
    <row r="1494" spans="1:2" x14ac:dyDescent="0.2">
      <c r="A1494" s="95"/>
      <c r="B1494" s="111"/>
    </row>
    <row r="1495" spans="1:2" x14ac:dyDescent="0.2">
      <c r="A1495" s="95"/>
      <c r="B1495" s="111"/>
    </row>
    <row r="1496" spans="1:2" x14ac:dyDescent="0.2">
      <c r="A1496" s="95"/>
      <c r="B1496" s="111"/>
    </row>
    <row r="1497" spans="1:2" x14ac:dyDescent="0.2">
      <c r="A1497" s="95"/>
      <c r="B1497" s="111"/>
    </row>
    <row r="1498" spans="1:2" x14ac:dyDescent="0.2">
      <c r="A1498" s="95"/>
      <c r="B1498" s="111"/>
    </row>
    <row r="1499" spans="1:2" x14ac:dyDescent="0.2">
      <c r="A1499" s="95"/>
      <c r="B1499" s="111"/>
    </row>
    <row r="1500" spans="1:2" x14ac:dyDescent="0.2">
      <c r="A1500" s="95"/>
      <c r="B1500" s="111"/>
    </row>
    <row r="1501" spans="1:2" x14ac:dyDescent="0.2">
      <c r="A1501" s="95"/>
      <c r="B1501" s="111"/>
    </row>
    <row r="1502" spans="1:2" x14ac:dyDescent="0.2">
      <c r="A1502" s="95"/>
      <c r="B1502" s="111"/>
    </row>
    <row r="1503" spans="1:2" x14ac:dyDescent="0.2">
      <c r="A1503" s="95"/>
      <c r="B1503" s="111"/>
    </row>
    <row r="1504" spans="1:2" x14ac:dyDescent="0.2">
      <c r="A1504" s="95"/>
      <c r="B1504" s="111"/>
    </row>
    <row r="1505" spans="1:2" x14ac:dyDescent="0.2">
      <c r="A1505" s="95"/>
      <c r="B1505" s="111"/>
    </row>
    <row r="1506" spans="1:2" x14ac:dyDescent="0.2">
      <c r="A1506" s="95"/>
      <c r="B1506" s="111"/>
    </row>
    <row r="1507" spans="1:2" x14ac:dyDescent="0.2">
      <c r="A1507" s="95"/>
      <c r="B1507" s="111"/>
    </row>
    <row r="1508" spans="1:2" x14ac:dyDescent="0.2">
      <c r="A1508" s="95"/>
      <c r="B1508" s="111"/>
    </row>
    <row r="1509" spans="1:2" x14ac:dyDescent="0.2">
      <c r="A1509" s="95"/>
      <c r="B1509" s="111"/>
    </row>
    <row r="1510" spans="1:2" x14ac:dyDescent="0.2">
      <c r="A1510" s="95"/>
      <c r="B1510" s="111"/>
    </row>
    <row r="1511" spans="1:2" x14ac:dyDescent="0.2">
      <c r="A1511" s="95"/>
      <c r="B1511" s="111"/>
    </row>
    <row r="1512" spans="1:2" x14ac:dyDescent="0.2">
      <c r="A1512" s="95"/>
      <c r="B1512" s="111"/>
    </row>
    <row r="1513" spans="1:2" x14ac:dyDescent="0.2">
      <c r="A1513" s="95"/>
      <c r="B1513" s="111"/>
    </row>
    <row r="1514" spans="1:2" x14ac:dyDescent="0.2">
      <c r="A1514" s="95"/>
      <c r="B1514" s="111"/>
    </row>
    <row r="1515" spans="1:2" x14ac:dyDescent="0.2">
      <c r="A1515" s="95"/>
      <c r="B1515" s="111"/>
    </row>
    <row r="1516" spans="1:2" x14ac:dyDescent="0.2">
      <c r="A1516" s="95"/>
      <c r="B1516" s="111"/>
    </row>
    <row r="1517" spans="1:2" x14ac:dyDescent="0.2">
      <c r="A1517" s="95"/>
      <c r="B1517" s="111"/>
    </row>
    <row r="1518" spans="1:2" x14ac:dyDescent="0.2">
      <c r="A1518" s="95"/>
      <c r="B1518" s="111"/>
    </row>
    <row r="1519" spans="1:2" x14ac:dyDescent="0.2">
      <c r="A1519" s="95"/>
      <c r="B1519" s="111"/>
    </row>
    <row r="1520" spans="1:2" x14ac:dyDescent="0.2">
      <c r="A1520" s="95"/>
      <c r="B1520" s="111"/>
    </row>
    <row r="1521" spans="1:2" x14ac:dyDescent="0.2">
      <c r="A1521" s="95"/>
      <c r="B1521" s="111"/>
    </row>
    <row r="1522" spans="1:2" x14ac:dyDescent="0.2">
      <c r="A1522" s="95"/>
      <c r="B1522" s="111"/>
    </row>
    <row r="1523" spans="1:2" x14ac:dyDescent="0.2">
      <c r="A1523" s="95"/>
      <c r="B1523" s="111"/>
    </row>
    <row r="1524" spans="1:2" x14ac:dyDescent="0.2">
      <c r="A1524" s="95"/>
      <c r="B1524" s="111"/>
    </row>
    <row r="1525" spans="1:2" x14ac:dyDescent="0.2">
      <c r="A1525" s="95"/>
      <c r="B1525" s="111"/>
    </row>
    <row r="1526" spans="1:2" x14ac:dyDescent="0.2">
      <c r="A1526" s="95"/>
      <c r="B1526" s="111"/>
    </row>
    <row r="1527" spans="1:2" x14ac:dyDescent="0.2">
      <c r="A1527" s="95"/>
      <c r="B1527" s="111"/>
    </row>
    <row r="1528" spans="1:2" x14ac:dyDescent="0.2">
      <c r="A1528" s="95"/>
      <c r="B1528" s="111"/>
    </row>
    <row r="1529" spans="1:2" x14ac:dyDescent="0.2">
      <c r="A1529" s="95"/>
      <c r="B1529" s="111"/>
    </row>
    <row r="1530" spans="1:2" x14ac:dyDescent="0.2">
      <c r="A1530" s="95"/>
      <c r="B1530" s="111"/>
    </row>
    <row r="1531" spans="1:2" x14ac:dyDescent="0.2">
      <c r="A1531" s="95"/>
      <c r="B1531" s="111"/>
    </row>
    <row r="1532" spans="1:2" x14ac:dyDescent="0.2">
      <c r="A1532" s="95"/>
      <c r="B1532" s="111"/>
    </row>
    <row r="1533" spans="1:2" x14ac:dyDescent="0.2">
      <c r="A1533" s="95"/>
      <c r="B1533" s="111"/>
    </row>
    <row r="1534" spans="1:2" x14ac:dyDescent="0.2">
      <c r="A1534" s="95"/>
      <c r="B1534" s="111"/>
    </row>
    <row r="1535" spans="1:2" x14ac:dyDescent="0.2">
      <c r="A1535" s="95"/>
      <c r="B1535" s="111"/>
    </row>
    <row r="1536" spans="1:2" x14ac:dyDescent="0.2">
      <c r="A1536" s="95"/>
      <c r="B1536" s="111"/>
    </row>
    <row r="1537" spans="1:2" x14ac:dyDescent="0.2">
      <c r="A1537" s="95"/>
      <c r="B1537" s="111"/>
    </row>
    <row r="1538" spans="1:2" x14ac:dyDescent="0.2">
      <c r="A1538" s="95"/>
      <c r="B1538" s="111"/>
    </row>
    <row r="1539" spans="1:2" x14ac:dyDescent="0.2">
      <c r="A1539" s="95"/>
      <c r="B1539" s="111"/>
    </row>
    <row r="1540" spans="1:2" x14ac:dyDescent="0.2">
      <c r="A1540" s="95"/>
      <c r="B1540" s="111"/>
    </row>
    <row r="1541" spans="1:2" x14ac:dyDescent="0.2">
      <c r="A1541" s="95"/>
      <c r="B1541" s="111"/>
    </row>
    <row r="1542" spans="1:2" x14ac:dyDescent="0.2">
      <c r="A1542" s="95"/>
      <c r="B1542" s="111"/>
    </row>
    <row r="1543" spans="1:2" x14ac:dyDescent="0.2">
      <c r="A1543" s="95"/>
      <c r="B1543" s="111"/>
    </row>
    <row r="1544" spans="1:2" x14ac:dyDescent="0.2">
      <c r="A1544" s="95"/>
      <c r="B1544" s="111"/>
    </row>
    <row r="1545" spans="1:2" x14ac:dyDescent="0.2">
      <c r="A1545" s="95"/>
      <c r="B1545" s="111"/>
    </row>
    <row r="1546" spans="1:2" x14ac:dyDescent="0.2">
      <c r="A1546" s="95"/>
      <c r="B1546" s="111"/>
    </row>
    <row r="1547" spans="1:2" x14ac:dyDescent="0.2">
      <c r="A1547" s="95"/>
      <c r="B1547" s="111"/>
    </row>
    <row r="1548" spans="1:2" x14ac:dyDescent="0.2">
      <c r="A1548" s="95"/>
      <c r="B1548" s="111"/>
    </row>
    <row r="1549" spans="1:2" x14ac:dyDescent="0.2">
      <c r="A1549" s="95"/>
      <c r="B1549" s="111"/>
    </row>
    <row r="1550" spans="1:2" x14ac:dyDescent="0.2">
      <c r="A1550" s="95"/>
      <c r="B1550" s="111"/>
    </row>
    <row r="1551" spans="1:2" x14ac:dyDescent="0.2">
      <c r="A1551" s="95"/>
      <c r="B1551" s="111"/>
    </row>
    <row r="1552" spans="1:2" x14ac:dyDescent="0.2">
      <c r="A1552" s="95"/>
      <c r="B1552" s="111"/>
    </row>
    <row r="1553" spans="1:2" x14ac:dyDescent="0.2">
      <c r="A1553" s="95"/>
      <c r="B1553" s="111"/>
    </row>
    <row r="1554" spans="1:2" x14ac:dyDescent="0.2">
      <c r="A1554" s="95"/>
      <c r="B1554" s="111"/>
    </row>
    <row r="1555" spans="1:2" x14ac:dyDescent="0.2">
      <c r="A1555" s="95"/>
      <c r="B1555" s="111"/>
    </row>
    <row r="1556" spans="1:2" x14ac:dyDescent="0.2">
      <c r="A1556" s="95"/>
      <c r="B1556" s="111"/>
    </row>
    <row r="1557" spans="1:2" x14ac:dyDescent="0.2">
      <c r="A1557" s="95"/>
      <c r="B1557" s="111"/>
    </row>
    <row r="1558" spans="1:2" x14ac:dyDescent="0.2">
      <c r="A1558" s="95"/>
      <c r="B1558" s="111"/>
    </row>
    <row r="1559" spans="1:2" x14ac:dyDescent="0.2">
      <c r="A1559" s="95"/>
      <c r="B1559" s="111"/>
    </row>
    <row r="1560" spans="1:2" x14ac:dyDescent="0.2">
      <c r="A1560" s="95"/>
      <c r="B1560" s="111"/>
    </row>
    <row r="1561" spans="1:2" x14ac:dyDescent="0.2">
      <c r="A1561" s="95"/>
      <c r="B1561" s="111"/>
    </row>
    <row r="1562" spans="1:2" x14ac:dyDescent="0.2">
      <c r="A1562" s="95"/>
      <c r="B1562" s="111"/>
    </row>
    <row r="1563" spans="1:2" x14ac:dyDescent="0.2">
      <c r="A1563" s="95"/>
      <c r="B1563" s="111"/>
    </row>
    <row r="1564" spans="1:2" x14ac:dyDescent="0.2">
      <c r="A1564" s="95"/>
      <c r="B1564" s="111"/>
    </row>
    <row r="1565" spans="1:2" x14ac:dyDescent="0.2">
      <c r="A1565" s="95"/>
      <c r="B1565" s="111"/>
    </row>
    <row r="1566" spans="1:2" x14ac:dyDescent="0.2">
      <c r="A1566" s="95"/>
      <c r="B1566" s="111"/>
    </row>
    <row r="1567" spans="1:2" x14ac:dyDescent="0.2">
      <c r="A1567" s="95"/>
      <c r="B1567" s="111"/>
    </row>
    <row r="1568" spans="1:2" x14ac:dyDescent="0.2">
      <c r="A1568" s="95"/>
      <c r="B1568" s="111"/>
    </row>
    <row r="1569" spans="1:2" x14ac:dyDescent="0.2">
      <c r="A1569" s="95"/>
      <c r="B1569" s="111"/>
    </row>
    <row r="1570" spans="1:2" x14ac:dyDescent="0.2">
      <c r="A1570" s="95"/>
      <c r="B1570" s="111"/>
    </row>
    <row r="1571" spans="1:2" x14ac:dyDescent="0.2">
      <c r="A1571" s="95"/>
      <c r="B1571" s="111"/>
    </row>
    <row r="1572" spans="1:2" x14ac:dyDescent="0.2">
      <c r="A1572" s="95"/>
      <c r="B1572" s="111"/>
    </row>
    <row r="1573" spans="1:2" x14ac:dyDescent="0.2">
      <c r="A1573" s="95"/>
      <c r="B1573" s="111"/>
    </row>
    <row r="1574" spans="1:2" x14ac:dyDescent="0.2">
      <c r="A1574" s="95"/>
      <c r="B1574" s="111"/>
    </row>
    <row r="1575" spans="1:2" x14ac:dyDescent="0.2">
      <c r="A1575" s="95"/>
      <c r="B1575" s="111"/>
    </row>
    <row r="1576" spans="1:2" x14ac:dyDescent="0.2">
      <c r="A1576" s="95"/>
      <c r="B1576" s="111"/>
    </row>
    <row r="1577" spans="1:2" x14ac:dyDescent="0.2">
      <c r="A1577" s="95"/>
      <c r="B1577" s="111"/>
    </row>
    <row r="1578" spans="1:2" x14ac:dyDescent="0.2">
      <c r="A1578" s="95"/>
      <c r="B1578" s="111"/>
    </row>
    <row r="1579" spans="1:2" x14ac:dyDescent="0.2">
      <c r="A1579" s="95"/>
      <c r="B1579" s="111"/>
    </row>
    <row r="1580" spans="1:2" x14ac:dyDescent="0.2">
      <c r="A1580" s="95"/>
      <c r="B1580" s="111"/>
    </row>
    <row r="1581" spans="1:2" x14ac:dyDescent="0.2">
      <c r="A1581" s="95"/>
      <c r="B1581" s="111"/>
    </row>
    <row r="1582" spans="1:2" x14ac:dyDescent="0.2">
      <c r="A1582" s="95"/>
      <c r="B1582" s="111"/>
    </row>
    <row r="1583" spans="1:2" x14ac:dyDescent="0.2">
      <c r="A1583" s="95"/>
      <c r="B1583" s="111"/>
    </row>
    <row r="1584" spans="1:2" x14ac:dyDescent="0.2">
      <c r="A1584" s="95"/>
      <c r="B1584" s="111"/>
    </row>
    <row r="1585" spans="1:2" x14ac:dyDescent="0.2">
      <c r="A1585" s="95"/>
      <c r="B1585" s="111"/>
    </row>
    <row r="1586" spans="1:2" x14ac:dyDescent="0.2">
      <c r="A1586" s="95"/>
      <c r="B1586" s="111"/>
    </row>
    <row r="1587" spans="1:2" x14ac:dyDescent="0.2">
      <c r="A1587" s="95"/>
      <c r="B1587" s="111"/>
    </row>
    <row r="1588" spans="1:2" x14ac:dyDescent="0.2">
      <c r="A1588" s="95"/>
      <c r="B1588" s="111"/>
    </row>
    <row r="1589" spans="1:2" x14ac:dyDescent="0.2">
      <c r="A1589" s="95"/>
      <c r="B1589" s="111"/>
    </row>
    <row r="1590" spans="1:2" x14ac:dyDescent="0.2">
      <c r="A1590" s="95"/>
      <c r="B1590" s="111"/>
    </row>
    <row r="1591" spans="1:2" x14ac:dyDescent="0.2">
      <c r="A1591" s="95"/>
      <c r="B1591" s="111"/>
    </row>
    <row r="1592" spans="1:2" x14ac:dyDescent="0.2">
      <c r="A1592" s="95"/>
      <c r="B1592" s="111"/>
    </row>
    <row r="1593" spans="1:2" x14ac:dyDescent="0.2">
      <c r="A1593" s="95"/>
      <c r="B1593" s="111"/>
    </row>
    <row r="1594" spans="1:2" x14ac:dyDescent="0.2">
      <c r="A1594" s="95"/>
      <c r="B1594" s="111"/>
    </row>
    <row r="1595" spans="1:2" x14ac:dyDescent="0.2">
      <c r="A1595" s="95"/>
      <c r="B1595" s="111"/>
    </row>
    <row r="1596" spans="1:2" x14ac:dyDescent="0.2">
      <c r="A1596" s="95"/>
      <c r="B1596" s="111"/>
    </row>
    <row r="1597" spans="1:2" x14ac:dyDescent="0.2">
      <c r="A1597" s="95"/>
      <c r="B1597" s="111"/>
    </row>
    <row r="1598" spans="1:2" x14ac:dyDescent="0.2">
      <c r="A1598" s="95"/>
      <c r="B1598" s="111"/>
    </row>
    <row r="1599" spans="1:2" x14ac:dyDescent="0.2">
      <c r="A1599" s="95"/>
      <c r="B1599" s="111"/>
    </row>
    <row r="1600" spans="1:2" x14ac:dyDescent="0.2">
      <c r="A1600" s="95"/>
      <c r="B1600" s="111"/>
    </row>
    <row r="1601" spans="1:2" x14ac:dyDescent="0.2">
      <c r="A1601" s="95"/>
      <c r="B1601" s="111"/>
    </row>
    <row r="1602" spans="1:2" x14ac:dyDescent="0.2">
      <c r="A1602" s="95"/>
      <c r="B1602" s="111"/>
    </row>
    <row r="1603" spans="1:2" x14ac:dyDescent="0.2">
      <c r="A1603" s="95"/>
      <c r="B1603" s="111"/>
    </row>
    <row r="1604" spans="1:2" x14ac:dyDescent="0.2">
      <c r="A1604" s="95"/>
      <c r="B1604" s="111"/>
    </row>
    <row r="1605" spans="1:2" x14ac:dyDescent="0.2">
      <c r="A1605" s="95"/>
      <c r="B1605" s="111"/>
    </row>
    <row r="1606" spans="1:2" x14ac:dyDescent="0.2">
      <c r="A1606" s="95"/>
      <c r="B1606" s="111"/>
    </row>
    <row r="1607" spans="1:2" x14ac:dyDescent="0.2">
      <c r="A1607" s="95"/>
      <c r="B1607" s="111"/>
    </row>
    <row r="1608" spans="1:2" x14ac:dyDescent="0.2">
      <c r="A1608" s="95"/>
      <c r="B1608" s="111"/>
    </row>
    <row r="1609" spans="1:2" x14ac:dyDescent="0.2">
      <c r="A1609" s="95"/>
      <c r="B1609" s="111"/>
    </row>
    <row r="1610" spans="1:2" x14ac:dyDescent="0.2">
      <c r="A1610" s="95"/>
      <c r="B1610" s="111"/>
    </row>
    <row r="1611" spans="1:2" x14ac:dyDescent="0.2">
      <c r="A1611" s="95"/>
      <c r="B1611" s="111"/>
    </row>
    <row r="1612" spans="1:2" x14ac:dyDescent="0.2">
      <c r="A1612" s="95"/>
      <c r="B1612" s="111"/>
    </row>
    <row r="1613" spans="1:2" x14ac:dyDescent="0.2">
      <c r="A1613" s="95"/>
      <c r="B1613" s="111"/>
    </row>
    <row r="1614" spans="1:2" x14ac:dyDescent="0.2">
      <c r="A1614" s="95"/>
      <c r="B1614" s="111"/>
    </row>
    <row r="1615" spans="1:2" x14ac:dyDescent="0.2">
      <c r="A1615" s="95"/>
      <c r="B1615" s="111"/>
    </row>
    <row r="1616" spans="1:2" x14ac:dyDescent="0.2">
      <c r="A1616" s="95"/>
      <c r="B1616" s="111"/>
    </row>
    <row r="1617" spans="1:2" x14ac:dyDescent="0.2">
      <c r="A1617" s="95"/>
      <c r="B1617" s="111"/>
    </row>
    <row r="1618" spans="1:2" x14ac:dyDescent="0.2">
      <c r="A1618" s="95"/>
      <c r="B1618" s="111"/>
    </row>
    <row r="1619" spans="1:2" x14ac:dyDescent="0.2">
      <c r="A1619" s="95"/>
      <c r="B1619" s="111"/>
    </row>
    <row r="1620" spans="1:2" x14ac:dyDescent="0.2">
      <c r="A1620" s="95"/>
      <c r="B1620" s="111"/>
    </row>
    <row r="1621" spans="1:2" x14ac:dyDescent="0.2">
      <c r="A1621" s="95"/>
      <c r="B1621" s="111"/>
    </row>
    <row r="1622" spans="1:2" x14ac:dyDescent="0.2">
      <c r="A1622" s="95"/>
      <c r="B1622" s="111"/>
    </row>
    <row r="1623" spans="1:2" x14ac:dyDescent="0.2">
      <c r="A1623" s="95"/>
      <c r="B1623" s="111"/>
    </row>
    <row r="1624" spans="1:2" x14ac:dyDescent="0.2">
      <c r="A1624" s="95"/>
      <c r="B1624" s="111"/>
    </row>
    <row r="1625" spans="1:2" x14ac:dyDescent="0.2">
      <c r="A1625" s="95"/>
      <c r="B1625" s="111"/>
    </row>
    <row r="1626" spans="1:2" x14ac:dyDescent="0.2">
      <c r="A1626" s="95"/>
      <c r="B1626" s="111"/>
    </row>
    <row r="1627" spans="1:2" x14ac:dyDescent="0.2">
      <c r="A1627" s="95"/>
      <c r="B1627" s="111"/>
    </row>
    <row r="1628" spans="1:2" x14ac:dyDescent="0.2">
      <c r="A1628" s="95"/>
      <c r="B1628" s="111"/>
    </row>
    <row r="1629" spans="1:2" x14ac:dyDescent="0.2">
      <c r="A1629" s="95"/>
      <c r="B1629" s="111"/>
    </row>
    <row r="1630" spans="1:2" x14ac:dyDescent="0.2">
      <c r="A1630" s="95"/>
      <c r="B1630" s="111"/>
    </row>
    <row r="1631" spans="1:2" x14ac:dyDescent="0.2">
      <c r="A1631" s="95"/>
      <c r="B1631" s="111"/>
    </row>
    <row r="1632" spans="1:2" x14ac:dyDescent="0.2">
      <c r="A1632" s="95"/>
      <c r="B1632" s="111"/>
    </row>
    <row r="1633" spans="1:2" x14ac:dyDescent="0.2">
      <c r="A1633" s="95"/>
      <c r="B1633" s="111"/>
    </row>
    <row r="1634" spans="1:2" x14ac:dyDescent="0.2">
      <c r="A1634" s="95"/>
      <c r="B1634" s="111"/>
    </row>
    <row r="1635" spans="1:2" x14ac:dyDescent="0.2">
      <c r="A1635" s="95"/>
      <c r="B1635" s="111"/>
    </row>
    <row r="1636" spans="1:2" x14ac:dyDescent="0.2">
      <c r="A1636" s="95"/>
      <c r="B1636" s="111"/>
    </row>
    <row r="1637" spans="1:2" x14ac:dyDescent="0.2">
      <c r="A1637" s="95"/>
      <c r="B1637" s="111"/>
    </row>
    <row r="1638" spans="1:2" x14ac:dyDescent="0.2">
      <c r="A1638" s="95"/>
      <c r="B1638" s="111"/>
    </row>
    <row r="1639" spans="1:2" x14ac:dyDescent="0.2">
      <c r="A1639" s="95"/>
      <c r="B1639" s="111"/>
    </row>
    <row r="1640" spans="1:2" x14ac:dyDescent="0.2">
      <c r="A1640" s="95"/>
      <c r="B1640" s="111"/>
    </row>
    <row r="1641" spans="1:2" x14ac:dyDescent="0.2">
      <c r="A1641" s="95"/>
      <c r="B1641" s="111"/>
    </row>
    <row r="1642" spans="1:2" x14ac:dyDescent="0.2">
      <c r="A1642" s="95"/>
      <c r="B1642" s="111"/>
    </row>
    <row r="1643" spans="1:2" x14ac:dyDescent="0.2">
      <c r="A1643" s="95"/>
      <c r="B1643" s="111"/>
    </row>
    <row r="1644" spans="1:2" x14ac:dyDescent="0.2">
      <c r="A1644" s="95"/>
      <c r="B1644" s="111"/>
    </row>
    <row r="1645" spans="1:2" x14ac:dyDescent="0.2">
      <c r="A1645" s="95"/>
      <c r="B1645" s="111"/>
    </row>
    <row r="1646" spans="1:2" x14ac:dyDescent="0.2">
      <c r="A1646" s="95"/>
      <c r="B1646" s="111"/>
    </row>
    <row r="1647" spans="1:2" x14ac:dyDescent="0.2">
      <c r="A1647" s="95"/>
      <c r="B1647" s="111"/>
    </row>
    <row r="1648" spans="1:2" x14ac:dyDescent="0.2">
      <c r="A1648" s="95"/>
      <c r="B1648" s="111"/>
    </row>
    <row r="1649" spans="1:2" x14ac:dyDescent="0.2">
      <c r="A1649" s="95"/>
      <c r="B1649" s="111"/>
    </row>
    <row r="1650" spans="1:2" x14ac:dyDescent="0.2">
      <c r="A1650" s="95"/>
      <c r="B1650" s="111"/>
    </row>
    <row r="1651" spans="1:2" x14ac:dyDescent="0.2">
      <c r="A1651" s="95"/>
      <c r="B1651" s="111"/>
    </row>
    <row r="1652" spans="1:2" x14ac:dyDescent="0.2">
      <c r="A1652" s="95"/>
      <c r="B1652" s="111"/>
    </row>
    <row r="1653" spans="1:2" x14ac:dyDescent="0.2">
      <c r="A1653" s="95"/>
      <c r="B1653" s="111"/>
    </row>
    <row r="1654" spans="1:2" x14ac:dyDescent="0.2">
      <c r="A1654" s="95"/>
      <c r="B1654" s="111"/>
    </row>
    <row r="1655" spans="1:2" x14ac:dyDescent="0.2">
      <c r="A1655" s="95"/>
      <c r="B1655" s="111"/>
    </row>
    <row r="1656" spans="1:2" x14ac:dyDescent="0.2">
      <c r="A1656" s="95"/>
      <c r="B1656" s="111"/>
    </row>
    <row r="1657" spans="1:2" x14ac:dyDescent="0.2">
      <c r="A1657" s="95"/>
      <c r="B1657" s="111"/>
    </row>
    <row r="1658" spans="1:2" x14ac:dyDescent="0.2">
      <c r="A1658" s="95"/>
      <c r="B1658" s="111"/>
    </row>
    <row r="1659" spans="1:2" x14ac:dyDescent="0.2">
      <c r="A1659" s="95"/>
      <c r="B1659" s="111"/>
    </row>
    <row r="1660" spans="1:2" x14ac:dyDescent="0.2">
      <c r="A1660" s="95"/>
      <c r="B1660" s="111"/>
    </row>
    <row r="1661" spans="1:2" x14ac:dyDescent="0.2">
      <c r="A1661" s="95"/>
      <c r="B1661" s="111"/>
    </row>
    <row r="1662" spans="1:2" x14ac:dyDescent="0.2">
      <c r="A1662" s="95"/>
      <c r="B1662" s="111"/>
    </row>
    <row r="1663" spans="1:2" x14ac:dyDescent="0.2">
      <c r="A1663" s="95"/>
      <c r="B1663" s="111"/>
    </row>
    <row r="1664" spans="1:2" x14ac:dyDescent="0.2">
      <c r="A1664" s="95"/>
      <c r="B1664" s="111"/>
    </row>
    <row r="1665" spans="1:2" x14ac:dyDescent="0.2">
      <c r="A1665" s="95"/>
      <c r="B1665" s="111"/>
    </row>
    <row r="1666" spans="1:2" x14ac:dyDescent="0.2">
      <c r="A1666" s="95"/>
      <c r="B1666" s="111"/>
    </row>
    <row r="1667" spans="1:2" x14ac:dyDescent="0.2">
      <c r="A1667" s="95"/>
      <c r="B1667" s="111"/>
    </row>
    <row r="1668" spans="1:2" x14ac:dyDescent="0.2">
      <c r="A1668" s="95"/>
      <c r="B1668" s="111"/>
    </row>
    <row r="1669" spans="1:2" x14ac:dyDescent="0.2">
      <c r="A1669" s="95"/>
      <c r="B1669" s="111"/>
    </row>
    <row r="1670" spans="1:2" x14ac:dyDescent="0.2">
      <c r="A1670" s="95"/>
      <c r="B1670" s="111"/>
    </row>
    <row r="1671" spans="1:2" x14ac:dyDescent="0.2">
      <c r="A1671" s="95"/>
      <c r="B1671" s="111"/>
    </row>
    <row r="1672" spans="1:2" x14ac:dyDescent="0.2">
      <c r="A1672" s="95"/>
      <c r="B1672" s="111"/>
    </row>
    <row r="1673" spans="1:2" x14ac:dyDescent="0.2">
      <c r="A1673" s="95"/>
      <c r="B1673" s="111"/>
    </row>
    <row r="1674" spans="1:2" x14ac:dyDescent="0.2">
      <c r="A1674" s="95"/>
      <c r="B1674" s="111"/>
    </row>
    <row r="1675" spans="1:2" x14ac:dyDescent="0.2">
      <c r="A1675" s="95"/>
      <c r="B1675" s="111"/>
    </row>
    <row r="1676" spans="1:2" x14ac:dyDescent="0.2">
      <c r="A1676" s="95"/>
      <c r="B1676" s="111"/>
    </row>
    <row r="1677" spans="1:2" x14ac:dyDescent="0.2">
      <c r="A1677" s="95"/>
      <c r="B1677" s="111"/>
    </row>
    <row r="1678" spans="1:2" x14ac:dyDescent="0.2">
      <c r="A1678" s="95"/>
      <c r="B1678" s="111"/>
    </row>
    <row r="1679" spans="1:2" x14ac:dyDescent="0.2">
      <c r="A1679" s="95"/>
      <c r="B1679" s="111"/>
    </row>
    <row r="1680" spans="1:2" x14ac:dyDescent="0.2">
      <c r="A1680" s="95"/>
      <c r="B1680" s="111"/>
    </row>
    <row r="1681" spans="1:2" x14ac:dyDescent="0.2">
      <c r="A1681" s="95"/>
      <c r="B1681" s="111"/>
    </row>
    <row r="1682" spans="1:2" x14ac:dyDescent="0.2">
      <c r="A1682" s="95"/>
      <c r="B1682" s="111"/>
    </row>
    <row r="1683" spans="1:2" x14ac:dyDescent="0.2">
      <c r="A1683" s="95"/>
      <c r="B1683" s="111"/>
    </row>
    <row r="1684" spans="1:2" x14ac:dyDescent="0.2">
      <c r="A1684" s="95"/>
      <c r="B1684" s="111"/>
    </row>
    <row r="1685" spans="1:2" x14ac:dyDescent="0.2">
      <c r="A1685" s="95"/>
      <c r="B1685" s="111"/>
    </row>
    <row r="1686" spans="1:2" x14ac:dyDescent="0.2">
      <c r="A1686" s="95"/>
      <c r="B1686" s="111"/>
    </row>
    <row r="1687" spans="1:2" x14ac:dyDescent="0.2">
      <c r="A1687" s="95"/>
      <c r="B1687" s="111"/>
    </row>
    <row r="1688" spans="1:2" x14ac:dyDescent="0.2">
      <c r="A1688" s="95"/>
      <c r="B1688" s="111"/>
    </row>
    <row r="1689" spans="1:2" x14ac:dyDescent="0.2">
      <c r="A1689" s="95"/>
      <c r="B1689" s="111"/>
    </row>
    <row r="1690" spans="1:2" x14ac:dyDescent="0.2">
      <c r="A1690" s="95"/>
      <c r="B1690" s="111"/>
    </row>
    <row r="1691" spans="1:2" x14ac:dyDescent="0.2">
      <c r="A1691" s="95"/>
      <c r="B1691" s="111"/>
    </row>
    <row r="1692" spans="1:2" x14ac:dyDescent="0.2">
      <c r="A1692" s="95"/>
      <c r="B1692" s="111"/>
    </row>
    <row r="1693" spans="1:2" x14ac:dyDescent="0.2">
      <c r="A1693" s="95"/>
      <c r="B1693" s="111"/>
    </row>
    <row r="1694" spans="1:2" x14ac:dyDescent="0.2">
      <c r="A1694" s="95"/>
      <c r="B1694" s="111"/>
    </row>
    <row r="1695" spans="1:2" x14ac:dyDescent="0.2">
      <c r="A1695" s="95"/>
      <c r="B1695" s="111"/>
    </row>
    <row r="1696" spans="1:2" x14ac:dyDescent="0.2">
      <c r="A1696" s="95"/>
      <c r="B1696" s="111"/>
    </row>
    <row r="1697" spans="1:2" x14ac:dyDescent="0.2">
      <c r="A1697" s="95"/>
      <c r="B1697" s="111"/>
    </row>
    <row r="1698" spans="1:2" x14ac:dyDescent="0.2">
      <c r="A1698" s="95"/>
      <c r="B1698" s="111"/>
    </row>
    <row r="1699" spans="1:2" x14ac:dyDescent="0.2">
      <c r="A1699" s="95"/>
      <c r="B1699" s="111"/>
    </row>
    <row r="1700" spans="1:2" x14ac:dyDescent="0.2">
      <c r="A1700" s="95"/>
      <c r="B1700" s="111"/>
    </row>
    <row r="1701" spans="1:2" x14ac:dyDescent="0.2">
      <c r="A1701" s="95"/>
      <c r="B1701" s="111"/>
    </row>
    <row r="1702" spans="1:2" x14ac:dyDescent="0.2">
      <c r="A1702" s="95"/>
      <c r="B1702" s="111"/>
    </row>
    <row r="1703" spans="1:2" x14ac:dyDescent="0.2">
      <c r="A1703" s="95"/>
      <c r="B1703" s="111"/>
    </row>
    <row r="1704" spans="1:2" x14ac:dyDescent="0.2">
      <c r="A1704" s="95"/>
      <c r="B1704" s="111"/>
    </row>
    <row r="1705" spans="1:2" x14ac:dyDescent="0.2">
      <c r="A1705" s="95"/>
      <c r="B1705" s="111"/>
    </row>
    <row r="1706" spans="1:2" x14ac:dyDescent="0.2">
      <c r="A1706" s="95"/>
      <c r="B1706" s="111"/>
    </row>
    <row r="1707" spans="1:2" x14ac:dyDescent="0.2">
      <c r="A1707" s="95"/>
      <c r="B1707" s="111"/>
    </row>
    <row r="1708" spans="1:2" x14ac:dyDescent="0.2">
      <c r="A1708" s="95"/>
      <c r="B1708" s="111"/>
    </row>
    <row r="1709" spans="1:2" x14ac:dyDescent="0.2">
      <c r="A1709" s="95"/>
      <c r="B1709" s="111"/>
    </row>
    <row r="1710" spans="1:2" x14ac:dyDescent="0.2">
      <c r="A1710" s="95"/>
      <c r="B1710" s="111"/>
    </row>
    <row r="1711" spans="1:2" x14ac:dyDescent="0.2">
      <c r="A1711" s="95"/>
      <c r="B1711" s="111"/>
    </row>
    <row r="1712" spans="1:2" x14ac:dyDescent="0.2">
      <c r="A1712" s="95"/>
      <c r="B1712" s="111"/>
    </row>
    <row r="1713" spans="1:2" x14ac:dyDescent="0.2">
      <c r="A1713" s="95"/>
      <c r="B1713" s="111"/>
    </row>
    <row r="1714" spans="1:2" x14ac:dyDescent="0.2">
      <c r="A1714" s="95"/>
      <c r="B1714" s="111"/>
    </row>
    <row r="1715" spans="1:2" x14ac:dyDescent="0.2">
      <c r="A1715" s="95"/>
      <c r="B1715" s="111"/>
    </row>
    <row r="1716" spans="1:2" x14ac:dyDescent="0.2">
      <c r="A1716" s="95"/>
      <c r="B1716" s="111"/>
    </row>
    <row r="1717" spans="1:2" x14ac:dyDescent="0.2">
      <c r="A1717" s="95"/>
      <c r="B1717" s="111"/>
    </row>
    <row r="1718" spans="1:2" x14ac:dyDescent="0.2">
      <c r="A1718" s="95"/>
      <c r="B1718" s="111"/>
    </row>
    <row r="1719" spans="1:2" x14ac:dyDescent="0.2">
      <c r="A1719" s="95"/>
      <c r="B1719" s="111"/>
    </row>
    <row r="1720" spans="1:2" x14ac:dyDescent="0.2">
      <c r="A1720" s="95"/>
      <c r="B1720" s="111"/>
    </row>
    <row r="1721" spans="1:2" x14ac:dyDescent="0.2">
      <c r="A1721" s="95"/>
      <c r="B1721" s="111"/>
    </row>
    <row r="1722" spans="1:2" x14ac:dyDescent="0.2">
      <c r="A1722" s="95"/>
      <c r="B1722" s="111"/>
    </row>
    <row r="1723" spans="1:2" x14ac:dyDescent="0.2">
      <c r="A1723" s="95"/>
      <c r="B1723" s="111"/>
    </row>
    <row r="1724" spans="1:2" x14ac:dyDescent="0.2">
      <c r="A1724" s="95"/>
      <c r="B1724" s="111"/>
    </row>
    <row r="1725" spans="1:2" x14ac:dyDescent="0.2">
      <c r="A1725" s="95"/>
      <c r="B1725" s="111"/>
    </row>
    <row r="1726" spans="1:2" x14ac:dyDescent="0.2">
      <c r="A1726" s="95"/>
      <c r="B1726" s="111"/>
    </row>
    <row r="1727" spans="1:2" x14ac:dyDescent="0.2">
      <c r="A1727" s="95"/>
      <c r="B1727" s="111"/>
    </row>
    <row r="1728" spans="1:2" x14ac:dyDescent="0.2">
      <c r="A1728" s="95"/>
      <c r="B1728" s="111"/>
    </row>
    <row r="1729" spans="1:2" x14ac:dyDescent="0.2">
      <c r="A1729" s="95"/>
      <c r="B1729" s="111"/>
    </row>
    <row r="1730" spans="1:2" x14ac:dyDescent="0.2">
      <c r="A1730" s="95"/>
      <c r="B1730" s="111"/>
    </row>
    <row r="1731" spans="1:2" x14ac:dyDescent="0.2">
      <c r="A1731" s="95"/>
      <c r="B1731" s="111"/>
    </row>
    <row r="1732" spans="1:2" x14ac:dyDescent="0.2">
      <c r="A1732" s="95"/>
      <c r="B1732" s="111"/>
    </row>
    <row r="1733" spans="1:2" x14ac:dyDescent="0.2">
      <c r="A1733" s="95"/>
      <c r="B1733" s="111"/>
    </row>
    <row r="1734" spans="1:2" x14ac:dyDescent="0.2">
      <c r="A1734" s="95"/>
      <c r="B1734" s="111"/>
    </row>
    <row r="1735" spans="1:2" x14ac:dyDescent="0.2">
      <c r="A1735" s="95"/>
      <c r="B1735" s="111"/>
    </row>
    <row r="1736" spans="1:2" x14ac:dyDescent="0.2">
      <c r="A1736" s="95"/>
      <c r="B1736" s="111"/>
    </row>
    <row r="1737" spans="1:2" x14ac:dyDescent="0.2">
      <c r="A1737" s="95"/>
      <c r="B1737" s="111"/>
    </row>
    <row r="1738" spans="1:2" x14ac:dyDescent="0.2">
      <c r="A1738" s="95"/>
      <c r="B1738" s="111"/>
    </row>
    <row r="1739" spans="1:2" x14ac:dyDescent="0.2">
      <c r="A1739" s="95"/>
      <c r="B1739" s="111"/>
    </row>
    <row r="1740" spans="1:2" x14ac:dyDescent="0.2">
      <c r="A1740" s="95"/>
      <c r="B1740" s="111"/>
    </row>
    <row r="1741" spans="1:2" x14ac:dyDescent="0.2">
      <c r="A1741" s="95"/>
      <c r="B1741" s="111"/>
    </row>
    <row r="1742" spans="1:2" x14ac:dyDescent="0.2">
      <c r="A1742" s="95"/>
      <c r="B1742" s="111"/>
    </row>
    <row r="1743" spans="1:2" x14ac:dyDescent="0.2">
      <c r="A1743" s="95"/>
      <c r="B1743" s="111"/>
    </row>
    <row r="1744" spans="1:2" x14ac:dyDescent="0.2">
      <c r="A1744" s="95"/>
      <c r="B1744" s="111"/>
    </row>
    <row r="1745" spans="1:2" x14ac:dyDescent="0.2">
      <c r="A1745" s="95"/>
      <c r="B1745" s="111"/>
    </row>
    <row r="1746" spans="1:2" x14ac:dyDescent="0.2">
      <c r="A1746" s="95"/>
      <c r="B1746" s="111"/>
    </row>
    <row r="1747" spans="1:2" x14ac:dyDescent="0.2">
      <c r="A1747" s="95"/>
      <c r="B1747" s="111"/>
    </row>
    <row r="1748" spans="1:2" x14ac:dyDescent="0.2">
      <c r="A1748" s="95"/>
      <c r="B1748" s="111"/>
    </row>
    <row r="1749" spans="1:2" x14ac:dyDescent="0.2">
      <c r="A1749" s="95"/>
      <c r="B1749" s="111"/>
    </row>
    <row r="1750" spans="1:2" x14ac:dyDescent="0.2">
      <c r="A1750" s="95"/>
      <c r="B1750" s="111"/>
    </row>
    <row r="1751" spans="1:2" x14ac:dyDescent="0.2">
      <c r="A1751" s="95"/>
      <c r="B1751" s="111"/>
    </row>
    <row r="1752" spans="1:2" x14ac:dyDescent="0.2">
      <c r="A1752" s="95"/>
      <c r="B1752" s="111"/>
    </row>
    <row r="1753" spans="1:2" x14ac:dyDescent="0.2">
      <c r="A1753" s="95"/>
      <c r="B1753" s="111"/>
    </row>
    <row r="1754" spans="1:2" x14ac:dyDescent="0.2">
      <c r="A1754" s="95"/>
      <c r="B1754" s="111"/>
    </row>
    <row r="1755" spans="1:2" x14ac:dyDescent="0.2">
      <c r="A1755" s="95"/>
      <c r="B1755" s="111"/>
    </row>
    <row r="1756" spans="1:2" x14ac:dyDescent="0.2">
      <c r="A1756" s="95"/>
      <c r="B1756" s="111"/>
    </row>
    <row r="1757" spans="1:2" x14ac:dyDescent="0.2">
      <c r="A1757" s="95"/>
      <c r="B1757" s="111"/>
    </row>
    <row r="1758" spans="1:2" x14ac:dyDescent="0.2">
      <c r="A1758" s="95"/>
      <c r="B1758" s="111"/>
    </row>
    <row r="1759" spans="1:2" x14ac:dyDescent="0.2">
      <c r="A1759" s="95"/>
      <c r="B1759" s="111"/>
    </row>
    <row r="1760" spans="1:2" x14ac:dyDescent="0.2">
      <c r="A1760" s="95"/>
      <c r="B1760" s="111"/>
    </row>
    <row r="1761" spans="1:2" x14ac:dyDescent="0.2">
      <c r="A1761" s="95"/>
      <c r="B1761" s="111"/>
    </row>
    <row r="1762" spans="1:2" x14ac:dyDescent="0.2">
      <c r="A1762" s="95"/>
      <c r="B1762" s="111"/>
    </row>
    <row r="1763" spans="1:2" x14ac:dyDescent="0.2">
      <c r="A1763" s="95"/>
      <c r="B1763" s="111"/>
    </row>
    <row r="1764" spans="1:2" x14ac:dyDescent="0.2">
      <c r="A1764" s="95"/>
      <c r="B1764" s="111"/>
    </row>
    <row r="1765" spans="1:2" x14ac:dyDescent="0.2">
      <c r="A1765" s="95"/>
      <c r="B1765" s="111"/>
    </row>
    <row r="1766" spans="1:2" x14ac:dyDescent="0.2">
      <c r="A1766" s="95"/>
      <c r="B1766" s="111"/>
    </row>
    <row r="1767" spans="1:2" x14ac:dyDescent="0.2">
      <c r="A1767" s="95"/>
      <c r="B1767" s="111"/>
    </row>
    <row r="1768" spans="1:2" x14ac:dyDescent="0.2">
      <c r="A1768" s="95"/>
      <c r="B1768" s="111"/>
    </row>
    <row r="1769" spans="1:2" x14ac:dyDescent="0.2">
      <c r="A1769" s="95"/>
      <c r="B1769" s="111"/>
    </row>
    <row r="1770" spans="1:2" x14ac:dyDescent="0.2">
      <c r="A1770" s="95"/>
      <c r="B1770" s="111"/>
    </row>
    <row r="1771" spans="1:2" x14ac:dyDescent="0.2">
      <c r="A1771" s="95"/>
      <c r="B1771" s="111"/>
    </row>
    <row r="1772" spans="1:2" x14ac:dyDescent="0.2">
      <c r="A1772" s="95"/>
      <c r="B1772" s="111"/>
    </row>
    <row r="1773" spans="1:2" x14ac:dyDescent="0.2">
      <c r="A1773" s="95"/>
      <c r="B1773" s="111"/>
    </row>
    <row r="1774" spans="1:2" x14ac:dyDescent="0.2">
      <c r="A1774" s="95"/>
      <c r="B1774" s="111"/>
    </row>
    <row r="1775" spans="1:2" x14ac:dyDescent="0.2">
      <c r="A1775" s="95"/>
      <c r="B1775" s="111"/>
    </row>
    <row r="1776" spans="1:2" x14ac:dyDescent="0.2">
      <c r="A1776" s="95"/>
      <c r="B1776" s="111"/>
    </row>
    <row r="1777" spans="1:2" x14ac:dyDescent="0.2">
      <c r="A1777" s="95"/>
      <c r="B1777" s="111"/>
    </row>
    <row r="1778" spans="1:2" x14ac:dyDescent="0.2">
      <c r="A1778" s="95"/>
      <c r="B1778" s="111"/>
    </row>
    <row r="1779" spans="1:2" x14ac:dyDescent="0.2">
      <c r="A1779" s="95"/>
      <c r="B1779" s="111"/>
    </row>
    <row r="1780" spans="1:2" x14ac:dyDescent="0.2">
      <c r="A1780" s="95"/>
      <c r="B1780" s="111"/>
    </row>
    <row r="1781" spans="1:2" x14ac:dyDescent="0.2">
      <c r="A1781" s="95"/>
      <c r="B1781" s="111"/>
    </row>
    <row r="1782" spans="1:2" x14ac:dyDescent="0.2">
      <c r="A1782" s="95"/>
      <c r="B1782" s="111"/>
    </row>
    <row r="1783" spans="1:2" x14ac:dyDescent="0.2">
      <c r="A1783" s="95"/>
      <c r="B1783" s="111"/>
    </row>
    <row r="1784" spans="1:2" x14ac:dyDescent="0.2">
      <c r="A1784" s="95"/>
      <c r="B1784" s="111"/>
    </row>
    <row r="1785" spans="1:2" x14ac:dyDescent="0.2">
      <c r="A1785" s="95"/>
      <c r="B1785" s="111"/>
    </row>
    <row r="1786" spans="1:2" x14ac:dyDescent="0.2">
      <c r="A1786" s="95"/>
      <c r="B1786" s="111"/>
    </row>
    <row r="1787" spans="1:2" x14ac:dyDescent="0.2">
      <c r="A1787" s="95"/>
      <c r="B1787" s="111"/>
    </row>
    <row r="1788" spans="1:2" x14ac:dyDescent="0.2">
      <c r="A1788" s="95"/>
      <c r="B1788" s="111"/>
    </row>
    <row r="1789" spans="1:2" x14ac:dyDescent="0.2">
      <c r="A1789" s="95"/>
      <c r="B1789" s="111"/>
    </row>
    <row r="1790" spans="1:2" x14ac:dyDescent="0.2">
      <c r="A1790" s="95"/>
      <c r="B1790" s="111"/>
    </row>
    <row r="1791" spans="1:2" x14ac:dyDescent="0.2">
      <c r="A1791" s="95"/>
      <c r="B1791" s="111"/>
    </row>
    <row r="1792" spans="1:2" x14ac:dyDescent="0.2">
      <c r="A1792" s="95"/>
      <c r="B1792" s="111"/>
    </row>
    <row r="1793" spans="1:2" x14ac:dyDescent="0.2">
      <c r="A1793" s="95"/>
      <c r="B1793" s="111"/>
    </row>
    <row r="1794" spans="1:2" x14ac:dyDescent="0.2">
      <c r="A1794" s="95"/>
      <c r="B1794" s="111"/>
    </row>
    <row r="1795" spans="1:2" x14ac:dyDescent="0.2">
      <c r="A1795" s="95"/>
      <c r="B1795" s="111"/>
    </row>
    <row r="1796" spans="1:2" x14ac:dyDescent="0.2">
      <c r="A1796" s="95"/>
      <c r="B1796" s="111"/>
    </row>
    <row r="1797" spans="1:2" x14ac:dyDescent="0.2">
      <c r="A1797" s="95"/>
      <c r="B1797" s="111"/>
    </row>
    <row r="1798" spans="1:2" x14ac:dyDescent="0.2">
      <c r="A1798" s="95"/>
      <c r="B1798" s="111"/>
    </row>
    <row r="1799" spans="1:2" x14ac:dyDescent="0.2">
      <c r="A1799" s="95"/>
      <c r="B1799" s="111"/>
    </row>
    <row r="1800" spans="1:2" x14ac:dyDescent="0.2">
      <c r="A1800" s="95"/>
      <c r="B1800" s="111"/>
    </row>
    <row r="1801" spans="1:2" x14ac:dyDescent="0.2">
      <c r="A1801" s="95"/>
      <c r="B1801" s="111"/>
    </row>
    <row r="1802" spans="1:2" x14ac:dyDescent="0.2">
      <c r="A1802" s="95"/>
      <c r="B1802" s="111"/>
    </row>
    <row r="1803" spans="1:2" x14ac:dyDescent="0.2">
      <c r="A1803" s="95"/>
      <c r="B1803" s="111"/>
    </row>
    <row r="1804" spans="1:2" x14ac:dyDescent="0.2">
      <c r="A1804" s="95"/>
      <c r="B1804" s="111"/>
    </row>
    <row r="1805" spans="1:2" x14ac:dyDescent="0.2">
      <c r="A1805" s="95"/>
      <c r="B1805" s="111"/>
    </row>
    <row r="1806" spans="1:2" x14ac:dyDescent="0.2">
      <c r="A1806" s="95"/>
      <c r="B1806" s="111"/>
    </row>
    <row r="1807" spans="1:2" x14ac:dyDescent="0.2">
      <c r="A1807" s="95"/>
      <c r="B1807" s="111"/>
    </row>
    <row r="1808" spans="1:2" x14ac:dyDescent="0.2">
      <c r="A1808" s="95"/>
      <c r="B1808" s="111"/>
    </row>
    <row r="1809" spans="1:2" x14ac:dyDescent="0.2">
      <c r="A1809" s="95"/>
      <c r="B1809" s="111"/>
    </row>
    <row r="1810" spans="1:2" x14ac:dyDescent="0.2">
      <c r="A1810" s="95"/>
      <c r="B1810" s="111"/>
    </row>
    <row r="1811" spans="1:2" x14ac:dyDescent="0.2">
      <c r="A1811" s="95"/>
      <c r="B1811" s="111"/>
    </row>
    <row r="1812" spans="1:2" x14ac:dyDescent="0.2">
      <c r="A1812" s="95"/>
      <c r="B1812" s="111"/>
    </row>
    <row r="1813" spans="1:2" x14ac:dyDescent="0.2">
      <c r="A1813" s="95"/>
      <c r="B1813" s="111"/>
    </row>
    <row r="1814" spans="1:2" x14ac:dyDescent="0.2">
      <c r="A1814" s="95"/>
      <c r="B1814" s="111"/>
    </row>
    <row r="1815" spans="1:2" x14ac:dyDescent="0.2">
      <c r="A1815" s="95"/>
      <c r="B1815" s="111"/>
    </row>
    <row r="1816" spans="1:2" x14ac:dyDescent="0.2">
      <c r="A1816" s="95"/>
      <c r="B1816" s="111"/>
    </row>
    <row r="1817" spans="1:2" x14ac:dyDescent="0.2">
      <c r="A1817" s="95"/>
      <c r="B1817" s="111"/>
    </row>
    <row r="1818" spans="1:2" x14ac:dyDescent="0.2">
      <c r="A1818" s="95"/>
      <c r="B1818" s="111"/>
    </row>
    <row r="1819" spans="1:2" x14ac:dyDescent="0.2">
      <c r="A1819" s="95"/>
      <c r="B1819" s="111"/>
    </row>
    <row r="1820" spans="1:2" x14ac:dyDescent="0.2">
      <c r="A1820" s="95"/>
      <c r="B1820" s="111"/>
    </row>
    <row r="1821" spans="1:2" x14ac:dyDescent="0.2">
      <c r="A1821" s="95"/>
      <c r="B1821" s="111"/>
    </row>
    <row r="1822" spans="1:2" x14ac:dyDescent="0.2">
      <c r="A1822" s="95"/>
      <c r="B1822" s="111"/>
    </row>
    <row r="1823" spans="1:2" x14ac:dyDescent="0.2">
      <c r="A1823" s="95"/>
      <c r="B1823" s="111"/>
    </row>
    <row r="1824" spans="1:2" x14ac:dyDescent="0.2">
      <c r="A1824" s="95"/>
      <c r="B1824" s="111"/>
    </row>
    <row r="1825" spans="1:2" x14ac:dyDescent="0.2">
      <c r="A1825" s="95"/>
      <c r="B1825" s="111"/>
    </row>
    <row r="1826" spans="1:2" x14ac:dyDescent="0.2">
      <c r="A1826" s="95"/>
      <c r="B1826" s="111"/>
    </row>
    <row r="1827" spans="1:2" x14ac:dyDescent="0.2">
      <c r="A1827" s="95"/>
      <c r="B1827" s="111"/>
    </row>
    <row r="1828" spans="1:2" x14ac:dyDescent="0.2">
      <c r="A1828" s="95"/>
      <c r="B1828" s="111"/>
    </row>
    <row r="1829" spans="1:2" x14ac:dyDescent="0.2">
      <c r="A1829" s="95"/>
      <c r="B1829" s="111"/>
    </row>
    <row r="1830" spans="1:2" x14ac:dyDescent="0.2">
      <c r="A1830" s="95"/>
      <c r="B1830" s="111"/>
    </row>
    <row r="1831" spans="1:2" x14ac:dyDescent="0.2">
      <c r="A1831" s="95"/>
      <c r="B1831" s="111"/>
    </row>
    <row r="1832" spans="1:2" x14ac:dyDescent="0.2">
      <c r="A1832" s="95"/>
      <c r="B1832" s="111"/>
    </row>
    <row r="1833" spans="1:2" x14ac:dyDescent="0.2">
      <c r="A1833" s="95"/>
      <c r="B1833" s="111"/>
    </row>
    <row r="1834" spans="1:2" x14ac:dyDescent="0.2">
      <c r="A1834" s="95"/>
      <c r="B1834" s="111"/>
    </row>
    <row r="1835" spans="1:2" x14ac:dyDescent="0.2">
      <c r="A1835" s="95"/>
      <c r="B1835" s="111"/>
    </row>
    <row r="1836" spans="1:2" x14ac:dyDescent="0.2">
      <c r="A1836" s="95"/>
      <c r="B1836" s="111"/>
    </row>
    <row r="1837" spans="1:2" x14ac:dyDescent="0.2">
      <c r="A1837" s="95"/>
      <c r="B1837" s="111"/>
    </row>
    <row r="1838" spans="1:2" x14ac:dyDescent="0.2">
      <c r="A1838" s="95"/>
      <c r="B1838" s="111"/>
    </row>
    <row r="1839" spans="1:2" x14ac:dyDescent="0.2">
      <c r="A1839" s="95"/>
      <c r="B1839" s="111"/>
    </row>
    <row r="1840" spans="1:2" x14ac:dyDescent="0.2">
      <c r="A1840" s="95"/>
      <c r="B1840" s="111"/>
    </row>
    <row r="1841" spans="1:2" x14ac:dyDescent="0.2">
      <c r="A1841" s="95"/>
      <c r="B1841" s="111"/>
    </row>
    <row r="1842" spans="1:2" x14ac:dyDescent="0.2">
      <c r="A1842" s="95"/>
      <c r="B1842" s="111"/>
    </row>
    <row r="1843" spans="1:2" x14ac:dyDescent="0.2">
      <c r="A1843" s="95"/>
      <c r="B1843" s="111"/>
    </row>
    <row r="1844" spans="1:2" x14ac:dyDescent="0.2">
      <c r="A1844" s="95"/>
      <c r="B1844" s="111"/>
    </row>
    <row r="1845" spans="1:2" x14ac:dyDescent="0.2">
      <c r="A1845" s="95"/>
      <c r="B1845" s="111"/>
    </row>
    <row r="1846" spans="1:2" x14ac:dyDescent="0.2">
      <c r="A1846" s="95"/>
      <c r="B1846" s="111"/>
    </row>
    <row r="1847" spans="1:2" x14ac:dyDescent="0.2">
      <c r="A1847" s="95"/>
      <c r="B1847" s="111"/>
    </row>
    <row r="1848" spans="1:2" x14ac:dyDescent="0.2">
      <c r="A1848" s="95"/>
      <c r="B1848" s="111"/>
    </row>
    <row r="1849" spans="1:2" x14ac:dyDescent="0.2">
      <c r="A1849" s="95"/>
      <c r="B1849" s="111"/>
    </row>
    <row r="1850" spans="1:2" x14ac:dyDescent="0.2">
      <c r="A1850" s="95"/>
      <c r="B1850" s="111"/>
    </row>
    <row r="1851" spans="1:2" x14ac:dyDescent="0.2">
      <c r="A1851" s="95"/>
      <c r="B1851" s="111"/>
    </row>
    <row r="1852" spans="1:2" x14ac:dyDescent="0.2">
      <c r="A1852" s="95"/>
      <c r="B1852" s="111"/>
    </row>
    <row r="1853" spans="1:2" x14ac:dyDescent="0.2">
      <c r="A1853" s="95"/>
      <c r="B1853" s="111"/>
    </row>
    <row r="1854" spans="1:2" x14ac:dyDescent="0.2">
      <c r="A1854" s="95"/>
      <c r="B1854" s="111"/>
    </row>
    <row r="1855" spans="1:2" x14ac:dyDescent="0.2">
      <c r="A1855" s="95"/>
      <c r="B1855" s="111"/>
    </row>
    <row r="1856" spans="1:2" x14ac:dyDescent="0.2">
      <c r="A1856" s="95"/>
      <c r="B1856" s="111"/>
    </row>
    <row r="1857" spans="1:2" x14ac:dyDescent="0.2">
      <c r="A1857" s="95"/>
      <c r="B1857" s="111"/>
    </row>
    <row r="1858" spans="1:2" x14ac:dyDescent="0.2">
      <c r="A1858" s="95"/>
      <c r="B1858" s="111"/>
    </row>
    <row r="1859" spans="1:2" x14ac:dyDescent="0.2">
      <c r="A1859" s="95"/>
      <c r="B1859" s="111"/>
    </row>
    <row r="1860" spans="1:2" x14ac:dyDescent="0.2">
      <c r="A1860" s="95"/>
      <c r="B1860" s="111"/>
    </row>
    <row r="1861" spans="1:2" x14ac:dyDescent="0.2">
      <c r="A1861" s="95"/>
      <c r="B1861" s="111"/>
    </row>
    <row r="1862" spans="1:2" x14ac:dyDescent="0.2">
      <c r="A1862" s="95"/>
      <c r="B1862" s="111"/>
    </row>
    <row r="1863" spans="1:2" x14ac:dyDescent="0.2">
      <c r="A1863" s="95"/>
      <c r="B1863" s="111"/>
    </row>
    <row r="1864" spans="1:2" x14ac:dyDescent="0.2">
      <c r="A1864" s="95"/>
      <c r="B1864" s="111"/>
    </row>
    <row r="1865" spans="1:2" x14ac:dyDescent="0.2">
      <c r="A1865" s="95"/>
      <c r="B1865" s="111"/>
    </row>
    <row r="1866" spans="1:2" x14ac:dyDescent="0.2">
      <c r="A1866" s="95"/>
      <c r="B1866" s="111"/>
    </row>
    <row r="1867" spans="1:2" x14ac:dyDescent="0.2">
      <c r="A1867" s="95"/>
      <c r="B1867" s="111"/>
    </row>
    <row r="1868" spans="1:2" x14ac:dyDescent="0.2">
      <c r="A1868" s="95"/>
      <c r="B1868" s="111"/>
    </row>
    <row r="1869" spans="1:2" x14ac:dyDescent="0.2">
      <c r="A1869" s="95"/>
      <c r="B1869" s="111"/>
    </row>
    <row r="1870" spans="1:2" x14ac:dyDescent="0.2">
      <c r="A1870" s="95"/>
      <c r="B1870" s="111"/>
    </row>
    <row r="1871" spans="1:2" x14ac:dyDescent="0.2">
      <c r="A1871" s="95"/>
      <c r="B1871" s="111"/>
    </row>
    <row r="1872" spans="1:2" x14ac:dyDescent="0.2">
      <c r="A1872" s="95"/>
      <c r="B1872" s="111"/>
    </row>
    <row r="1873" spans="1:2" x14ac:dyDescent="0.2">
      <c r="A1873" s="95"/>
      <c r="B1873" s="111"/>
    </row>
    <row r="1874" spans="1:2" x14ac:dyDescent="0.2">
      <c r="A1874" s="95"/>
      <c r="B1874" s="111"/>
    </row>
    <row r="1875" spans="1:2" x14ac:dyDescent="0.2">
      <c r="A1875" s="95"/>
      <c r="B1875" s="111"/>
    </row>
    <row r="1876" spans="1:2" x14ac:dyDescent="0.2">
      <c r="A1876" s="95"/>
      <c r="B1876" s="111"/>
    </row>
    <row r="1877" spans="1:2" x14ac:dyDescent="0.2">
      <c r="A1877" s="95"/>
      <c r="B1877" s="111"/>
    </row>
    <row r="1878" spans="1:2" x14ac:dyDescent="0.2">
      <c r="A1878" s="95"/>
      <c r="B1878" s="111"/>
    </row>
    <row r="1879" spans="1:2" x14ac:dyDescent="0.2">
      <c r="A1879" s="95"/>
      <c r="B1879" s="111"/>
    </row>
    <row r="1880" spans="1:2" x14ac:dyDescent="0.2">
      <c r="A1880" s="95"/>
      <c r="B1880" s="111"/>
    </row>
    <row r="1881" spans="1:2" x14ac:dyDescent="0.2">
      <c r="A1881" s="95"/>
      <c r="B1881" s="111"/>
    </row>
    <row r="1882" spans="1:2" x14ac:dyDescent="0.2">
      <c r="A1882" s="95"/>
      <c r="B1882" s="111"/>
    </row>
    <row r="1883" spans="1:2" x14ac:dyDescent="0.2">
      <c r="A1883" s="95"/>
      <c r="B1883" s="111"/>
    </row>
    <row r="1884" spans="1:2" x14ac:dyDescent="0.2">
      <c r="A1884" s="95"/>
      <c r="B1884" s="111"/>
    </row>
    <row r="1885" spans="1:2" x14ac:dyDescent="0.2">
      <c r="A1885" s="95"/>
      <c r="B1885" s="111"/>
    </row>
    <row r="1886" spans="1:2" x14ac:dyDescent="0.2">
      <c r="A1886" s="95"/>
      <c r="B1886" s="111"/>
    </row>
    <row r="1887" spans="1:2" x14ac:dyDescent="0.2">
      <c r="A1887" s="95"/>
      <c r="B1887" s="111"/>
    </row>
    <row r="1888" spans="1:2" x14ac:dyDescent="0.2">
      <c r="A1888" s="95"/>
      <c r="B1888" s="111"/>
    </row>
    <row r="1889" spans="1:2" x14ac:dyDescent="0.2">
      <c r="A1889" s="95"/>
      <c r="B1889" s="111"/>
    </row>
    <row r="1890" spans="1:2" x14ac:dyDescent="0.2">
      <c r="A1890" s="95"/>
      <c r="B1890" s="111"/>
    </row>
    <row r="1891" spans="1:2" x14ac:dyDescent="0.2">
      <c r="A1891" s="95"/>
      <c r="B1891" s="111"/>
    </row>
    <row r="1892" spans="1:2" x14ac:dyDescent="0.2">
      <c r="A1892" s="95"/>
      <c r="B1892" s="111"/>
    </row>
    <row r="1893" spans="1:2" x14ac:dyDescent="0.2">
      <c r="A1893" s="95"/>
      <c r="B1893" s="111"/>
    </row>
    <row r="1894" spans="1:2" x14ac:dyDescent="0.2">
      <c r="A1894" s="95"/>
      <c r="B1894" s="111"/>
    </row>
    <row r="1895" spans="1:2" x14ac:dyDescent="0.2">
      <c r="A1895" s="95"/>
      <c r="B1895" s="111"/>
    </row>
    <row r="1896" spans="1:2" x14ac:dyDescent="0.2">
      <c r="A1896" s="95"/>
      <c r="B1896" s="111"/>
    </row>
    <row r="1897" spans="1:2" x14ac:dyDescent="0.2">
      <c r="A1897" s="95"/>
      <c r="B1897" s="111"/>
    </row>
    <row r="1898" spans="1:2" x14ac:dyDescent="0.2">
      <c r="A1898" s="95"/>
      <c r="B1898" s="111"/>
    </row>
    <row r="1899" spans="1:2" x14ac:dyDescent="0.2">
      <c r="A1899" s="95"/>
      <c r="B1899" s="111"/>
    </row>
    <row r="1900" spans="1:2" x14ac:dyDescent="0.2">
      <c r="A1900" s="95"/>
      <c r="B1900" s="111"/>
    </row>
    <row r="1901" spans="1:2" x14ac:dyDescent="0.2">
      <c r="A1901" s="95"/>
      <c r="B1901" s="111"/>
    </row>
    <row r="1902" spans="1:2" x14ac:dyDescent="0.2">
      <c r="A1902" s="95"/>
      <c r="B1902" s="111"/>
    </row>
    <row r="1903" spans="1:2" x14ac:dyDescent="0.2">
      <c r="A1903" s="95"/>
      <c r="B1903" s="111"/>
    </row>
    <row r="1904" spans="1:2" x14ac:dyDescent="0.2">
      <c r="A1904" s="95"/>
      <c r="B1904" s="111"/>
    </row>
    <row r="1905" spans="1:2" x14ac:dyDescent="0.2">
      <c r="A1905" s="95"/>
      <c r="B1905" s="111"/>
    </row>
    <row r="1906" spans="1:2" x14ac:dyDescent="0.2">
      <c r="A1906" s="95"/>
      <c r="B1906" s="111"/>
    </row>
    <row r="1907" spans="1:2" x14ac:dyDescent="0.2">
      <c r="A1907" s="95"/>
      <c r="B1907" s="111"/>
    </row>
    <row r="1908" spans="1:2" x14ac:dyDescent="0.2">
      <c r="A1908" s="95"/>
      <c r="B1908" s="111"/>
    </row>
    <row r="1909" spans="1:2" x14ac:dyDescent="0.2">
      <c r="A1909" s="95"/>
      <c r="B1909" s="111"/>
    </row>
    <row r="1910" spans="1:2" x14ac:dyDescent="0.2">
      <c r="A1910" s="95"/>
      <c r="B1910" s="111"/>
    </row>
    <row r="1911" spans="1:2" x14ac:dyDescent="0.2">
      <c r="A1911" s="95"/>
      <c r="B1911" s="111"/>
    </row>
    <row r="1912" spans="1:2" x14ac:dyDescent="0.2">
      <c r="A1912" s="95"/>
      <c r="B1912" s="111"/>
    </row>
    <row r="1913" spans="1:2" x14ac:dyDescent="0.2">
      <c r="A1913" s="95"/>
      <c r="B1913" s="111"/>
    </row>
    <row r="1914" spans="1:2" x14ac:dyDescent="0.2">
      <c r="A1914" s="95"/>
      <c r="B1914" s="111"/>
    </row>
    <row r="1915" spans="1:2" x14ac:dyDescent="0.2">
      <c r="A1915" s="95"/>
      <c r="B1915" s="111"/>
    </row>
    <row r="1916" spans="1:2" x14ac:dyDescent="0.2">
      <c r="A1916" s="95"/>
      <c r="B1916" s="111"/>
    </row>
    <row r="1917" spans="1:2" x14ac:dyDescent="0.2">
      <c r="A1917" s="95"/>
      <c r="B1917" s="111"/>
    </row>
    <row r="1918" spans="1:2" x14ac:dyDescent="0.2">
      <c r="A1918" s="95"/>
      <c r="B1918" s="111"/>
    </row>
    <row r="1919" spans="1:2" x14ac:dyDescent="0.2">
      <c r="A1919" s="95"/>
      <c r="B1919" s="111"/>
    </row>
    <row r="1920" spans="1:2" x14ac:dyDescent="0.2">
      <c r="A1920" s="95"/>
      <c r="B1920" s="111"/>
    </row>
    <row r="1921" spans="1:2" x14ac:dyDescent="0.2">
      <c r="A1921" s="95"/>
      <c r="B1921" s="111"/>
    </row>
    <row r="1922" spans="1:2" x14ac:dyDescent="0.2">
      <c r="A1922" s="95"/>
      <c r="B1922" s="111"/>
    </row>
    <row r="1923" spans="1:2" x14ac:dyDescent="0.2">
      <c r="A1923" s="95"/>
      <c r="B1923" s="111"/>
    </row>
    <row r="1924" spans="1:2" x14ac:dyDescent="0.2">
      <c r="A1924" s="95"/>
      <c r="B1924" s="111"/>
    </row>
    <row r="1925" spans="1:2" x14ac:dyDescent="0.2">
      <c r="A1925" s="95"/>
      <c r="B1925" s="111"/>
    </row>
    <row r="1926" spans="1:2" x14ac:dyDescent="0.2">
      <c r="A1926" s="95"/>
      <c r="B1926" s="111"/>
    </row>
    <row r="1927" spans="1:2" x14ac:dyDescent="0.2">
      <c r="A1927" s="95"/>
      <c r="B1927" s="111"/>
    </row>
    <row r="1928" spans="1:2" x14ac:dyDescent="0.2">
      <c r="A1928" s="95"/>
      <c r="B1928" s="111"/>
    </row>
    <row r="1929" spans="1:2" x14ac:dyDescent="0.2">
      <c r="A1929" s="95"/>
      <c r="B1929" s="111"/>
    </row>
    <row r="1930" spans="1:2" x14ac:dyDescent="0.2">
      <c r="A1930" s="95"/>
      <c r="B1930" s="111"/>
    </row>
    <row r="1931" spans="1:2" x14ac:dyDescent="0.2">
      <c r="A1931" s="95"/>
      <c r="B1931" s="111"/>
    </row>
    <row r="1932" spans="1:2" x14ac:dyDescent="0.2">
      <c r="A1932" s="95"/>
      <c r="B1932" s="111"/>
    </row>
    <row r="1933" spans="1:2" x14ac:dyDescent="0.2">
      <c r="A1933" s="95"/>
      <c r="B1933" s="111"/>
    </row>
    <row r="1934" spans="1:2" x14ac:dyDescent="0.2">
      <c r="A1934" s="95"/>
      <c r="B1934" s="111"/>
    </row>
    <row r="1935" spans="1:2" x14ac:dyDescent="0.2">
      <c r="A1935" s="95"/>
      <c r="B1935" s="111"/>
    </row>
    <row r="1936" spans="1:2" x14ac:dyDescent="0.2">
      <c r="A1936" s="95"/>
      <c r="B1936" s="111"/>
    </row>
    <row r="1937" spans="1:2" x14ac:dyDescent="0.2">
      <c r="A1937" s="95"/>
      <c r="B1937" s="111"/>
    </row>
    <row r="1938" spans="1:2" x14ac:dyDescent="0.2">
      <c r="A1938" s="95"/>
      <c r="B1938" s="111"/>
    </row>
    <row r="1939" spans="1:2" x14ac:dyDescent="0.2">
      <c r="A1939" s="95"/>
      <c r="B1939" s="111"/>
    </row>
    <row r="1940" spans="1:2" x14ac:dyDescent="0.2">
      <c r="A1940" s="95"/>
      <c r="B1940" s="111"/>
    </row>
    <row r="1941" spans="1:2" x14ac:dyDescent="0.2">
      <c r="A1941" s="95"/>
      <c r="B1941" s="111"/>
    </row>
    <row r="1942" spans="1:2" x14ac:dyDescent="0.2">
      <c r="A1942" s="95"/>
      <c r="B1942" s="111"/>
    </row>
    <row r="1943" spans="1:2" x14ac:dyDescent="0.2">
      <c r="A1943" s="95"/>
      <c r="B1943" s="111"/>
    </row>
    <row r="1944" spans="1:2" x14ac:dyDescent="0.2">
      <c r="A1944" s="95"/>
      <c r="B1944" s="111"/>
    </row>
    <row r="1945" spans="1:2" x14ac:dyDescent="0.2">
      <c r="A1945" s="95"/>
      <c r="B1945" s="111"/>
    </row>
    <row r="1946" spans="1:2" x14ac:dyDescent="0.2">
      <c r="A1946" s="95"/>
      <c r="B1946" s="111"/>
    </row>
    <row r="1947" spans="1:2" x14ac:dyDescent="0.2">
      <c r="A1947" s="95"/>
      <c r="B1947" s="111"/>
    </row>
    <row r="1948" spans="1:2" x14ac:dyDescent="0.2">
      <c r="A1948" s="95"/>
      <c r="B1948" s="111"/>
    </row>
    <row r="1949" spans="1:2" x14ac:dyDescent="0.2">
      <c r="A1949" s="95"/>
      <c r="B1949" s="111"/>
    </row>
    <row r="1950" spans="1:2" x14ac:dyDescent="0.2">
      <c r="A1950" s="95"/>
      <c r="B1950" s="111"/>
    </row>
    <row r="1951" spans="1:2" x14ac:dyDescent="0.2">
      <c r="A1951" s="95"/>
      <c r="B1951" s="111"/>
    </row>
    <row r="1952" spans="1:2" x14ac:dyDescent="0.2">
      <c r="A1952" s="95"/>
      <c r="B1952" s="111"/>
    </row>
    <row r="1953" spans="1:2" x14ac:dyDescent="0.2">
      <c r="A1953" s="95"/>
      <c r="B1953" s="111"/>
    </row>
    <row r="1954" spans="1:2" x14ac:dyDescent="0.2">
      <c r="A1954" s="95"/>
      <c r="B1954" s="111"/>
    </row>
    <row r="1955" spans="1:2" x14ac:dyDescent="0.2">
      <c r="A1955" s="95"/>
      <c r="B1955" s="111"/>
    </row>
    <row r="1956" spans="1:2" x14ac:dyDescent="0.2">
      <c r="A1956" s="95"/>
      <c r="B1956" s="111"/>
    </row>
    <row r="1957" spans="1:2" x14ac:dyDescent="0.2">
      <c r="A1957" s="95"/>
      <c r="B1957" s="111"/>
    </row>
    <row r="1958" spans="1:2" x14ac:dyDescent="0.2">
      <c r="A1958" s="95"/>
      <c r="B1958" s="111"/>
    </row>
    <row r="1959" spans="1:2" x14ac:dyDescent="0.2">
      <c r="A1959" s="95"/>
      <c r="B1959" s="111"/>
    </row>
    <row r="1960" spans="1:2" x14ac:dyDescent="0.2">
      <c r="A1960" s="95"/>
      <c r="B1960" s="111"/>
    </row>
    <row r="1961" spans="1:2" x14ac:dyDescent="0.2">
      <c r="A1961" s="95"/>
      <c r="B1961" s="111"/>
    </row>
    <row r="1962" spans="1:2" x14ac:dyDescent="0.2">
      <c r="A1962" s="95"/>
      <c r="B1962" s="111"/>
    </row>
    <row r="1963" spans="1:2" x14ac:dyDescent="0.2">
      <c r="A1963" s="95"/>
      <c r="B1963" s="111"/>
    </row>
    <row r="1964" spans="1:2" x14ac:dyDescent="0.2">
      <c r="A1964" s="95"/>
      <c r="B1964" s="111"/>
    </row>
    <row r="1965" spans="1:2" x14ac:dyDescent="0.2">
      <c r="A1965" s="95"/>
      <c r="B1965" s="111"/>
    </row>
    <row r="1966" spans="1:2" x14ac:dyDescent="0.2">
      <c r="A1966" s="95"/>
      <c r="B1966" s="111"/>
    </row>
    <row r="1967" spans="1:2" x14ac:dyDescent="0.2">
      <c r="A1967" s="95"/>
      <c r="B1967" s="111"/>
    </row>
    <row r="1968" spans="1:2" x14ac:dyDescent="0.2">
      <c r="A1968" s="95"/>
      <c r="B1968" s="111"/>
    </row>
    <row r="1969" spans="1:2" x14ac:dyDescent="0.2">
      <c r="A1969" s="95"/>
      <c r="B1969" s="111"/>
    </row>
    <row r="1970" spans="1:2" x14ac:dyDescent="0.2">
      <c r="A1970" s="95"/>
      <c r="B1970" s="111"/>
    </row>
    <row r="1971" spans="1:2" x14ac:dyDescent="0.2">
      <c r="A1971" s="95"/>
      <c r="B1971" s="111"/>
    </row>
    <row r="1972" spans="1:2" x14ac:dyDescent="0.2">
      <c r="A1972" s="95"/>
      <c r="B1972" s="111"/>
    </row>
    <row r="1973" spans="1:2" x14ac:dyDescent="0.2">
      <c r="A1973" s="95"/>
      <c r="B1973" s="111"/>
    </row>
    <row r="1974" spans="1:2" x14ac:dyDescent="0.2">
      <c r="A1974" s="95"/>
      <c r="B1974" s="111"/>
    </row>
    <row r="1975" spans="1:2" x14ac:dyDescent="0.2">
      <c r="A1975" s="95"/>
      <c r="B1975" s="111"/>
    </row>
    <row r="1976" spans="1:2" x14ac:dyDescent="0.2">
      <c r="A1976" s="95"/>
      <c r="B1976" s="111"/>
    </row>
    <row r="1977" spans="1:2" x14ac:dyDescent="0.2">
      <c r="A1977" s="95"/>
      <c r="B1977" s="111"/>
    </row>
    <row r="1978" spans="1:2" x14ac:dyDescent="0.2">
      <c r="A1978" s="95"/>
      <c r="B1978" s="111"/>
    </row>
    <row r="1979" spans="1:2" x14ac:dyDescent="0.2">
      <c r="A1979" s="95"/>
      <c r="B1979" s="111"/>
    </row>
    <row r="1980" spans="1:2" x14ac:dyDescent="0.2">
      <c r="A1980" s="95"/>
      <c r="B1980" s="111"/>
    </row>
    <row r="1981" spans="1:2" x14ac:dyDescent="0.2">
      <c r="A1981" s="95"/>
      <c r="B1981" s="111"/>
    </row>
    <row r="1982" spans="1:2" x14ac:dyDescent="0.2">
      <c r="A1982" s="95"/>
      <c r="B1982" s="111"/>
    </row>
    <row r="1983" spans="1:2" x14ac:dyDescent="0.2">
      <c r="A1983" s="95"/>
      <c r="B1983" s="111"/>
    </row>
    <row r="1984" spans="1:2" x14ac:dyDescent="0.2">
      <c r="A1984" s="95"/>
      <c r="B1984" s="111"/>
    </row>
    <row r="1985" spans="1:2" x14ac:dyDescent="0.2">
      <c r="A1985" s="95"/>
      <c r="B1985" s="111"/>
    </row>
    <row r="1986" spans="1:2" x14ac:dyDescent="0.2">
      <c r="A1986" s="95"/>
      <c r="B1986" s="111"/>
    </row>
    <row r="1987" spans="1:2" x14ac:dyDescent="0.2">
      <c r="A1987" s="95"/>
      <c r="B1987" s="111"/>
    </row>
    <row r="1988" spans="1:2" x14ac:dyDescent="0.2">
      <c r="A1988" s="95"/>
      <c r="B1988" s="111"/>
    </row>
    <row r="1989" spans="1:2" x14ac:dyDescent="0.2">
      <c r="A1989" s="95"/>
      <c r="B1989" s="111"/>
    </row>
    <row r="1990" spans="1:2" x14ac:dyDescent="0.2">
      <c r="A1990" s="95"/>
      <c r="B1990" s="111"/>
    </row>
    <row r="1991" spans="1:2" x14ac:dyDescent="0.2">
      <c r="A1991" s="95"/>
      <c r="B1991" s="111"/>
    </row>
    <row r="1992" spans="1:2" x14ac:dyDescent="0.2">
      <c r="A1992" s="95"/>
      <c r="B1992" s="111"/>
    </row>
    <row r="1993" spans="1:2" x14ac:dyDescent="0.2">
      <c r="A1993" s="95"/>
      <c r="B1993" s="111"/>
    </row>
    <row r="1994" spans="1:2" x14ac:dyDescent="0.2">
      <c r="A1994" s="95"/>
      <c r="B1994" s="111"/>
    </row>
    <row r="1995" spans="1:2" x14ac:dyDescent="0.2">
      <c r="A1995" s="95"/>
      <c r="B1995" s="111"/>
    </row>
    <row r="1996" spans="1:2" x14ac:dyDescent="0.2">
      <c r="A1996" s="95"/>
      <c r="B1996" s="111"/>
    </row>
    <row r="1997" spans="1:2" x14ac:dyDescent="0.2">
      <c r="A1997" s="95"/>
      <c r="B1997" s="111"/>
    </row>
    <row r="1998" spans="1:2" x14ac:dyDescent="0.2">
      <c r="A1998" s="95"/>
      <c r="B1998" s="111"/>
    </row>
    <row r="1999" spans="1:2" x14ac:dyDescent="0.2">
      <c r="A1999" s="95"/>
      <c r="B1999" s="111"/>
    </row>
    <row r="2000" spans="1:2" x14ac:dyDescent="0.2">
      <c r="A2000" s="95"/>
      <c r="B2000" s="111"/>
    </row>
    <row r="2001" spans="1:2" x14ac:dyDescent="0.2">
      <c r="A2001" s="95"/>
      <c r="B2001" s="111"/>
    </row>
    <row r="2002" spans="1:2" x14ac:dyDescent="0.2">
      <c r="A2002" s="95"/>
      <c r="B2002" s="111"/>
    </row>
    <row r="2003" spans="1:2" x14ac:dyDescent="0.2">
      <c r="A2003" s="95"/>
      <c r="B2003" s="111"/>
    </row>
    <row r="2004" spans="1:2" x14ac:dyDescent="0.2">
      <c r="A2004" s="95"/>
      <c r="B2004" s="111"/>
    </row>
    <row r="2005" spans="1:2" x14ac:dyDescent="0.2">
      <c r="A2005" s="95"/>
      <c r="B2005" s="111"/>
    </row>
    <row r="2006" spans="1:2" x14ac:dyDescent="0.2">
      <c r="A2006" s="95"/>
      <c r="B2006" s="111"/>
    </row>
    <row r="2007" spans="1:2" x14ac:dyDescent="0.2">
      <c r="A2007" s="95"/>
      <c r="B2007" s="111"/>
    </row>
    <row r="2008" spans="1:2" x14ac:dyDescent="0.2">
      <c r="A2008" s="95"/>
      <c r="B2008" s="111"/>
    </row>
    <row r="2009" spans="1:2" x14ac:dyDescent="0.2">
      <c r="A2009" s="95"/>
      <c r="B2009" s="111"/>
    </row>
    <row r="2010" spans="1:2" x14ac:dyDescent="0.2">
      <c r="A2010" s="95"/>
      <c r="B2010" s="111"/>
    </row>
    <row r="2011" spans="1:2" x14ac:dyDescent="0.2">
      <c r="A2011" s="95"/>
      <c r="B2011" s="111"/>
    </row>
    <row r="2012" spans="1:2" x14ac:dyDescent="0.2">
      <c r="A2012" s="95"/>
      <c r="B2012" s="111"/>
    </row>
    <row r="2013" spans="1:2" x14ac:dyDescent="0.2">
      <c r="A2013" s="95"/>
      <c r="B2013" s="111"/>
    </row>
    <row r="2014" spans="1:2" x14ac:dyDescent="0.2">
      <c r="A2014" s="95"/>
      <c r="B2014" s="111"/>
    </row>
    <row r="2015" spans="1:2" x14ac:dyDescent="0.2">
      <c r="A2015" s="95"/>
      <c r="B2015" s="111"/>
    </row>
    <row r="2016" spans="1:2" x14ac:dyDescent="0.2">
      <c r="A2016" s="95"/>
      <c r="B2016" s="111"/>
    </row>
    <row r="2017" spans="1:2" x14ac:dyDescent="0.2">
      <c r="A2017" s="95"/>
      <c r="B2017" s="111"/>
    </row>
    <row r="2018" spans="1:2" x14ac:dyDescent="0.2">
      <c r="A2018" s="95"/>
      <c r="B2018" s="111"/>
    </row>
    <row r="2019" spans="1:2" x14ac:dyDescent="0.2">
      <c r="A2019" s="95"/>
      <c r="B2019" s="111"/>
    </row>
    <row r="2020" spans="1:2" x14ac:dyDescent="0.2">
      <c r="A2020" s="95"/>
      <c r="B2020" s="111"/>
    </row>
    <row r="2021" spans="1:2" x14ac:dyDescent="0.2">
      <c r="A2021" s="95"/>
      <c r="B2021" s="111"/>
    </row>
    <row r="2022" spans="1:2" x14ac:dyDescent="0.2">
      <c r="A2022" s="95"/>
      <c r="B2022" s="111"/>
    </row>
    <row r="2023" spans="1:2" x14ac:dyDescent="0.2">
      <c r="A2023" s="95"/>
      <c r="B2023" s="111"/>
    </row>
    <row r="2024" spans="1:2" x14ac:dyDescent="0.2">
      <c r="A2024" s="95"/>
      <c r="B2024" s="111"/>
    </row>
    <row r="2025" spans="1:2" x14ac:dyDescent="0.2">
      <c r="A2025" s="95"/>
      <c r="B2025" s="111"/>
    </row>
    <row r="2026" spans="1:2" x14ac:dyDescent="0.2">
      <c r="A2026" s="95"/>
      <c r="B2026" s="111"/>
    </row>
    <row r="2027" spans="1:2" x14ac:dyDescent="0.2">
      <c r="A2027" s="95"/>
      <c r="B2027" s="111"/>
    </row>
    <row r="2028" spans="1:2" x14ac:dyDescent="0.2">
      <c r="A2028" s="95"/>
      <c r="B2028" s="111"/>
    </row>
    <row r="2029" spans="1:2" x14ac:dyDescent="0.2">
      <c r="A2029" s="95"/>
      <c r="B2029" s="111"/>
    </row>
    <row r="2030" spans="1:2" x14ac:dyDescent="0.2">
      <c r="A2030" s="95"/>
      <c r="B2030" s="111"/>
    </row>
    <row r="2031" spans="1:2" x14ac:dyDescent="0.2">
      <c r="A2031" s="95"/>
      <c r="B2031" s="111"/>
    </row>
    <row r="2032" spans="1:2" x14ac:dyDescent="0.2">
      <c r="A2032" s="95"/>
      <c r="B2032" s="111"/>
    </row>
    <row r="2033" spans="1:2" x14ac:dyDescent="0.2">
      <c r="A2033" s="95"/>
      <c r="B2033" s="111"/>
    </row>
    <row r="2034" spans="1:2" x14ac:dyDescent="0.2">
      <c r="A2034" s="95"/>
      <c r="B2034" s="111"/>
    </row>
    <row r="2035" spans="1:2" x14ac:dyDescent="0.2">
      <c r="A2035" s="95"/>
      <c r="B2035" s="111"/>
    </row>
    <row r="2036" spans="1:2" x14ac:dyDescent="0.2">
      <c r="A2036" s="95"/>
      <c r="B2036" s="111"/>
    </row>
    <row r="2037" spans="1:2" x14ac:dyDescent="0.2">
      <c r="A2037" s="95"/>
      <c r="B2037" s="111"/>
    </row>
    <row r="2038" spans="1:2" x14ac:dyDescent="0.2">
      <c r="A2038" s="95"/>
      <c r="B2038" s="111"/>
    </row>
    <row r="2039" spans="1:2" x14ac:dyDescent="0.2">
      <c r="A2039" s="95"/>
      <c r="B2039" s="111"/>
    </row>
    <row r="2040" spans="1:2" x14ac:dyDescent="0.2">
      <c r="A2040" s="95"/>
      <c r="B2040" s="111"/>
    </row>
    <row r="2041" spans="1:2" x14ac:dyDescent="0.2">
      <c r="A2041" s="95"/>
      <c r="B2041" s="111"/>
    </row>
    <row r="2042" spans="1:2" x14ac:dyDescent="0.2">
      <c r="A2042" s="95"/>
      <c r="B2042" s="111"/>
    </row>
    <row r="2043" spans="1:2" x14ac:dyDescent="0.2">
      <c r="A2043" s="95"/>
      <c r="B2043" s="111"/>
    </row>
    <row r="2044" spans="1:2" x14ac:dyDescent="0.2">
      <c r="A2044" s="95"/>
      <c r="B2044" s="111"/>
    </row>
    <row r="2045" spans="1:2" x14ac:dyDescent="0.2">
      <c r="A2045" s="95"/>
      <c r="B2045" s="111"/>
    </row>
    <row r="2046" spans="1:2" x14ac:dyDescent="0.2">
      <c r="A2046" s="95"/>
      <c r="B2046" s="111"/>
    </row>
    <row r="2047" spans="1:2" x14ac:dyDescent="0.2">
      <c r="A2047" s="95"/>
      <c r="B2047" s="111"/>
    </row>
    <row r="2048" spans="1:2" x14ac:dyDescent="0.2">
      <c r="A2048" s="95"/>
      <c r="B2048" s="111"/>
    </row>
    <row r="2049" spans="1:2" x14ac:dyDescent="0.2">
      <c r="A2049" s="95"/>
      <c r="B2049" s="111"/>
    </row>
    <row r="2050" spans="1:2" x14ac:dyDescent="0.2">
      <c r="A2050" s="95"/>
      <c r="B2050" s="111"/>
    </row>
    <row r="2051" spans="1:2" x14ac:dyDescent="0.2">
      <c r="A2051" s="95"/>
      <c r="B2051" s="111"/>
    </row>
    <row r="2052" spans="1:2" x14ac:dyDescent="0.2">
      <c r="A2052" s="95"/>
      <c r="B2052" s="111"/>
    </row>
    <row r="2053" spans="1:2" x14ac:dyDescent="0.2">
      <c r="A2053" s="95"/>
      <c r="B2053" s="111"/>
    </row>
    <row r="2054" spans="1:2" x14ac:dyDescent="0.2">
      <c r="A2054" s="95"/>
      <c r="B2054" s="111"/>
    </row>
    <row r="2055" spans="1:2" x14ac:dyDescent="0.2">
      <c r="A2055" s="95"/>
      <c r="B2055" s="111"/>
    </row>
    <row r="2056" spans="1:2" x14ac:dyDescent="0.2">
      <c r="A2056" s="95"/>
      <c r="B2056" s="111"/>
    </row>
    <row r="2057" spans="1:2" x14ac:dyDescent="0.2">
      <c r="A2057" s="95"/>
      <c r="B2057" s="111"/>
    </row>
    <row r="2058" spans="1:2" x14ac:dyDescent="0.2">
      <c r="A2058" s="95"/>
      <c r="B2058" s="111"/>
    </row>
    <row r="2059" spans="1:2" x14ac:dyDescent="0.2">
      <c r="A2059" s="95"/>
      <c r="B2059" s="111"/>
    </row>
    <row r="2060" spans="1:2" x14ac:dyDescent="0.2">
      <c r="A2060" s="95"/>
      <c r="B2060" s="111"/>
    </row>
    <row r="2061" spans="1:2" x14ac:dyDescent="0.2">
      <c r="A2061" s="95"/>
      <c r="B2061" s="111"/>
    </row>
    <row r="2062" spans="1:2" x14ac:dyDescent="0.2">
      <c r="A2062" s="95"/>
      <c r="B2062" s="111"/>
    </row>
    <row r="2063" spans="1:2" x14ac:dyDescent="0.2">
      <c r="A2063" s="95"/>
      <c r="B2063" s="111"/>
    </row>
    <row r="2064" spans="1:2" x14ac:dyDescent="0.2">
      <c r="A2064" s="95"/>
      <c r="B2064" s="111"/>
    </row>
    <row r="2065" spans="1:2" x14ac:dyDescent="0.2">
      <c r="A2065" s="95"/>
      <c r="B2065" s="111"/>
    </row>
    <row r="2066" spans="1:2" x14ac:dyDescent="0.2">
      <c r="A2066" s="95"/>
      <c r="B2066" s="111"/>
    </row>
    <row r="2067" spans="1:2" x14ac:dyDescent="0.2">
      <c r="A2067" s="95"/>
      <c r="B2067" s="111"/>
    </row>
    <row r="2068" spans="1:2" x14ac:dyDescent="0.2">
      <c r="A2068" s="95"/>
      <c r="B2068" s="111"/>
    </row>
    <row r="2069" spans="1:2" x14ac:dyDescent="0.2">
      <c r="A2069" s="95"/>
      <c r="B2069" s="111"/>
    </row>
    <row r="2070" spans="1:2" x14ac:dyDescent="0.2">
      <c r="A2070" s="95"/>
      <c r="B2070" s="111"/>
    </row>
    <row r="2071" spans="1:2" x14ac:dyDescent="0.2">
      <c r="A2071" s="95"/>
      <c r="B2071" s="111"/>
    </row>
    <row r="2072" spans="1:2" x14ac:dyDescent="0.2">
      <c r="A2072" s="95"/>
      <c r="B2072" s="111"/>
    </row>
    <row r="2073" spans="1:2" x14ac:dyDescent="0.2">
      <c r="A2073" s="95"/>
      <c r="B2073" s="111"/>
    </row>
    <row r="2074" spans="1:2" x14ac:dyDescent="0.2">
      <c r="A2074" s="95"/>
      <c r="B2074" s="111"/>
    </row>
    <row r="2075" spans="1:2" x14ac:dyDescent="0.2">
      <c r="A2075" s="95"/>
      <c r="B2075" s="111"/>
    </row>
    <row r="2076" spans="1:2" x14ac:dyDescent="0.2">
      <c r="A2076" s="95"/>
      <c r="B2076" s="111"/>
    </row>
    <row r="2077" spans="1:2" x14ac:dyDescent="0.2">
      <c r="A2077" s="95"/>
      <c r="B2077" s="111"/>
    </row>
    <row r="2078" spans="1:2" x14ac:dyDescent="0.2">
      <c r="A2078" s="95"/>
      <c r="B2078" s="111"/>
    </row>
    <row r="2079" spans="1:2" x14ac:dyDescent="0.2">
      <c r="A2079" s="95"/>
      <c r="B2079" s="111"/>
    </row>
    <row r="2080" spans="1:2" x14ac:dyDescent="0.2">
      <c r="A2080" s="95"/>
      <c r="B2080" s="111"/>
    </row>
    <row r="2081" spans="1:2" x14ac:dyDescent="0.2">
      <c r="A2081" s="95"/>
      <c r="B2081" s="111"/>
    </row>
    <row r="2082" spans="1:2" x14ac:dyDescent="0.2">
      <c r="A2082" s="95"/>
      <c r="B2082" s="111"/>
    </row>
    <row r="2083" spans="1:2" x14ac:dyDescent="0.2">
      <c r="A2083" s="95"/>
      <c r="B2083" s="111"/>
    </row>
    <row r="2084" spans="1:2" x14ac:dyDescent="0.2">
      <c r="A2084" s="95"/>
      <c r="B2084" s="111"/>
    </row>
    <row r="2085" spans="1:2" x14ac:dyDescent="0.2">
      <c r="A2085" s="95"/>
      <c r="B2085" s="111"/>
    </row>
    <row r="2086" spans="1:2" x14ac:dyDescent="0.2">
      <c r="A2086" s="95"/>
      <c r="B2086" s="111"/>
    </row>
    <row r="2087" spans="1:2" x14ac:dyDescent="0.2">
      <c r="A2087" s="95"/>
      <c r="B2087" s="111"/>
    </row>
    <row r="2088" spans="1:2" x14ac:dyDescent="0.2">
      <c r="A2088" s="95"/>
      <c r="B2088" s="111"/>
    </row>
    <row r="2089" spans="1:2" x14ac:dyDescent="0.2">
      <c r="A2089" s="95"/>
      <c r="B2089" s="111"/>
    </row>
    <row r="2090" spans="1:2" x14ac:dyDescent="0.2">
      <c r="A2090" s="95"/>
      <c r="B2090" s="111"/>
    </row>
    <row r="2091" spans="1:2" x14ac:dyDescent="0.2">
      <c r="A2091" s="95"/>
      <c r="B2091" s="111"/>
    </row>
    <row r="2092" spans="1:2" x14ac:dyDescent="0.2">
      <c r="A2092" s="95"/>
      <c r="B2092" s="111"/>
    </row>
    <row r="2093" spans="1:2" x14ac:dyDescent="0.2">
      <c r="A2093" s="95"/>
      <c r="B2093" s="111"/>
    </row>
    <row r="2094" spans="1:2" x14ac:dyDescent="0.2">
      <c r="A2094" s="95"/>
      <c r="B2094" s="111"/>
    </row>
    <row r="2095" spans="1:2" x14ac:dyDescent="0.2">
      <c r="A2095" s="95"/>
      <c r="B2095" s="111"/>
    </row>
    <row r="2096" spans="1:2" x14ac:dyDescent="0.2">
      <c r="A2096" s="95"/>
      <c r="B2096" s="111"/>
    </row>
    <row r="2097" spans="1:2" x14ac:dyDescent="0.2">
      <c r="A2097" s="95"/>
      <c r="B2097" s="111"/>
    </row>
    <row r="2098" spans="1:2" x14ac:dyDescent="0.2">
      <c r="A2098" s="95"/>
      <c r="B2098" s="111"/>
    </row>
    <row r="2099" spans="1:2" x14ac:dyDescent="0.2">
      <c r="A2099" s="95"/>
      <c r="B2099" s="111"/>
    </row>
    <row r="2100" spans="1:2" x14ac:dyDescent="0.2">
      <c r="A2100" s="95"/>
      <c r="B2100" s="111"/>
    </row>
    <row r="2101" spans="1:2" x14ac:dyDescent="0.2">
      <c r="A2101" s="95"/>
      <c r="B2101" s="111"/>
    </row>
    <row r="2102" spans="1:2" x14ac:dyDescent="0.2">
      <c r="A2102" s="95"/>
      <c r="B2102" s="111"/>
    </row>
    <row r="2103" spans="1:2" x14ac:dyDescent="0.2">
      <c r="A2103" s="95"/>
      <c r="B2103" s="111"/>
    </row>
    <row r="2104" spans="1:2" x14ac:dyDescent="0.2">
      <c r="A2104" s="95"/>
      <c r="B2104" s="111"/>
    </row>
    <row r="2105" spans="1:2" x14ac:dyDescent="0.2">
      <c r="A2105" s="95"/>
      <c r="B2105" s="111"/>
    </row>
    <row r="2106" spans="1:2" x14ac:dyDescent="0.2">
      <c r="A2106" s="95"/>
      <c r="B2106" s="111"/>
    </row>
    <row r="2107" spans="1:2" x14ac:dyDescent="0.2">
      <c r="A2107" s="95"/>
      <c r="B2107" s="111"/>
    </row>
    <row r="2108" spans="1:2" x14ac:dyDescent="0.2">
      <c r="A2108" s="95"/>
      <c r="B2108" s="111"/>
    </row>
    <row r="2109" spans="1:2" x14ac:dyDescent="0.2">
      <c r="A2109" s="95"/>
      <c r="B2109" s="111"/>
    </row>
    <row r="2110" spans="1:2" x14ac:dyDescent="0.2">
      <c r="A2110" s="95"/>
      <c r="B2110" s="111"/>
    </row>
    <row r="2111" spans="1:2" x14ac:dyDescent="0.2">
      <c r="A2111" s="95"/>
      <c r="B2111" s="111"/>
    </row>
    <row r="2112" spans="1:2" x14ac:dyDescent="0.2">
      <c r="A2112" s="95"/>
      <c r="B2112" s="111"/>
    </row>
    <row r="2113" spans="1:2" x14ac:dyDescent="0.2">
      <c r="A2113" s="95"/>
      <c r="B2113" s="111"/>
    </row>
    <row r="2114" spans="1:2" x14ac:dyDescent="0.2">
      <c r="A2114" s="95"/>
      <c r="B2114" s="111"/>
    </row>
    <row r="2115" spans="1:2" x14ac:dyDescent="0.2">
      <c r="A2115" s="95"/>
      <c r="B2115" s="111"/>
    </row>
    <row r="2116" spans="1:2" x14ac:dyDescent="0.2">
      <c r="A2116" s="95"/>
      <c r="B2116" s="111"/>
    </row>
    <row r="2117" spans="1:2" x14ac:dyDescent="0.2">
      <c r="A2117" s="95"/>
      <c r="B2117" s="111"/>
    </row>
    <row r="2118" spans="1:2" x14ac:dyDescent="0.2">
      <c r="A2118" s="95"/>
      <c r="B2118" s="111"/>
    </row>
    <row r="2119" spans="1:2" x14ac:dyDescent="0.2">
      <c r="A2119" s="95"/>
      <c r="B2119" s="111"/>
    </row>
    <row r="2120" spans="1:2" x14ac:dyDescent="0.2">
      <c r="A2120" s="95"/>
      <c r="B2120" s="111"/>
    </row>
    <row r="2121" spans="1:2" x14ac:dyDescent="0.2">
      <c r="A2121" s="95"/>
      <c r="B2121" s="111"/>
    </row>
    <row r="2122" spans="1:2" x14ac:dyDescent="0.2">
      <c r="A2122" s="95"/>
      <c r="B2122" s="111"/>
    </row>
    <row r="2123" spans="1:2" x14ac:dyDescent="0.2">
      <c r="A2123" s="95"/>
      <c r="B2123" s="111"/>
    </row>
    <row r="2124" spans="1:2" x14ac:dyDescent="0.2">
      <c r="A2124" s="95"/>
      <c r="B2124" s="111"/>
    </row>
    <row r="2125" spans="1:2" x14ac:dyDescent="0.2">
      <c r="A2125" s="95"/>
      <c r="B2125" s="111"/>
    </row>
    <row r="2126" spans="1:2" x14ac:dyDescent="0.2">
      <c r="A2126" s="95"/>
      <c r="B2126" s="111"/>
    </row>
    <row r="2127" spans="1:2" x14ac:dyDescent="0.2">
      <c r="A2127" s="95"/>
      <c r="B2127" s="111"/>
    </row>
    <row r="2128" spans="1:2" x14ac:dyDescent="0.2">
      <c r="A2128" s="95"/>
      <c r="B2128" s="111"/>
    </row>
    <row r="2129" spans="1:2" x14ac:dyDescent="0.2">
      <c r="A2129" s="95"/>
      <c r="B2129" s="111"/>
    </row>
    <row r="2130" spans="1:2" x14ac:dyDescent="0.2">
      <c r="A2130" s="95"/>
      <c r="B2130" s="111"/>
    </row>
    <row r="2131" spans="1:2" x14ac:dyDescent="0.2">
      <c r="A2131" s="95"/>
      <c r="B2131" s="111"/>
    </row>
    <row r="2132" spans="1:2" x14ac:dyDescent="0.2">
      <c r="A2132" s="95"/>
      <c r="B2132" s="111"/>
    </row>
    <row r="2133" spans="1:2" x14ac:dyDescent="0.2">
      <c r="A2133" s="95"/>
      <c r="B2133" s="111"/>
    </row>
    <row r="2134" spans="1:2" x14ac:dyDescent="0.2">
      <c r="A2134" s="95"/>
      <c r="B2134" s="111"/>
    </row>
    <row r="2135" spans="1:2" x14ac:dyDescent="0.2">
      <c r="A2135" s="95"/>
      <c r="B2135" s="111"/>
    </row>
    <row r="2136" spans="1:2" x14ac:dyDescent="0.2">
      <c r="A2136" s="95"/>
      <c r="B2136" s="111"/>
    </row>
    <row r="2137" spans="1:2" x14ac:dyDescent="0.2">
      <c r="A2137" s="95"/>
      <c r="B2137" s="111"/>
    </row>
    <row r="2138" spans="1:2" x14ac:dyDescent="0.2">
      <c r="A2138" s="95"/>
      <c r="B2138" s="111"/>
    </row>
    <row r="2139" spans="1:2" x14ac:dyDescent="0.2">
      <c r="A2139" s="95"/>
      <c r="B2139" s="111"/>
    </row>
    <row r="2140" spans="1:2" x14ac:dyDescent="0.2">
      <c r="A2140" s="95"/>
      <c r="B2140" s="111"/>
    </row>
    <row r="2141" spans="1:2" x14ac:dyDescent="0.2">
      <c r="A2141" s="95"/>
      <c r="B2141" s="111"/>
    </row>
    <row r="2142" spans="1:2" x14ac:dyDescent="0.2">
      <c r="A2142" s="95"/>
      <c r="B2142" s="111"/>
    </row>
    <row r="2143" spans="1:2" x14ac:dyDescent="0.2">
      <c r="A2143" s="95"/>
      <c r="B2143" s="111"/>
    </row>
    <row r="2144" spans="1:2" x14ac:dyDescent="0.2">
      <c r="A2144" s="95"/>
      <c r="B2144" s="111"/>
    </row>
    <row r="2145" spans="1:2" x14ac:dyDescent="0.2">
      <c r="A2145" s="95"/>
      <c r="B2145" s="111"/>
    </row>
    <row r="2146" spans="1:2" x14ac:dyDescent="0.2">
      <c r="A2146" s="95"/>
      <c r="B2146" s="111"/>
    </row>
    <row r="2147" spans="1:2" x14ac:dyDescent="0.2">
      <c r="A2147" s="95"/>
      <c r="B2147" s="111"/>
    </row>
    <row r="2148" spans="1:2" x14ac:dyDescent="0.2">
      <c r="A2148" s="95"/>
      <c r="B2148" s="111"/>
    </row>
    <row r="2149" spans="1:2" x14ac:dyDescent="0.2">
      <c r="A2149" s="95"/>
      <c r="B2149" s="111"/>
    </row>
    <row r="2150" spans="1:2" x14ac:dyDescent="0.2">
      <c r="A2150" s="95"/>
      <c r="B2150" s="111"/>
    </row>
    <row r="2151" spans="1:2" x14ac:dyDescent="0.2">
      <c r="A2151" s="95"/>
      <c r="B2151" s="111"/>
    </row>
    <row r="2152" spans="1:2" x14ac:dyDescent="0.2">
      <c r="A2152" s="95"/>
      <c r="B2152" s="111"/>
    </row>
    <row r="2153" spans="1:2" x14ac:dyDescent="0.2">
      <c r="A2153" s="95"/>
      <c r="B2153" s="111"/>
    </row>
    <row r="2154" spans="1:2" x14ac:dyDescent="0.2">
      <c r="A2154" s="95"/>
      <c r="B2154" s="111"/>
    </row>
    <row r="2155" spans="1:2" x14ac:dyDescent="0.2">
      <c r="A2155" s="95"/>
      <c r="B2155" s="111"/>
    </row>
    <row r="2156" spans="1:2" x14ac:dyDescent="0.2">
      <c r="A2156" s="95"/>
      <c r="B2156" s="111"/>
    </row>
    <row r="2157" spans="1:2" x14ac:dyDescent="0.2">
      <c r="A2157" s="95"/>
      <c r="B2157" s="111"/>
    </row>
    <row r="2158" spans="1:2" x14ac:dyDescent="0.2">
      <c r="A2158" s="95"/>
      <c r="B2158" s="111"/>
    </row>
    <row r="2159" spans="1:2" x14ac:dyDescent="0.2">
      <c r="A2159" s="95"/>
      <c r="B2159" s="111"/>
    </row>
    <row r="2160" spans="1:2" x14ac:dyDescent="0.2">
      <c r="A2160" s="95"/>
      <c r="B2160" s="111"/>
    </row>
    <row r="2161" spans="1:2" x14ac:dyDescent="0.2">
      <c r="A2161" s="95"/>
      <c r="B2161" s="111"/>
    </row>
    <row r="2162" spans="1:2" x14ac:dyDescent="0.2">
      <c r="A2162" s="95"/>
      <c r="B2162" s="111"/>
    </row>
    <row r="2163" spans="1:2" x14ac:dyDescent="0.2">
      <c r="A2163" s="95"/>
      <c r="B2163" s="111"/>
    </row>
    <row r="2164" spans="1:2" x14ac:dyDescent="0.2">
      <c r="A2164" s="95"/>
      <c r="B2164" s="111"/>
    </row>
    <row r="2165" spans="1:2" x14ac:dyDescent="0.2">
      <c r="A2165" s="95"/>
      <c r="B2165" s="111"/>
    </row>
    <row r="2166" spans="1:2" x14ac:dyDescent="0.2">
      <c r="A2166" s="95"/>
      <c r="B2166" s="111"/>
    </row>
    <row r="2167" spans="1:2" x14ac:dyDescent="0.2">
      <c r="A2167" s="95"/>
      <c r="B2167" s="111"/>
    </row>
    <row r="2168" spans="1:2" x14ac:dyDescent="0.2">
      <c r="A2168" s="95"/>
      <c r="B2168" s="111"/>
    </row>
    <row r="2169" spans="1:2" x14ac:dyDescent="0.2">
      <c r="A2169" s="95"/>
      <c r="B2169" s="111"/>
    </row>
    <row r="2170" spans="1:2" x14ac:dyDescent="0.2">
      <c r="A2170" s="95"/>
      <c r="B2170" s="111"/>
    </row>
    <row r="2171" spans="1:2" x14ac:dyDescent="0.2">
      <c r="A2171" s="95"/>
      <c r="B2171" s="111"/>
    </row>
    <row r="2172" spans="1:2" x14ac:dyDescent="0.2">
      <c r="A2172" s="95"/>
      <c r="B2172" s="111"/>
    </row>
    <row r="2173" spans="1:2" x14ac:dyDescent="0.2">
      <c r="A2173" s="95"/>
      <c r="B2173" s="111"/>
    </row>
    <row r="2174" spans="1:2" x14ac:dyDescent="0.2">
      <c r="A2174" s="95"/>
      <c r="B2174" s="111"/>
    </row>
    <row r="2175" spans="1:2" x14ac:dyDescent="0.2">
      <c r="A2175" s="95"/>
      <c r="B2175" s="111"/>
    </row>
    <row r="2176" spans="1:2" x14ac:dyDescent="0.2">
      <c r="A2176" s="95"/>
      <c r="B2176" s="111"/>
    </row>
    <row r="2177" spans="1:2" x14ac:dyDescent="0.2">
      <c r="A2177" s="95"/>
      <c r="B2177" s="111"/>
    </row>
    <row r="2178" spans="1:2" x14ac:dyDescent="0.2">
      <c r="A2178" s="95"/>
      <c r="B2178" s="111"/>
    </row>
    <row r="2179" spans="1:2" x14ac:dyDescent="0.2">
      <c r="A2179" s="95"/>
      <c r="B2179" s="111"/>
    </row>
    <row r="2180" spans="1:2" x14ac:dyDescent="0.2">
      <c r="A2180" s="95"/>
      <c r="B2180" s="111"/>
    </row>
    <row r="2181" spans="1:2" x14ac:dyDescent="0.2">
      <c r="A2181" s="95"/>
      <c r="B2181" s="111"/>
    </row>
    <row r="2182" spans="1:2" x14ac:dyDescent="0.2">
      <c r="A2182" s="95"/>
      <c r="B2182" s="111"/>
    </row>
    <row r="2183" spans="1:2" x14ac:dyDescent="0.2">
      <c r="A2183" s="95"/>
      <c r="B2183" s="111"/>
    </row>
    <row r="2184" spans="1:2" x14ac:dyDescent="0.2">
      <c r="A2184" s="95"/>
      <c r="B2184" s="111"/>
    </row>
    <row r="2185" spans="1:2" x14ac:dyDescent="0.2">
      <c r="A2185" s="95"/>
      <c r="B2185" s="111"/>
    </row>
    <row r="2186" spans="1:2" x14ac:dyDescent="0.2">
      <c r="A2186" s="95"/>
      <c r="B2186" s="111"/>
    </row>
    <row r="2187" spans="1:2" x14ac:dyDescent="0.2">
      <c r="A2187" s="95"/>
      <c r="B2187" s="111"/>
    </row>
    <row r="2188" spans="1:2" x14ac:dyDescent="0.2">
      <c r="A2188" s="95"/>
      <c r="B2188" s="111"/>
    </row>
    <row r="2189" spans="1:2" x14ac:dyDescent="0.2">
      <c r="A2189" s="95"/>
      <c r="B2189" s="111"/>
    </row>
    <row r="2190" spans="1:2" x14ac:dyDescent="0.2">
      <c r="A2190" s="95"/>
      <c r="B2190" s="111"/>
    </row>
    <row r="2191" spans="1:2" x14ac:dyDescent="0.2">
      <c r="A2191" s="95"/>
      <c r="B2191" s="111"/>
    </row>
    <row r="2192" spans="1:2" x14ac:dyDescent="0.2">
      <c r="A2192" s="95"/>
      <c r="B2192" s="111"/>
    </row>
    <row r="2193" spans="1:2" x14ac:dyDescent="0.2">
      <c r="A2193" s="95"/>
      <c r="B2193" s="111"/>
    </row>
    <row r="2194" spans="1:2" x14ac:dyDescent="0.2">
      <c r="A2194" s="95"/>
      <c r="B2194" s="111"/>
    </row>
    <row r="2195" spans="1:2" x14ac:dyDescent="0.2">
      <c r="A2195" s="95"/>
      <c r="B2195" s="111"/>
    </row>
    <row r="2196" spans="1:2" x14ac:dyDescent="0.2">
      <c r="A2196" s="95"/>
      <c r="B2196" s="111"/>
    </row>
    <row r="2197" spans="1:2" x14ac:dyDescent="0.2">
      <c r="A2197" s="95"/>
      <c r="B2197" s="111"/>
    </row>
    <row r="2198" spans="1:2" x14ac:dyDescent="0.2">
      <c r="A2198" s="95"/>
      <c r="B2198" s="111"/>
    </row>
    <row r="2199" spans="1:2" x14ac:dyDescent="0.2">
      <c r="A2199" s="95"/>
      <c r="B2199" s="111"/>
    </row>
    <row r="2200" spans="1:2" x14ac:dyDescent="0.2">
      <c r="A2200" s="95"/>
      <c r="B2200" s="111"/>
    </row>
    <row r="2201" spans="1:2" x14ac:dyDescent="0.2">
      <c r="A2201" s="95"/>
      <c r="B2201" s="111"/>
    </row>
    <row r="2202" spans="1:2" x14ac:dyDescent="0.2">
      <c r="A2202" s="95"/>
      <c r="B2202" s="111"/>
    </row>
    <row r="2203" spans="1:2" x14ac:dyDescent="0.2">
      <c r="A2203" s="95"/>
      <c r="B2203" s="111"/>
    </row>
    <row r="2204" spans="1:2" x14ac:dyDescent="0.2">
      <c r="A2204" s="95"/>
      <c r="B2204" s="111"/>
    </row>
    <row r="2205" spans="1:2" x14ac:dyDescent="0.2">
      <c r="A2205" s="95"/>
      <c r="B2205" s="111"/>
    </row>
    <row r="2206" spans="1:2" x14ac:dyDescent="0.2">
      <c r="A2206" s="95"/>
      <c r="B2206" s="111"/>
    </row>
    <row r="2207" spans="1:2" x14ac:dyDescent="0.2">
      <c r="A2207" s="95"/>
      <c r="B2207" s="111"/>
    </row>
    <row r="2208" spans="1:2" x14ac:dyDescent="0.2">
      <c r="A2208" s="95"/>
      <c r="B2208" s="111"/>
    </row>
    <row r="2209" spans="1:2" x14ac:dyDescent="0.2">
      <c r="A2209" s="95"/>
      <c r="B2209" s="111"/>
    </row>
    <row r="2210" spans="1:2" x14ac:dyDescent="0.2">
      <c r="A2210" s="95"/>
      <c r="B2210" s="111"/>
    </row>
    <row r="2211" spans="1:2" x14ac:dyDescent="0.2">
      <c r="A2211" s="95"/>
      <c r="B2211" s="111"/>
    </row>
    <row r="2212" spans="1:2" x14ac:dyDescent="0.2">
      <c r="A2212" s="95"/>
      <c r="B2212" s="111"/>
    </row>
    <row r="2213" spans="1:2" x14ac:dyDescent="0.2">
      <c r="A2213" s="95"/>
      <c r="B2213" s="111"/>
    </row>
    <row r="2214" spans="1:2" x14ac:dyDescent="0.2">
      <c r="A2214" s="95"/>
      <c r="B2214" s="111"/>
    </row>
    <row r="2215" spans="1:2" x14ac:dyDescent="0.2">
      <c r="A2215" s="95"/>
      <c r="B2215" s="111"/>
    </row>
    <row r="2216" spans="1:2" x14ac:dyDescent="0.2">
      <c r="A2216" s="95"/>
      <c r="B2216" s="111"/>
    </row>
    <row r="2217" spans="1:2" x14ac:dyDescent="0.2">
      <c r="A2217" s="95"/>
      <c r="B2217" s="111"/>
    </row>
    <row r="2218" spans="1:2" x14ac:dyDescent="0.2">
      <c r="A2218" s="95"/>
      <c r="B2218" s="111"/>
    </row>
    <row r="2219" spans="1:2" x14ac:dyDescent="0.2">
      <c r="A2219" s="95"/>
      <c r="B2219" s="111"/>
    </row>
    <row r="2220" spans="1:2" x14ac:dyDescent="0.2">
      <c r="A2220" s="95"/>
      <c r="B2220" s="111"/>
    </row>
    <row r="2221" spans="1:2" x14ac:dyDescent="0.2">
      <c r="A2221" s="95"/>
      <c r="B2221" s="111"/>
    </row>
    <row r="2222" spans="1:2" x14ac:dyDescent="0.2">
      <c r="A2222" s="95"/>
      <c r="B2222" s="111"/>
    </row>
    <row r="2223" spans="1:2" x14ac:dyDescent="0.2">
      <c r="A2223" s="95"/>
      <c r="B2223" s="111"/>
    </row>
    <row r="2224" spans="1:2" x14ac:dyDescent="0.2">
      <c r="A2224" s="95"/>
      <c r="B2224" s="111"/>
    </row>
    <row r="2225" spans="1:2" x14ac:dyDescent="0.2">
      <c r="A2225" s="95"/>
      <c r="B2225" s="111"/>
    </row>
    <row r="2226" spans="1:2" x14ac:dyDescent="0.2">
      <c r="A2226" s="95"/>
      <c r="B2226" s="111"/>
    </row>
    <row r="2227" spans="1:2" x14ac:dyDescent="0.2">
      <c r="A2227" s="95"/>
      <c r="B2227" s="111"/>
    </row>
    <row r="2228" spans="1:2" x14ac:dyDescent="0.2">
      <c r="A2228" s="95"/>
      <c r="B2228" s="111"/>
    </row>
    <row r="2229" spans="1:2" x14ac:dyDescent="0.2">
      <c r="A2229" s="95"/>
      <c r="B2229" s="111"/>
    </row>
    <row r="2230" spans="1:2" x14ac:dyDescent="0.2">
      <c r="A2230" s="95"/>
      <c r="B2230" s="111"/>
    </row>
    <row r="2231" spans="1:2" x14ac:dyDescent="0.2">
      <c r="A2231" s="95"/>
      <c r="B2231" s="111"/>
    </row>
    <row r="2232" spans="1:2" x14ac:dyDescent="0.2">
      <c r="A2232" s="95"/>
      <c r="B2232" s="111"/>
    </row>
    <row r="2233" spans="1:2" x14ac:dyDescent="0.2">
      <c r="A2233" s="95"/>
      <c r="B2233" s="111"/>
    </row>
    <row r="2234" spans="1:2" x14ac:dyDescent="0.2">
      <c r="A2234" s="95"/>
      <c r="B2234" s="111"/>
    </row>
    <row r="2235" spans="1:2" x14ac:dyDescent="0.2">
      <c r="A2235" s="95"/>
      <c r="B2235" s="111"/>
    </row>
    <row r="2236" spans="1:2" x14ac:dyDescent="0.2">
      <c r="A2236" s="95"/>
      <c r="B2236" s="111"/>
    </row>
    <row r="2237" spans="1:2" x14ac:dyDescent="0.2">
      <c r="A2237" s="95"/>
      <c r="B2237" s="111"/>
    </row>
    <row r="2238" spans="1:2" x14ac:dyDescent="0.2">
      <c r="A2238" s="95"/>
      <c r="B2238" s="111"/>
    </row>
    <row r="2239" spans="1:2" x14ac:dyDescent="0.2">
      <c r="A2239" s="95"/>
      <c r="B2239" s="111"/>
    </row>
    <row r="2240" spans="1:2" x14ac:dyDescent="0.2">
      <c r="A2240" s="95"/>
      <c r="B2240" s="111"/>
    </row>
    <row r="2241" spans="1:2" x14ac:dyDescent="0.2">
      <c r="A2241" s="95"/>
      <c r="B2241" s="111"/>
    </row>
    <row r="2242" spans="1:2" x14ac:dyDescent="0.2">
      <c r="A2242" s="95"/>
      <c r="B2242" s="111"/>
    </row>
    <row r="2243" spans="1:2" x14ac:dyDescent="0.2">
      <c r="A2243" s="95"/>
      <c r="B2243" s="111"/>
    </row>
    <row r="2244" spans="1:2" x14ac:dyDescent="0.2">
      <c r="A2244" s="95"/>
      <c r="B2244" s="111"/>
    </row>
    <row r="2245" spans="1:2" x14ac:dyDescent="0.2">
      <c r="A2245" s="95"/>
      <c r="B2245" s="111"/>
    </row>
    <row r="2246" spans="1:2" x14ac:dyDescent="0.2">
      <c r="A2246" s="95"/>
      <c r="B2246" s="111"/>
    </row>
    <row r="2247" spans="1:2" x14ac:dyDescent="0.2">
      <c r="A2247" s="95"/>
      <c r="B2247" s="111"/>
    </row>
    <row r="2248" spans="1:2" x14ac:dyDescent="0.2">
      <c r="A2248" s="95"/>
      <c r="B2248" s="111"/>
    </row>
    <row r="2249" spans="1:2" x14ac:dyDescent="0.2">
      <c r="A2249" s="95"/>
      <c r="B2249" s="111"/>
    </row>
    <row r="2250" spans="1:2" x14ac:dyDescent="0.2">
      <c r="A2250" s="95"/>
      <c r="B2250" s="111"/>
    </row>
    <row r="2251" spans="1:2" x14ac:dyDescent="0.2">
      <c r="A2251" s="95"/>
      <c r="B2251" s="111"/>
    </row>
    <row r="2252" spans="1:2" x14ac:dyDescent="0.2">
      <c r="A2252" s="95"/>
      <c r="B2252" s="111"/>
    </row>
    <row r="2253" spans="1:2" x14ac:dyDescent="0.2">
      <c r="A2253" s="95"/>
      <c r="B2253" s="111"/>
    </row>
    <row r="2254" spans="1:2" x14ac:dyDescent="0.2">
      <c r="A2254" s="95"/>
      <c r="B2254" s="111"/>
    </row>
    <row r="2255" spans="1:2" x14ac:dyDescent="0.2">
      <c r="A2255" s="95"/>
      <c r="B2255" s="111"/>
    </row>
    <row r="2256" spans="1:2" x14ac:dyDescent="0.2">
      <c r="A2256" s="95"/>
      <c r="B2256" s="111"/>
    </row>
    <row r="2257" spans="1:2" x14ac:dyDescent="0.2">
      <c r="A2257" s="95"/>
      <c r="B2257" s="111"/>
    </row>
    <row r="2258" spans="1:2" x14ac:dyDescent="0.2">
      <c r="A2258" s="95"/>
      <c r="B2258" s="111"/>
    </row>
    <row r="2259" spans="1:2" x14ac:dyDescent="0.2">
      <c r="A2259" s="95"/>
      <c r="B2259" s="111"/>
    </row>
    <row r="2260" spans="1:2" x14ac:dyDescent="0.2">
      <c r="A2260" s="95"/>
      <c r="B2260" s="111"/>
    </row>
    <row r="2261" spans="1:2" x14ac:dyDescent="0.2">
      <c r="A2261" s="95"/>
      <c r="B2261" s="111"/>
    </row>
    <row r="2262" spans="1:2" x14ac:dyDescent="0.2">
      <c r="A2262" s="95"/>
      <c r="B2262" s="111"/>
    </row>
    <row r="2263" spans="1:2" x14ac:dyDescent="0.2">
      <c r="A2263" s="95"/>
      <c r="B2263" s="111"/>
    </row>
    <row r="2264" spans="1:2" x14ac:dyDescent="0.2">
      <c r="A2264" s="95"/>
      <c r="B2264" s="111"/>
    </row>
    <row r="2265" spans="1:2" x14ac:dyDescent="0.2">
      <c r="A2265" s="95"/>
      <c r="B2265" s="111"/>
    </row>
    <row r="2266" spans="1:2" x14ac:dyDescent="0.2">
      <c r="A2266" s="95"/>
      <c r="B2266" s="111"/>
    </row>
    <row r="2267" spans="1:2" x14ac:dyDescent="0.2">
      <c r="A2267" s="95"/>
      <c r="B2267" s="111"/>
    </row>
    <row r="2268" spans="1:2" x14ac:dyDescent="0.2">
      <c r="A2268" s="95"/>
      <c r="B2268" s="111"/>
    </row>
    <row r="2269" spans="1:2" x14ac:dyDescent="0.2">
      <c r="A2269" s="95"/>
      <c r="B2269" s="111"/>
    </row>
    <row r="2270" spans="1:2" x14ac:dyDescent="0.2">
      <c r="A2270" s="95"/>
      <c r="B2270" s="111"/>
    </row>
    <row r="2271" spans="1:2" x14ac:dyDescent="0.2">
      <c r="A2271" s="95"/>
      <c r="B2271" s="111"/>
    </row>
    <row r="2272" spans="1:2" x14ac:dyDescent="0.2">
      <c r="A2272" s="95"/>
      <c r="B2272" s="111"/>
    </row>
    <row r="2273" spans="1:2" x14ac:dyDescent="0.2">
      <c r="A2273" s="95"/>
      <c r="B2273" s="111"/>
    </row>
    <row r="2274" spans="1:2" x14ac:dyDescent="0.2">
      <c r="A2274" s="95"/>
      <c r="B2274" s="111"/>
    </row>
    <row r="2275" spans="1:2" x14ac:dyDescent="0.2">
      <c r="A2275" s="95"/>
      <c r="B2275" s="111"/>
    </row>
    <row r="2276" spans="1:2" x14ac:dyDescent="0.2">
      <c r="A2276" s="95"/>
      <c r="B2276" s="111"/>
    </row>
    <row r="2277" spans="1:2" x14ac:dyDescent="0.2">
      <c r="A2277" s="95"/>
      <c r="B2277" s="111"/>
    </row>
    <row r="2278" spans="1:2" x14ac:dyDescent="0.2">
      <c r="A2278" s="95"/>
      <c r="B2278" s="111"/>
    </row>
    <row r="2279" spans="1:2" x14ac:dyDescent="0.2">
      <c r="A2279" s="95"/>
      <c r="B2279" s="111"/>
    </row>
    <row r="2280" spans="1:2" x14ac:dyDescent="0.2">
      <c r="A2280" s="95"/>
      <c r="B2280" s="111"/>
    </row>
    <row r="2281" spans="1:2" x14ac:dyDescent="0.2">
      <c r="A2281" s="95"/>
      <c r="B2281" s="111"/>
    </row>
    <row r="2282" spans="1:2" x14ac:dyDescent="0.2">
      <c r="A2282" s="95"/>
      <c r="B2282" s="111"/>
    </row>
    <row r="2283" spans="1:2" x14ac:dyDescent="0.2">
      <c r="A2283" s="95"/>
      <c r="B2283" s="111"/>
    </row>
    <row r="2284" spans="1:2" x14ac:dyDescent="0.2">
      <c r="A2284" s="95"/>
      <c r="B2284" s="111"/>
    </row>
    <row r="2285" spans="1:2" x14ac:dyDescent="0.2">
      <c r="A2285" s="95"/>
      <c r="B2285" s="111"/>
    </row>
    <row r="2286" spans="1:2" x14ac:dyDescent="0.2">
      <c r="A2286" s="95"/>
      <c r="B2286" s="111"/>
    </row>
    <row r="2287" spans="1:2" x14ac:dyDescent="0.2">
      <c r="A2287" s="95"/>
      <c r="B2287" s="111"/>
    </row>
    <row r="2288" spans="1:2" x14ac:dyDescent="0.2">
      <c r="A2288" s="95"/>
      <c r="B2288" s="111"/>
    </row>
    <row r="2289" spans="1:2" x14ac:dyDescent="0.2">
      <c r="A2289" s="95"/>
      <c r="B2289" s="111"/>
    </row>
    <row r="2290" spans="1:2" x14ac:dyDescent="0.2">
      <c r="A2290" s="95"/>
      <c r="B2290" s="111"/>
    </row>
    <row r="2291" spans="1:2" x14ac:dyDescent="0.2">
      <c r="A2291" s="95"/>
      <c r="B2291" s="111"/>
    </row>
    <row r="2292" spans="1:2" x14ac:dyDescent="0.2">
      <c r="A2292" s="95"/>
      <c r="B2292" s="111"/>
    </row>
    <row r="2293" spans="1:2" x14ac:dyDescent="0.2">
      <c r="A2293" s="95"/>
      <c r="B2293" s="111"/>
    </row>
    <row r="2294" spans="1:2" x14ac:dyDescent="0.2">
      <c r="A2294" s="95"/>
      <c r="B2294" s="111"/>
    </row>
    <row r="2295" spans="1:2" x14ac:dyDescent="0.2">
      <c r="A2295" s="95"/>
      <c r="B2295" s="111"/>
    </row>
    <row r="2296" spans="1:2" x14ac:dyDescent="0.2">
      <c r="A2296" s="95"/>
      <c r="B2296" s="111"/>
    </row>
    <row r="2297" spans="1:2" x14ac:dyDescent="0.2">
      <c r="A2297" s="95"/>
      <c r="B2297" s="111"/>
    </row>
    <row r="2298" spans="1:2" x14ac:dyDescent="0.2">
      <c r="A2298" s="95"/>
      <c r="B2298" s="111"/>
    </row>
    <row r="2299" spans="1:2" x14ac:dyDescent="0.2">
      <c r="A2299" s="95"/>
      <c r="B2299" s="111"/>
    </row>
    <row r="2300" spans="1:2" x14ac:dyDescent="0.2">
      <c r="A2300" s="95"/>
      <c r="B2300" s="111"/>
    </row>
    <row r="2301" spans="1:2" x14ac:dyDescent="0.2">
      <c r="A2301" s="95"/>
      <c r="B2301" s="111"/>
    </row>
    <row r="2302" spans="1:2" x14ac:dyDescent="0.2">
      <c r="A2302" s="95"/>
      <c r="B2302" s="111"/>
    </row>
    <row r="2303" spans="1:2" x14ac:dyDescent="0.2">
      <c r="A2303" s="95"/>
      <c r="B2303" s="111"/>
    </row>
    <row r="2304" spans="1:2" x14ac:dyDescent="0.2">
      <c r="A2304" s="95"/>
      <c r="B2304" s="111"/>
    </row>
    <row r="2305" spans="1:2" x14ac:dyDescent="0.2">
      <c r="A2305" s="95"/>
      <c r="B2305" s="111"/>
    </row>
    <row r="2306" spans="1:2" x14ac:dyDescent="0.2">
      <c r="A2306" s="95"/>
      <c r="B2306" s="111"/>
    </row>
    <row r="2307" spans="1:2" x14ac:dyDescent="0.2">
      <c r="A2307" s="95"/>
      <c r="B2307" s="111"/>
    </row>
    <row r="2308" spans="1:2" x14ac:dyDescent="0.2">
      <c r="A2308" s="95"/>
      <c r="B2308" s="111"/>
    </row>
    <row r="2309" spans="1:2" x14ac:dyDescent="0.2">
      <c r="A2309" s="95"/>
      <c r="B2309" s="111"/>
    </row>
    <row r="2310" spans="1:2" x14ac:dyDescent="0.2">
      <c r="A2310" s="95"/>
      <c r="B2310" s="111"/>
    </row>
    <row r="2311" spans="1:2" x14ac:dyDescent="0.2">
      <c r="A2311" s="95"/>
      <c r="B2311" s="111"/>
    </row>
    <row r="2312" spans="1:2" x14ac:dyDescent="0.2">
      <c r="A2312" s="95"/>
      <c r="B2312" s="111"/>
    </row>
    <row r="2313" spans="1:2" x14ac:dyDescent="0.2">
      <c r="A2313" s="95"/>
      <c r="B2313" s="111"/>
    </row>
    <row r="2314" spans="1:2" x14ac:dyDescent="0.2">
      <c r="A2314" s="95"/>
      <c r="B2314" s="111"/>
    </row>
    <row r="2315" spans="1:2" x14ac:dyDescent="0.2">
      <c r="A2315" s="95"/>
      <c r="B2315" s="111"/>
    </row>
    <row r="2316" spans="1:2" x14ac:dyDescent="0.2">
      <c r="A2316" s="95"/>
      <c r="B2316" s="111"/>
    </row>
    <row r="2317" spans="1:2" x14ac:dyDescent="0.2">
      <c r="A2317" s="95"/>
      <c r="B2317" s="111"/>
    </row>
    <row r="2318" spans="1:2" x14ac:dyDescent="0.2">
      <c r="A2318" s="95"/>
      <c r="B2318" s="111"/>
    </row>
    <row r="2319" spans="1:2" x14ac:dyDescent="0.2">
      <c r="A2319" s="95"/>
      <c r="B2319" s="111"/>
    </row>
    <row r="2320" spans="1:2" x14ac:dyDescent="0.2">
      <c r="A2320" s="95"/>
      <c r="B2320" s="111"/>
    </row>
    <row r="2321" spans="1:2" x14ac:dyDescent="0.2">
      <c r="A2321" s="95"/>
      <c r="B2321" s="111"/>
    </row>
    <row r="2322" spans="1:2" x14ac:dyDescent="0.2">
      <c r="A2322" s="95"/>
      <c r="B2322" s="111"/>
    </row>
    <row r="2323" spans="1:2" x14ac:dyDescent="0.2">
      <c r="A2323" s="95"/>
      <c r="B2323" s="111"/>
    </row>
    <row r="2324" spans="1:2" x14ac:dyDescent="0.2">
      <c r="A2324" s="95"/>
      <c r="B2324" s="111"/>
    </row>
    <row r="2325" spans="1:2" x14ac:dyDescent="0.2">
      <c r="A2325" s="95"/>
      <c r="B2325" s="111"/>
    </row>
    <row r="2326" spans="1:2" x14ac:dyDescent="0.2">
      <c r="A2326" s="95"/>
      <c r="B2326" s="111"/>
    </row>
    <row r="2327" spans="1:2" x14ac:dyDescent="0.2">
      <c r="A2327" s="95"/>
      <c r="B2327" s="111"/>
    </row>
    <row r="2328" spans="1:2" x14ac:dyDescent="0.2">
      <c r="A2328" s="95"/>
      <c r="B2328" s="111"/>
    </row>
    <row r="2329" spans="1:2" x14ac:dyDescent="0.2">
      <c r="A2329" s="95"/>
      <c r="B2329" s="111"/>
    </row>
    <row r="2330" spans="1:2" x14ac:dyDescent="0.2">
      <c r="A2330" s="95"/>
      <c r="B2330" s="111"/>
    </row>
    <row r="2331" spans="1:2" x14ac:dyDescent="0.2">
      <c r="A2331" s="95"/>
      <c r="B2331" s="111"/>
    </row>
    <row r="2332" spans="1:2" x14ac:dyDescent="0.2">
      <c r="A2332" s="95"/>
      <c r="B2332" s="111"/>
    </row>
    <row r="2333" spans="1:2" x14ac:dyDescent="0.2">
      <c r="A2333" s="95"/>
      <c r="B2333" s="111"/>
    </row>
    <row r="2334" spans="1:2" x14ac:dyDescent="0.2">
      <c r="A2334" s="95"/>
      <c r="B2334" s="111"/>
    </row>
    <row r="2335" spans="1:2" x14ac:dyDescent="0.2">
      <c r="A2335" s="95"/>
      <c r="B2335" s="111"/>
    </row>
    <row r="2336" spans="1:2" x14ac:dyDescent="0.2">
      <c r="A2336" s="95"/>
      <c r="B2336" s="111"/>
    </row>
    <row r="2337" spans="1:2" x14ac:dyDescent="0.2">
      <c r="A2337" s="95"/>
      <c r="B2337" s="111"/>
    </row>
    <row r="2338" spans="1:2" x14ac:dyDescent="0.2">
      <c r="A2338" s="95"/>
      <c r="B2338" s="111"/>
    </row>
    <row r="2339" spans="1:2" x14ac:dyDescent="0.2">
      <c r="A2339" s="95"/>
      <c r="B2339" s="111"/>
    </row>
    <row r="2340" spans="1:2" x14ac:dyDescent="0.2">
      <c r="A2340" s="95"/>
      <c r="B2340" s="111"/>
    </row>
    <row r="2341" spans="1:2" x14ac:dyDescent="0.2">
      <c r="A2341" s="95"/>
      <c r="B2341" s="111"/>
    </row>
    <row r="2342" spans="1:2" x14ac:dyDescent="0.2">
      <c r="A2342" s="95"/>
      <c r="B2342" s="111"/>
    </row>
    <row r="2343" spans="1:2" x14ac:dyDescent="0.2">
      <c r="A2343" s="95"/>
      <c r="B2343" s="111"/>
    </row>
    <row r="2344" spans="1:2" x14ac:dyDescent="0.2">
      <c r="A2344" s="95"/>
      <c r="B2344" s="111"/>
    </row>
    <row r="2345" spans="1:2" x14ac:dyDescent="0.2">
      <c r="A2345" s="95"/>
      <c r="B2345" s="111"/>
    </row>
    <row r="2346" spans="1:2" x14ac:dyDescent="0.2">
      <c r="A2346" s="95"/>
      <c r="B2346" s="111"/>
    </row>
    <row r="2347" spans="1:2" x14ac:dyDescent="0.2">
      <c r="A2347" s="95"/>
      <c r="B2347" s="111"/>
    </row>
    <row r="2348" spans="1:2" x14ac:dyDescent="0.2">
      <c r="A2348" s="95"/>
      <c r="B2348" s="111"/>
    </row>
    <row r="2349" spans="1:2" x14ac:dyDescent="0.2">
      <c r="A2349" s="95"/>
      <c r="B2349" s="111"/>
    </row>
    <row r="2350" spans="1:2" x14ac:dyDescent="0.2">
      <c r="A2350" s="95"/>
      <c r="B2350" s="111"/>
    </row>
    <row r="2351" spans="1:2" x14ac:dyDescent="0.2">
      <c r="A2351" s="95"/>
      <c r="B2351" s="111"/>
    </row>
    <row r="2352" spans="1:2" x14ac:dyDescent="0.2">
      <c r="A2352" s="95"/>
      <c r="B2352" s="111"/>
    </row>
    <row r="2353" spans="1:2" x14ac:dyDescent="0.2">
      <c r="A2353" s="95"/>
      <c r="B2353" s="111"/>
    </row>
    <row r="2354" spans="1:2" x14ac:dyDescent="0.2">
      <c r="A2354" s="95"/>
      <c r="B2354" s="111"/>
    </row>
    <row r="2355" spans="1:2" x14ac:dyDescent="0.2">
      <c r="A2355" s="95"/>
      <c r="B2355" s="111"/>
    </row>
    <row r="2356" spans="1:2" x14ac:dyDescent="0.2">
      <c r="A2356" s="95"/>
      <c r="B2356" s="111"/>
    </row>
    <row r="2357" spans="1:2" x14ac:dyDescent="0.2">
      <c r="A2357" s="95"/>
      <c r="B2357" s="111"/>
    </row>
    <row r="2358" spans="1:2" x14ac:dyDescent="0.2">
      <c r="A2358" s="95"/>
      <c r="B2358" s="111"/>
    </row>
    <row r="2359" spans="1:2" x14ac:dyDescent="0.2">
      <c r="A2359" s="95"/>
      <c r="B2359" s="111"/>
    </row>
    <row r="2360" spans="1:2" x14ac:dyDescent="0.2">
      <c r="A2360" s="95"/>
      <c r="B2360" s="111"/>
    </row>
    <row r="2361" spans="1:2" x14ac:dyDescent="0.2">
      <c r="A2361" s="95"/>
      <c r="B2361" s="111"/>
    </row>
    <row r="2362" spans="1:2" x14ac:dyDescent="0.2">
      <c r="A2362" s="95"/>
      <c r="B2362" s="111"/>
    </row>
    <row r="2363" spans="1:2" x14ac:dyDescent="0.2">
      <c r="A2363" s="95"/>
      <c r="B2363" s="111"/>
    </row>
    <row r="2364" spans="1:2" x14ac:dyDescent="0.2">
      <c r="A2364" s="95"/>
      <c r="B2364" s="111"/>
    </row>
    <row r="2365" spans="1:2" x14ac:dyDescent="0.2">
      <c r="A2365" s="95"/>
      <c r="B2365" s="111"/>
    </row>
    <row r="2366" spans="1:2" x14ac:dyDescent="0.2">
      <c r="A2366" s="95"/>
      <c r="B2366" s="111"/>
    </row>
    <row r="2367" spans="1:2" x14ac:dyDescent="0.2">
      <c r="A2367" s="95"/>
      <c r="B2367" s="111"/>
    </row>
    <row r="2368" spans="1:2" x14ac:dyDescent="0.2">
      <c r="A2368" s="95"/>
      <c r="B2368" s="111"/>
    </row>
    <row r="2369" spans="1:2" x14ac:dyDescent="0.2">
      <c r="A2369" s="95"/>
      <c r="B2369" s="111"/>
    </row>
    <row r="2370" spans="1:2" x14ac:dyDescent="0.2">
      <c r="A2370" s="95"/>
      <c r="B2370" s="111"/>
    </row>
    <row r="2371" spans="1:2" x14ac:dyDescent="0.2">
      <c r="A2371" s="95"/>
      <c r="B2371" s="111"/>
    </row>
    <row r="2372" spans="1:2" x14ac:dyDescent="0.2">
      <c r="A2372" s="95"/>
      <c r="B2372" s="111"/>
    </row>
    <row r="2373" spans="1:2" x14ac:dyDescent="0.2">
      <c r="A2373" s="95"/>
      <c r="B2373" s="111"/>
    </row>
    <row r="2374" spans="1:2" x14ac:dyDescent="0.2">
      <c r="A2374" s="95"/>
      <c r="B2374" s="111"/>
    </row>
    <row r="2375" spans="1:2" x14ac:dyDescent="0.2">
      <c r="A2375" s="95"/>
      <c r="B2375" s="111"/>
    </row>
    <row r="2376" spans="1:2" x14ac:dyDescent="0.2">
      <c r="A2376" s="95"/>
      <c r="B2376" s="111"/>
    </row>
    <row r="2377" spans="1:2" x14ac:dyDescent="0.2">
      <c r="A2377" s="95"/>
      <c r="B2377" s="111"/>
    </row>
    <row r="2378" spans="1:2" x14ac:dyDescent="0.2">
      <c r="A2378" s="95"/>
      <c r="B2378" s="111"/>
    </row>
    <row r="2379" spans="1:2" x14ac:dyDescent="0.2">
      <c r="A2379" s="95"/>
      <c r="B2379" s="111"/>
    </row>
    <row r="2380" spans="1:2" x14ac:dyDescent="0.2">
      <c r="A2380" s="95"/>
      <c r="B2380" s="111"/>
    </row>
    <row r="2381" spans="1:2" x14ac:dyDescent="0.2">
      <c r="A2381" s="95"/>
      <c r="B2381" s="111"/>
    </row>
    <row r="2382" spans="1:2" x14ac:dyDescent="0.2">
      <c r="A2382" s="95"/>
      <c r="B2382" s="111"/>
    </row>
    <row r="2383" spans="1:2" x14ac:dyDescent="0.2">
      <c r="A2383" s="95"/>
      <c r="B2383" s="111"/>
    </row>
    <row r="2384" spans="1:2" x14ac:dyDescent="0.2">
      <c r="A2384" s="95"/>
      <c r="B2384" s="111"/>
    </row>
    <row r="2385" spans="1:2" x14ac:dyDescent="0.2">
      <c r="A2385" s="95"/>
      <c r="B2385" s="111"/>
    </row>
    <row r="2386" spans="1:2" x14ac:dyDescent="0.2">
      <c r="A2386" s="95"/>
      <c r="B2386" s="111"/>
    </row>
    <row r="2387" spans="1:2" x14ac:dyDescent="0.2">
      <c r="A2387" s="95"/>
      <c r="B2387" s="111"/>
    </row>
    <row r="2388" spans="1:2" x14ac:dyDescent="0.2">
      <c r="A2388" s="95"/>
      <c r="B2388" s="111"/>
    </row>
    <row r="2389" spans="1:2" x14ac:dyDescent="0.2">
      <c r="A2389" s="95"/>
      <c r="B2389" s="111"/>
    </row>
    <row r="2390" spans="1:2" x14ac:dyDescent="0.2">
      <c r="A2390" s="95"/>
      <c r="B2390" s="111"/>
    </row>
    <row r="2391" spans="1:2" x14ac:dyDescent="0.2">
      <c r="A2391" s="95"/>
      <c r="B2391" s="111"/>
    </row>
    <row r="2392" spans="1:2" x14ac:dyDescent="0.2">
      <c r="A2392" s="95"/>
      <c r="B2392" s="111"/>
    </row>
    <row r="2393" spans="1:2" x14ac:dyDescent="0.2">
      <c r="A2393" s="95"/>
      <c r="B2393" s="111"/>
    </row>
    <row r="2394" spans="1:2" x14ac:dyDescent="0.2">
      <c r="A2394" s="95"/>
      <c r="B2394" s="111"/>
    </row>
    <row r="2395" spans="1:2" x14ac:dyDescent="0.2">
      <c r="A2395" s="95"/>
      <c r="B2395" s="111"/>
    </row>
    <row r="2396" spans="1:2" x14ac:dyDescent="0.2">
      <c r="A2396" s="95"/>
      <c r="B2396" s="111"/>
    </row>
    <row r="2397" spans="1:2" x14ac:dyDescent="0.2">
      <c r="A2397" s="95"/>
      <c r="B2397" s="111"/>
    </row>
    <row r="2398" spans="1:2" x14ac:dyDescent="0.2">
      <c r="A2398" s="95"/>
      <c r="B2398" s="111"/>
    </row>
    <row r="2399" spans="1:2" x14ac:dyDescent="0.2">
      <c r="A2399" s="95"/>
      <c r="B2399" s="111"/>
    </row>
    <row r="2400" spans="1:2" x14ac:dyDescent="0.2">
      <c r="A2400" s="95"/>
      <c r="B2400" s="111"/>
    </row>
    <row r="2401" spans="1:2" x14ac:dyDescent="0.2">
      <c r="A2401" s="95"/>
      <c r="B2401" s="111"/>
    </row>
    <row r="2402" spans="1:2" x14ac:dyDescent="0.2">
      <c r="A2402" s="95"/>
      <c r="B2402" s="111"/>
    </row>
    <row r="2403" spans="1:2" x14ac:dyDescent="0.2">
      <c r="A2403" s="95"/>
      <c r="B2403" s="111"/>
    </row>
    <row r="2404" spans="1:2" x14ac:dyDescent="0.2">
      <c r="A2404" s="95"/>
      <c r="B2404" s="111"/>
    </row>
    <row r="2405" spans="1:2" x14ac:dyDescent="0.2">
      <c r="A2405" s="95"/>
      <c r="B2405" s="111"/>
    </row>
    <row r="2406" spans="1:2" x14ac:dyDescent="0.2">
      <c r="A2406" s="95"/>
      <c r="B2406" s="111"/>
    </row>
    <row r="2407" spans="1:2" x14ac:dyDescent="0.2">
      <c r="A2407" s="95"/>
      <c r="B2407" s="111"/>
    </row>
    <row r="2408" spans="1:2" x14ac:dyDescent="0.2">
      <c r="A2408" s="95"/>
      <c r="B2408" s="111"/>
    </row>
    <row r="2409" spans="1:2" x14ac:dyDescent="0.2">
      <c r="A2409" s="95"/>
      <c r="B2409" s="111"/>
    </row>
    <row r="2410" spans="1:2" x14ac:dyDescent="0.2">
      <c r="A2410" s="95"/>
      <c r="B2410" s="111"/>
    </row>
    <row r="2411" spans="1:2" x14ac:dyDescent="0.2">
      <c r="A2411" s="95"/>
      <c r="B2411" s="111"/>
    </row>
    <row r="2412" spans="1:2" x14ac:dyDescent="0.2">
      <c r="A2412" s="95"/>
      <c r="B2412" s="111"/>
    </row>
    <row r="2413" spans="1:2" x14ac:dyDescent="0.2">
      <c r="A2413" s="95"/>
      <c r="B2413" s="111"/>
    </row>
    <row r="2414" spans="1:2" x14ac:dyDescent="0.2">
      <c r="A2414" s="95"/>
      <c r="B2414" s="111"/>
    </row>
    <row r="2415" spans="1:2" x14ac:dyDescent="0.2">
      <c r="A2415" s="95"/>
      <c r="B2415" s="111"/>
    </row>
    <row r="2416" spans="1:2" x14ac:dyDescent="0.2">
      <c r="A2416" s="95"/>
      <c r="B2416" s="111"/>
    </row>
    <row r="2417" spans="1:2" x14ac:dyDescent="0.2">
      <c r="A2417" s="95"/>
      <c r="B2417" s="111"/>
    </row>
    <row r="2418" spans="1:2" x14ac:dyDescent="0.2">
      <c r="A2418" s="95"/>
      <c r="B2418" s="111"/>
    </row>
    <row r="2419" spans="1:2" x14ac:dyDescent="0.2">
      <c r="A2419" s="95"/>
      <c r="B2419" s="111"/>
    </row>
    <row r="2420" spans="1:2" x14ac:dyDescent="0.2">
      <c r="A2420" s="95"/>
      <c r="B2420" s="111"/>
    </row>
    <row r="2421" spans="1:2" x14ac:dyDescent="0.2">
      <c r="A2421" s="95"/>
      <c r="B2421" s="111"/>
    </row>
    <row r="2422" spans="1:2" x14ac:dyDescent="0.2">
      <c r="A2422" s="95"/>
      <c r="B2422" s="111"/>
    </row>
    <row r="2423" spans="1:2" x14ac:dyDescent="0.2">
      <c r="A2423" s="95"/>
      <c r="B2423" s="111"/>
    </row>
    <row r="2424" spans="1:2" x14ac:dyDescent="0.2">
      <c r="A2424" s="95"/>
      <c r="B2424" s="111"/>
    </row>
    <row r="2425" spans="1:2" x14ac:dyDescent="0.2">
      <c r="A2425" s="95"/>
      <c r="B2425" s="111"/>
    </row>
    <row r="2426" spans="1:2" x14ac:dyDescent="0.2">
      <c r="A2426" s="95"/>
      <c r="B2426" s="111"/>
    </row>
    <row r="2427" spans="1:2" x14ac:dyDescent="0.2">
      <c r="A2427" s="95"/>
      <c r="B2427" s="111"/>
    </row>
    <row r="2428" spans="1:2" x14ac:dyDescent="0.2">
      <c r="A2428" s="95"/>
      <c r="B2428" s="111"/>
    </row>
    <row r="2429" spans="1:2" x14ac:dyDescent="0.2">
      <c r="A2429" s="95"/>
      <c r="B2429" s="111"/>
    </row>
    <row r="2430" spans="1:2" x14ac:dyDescent="0.2">
      <c r="A2430" s="95"/>
      <c r="B2430" s="111"/>
    </row>
    <row r="2431" spans="1:2" x14ac:dyDescent="0.2">
      <c r="A2431" s="95"/>
      <c r="B2431" s="111"/>
    </row>
    <row r="2432" spans="1:2" x14ac:dyDescent="0.2">
      <c r="A2432" s="95"/>
      <c r="B2432" s="111"/>
    </row>
    <row r="2433" spans="1:2" x14ac:dyDescent="0.2">
      <c r="A2433" s="95"/>
      <c r="B2433" s="111"/>
    </row>
    <row r="2434" spans="1:2" x14ac:dyDescent="0.2">
      <c r="A2434" s="95"/>
      <c r="B2434" s="111"/>
    </row>
    <row r="2435" spans="1:2" x14ac:dyDescent="0.2">
      <c r="A2435" s="95"/>
      <c r="B2435" s="111"/>
    </row>
    <row r="2436" spans="1:2" x14ac:dyDescent="0.2">
      <c r="A2436" s="95"/>
      <c r="B2436" s="111"/>
    </row>
    <row r="2437" spans="1:2" x14ac:dyDescent="0.2">
      <c r="A2437" s="95"/>
      <c r="B2437" s="111"/>
    </row>
    <row r="2438" spans="1:2" x14ac:dyDescent="0.2">
      <c r="A2438" s="95"/>
      <c r="B2438" s="111"/>
    </row>
    <row r="2439" spans="1:2" x14ac:dyDescent="0.2">
      <c r="A2439" s="95"/>
      <c r="B2439" s="111"/>
    </row>
    <row r="2440" spans="1:2" x14ac:dyDescent="0.2">
      <c r="A2440" s="95"/>
      <c r="B2440" s="111"/>
    </row>
    <row r="2441" spans="1:2" x14ac:dyDescent="0.2">
      <c r="A2441" s="95"/>
      <c r="B2441" s="111"/>
    </row>
    <row r="2442" spans="1:2" x14ac:dyDescent="0.2">
      <c r="A2442" s="95"/>
      <c r="B2442" s="111"/>
    </row>
    <row r="2443" spans="1:2" x14ac:dyDescent="0.2">
      <c r="A2443" s="95"/>
      <c r="B2443" s="111"/>
    </row>
    <row r="2444" spans="1:2" x14ac:dyDescent="0.2">
      <c r="A2444" s="95"/>
      <c r="B2444" s="111"/>
    </row>
    <row r="2445" spans="1:2" x14ac:dyDescent="0.2">
      <c r="A2445" s="95"/>
      <c r="B2445" s="111"/>
    </row>
    <row r="2446" spans="1:2" x14ac:dyDescent="0.2">
      <c r="A2446" s="95"/>
      <c r="B2446" s="111"/>
    </row>
    <row r="2447" spans="1:2" x14ac:dyDescent="0.2">
      <c r="A2447" s="95"/>
      <c r="B2447" s="111"/>
    </row>
    <row r="2448" spans="1:2" x14ac:dyDescent="0.2">
      <c r="A2448" s="95"/>
      <c r="B2448" s="111"/>
    </row>
    <row r="2449" spans="1:2" x14ac:dyDescent="0.2">
      <c r="A2449" s="95"/>
      <c r="B2449" s="111"/>
    </row>
    <row r="2450" spans="1:2" x14ac:dyDescent="0.2">
      <c r="A2450" s="95"/>
      <c r="B2450" s="111"/>
    </row>
    <row r="2451" spans="1:2" x14ac:dyDescent="0.2">
      <c r="A2451" s="95"/>
      <c r="B2451" s="111"/>
    </row>
    <row r="2452" spans="1:2" x14ac:dyDescent="0.2">
      <c r="A2452" s="95"/>
      <c r="B2452" s="111"/>
    </row>
    <row r="2453" spans="1:2" x14ac:dyDescent="0.2">
      <c r="A2453" s="95"/>
      <c r="B2453" s="111"/>
    </row>
    <row r="2454" spans="1:2" x14ac:dyDescent="0.2">
      <c r="A2454" s="95"/>
      <c r="B2454" s="111"/>
    </row>
    <row r="2455" spans="1:2" x14ac:dyDescent="0.2">
      <c r="A2455" s="95"/>
      <c r="B2455" s="111"/>
    </row>
    <row r="2456" spans="1:2" x14ac:dyDescent="0.2">
      <c r="A2456" s="95"/>
      <c r="B2456" s="111"/>
    </row>
    <row r="2457" spans="1:2" x14ac:dyDescent="0.2">
      <c r="A2457" s="95"/>
      <c r="B2457" s="111"/>
    </row>
    <row r="2458" spans="1:2" x14ac:dyDescent="0.2">
      <c r="A2458" s="95"/>
      <c r="B2458" s="111"/>
    </row>
    <row r="2459" spans="1:2" x14ac:dyDescent="0.2">
      <c r="A2459" s="95"/>
      <c r="B2459" s="111"/>
    </row>
    <row r="2460" spans="1:2" x14ac:dyDescent="0.2">
      <c r="A2460" s="95"/>
      <c r="B2460" s="111"/>
    </row>
    <row r="2461" spans="1:2" x14ac:dyDescent="0.2">
      <c r="A2461" s="95"/>
      <c r="B2461" s="111"/>
    </row>
    <row r="2462" spans="1:2" x14ac:dyDescent="0.2">
      <c r="A2462" s="95"/>
      <c r="B2462" s="111"/>
    </row>
    <row r="2463" spans="1:2" x14ac:dyDescent="0.2">
      <c r="A2463" s="95"/>
      <c r="B2463" s="111"/>
    </row>
    <row r="2464" spans="1:2" x14ac:dyDescent="0.2">
      <c r="A2464" s="95"/>
      <c r="B2464" s="111"/>
    </row>
    <row r="2465" spans="1:2" x14ac:dyDescent="0.2">
      <c r="A2465" s="95"/>
      <c r="B2465" s="111"/>
    </row>
    <row r="2466" spans="1:2" x14ac:dyDescent="0.2">
      <c r="A2466" s="95"/>
      <c r="B2466" s="111"/>
    </row>
    <row r="2467" spans="1:2" x14ac:dyDescent="0.2">
      <c r="A2467" s="95"/>
      <c r="B2467" s="111"/>
    </row>
    <row r="2468" spans="1:2" x14ac:dyDescent="0.2">
      <c r="A2468" s="95"/>
      <c r="B2468" s="111"/>
    </row>
    <row r="2469" spans="1:2" x14ac:dyDescent="0.2">
      <c r="A2469" s="95"/>
      <c r="B2469" s="111"/>
    </row>
    <row r="2470" spans="1:2" x14ac:dyDescent="0.2">
      <c r="A2470" s="95"/>
      <c r="B2470" s="111"/>
    </row>
    <row r="2471" spans="1:2" x14ac:dyDescent="0.2">
      <c r="A2471" s="95"/>
      <c r="B2471" s="111"/>
    </row>
    <row r="2472" spans="1:2" x14ac:dyDescent="0.2">
      <c r="A2472" s="95"/>
      <c r="B2472" s="111"/>
    </row>
    <row r="2473" spans="1:2" x14ac:dyDescent="0.2">
      <c r="A2473" s="95"/>
      <c r="B2473" s="111"/>
    </row>
    <row r="2474" spans="1:2" x14ac:dyDescent="0.2">
      <c r="A2474" s="95"/>
      <c r="B2474" s="111"/>
    </row>
    <row r="2475" spans="1:2" x14ac:dyDescent="0.2">
      <c r="A2475" s="95"/>
      <c r="B2475" s="111"/>
    </row>
    <row r="2476" spans="1:2" x14ac:dyDescent="0.2">
      <c r="A2476" s="95"/>
      <c r="B2476" s="111"/>
    </row>
    <row r="2477" spans="1:2" x14ac:dyDescent="0.2">
      <c r="A2477" s="95"/>
      <c r="B2477" s="111"/>
    </row>
    <row r="2478" spans="1:2" x14ac:dyDescent="0.2">
      <c r="A2478" s="95"/>
      <c r="B2478" s="111"/>
    </row>
    <row r="2479" spans="1:2" x14ac:dyDescent="0.2">
      <c r="A2479" s="95"/>
      <c r="B2479" s="111"/>
    </row>
    <row r="2480" spans="1:2" x14ac:dyDescent="0.2">
      <c r="A2480" s="95"/>
      <c r="B2480" s="111"/>
    </row>
    <row r="2481" spans="1:2" x14ac:dyDescent="0.2">
      <c r="A2481" s="95"/>
      <c r="B2481" s="111"/>
    </row>
    <row r="2482" spans="1:2" x14ac:dyDescent="0.2">
      <c r="A2482" s="95"/>
      <c r="B2482" s="111"/>
    </row>
    <row r="2483" spans="1:2" x14ac:dyDescent="0.2">
      <c r="A2483" s="95"/>
      <c r="B2483" s="111"/>
    </row>
    <row r="2484" spans="1:2" x14ac:dyDescent="0.2">
      <c r="A2484" s="95"/>
      <c r="B2484" s="111"/>
    </row>
    <row r="2485" spans="1:2" x14ac:dyDescent="0.2">
      <c r="A2485" s="95"/>
      <c r="B2485" s="111"/>
    </row>
    <row r="2486" spans="1:2" x14ac:dyDescent="0.2">
      <c r="A2486" s="95"/>
      <c r="B2486" s="111"/>
    </row>
    <row r="2487" spans="1:2" x14ac:dyDescent="0.2">
      <c r="A2487" s="95"/>
      <c r="B2487" s="111"/>
    </row>
    <row r="2488" spans="1:2" x14ac:dyDescent="0.2">
      <c r="A2488" s="95"/>
      <c r="B2488" s="111"/>
    </row>
    <row r="2489" spans="1:2" x14ac:dyDescent="0.2">
      <c r="A2489" s="95"/>
      <c r="B2489" s="111"/>
    </row>
    <row r="2490" spans="1:2" x14ac:dyDescent="0.2">
      <c r="A2490" s="95"/>
      <c r="B2490" s="111"/>
    </row>
    <row r="2491" spans="1:2" x14ac:dyDescent="0.2">
      <c r="A2491" s="95"/>
      <c r="B2491" s="111"/>
    </row>
  </sheetData>
  <sheetProtection password="816A" sheet="1" objects="1" scenarios="1"/>
  <printOptions horizontalCentered="1"/>
  <pageMargins left="0.15748031496062992" right="0.15748031496062992" top="0.31496062992125984" bottom="0.19685039370078741" header="0" footer="0.19685039370078741"/>
  <pageSetup paperSize="9" scale="72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indexed="10"/>
  </sheetPr>
  <dimension ref="B1:AD478"/>
  <sheetViews>
    <sheetView showGridLines="0" view="pageBreakPreview" zoomScale="80" zoomScaleNormal="85" zoomScaleSheetLayoutView="80" workbookViewId="0">
      <selection activeCell="C32" sqref="C32"/>
    </sheetView>
  </sheetViews>
  <sheetFormatPr baseColWidth="10" defaultRowHeight="15" x14ac:dyDescent="0.2"/>
  <cols>
    <col min="1" max="1" width="2.140625" style="219" customWidth="1"/>
    <col min="2" max="2" width="31.5703125" style="219" customWidth="1"/>
    <col min="3" max="3" width="9.28515625" style="219" customWidth="1"/>
    <col min="4" max="4" width="7.7109375" style="219" customWidth="1"/>
    <col min="5" max="5" width="6.42578125" style="219" customWidth="1"/>
    <col min="6" max="6" width="21.7109375" style="219" customWidth="1"/>
    <col min="7" max="7" width="7.42578125" style="219" customWidth="1"/>
    <col min="8" max="8" width="9.42578125" style="219" customWidth="1"/>
    <col min="9" max="9" width="19.85546875" style="219" customWidth="1"/>
    <col min="10" max="10" width="13.28515625" style="219" customWidth="1"/>
    <col min="11" max="12" width="12.7109375" style="219" customWidth="1"/>
    <col min="13" max="13" width="12.5703125" style="219" customWidth="1"/>
    <col min="14" max="14" width="13" style="219" customWidth="1"/>
    <col min="15" max="15" width="12.85546875" style="219" customWidth="1"/>
    <col min="16" max="16" width="11.140625" style="219" customWidth="1"/>
    <col min="17" max="17" width="13.7109375" style="219" customWidth="1"/>
    <col min="18" max="18" width="11.140625" style="219" customWidth="1"/>
    <col min="19" max="19" width="12" style="219" bestFit="1" customWidth="1"/>
    <col min="20" max="20" width="14" style="219" bestFit="1" customWidth="1"/>
    <col min="21" max="21" width="15.42578125" style="219" customWidth="1"/>
    <col min="22" max="22" width="10.7109375" style="219" bestFit="1" customWidth="1"/>
    <col min="23" max="23" width="12.85546875" style="219" bestFit="1" customWidth="1"/>
    <col min="24" max="25" width="11.42578125" style="219"/>
    <col min="26" max="26" width="36" style="219" customWidth="1"/>
    <col min="27" max="16384" width="11.42578125" style="219"/>
  </cols>
  <sheetData>
    <row r="1" spans="2:22" ht="6" customHeight="1" x14ac:dyDescent="0.2"/>
    <row r="2" spans="2:22" ht="6" customHeight="1" x14ac:dyDescent="0.2"/>
    <row r="3" spans="2:22" ht="15" customHeight="1" x14ac:dyDescent="0.25">
      <c r="B3" s="686"/>
      <c r="C3" s="686"/>
      <c r="D3" s="686"/>
      <c r="E3" s="686"/>
      <c r="F3" s="686"/>
      <c r="G3" s="686"/>
      <c r="H3" s="686"/>
      <c r="I3" s="686"/>
      <c r="J3" s="686"/>
      <c r="K3" s="686"/>
      <c r="L3" s="686"/>
      <c r="M3" s="686"/>
      <c r="N3" s="686"/>
      <c r="O3" s="686"/>
      <c r="P3" s="686"/>
      <c r="Q3" s="220"/>
      <c r="R3" s="220"/>
      <c r="S3" s="220"/>
      <c r="T3" s="220"/>
    </row>
    <row r="4" spans="2:22" ht="15" customHeight="1" x14ac:dyDescent="0.25">
      <c r="B4" s="687"/>
      <c r="C4" s="687"/>
      <c r="D4" s="687"/>
      <c r="E4" s="687"/>
      <c r="F4" s="687"/>
      <c r="G4" s="687"/>
      <c r="H4" s="687"/>
      <c r="I4" s="687"/>
      <c r="J4" s="687"/>
      <c r="K4" s="687"/>
      <c r="L4" s="687"/>
      <c r="M4" s="687"/>
      <c r="N4" s="687"/>
      <c r="O4" s="687"/>
      <c r="P4" s="687"/>
      <c r="Q4" s="221"/>
      <c r="R4" s="221"/>
      <c r="S4" s="221"/>
      <c r="T4" s="221"/>
    </row>
    <row r="5" spans="2:22" ht="14.25" customHeight="1" x14ac:dyDescent="0.25">
      <c r="B5" s="687"/>
      <c r="C5" s="687"/>
      <c r="D5" s="687"/>
      <c r="E5" s="687"/>
      <c r="F5" s="687"/>
      <c r="G5" s="687"/>
      <c r="H5" s="687"/>
      <c r="I5" s="687"/>
      <c r="J5" s="687"/>
      <c r="K5" s="687"/>
      <c r="L5" s="687"/>
      <c r="M5" s="687"/>
      <c r="N5" s="687"/>
      <c r="O5" s="687"/>
      <c r="P5" s="687"/>
      <c r="Q5" s="221"/>
      <c r="R5" s="221"/>
      <c r="S5" s="221"/>
      <c r="T5" s="221"/>
    </row>
    <row r="6" spans="2:22" ht="16.5" customHeight="1" x14ac:dyDescent="0.25">
      <c r="B6" s="687"/>
      <c r="C6" s="687"/>
      <c r="D6" s="687"/>
      <c r="E6" s="687"/>
      <c r="F6" s="687"/>
      <c r="G6" s="687"/>
      <c r="H6" s="687"/>
      <c r="I6" s="687"/>
      <c r="J6" s="687"/>
      <c r="K6" s="687"/>
      <c r="L6" s="687"/>
      <c r="M6" s="687"/>
      <c r="N6" s="687"/>
      <c r="O6" s="687"/>
      <c r="P6" s="687"/>
      <c r="Q6" s="221"/>
      <c r="R6" s="221"/>
      <c r="S6" s="221"/>
      <c r="T6" s="221"/>
    </row>
    <row r="7" spans="2:22" ht="16.5" customHeight="1" x14ac:dyDescent="0.25">
      <c r="B7" s="222"/>
      <c r="C7" s="222"/>
      <c r="D7" s="222"/>
      <c r="E7" s="222"/>
      <c r="F7" s="223" t="s">
        <v>67</v>
      </c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1"/>
      <c r="R7" s="221"/>
      <c r="S7" s="221"/>
      <c r="T7" s="221"/>
    </row>
    <row r="8" spans="2:22" ht="15" customHeight="1" x14ac:dyDescent="0.2">
      <c r="B8" s="224"/>
      <c r="C8" s="224"/>
      <c r="D8" s="224"/>
      <c r="E8" s="224"/>
      <c r="F8" s="224"/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5"/>
      <c r="R8" s="225"/>
      <c r="S8" s="226"/>
      <c r="T8" s="225"/>
      <c r="U8" s="224"/>
      <c r="V8" s="224"/>
    </row>
    <row r="9" spans="2:22" ht="15" customHeight="1" x14ac:dyDescent="0.2">
      <c r="B9" s="224"/>
      <c r="C9" s="224"/>
      <c r="D9" s="224"/>
      <c r="E9" s="224"/>
      <c r="F9" s="227" t="s">
        <v>2362</v>
      </c>
      <c r="G9" s="224"/>
      <c r="H9" s="224"/>
      <c r="I9" s="224"/>
      <c r="J9" s="224"/>
      <c r="K9" s="224"/>
      <c r="L9" s="224"/>
      <c r="M9" s="227">
        <f xml:space="preserve">  +'FORMATO INVIERTE.PE 1'!F20</f>
        <v>0</v>
      </c>
      <c r="N9" s="224"/>
      <c r="O9" s="224"/>
      <c r="P9" s="224"/>
      <c r="Q9" s="225"/>
      <c r="R9" s="225"/>
      <c r="S9" s="226"/>
      <c r="T9" s="225"/>
      <c r="U9" s="224"/>
      <c r="V9" s="224"/>
    </row>
    <row r="10" spans="2:22" ht="15" customHeight="1" x14ac:dyDescent="0.2">
      <c r="B10" s="224"/>
      <c r="C10" s="224"/>
      <c r="D10" s="224"/>
      <c r="E10" s="224"/>
      <c r="F10" s="224"/>
      <c r="G10" s="224"/>
      <c r="H10" s="224"/>
      <c r="I10" s="224"/>
      <c r="J10" s="224"/>
      <c r="K10" s="224"/>
      <c r="L10" s="224"/>
      <c r="M10" s="224"/>
      <c r="N10" s="224"/>
      <c r="O10" s="224"/>
      <c r="P10" s="224"/>
      <c r="Q10" s="225"/>
      <c r="R10" s="225"/>
      <c r="S10" s="226"/>
      <c r="T10" s="225"/>
      <c r="U10" s="224"/>
      <c r="V10" s="224"/>
    </row>
    <row r="11" spans="2:22" ht="15" customHeight="1" x14ac:dyDescent="0.25">
      <c r="B11" s="228" t="s">
        <v>46</v>
      </c>
      <c r="C11" s="228"/>
      <c r="D11" s="229"/>
      <c r="E11" s="229"/>
      <c r="F11" s="220" t="s">
        <v>330</v>
      </c>
      <c r="G11" s="230"/>
      <c r="H11" s="230"/>
      <c r="I11" s="230"/>
      <c r="J11" s="230"/>
      <c r="K11" s="230"/>
      <c r="L11" s="230"/>
      <c r="M11" s="230"/>
      <c r="N11" s="230"/>
      <c r="O11" s="230"/>
      <c r="P11" s="230"/>
      <c r="Q11" s="230"/>
      <c r="R11" s="230"/>
      <c r="S11" s="230"/>
      <c r="T11" s="230"/>
      <c r="U11" s="224"/>
    </row>
    <row r="12" spans="2:22" ht="15" customHeight="1" x14ac:dyDescent="0.25">
      <c r="B12" s="228"/>
      <c r="C12" s="228"/>
      <c r="D12" s="229"/>
      <c r="E12" s="229"/>
      <c r="F12" s="220" t="s">
        <v>331</v>
      </c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24"/>
    </row>
    <row r="13" spans="2:22" ht="15" customHeight="1" x14ac:dyDescent="0.25">
      <c r="B13" s="228"/>
      <c r="C13" s="228"/>
      <c r="D13" s="229"/>
      <c r="E13" s="229"/>
      <c r="F13" s="220" t="s">
        <v>332</v>
      </c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24"/>
    </row>
    <row r="14" spans="2:22" ht="15" customHeight="1" x14ac:dyDescent="0.25">
      <c r="B14" s="228"/>
      <c r="C14" s="228"/>
      <c r="D14" s="229"/>
      <c r="E14" s="229"/>
      <c r="F14" s="220" t="s">
        <v>333</v>
      </c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0"/>
      <c r="S14" s="230"/>
      <c r="T14" s="230"/>
      <c r="U14" s="224"/>
    </row>
    <row r="15" spans="2:22" ht="15" customHeight="1" x14ac:dyDescent="0.25">
      <c r="B15" s="228"/>
      <c r="C15" s="228"/>
      <c r="D15" s="229"/>
      <c r="E15" s="229"/>
      <c r="F15" s="220" t="s">
        <v>334</v>
      </c>
      <c r="G15" s="230"/>
      <c r="H15" s="230"/>
      <c r="I15" s="230"/>
      <c r="J15" s="230"/>
      <c r="K15" s="230"/>
      <c r="L15" s="230"/>
      <c r="M15" s="230"/>
      <c r="N15" s="230"/>
      <c r="O15" s="230"/>
      <c r="P15" s="230"/>
      <c r="Q15" s="230"/>
      <c r="R15" s="230"/>
      <c r="S15" s="230"/>
      <c r="T15" s="230"/>
      <c r="U15" s="224"/>
    </row>
    <row r="16" spans="2:22" ht="15" customHeight="1" x14ac:dyDescent="0.25">
      <c r="B16" s="228"/>
      <c r="C16" s="228"/>
      <c r="D16" s="228"/>
      <c r="E16" s="224"/>
      <c r="F16" s="224"/>
      <c r="G16" s="224"/>
      <c r="H16" s="224"/>
      <c r="I16" s="224"/>
      <c r="J16" s="224"/>
      <c r="K16" s="225"/>
      <c r="L16" s="225"/>
      <c r="M16" s="225"/>
      <c r="N16" s="224"/>
      <c r="O16" s="224"/>
      <c r="P16" s="224"/>
      <c r="Q16" s="225"/>
      <c r="R16" s="225"/>
      <c r="S16" s="230"/>
      <c r="T16" s="225"/>
      <c r="U16" s="225"/>
      <c r="V16" s="229"/>
    </row>
    <row r="17" spans="2:30" ht="29.25" customHeight="1" x14ac:dyDescent="0.25">
      <c r="B17" s="231" t="s">
        <v>62</v>
      </c>
      <c r="C17" s="228"/>
      <c r="D17" s="232"/>
      <c r="E17" s="233"/>
      <c r="F17" s="697" t="s">
        <v>2363</v>
      </c>
      <c r="G17" s="697"/>
      <c r="H17" s="697"/>
      <c r="I17" s="697" t="s">
        <v>2364</v>
      </c>
      <c r="J17" s="697"/>
      <c r="K17" s="697"/>
      <c r="L17" s="697"/>
      <c r="M17" s="697" t="s">
        <v>2365</v>
      </c>
      <c r="N17" s="697"/>
      <c r="O17" s="697"/>
      <c r="P17" s="697"/>
      <c r="Q17" s="233"/>
      <c r="R17" s="233"/>
      <c r="S17" s="233"/>
      <c r="T17" s="233"/>
      <c r="U17" s="233"/>
      <c r="V17" s="229"/>
    </row>
    <row r="18" spans="2:30" ht="24.75" customHeight="1" x14ac:dyDescent="0.2">
      <c r="B18" s="234"/>
      <c r="C18" s="234"/>
      <c r="D18" s="230"/>
      <c r="E18" s="230"/>
      <c r="F18" s="235" t="s">
        <v>2366</v>
      </c>
      <c r="G18" s="236"/>
      <c r="H18" s="237"/>
      <c r="I18" s="698" t="s">
        <v>2373</v>
      </c>
      <c r="J18" s="698"/>
      <c r="K18" s="698"/>
      <c r="L18" s="698"/>
      <c r="M18" s="698"/>
      <c r="N18" s="698"/>
      <c r="O18" s="698"/>
      <c r="P18" s="698"/>
      <c r="Q18" s="233"/>
      <c r="R18" s="233"/>
      <c r="S18" s="233"/>
      <c r="T18" s="233"/>
      <c r="U18" s="229"/>
      <c r="V18" s="229"/>
      <c r="Z18" s="219" t="s">
        <v>296</v>
      </c>
      <c r="AA18" s="219" t="s">
        <v>297</v>
      </c>
      <c r="AC18" s="219" t="s">
        <v>298</v>
      </c>
      <c r="AD18" s="219" t="s">
        <v>301</v>
      </c>
    </row>
    <row r="19" spans="2:30" ht="24.75" customHeight="1" x14ac:dyDescent="0.2">
      <c r="B19" s="234"/>
      <c r="C19" s="234"/>
      <c r="D19" s="230"/>
      <c r="E19" s="230"/>
      <c r="F19" s="235" t="s">
        <v>2367</v>
      </c>
      <c r="G19" s="236"/>
      <c r="H19" s="237"/>
      <c r="I19" s="698" t="str">
        <f>+CONCATENATE(I18,M9)</f>
        <v>del Servicio Policial de la Comisaría PNP 0</v>
      </c>
      <c r="J19" s="698"/>
      <c r="K19" s="698"/>
      <c r="L19" s="698"/>
      <c r="M19" s="698"/>
      <c r="N19" s="698"/>
      <c r="O19" s="698"/>
      <c r="P19" s="698"/>
      <c r="Q19" s="233"/>
      <c r="R19" s="233"/>
      <c r="S19" s="233"/>
      <c r="T19" s="233"/>
      <c r="U19" s="229"/>
      <c r="V19" s="229"/>
    </row>
    <row r="20" spans="2:30" ht="34.5" customHeight="1" x14ac:dyDescent="0.2">
      <c r="B20" s="234"/>
      <c r="C20" s="234"/>
      <c r="D20" s="230"/>
      <c r="E20" s="230"/>
      <c r="F20" s="235" t="s">
        <v>2368</v>
      </c>
      <c r="G20" s="236"/>
      <c r="H20" s="237"/>
      <c r="I20" s="698"/>
      <c r="J20" s="698"/>
      <c r="K20" s="698"/>
      <c r="L20" s="698"/>
      <c r="M20" s="698"/>
      <c r="N20" s="698"/>
      <c r="O20" s="698"/>
      <c r="P20" s="698"/>
      <c r="Q20" s="233"/>
      <c r="R20" s="233"/>
      <c r="S20" s="233"/>
      <c r="T20" s="233"/>
      <c r="U20" s="229"/>
      <c r="V20" s="229"/>
    </row>
    <row r="21" spans="2:30" ht="15" customHeight="1" x14ac:dyDescent="0.2">
      <c r="B21" s="234"/>
      <c r="C21" s="234"/>
      <c r="D21" s="230"/>
      <c r="E21" s="230"/>
      <c r="F21" s="238"/>
      <c r="G21" s="238"/>
      <c r="H21" s="238"/>
      <c r="I21" s="238"/>
      <c r="J21" s="238"/>
      <c r="K21" s="238"/>
      <c r="L21" s="238"/>
      <c r="M21" s="238"/>
      <c r="N21" s="238"/>
      <c r="O21" s="238"/>
      <c r="P21" s="238"/>
      <c r="Q21" s="233"/>
      <c r="R21" s="233"/>
      <c r="S21" s="233"/>
      <c r="T21" s="233"/>
      <c r="U21" s="229"/>
      <c r="V21" s="229"/>
    </row>
    <row r="22" spans="2:30" ht="15" customHeight="1" x14ac:dyDescent="0.25">
      <c r="B22" s="231" t="s">
        <v>64</v>
      </c>
      <c r="C22" s="231"/>
      <c r="D22" s="231"/>
      <c r="E22" s="231"/>
      <c r="F22" s="231"/>
      <c r="G22" s="231"/>
      <c r="H22" s="231"/>
      <c r="I22" s="231"/>
      <c r="J22" s="231"/>
      <c r="U22" s="229"/>
      <c r="V22" s="229"/>
      <c r="Z22" s="219" t="s">
        <v>300</v>
      </c>
      <c r="AA22" s="219" t="s">
        <v>299</v>
      </c>
      <c r="AD22" s="219" t="s">
        <v>304</v>
      </c>
    </row>
    <row r="23" spans="2:30" ht="15" customHeight="1" x14ac:dyDescent="0.2">
      <c r="B23" s="224"/>
      <c r="C23" s="224"/>
      <c r="D23" s="224"/>
      <c r="E23" s="225"/>
      <c r="F23" s="225"/>
      <c r="G23" s="225"/>
      <c r="H23" s="225"/>
      <c r="I23" s="225"/>
      <c r="J23" s="225"/>
      <c r="K23" s="225"/>
      <c r="L23" s="225"/>
      <c r="M23" s="225"/>
      <c r="N23" s="225"/>
      <c r="O23" s="225"/>
      <c r="P23" s="225"/>
      <c r="R23" s="225"/>
      <c r="T23" s="225"/>
      <c r="U23" s="225"/>
      <c r="V23" s="225"/>
      <c r="Z23" s="219" t="s">
        <v>302</v>
      </c>
      <c r="AA23" s="219" t="s">
        <v>303</v>
      </c>
      <c r="AD23" s="219" t="s">
        <v>295</v>
      </c>
    </row>
    <row r="24" spans="2:30" ht="15" customHeight="1" x14ac:dyDescent="0.2">
      <c r="B24" s="239" t="s">
        <v>32</v>
      </c>
      <c r="C24" s="229"/>
      <c r="D24" s="229"/>
      <c r="E24" s="229"/>
      <c r="F24" s="688"/>
      <c r="G24" s="689"/>
      <c r="H24" s="689"/>
      <c r="I24" s="689"/>
      <c r="J24" s="689"/>
      <c r="K24" s="689"/>
      <c r="L24" s="689"/>
      <c r="M24" s="689"/>
      <c r="N24" s="689"/>
      <c r="O24" s="689"/>
      <c r="P24" s="690"/>
      <c r="Q24" s="240"/>
      <c r="R24" s="230"/>
      <c r="T24" s="230"/>
      <c r="U24" s="229"/>
      <c r="V24" s="229"/>
    </row>
    <row r="25" spans="2:30" ht="14.25" customHeight="1" x14ac:dyDescent="0.2">
      <c r="B25" s="239"/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  <c r="R25" s="229"/>
      <c r="S25" s="230"/>
      <c r="T25" s="229"/>
      <c r="U25" s="229"/>
      <c r="V25" s="229"/>
    </row>
    <row r="26" spans="2:30" ht="15" customHeight="1" x14ac:dyDescent="0.2">
      <c r="B26" s="239" t="s">
        <v>33</v>
      </c>
      <c r="C26" s="229"/>
      <c r="D26" s="229"/>
      <c r="E26" s="229"/>
      <c r="F26" s="241"/>
      <c r="G26" s="242"/>
      <c r="H26" s="242"/>
      <c r="I26" s="242"/>
      <c r="J26" s="242"/>
      <c r="K26" s="242"/>
      <c r="L26" s="242"/>
      <c r="M26" s="242"/>
      <c r="N26" s="242"/>
      <c r="O26" s="242"/>
      <c r="P26" s="243"/>
      <c r="Q26" s="240"/>
      <c r="R26" s="230"/>
      <c r="S26" s="230"/>
      <c r="T26" s="230"/>
      <c r="U26" s="229"/>
      <c r="V26" s="229"/>
    </row>
    <row r="27" spans="2:30" ht="16.5" customHeight="1" x14ac:dyDescent="0.2">
      <c r="B27" s="239" t="s">
        <v>34</v>
      </c>
      <c r="C27" s="229"/>
      <c r="D27" s="229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29"/>
      <c r="P27" s="229"/>
      <c r="Q27" s="229"/>
      <c r="R27" s="229"/>
      <c r="S27" s="230"/>
      <c r="T27" s="229"/>
      <c r="U27" s="229"/>
      <c r="V27" s="229"/>
    </row>
    <row r="28" spans="2:30" ht="15" customHeight="1" x14ac:dyDescent="0.2">
      <c r="B28" s="244" t="s">
        <v>23</v>
      </c>
      <c r="C28" s="241" t="s">
        <v>2342</v>
      </c>
      <c r="D28" s="242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3"/>
      <c r="Q28" s="230"/>
      <c r="R28" s="230"/>
      <c r="S28" s="226"/>
      <c r="T28" s="230"/>
      <c r="U28" s="229"/>
      <c r="V28" s="229"/>
    </row>
    <row r="29" spans="2:30" ht="15" customHeight="1" x14ac:dyDescent="0.2">
      <c r="B29" s="244"/>
      <c r="C29" s="245" t="s">
        <v>2118</v>
      </c>
      <c r="D29" s="246"/>
      <c r="E29" s="246"/>
      <c r="F29" s="246"/>
      <c r="G29" s="246"/>
      <c r="H29" s="246"/>
      <c r="I29" s="246"/>
      <c r="J29" s="246"/>
      <c r="K29" s="246"/>
      <c r="L29" s="246"/>
      <c r="M29" s="246"/>
      <c r="N29" s="246"/>
      <c r="O29" s="246"/>
      <c r="P29" s="247"/>
      <c r="Q29" s="230"/>
      <c r="R29" s="230"/>
      <c r="S29" s="226"/>
      <c r="T29" s="230"/>
      <c r="U29" s="229"/>
      <c r="V29" s="229"/>
    </row>
    <row r="30" spans="2:30" ht="15" customHeight="1" x14ac:dyDescent="0.2">
      <c r="B30" s="244"/>
      <c r="C30" s="245" t="s">
        <v>2117</v>
      </c>
      <c r="D30" s="246"/>
      <c r="E30" s="246"/>
      <c r="F30" s="246"/>
      <c r="G30" s="246"/>
      <c r="H30" s="246"/>
      <c r="I30" s="246"/>
      <c r="J30" s="246"/>
      <c r="K30" s="246"/>
      <c r="L30" s="246"/>
      <c r="M30" s="246"/>
      <c r="N30" s="246"/>
      <c r="O30" s="246"/>
      <c r="P30" s="247"/>
      <c r="Q30" s="230"/>
      <c r="R30" s="230"/>
      <c r="S30" s="226"/>
      <c r="T30" s="230"/>
      <c r="U30" s="229"/>
      <c r="V30" s="229"/>
    </row>
    <row r="31" spans="2:30" ht="15" customHeight="1" x14ac:dyDescent="0.2">
      <c r="B31" s="244" t="s">
        <v>18</v>
      </c>
      <c r="C31" s="241" t="s">
        <v>2343</v>
      </c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3"/>
      <c r="Q31" s="240"/>
      <c r="R31" s="230"/>
      <c r="S31" s="226"/>
      <c r="T31" s="230"/>
      <c r="U31" s="229"/>
      <c r="V31" s="229"/>
    </row>
    <row r="32" spans="2:30" ht="15" customHeight="1" x14ac:dyDescent="0.2">
      <c r="B32" s="244" t="s">
        <v>2119</v>
      </c>
      <c r="C32" s="241" t="s">
        <v>2344</v>
      </c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3"/>
      <c r="Q32" s="240"/>
      <c r="R32" s="230"/>
      <c r="S32" s="230"/>
      <c r="T32" s="230"/>
      <c r="U32" s="229"/>
      <c r="V32" s="229"/>
    </row>
    <row r="33" spans="2:30" ht="15" customHeight="1" x14ac:dyDescent="0.2">
      <c r="B33" s="244" t="s">
        <v>2120</v>
      </c>
      <c r="C33" s="241" t="s">
        <v>2345</v>
      </c>
      <c r="D33" s="242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3"/>
      <c r="Q33" s="240"/>
      <c r="R33" s="230"/>
      <c r="S33" s="230"/>
      <c r="T33" s="230"/>
      <c r="U33" s="229"/>
      <c r="V33" s="229"/>
    </row>
    <row r="34" spans="2:30" ht="15" customHeight="1" x14ac:dyDescent="0.2">
      <c r="B34" s="248" t="s">
        <v>2121</v>
      </c>
      <c r="C34" s="241" t="s">
        <v>2115</v>
      </c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30"/>
      <c r="R34" s="230"/>
      <c r="S34" s="230"/>
      <c r="T34" s="230"/>
      <c r="U34" s="229"/>
      <c r="V34" s="229"/>
    </row>
    <row r="35" spans="2:30" ht="15" customHeight="1" x14ac:dyDescent="0.2">
      <c r="C35" s="250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29"/>
      <c r="R35" s="229"/>
      <c r="S35" s="229"/>
      <c r="T35" s="229"/>
      <c r="U35" s="229"/>
      <c r="V35" s="229"/>
    </row>
    <row r="36" spans="2:30" ht="54.75" customHeight="1" x14ac:dyDescent="0.2">
      <c r="B36" s="691" t="s">
        <v>159</v>
      </c>
      <c r="C36" s="691"/>
      <c r="D36" s="691"/>
      <c r="E36" s="692"/>
      <c r="F36" s="251"/>
      <c r="G36" s="252"/>
      <c r="H36" s="252"/>
      <c r="I36" s="252"/>
      <c r="J36" s="252"/>
      <c r="K36" s="252"/>
      <c r="L36" s="252"/>
      <c r="M36" s="252"/>
      <c r="N36" s="252"/>
      <c r="O36" s="252"/>
      <c r="P36" s="253"/>
      <c r="Q36" s="254"/>
      <c r="R36" s="254"/>
      <c r="S36" s="233"/>
      <c r="T36" s="254"/>
      <c r="U36" s="230"/>
      <c r="V36" s="229"/>
      <c r="Z36" s="219" t="s">
        <v>296</v>
      </c>
      <c r="AA36" s="219" t="s">
        <v>297</v>
      </c>
      <c r="AD36" s="219" t="s">
        <v>301</v>
      </c>
    </row>
    <row r="37" spans="2:30" ht="54.75" customHeight="1" x14ac:dyDescent="0.2">
      <c r="B37" s="255"/>
      <c r="C37" s="255"/>
      <c r="D37" s="255"/>
      <c r="E37" s="256"/>
      <c r="F37" s="251"/>
      <c r="G37" s="252"/>
      <c r="H37" s="252"/>
      <c r="I37" s="252"/>
      <c r="J37" s="252"/>
      <c r="K37" s="252"/>
      <c r="L37" s="252"/>
      <c r="M37" s="252"/>
      <c r="N37" s="252"/>
      <c r="O37" s="252"/>
      <c r="P37" s="253"/>
      <c r="Q37" s="254"/>
      <c r="R37" s="254"/>
      <c r="S37" s="233"/>
      <c r="T37" s="254"/>
      <c r="U37" s="230"/>
      <c r="V37" s="229"/>
    </row>
    <row r="38" spans="2:30" ht="54.75" customHeight="1" x14ac:dyDescent="0.2">
      <c r="B38" s="255"/>
      <c r="C38" s="255"/>
      <c r="D38" s="255"/>
      <c r="E38" s="256"/>
      <c r="F38" s="251"/>
      <c r="G38" s="252"/>
      <c r="H38" s="252"/>
      <c r="I38" s="252"/>
      <c r="J38" s="252"/>
      <c r="K38" s="252"/>
      <c r="L38" s="252"/>
      <c r="M38" s="252"/>
      <c r="N38" s="252"/>
      <c r="O38" s="252"/>
      <c r="P38" s="253"/>
      <c r="Q38" s="254"/>
      <c r="R38" s="254"/>
      <c r="S38" s="233"/>
      <c r="T38" s="254"/>
      <c r="U38" s="230"/>
      <c r="V38" s="229"/>
    </row>
    <row r="39" spans="2:30" ht="18.75" customHeight="1" x14ac:dyDescent="0.2">
      <c r="B39" s="257"/>
      <c r="C39" s="257"/>
      <c r="D39" s="257"/>
      <c r="E39" s="230"/>
      <c r="F39" s="258"/>
      <c r="G39" s="258"/>
      <c r="H39" s="258"/>
      <c r="I39" s="258"/>
      <c r="J39" s="258"/>
      <c r="K39" s="258"/>
      <c r="L39" s="258"/>
      <c r="M39" s="258"/>
      <c r="N39" s="258"/>
      <c r="O39" s="258"/>
      <c r="P39" s="258"/>
      <c r="Q39" s="258"/>
      <c r="R39" s="258"/>
      <c r="S39" s="226"/>
      <c r="T39" s="258"/>
      <c r="U39" s="230"/>
      <c r="V39" s="229"/>
      <c r="Z39" s="219" t="s">
        <v>305</v>
      </c>
      <c r="AA39" s="219" t="s">
        <v>299</v>
      </c>
      <c r="AD39" s="219" t="s">
        <v>304</v>
      </c>
    </row>
    <row r="40" spans="2:30" ht="18.75" customHeight="1" x14ac:dyDescent="0.2">
      <c r="B40" s="693" t="s">
        <v>252</v>
      </c>
      <c r="C40" s="693"/>
      <c r="D40" s="693"/>
      <c r="E40" s="693"/>
      <c r="F40" s="693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26"/>
      <c r="T40" s="258"/>
      <c r="U40" s="230"/>
      <c r="V40" s="229"/>
      <c r="Z40" s="219" t="s">
        <v>302</v>
      </c>
      <c r="AA40" s="219" t="s">
        <v>303</v>
      </c>
      <c r="AD40" s="219" t="s">
        <v>307</v>
      </c>
    </row>
    <row r="41" spans="2:30" ht="18.75" customHeight="1" x14ac:dyDescent="0.2">
      <c r="B41" s="257"/>
      <c r="C41" s="257"/>
      <c r="D41" s="257"/>
      <c r="E41" s="230"/>
      <c r="F41" s="258"/>
      <c r="G41" s="258"/>
      <c r="H41" s="258"/>
      <c r="I41" s="258"/>
      <c r="J41" s="258"/>
      <c r="K41" s="258"/>
      <c r="L41" s="258"/>
      <c r="M41" s="258"/>
      <c r="N41" s="258"/>
      <c r="O41" s="258"/>
      <c r="P41" s="258"/>
      <c r="Q41" s="258"/>
      <c r="R41" s="258"/>
      <c r="S41" s="226"/>
      <c r="T41" s="258"/>
      <c r="U41" s="230"/>
      <c r="V41" s="229"/>
      <c r="Z41" s="219" t="s">
        <v>306</v>
      </c>
      <c r="AD41" s="219" t="s">
        <v>312</v>
      </c>
    </row>
    <row r="42" spans="2:30" ht="18.75" customHeight="1" x14ac:dyDescent="0.2">
      <c r="B42" s="694" t="s">
        <v>253</v>
      </c>
      <c r="C42" s="694"/>
      <c r="D42" s="259" t="s">
        <v>67</v>
      </c>
      <c r="E42" s="230"/>
      <c r="F42" s="695" t="s">
        <v>254</v>
      </c>
      <c r="G42" s="695"/>
      <c r="H42" s="695"/>
      <c r="I42" s="696"/>
      <c r="J42" s="260" t="s">
        <v>335</v>
      </c>
      <c r="K42" s="258"/>
      <c r="L42" s="258"/>
      <c r="M42" s="258"/>
      <c r="N42" s="258"/>
      <c r="O42" s="258"/>
      <c r="P42" s="258"/>
      <c r="Q42" s="258"/>
      <c r="R42" s="258"/>
      <c r="S42" s="226"/>
      <c r="T42" s="258"/>
      <c r="U42" s="230"/>
      <c r="V42" s="229"/>
      <c r="Z42" s="219" t="s">
        <v>308</v>
      </c>
    </row>
    <row r="43" spans="2:30" ht="18.75" customHeight="1" x14ac:dyDescent="0.2">
      <c r="B43" s="261"/>
      <c r="C43" s="261"/>
      <c r="D43" s="259" t="s">
        <v>68</v>
      </c>
      <c r="E43" s="230"/>
      <c r="F43" s="258"/>
      <c r="G43" s="258"/>
      <c r="H43" s="258"/>
      <c r="I43" s="258"/>
      <c r="J43" s="260" t="s">
        <v>68</v>
      </c>
      <c r="K43" s="258"/>
      <c r="L43" s="258"/>
      <c r="M43" s="258"/>
      <c r="N43" s="258"/>
      <c r="O43" s="258"/>
      <c r="P43" s="258"/>
      <c r="Q43" s="258"/>
      <c r="R43" s="258"/>
      <c r="S43" s="226"/>
      <c r="T43" s="258"/>
      <c r="U43" s="230"/>
      <c r="V43" s="229"/>
    </row>
    <row r="44" spans="2:30" ht="18.75" customHeight="1" x14ac:dyDescent="0.2">
      <c r="B44" s="257"/>
      <c r="C44" s="257"/>
      <c r="D44" s="257"/>
      <c r="E44" s="230"/>
      <c r="F44" s="258"/>
      <c r="G44" s="258"/>
      <c r="H44" s="258"/>
      <c r="I44" s="258"/>
      <c r="J44" s="258"/>
      <c r="K44" s="258"/>
      <c r="L44" s="258"/>
      <c r="M44" s="258"/>
      <c r="N44" s="258"/>
      <c r="O44" s="258"/>
      <c r="P44" s="258"/>
      <c r="Q44" s="258"/>
      <c r="R44" s="258"/>
      <c r="S44" s="226"/>
      <c r="T44" s="258"/>
      <c r="U44" s="230"/>
      <c r="V44" s="229"/>
      <c r="Z44" s="219" t="s">
        <v>309</v>
      </c>
    </row>
    <row r="45" spans="2:30" ht="18.75" customHeight="1" x14ac:dyDescent="0.2">
      <c r="B45" s="699" t="s">
        <v>255</v>
      </c>
      <c r="C45" s="699"/>
      <c r="D45" s="699"/>
      <c r="E45" s="699"/>
      <c r="F45" s="699"/>
      <c r="G45" s="699"/>
      <c r="H45" s="699"/>
      <c r="I45" s="699"/>
      <c r="J45" s="699"/>
      <c r="K45" s="258"/>
      <c r="L45" s="258"/>
      <c r="M45" s="258"/>
      <c r="N45" s="258"/>
      <c r="O45" s="258"/>
      <c r="P45" s="258"/>
      <c r="Q45" s="258"/>
      <c r="R45" s="258"/>
      <c r="S45" s="226"/>
      <c r="T45" s="258"/>
      <c r="U45" s="230"/>
      <c r="V45" s="229"/>
      <c r="Z45" s="219" t="s">
        <v>310</v>
      </c>
    </row>
    <row r="46" spans="2:30" ht="18.75" customHeight="1" x14ac:dyDescent="0.2">
      <c r="B46" s="257"/>
      <c r="C46" s="257"/>
      <c r="D46" s="257"/>
      <c r="E46" s="230"/>
      <c r="F46" s="258"/>
      <c r="G46" s="258"/>
      <c r="H46" s="258"/>
      <c r="I46" s="258"/>
      <c r="J46" s="258"/>
      <c r="K46" s="258"/>
      <c r="L46" s="258"/>
      <c r="M46" s="258"/>
      <c r="N46" s="258"/>
      <c r="O46" s="258"/>
      <c r="P46" s="258"/>
      <c r="Q46" s="258"/>
      <c r="R46" s="258"/>
      <c r="S46" s="226"/>
      <c r="T46" s="258"/>
      <c r="U46" s="230"/>
      <c r="V46" s="229"/>
      <c r="Z46" s="219" t="s">
        <v>311</v>
      </c>
    </row>
    <row r="47" spans="2:30" ht="18.75" customHeight="1" x14ac:dyDescent="0.2">
      <c r="B47" s="691" t="s">
        <v>256</v>
      </c>
      <c r="C47" s="691"/>
      <c r="D47" s="691"/>
      <c r="E47" s="691"/>
      <c r="F47" s="691"/>
      <c r="G47" s="691"/>
      <c r="H47" s="691"/>
      <c r="I47" s="692"/>
      <c r="J47" s="260" t="s">
        <v>67</v>
      </c>
      <c r="K47" s="700" t="s">
        <v>258</v>
      </c>
      <c r="L47" s="695"/>
      <c r="M47" s="695"/>
      <c r="N47" s="262"/>
      <c r="O47" s="263"/>
      <c r="P47" s="264"/>
      <c r="Q47" s="258"/>
      <c r="R47" s="258"/>
      <c r="S47" s="226"/>
      <c r="T47" s="258"/>
      <c r="U47" s="230"/>
      <c r="V47" s="229"/>
    </row>
    <row r="48" spans="2:30" ht="18.75" customHeight="1" x14ac:dyDescent="0.2">
      <c r="B48" s="255"/>
      <c r="C48" s="255"/>
      <c r="D48" s="255"/>
      <c r="E48" s="255"/>
      <c r="F48" s="255"/>
      <c r="G48" s="255"/>
      <c r="H48" s="255"/>
      <c r="I48" s="265"/>
      <c r="J48" s="260" t="s">
        <v>68</v>
      </c>
      <c r="K48" s="266"/>
      <c r="L48" s="258"/>
      <c r="M48" s="258"/>
      <c r="N48" s="262"/>
      <c r="O48" s="263"/>
      <c r="P48" s="264"/>
      <c r="Q48" s="258"/>
      <c r="R48" s="258"/>
      <c r="S48" s="226"/>
      <c r="T48" s="258"/>
      <c r="U48" s="230"/>
      <c r="V48" s="229"/>
    </row>
    <row r="49" spans="2:30" ht="18.75" customHeight="1" x14ac:dyDescent="0.2">
      <c r="B49" s="691" t="s">
        <v>257</v>
      </c>
      <c r="C49" s="691"/>
      <c r="D49" s="691"/>
      <c r="E49" s="691"/>
      <c r="F49" s="691"/>
      <c r="G49" s="691"/>
      <c r="H49" s="691"/>
      <c r="I49" s="692"/>
      <c r="J49" s="260" t="s">
        <v>67</v>
      </c>
      <c r="K49" s="700" t="s">
        <v>258</v>
      </c>
      <c r="L49" s="695"/>
      <c r="M49" s="695"/>
      <c r="N49" s="262"/>
      <c r="O49" s="263"/>
      <c r="P49" s="264"/>
      <c r="Q49" s="258"/>
      <c r="R49" s="258"/>
      <c r="S49" s="226"/>
      <c r="T49" s="258"/>
      <c r="U49" s="230"/>
      <c r="V49" s="229"/>
    </row>
    <row r="50" spans="2:30" ht="18.75" customHeight="1" x14ac:dyDescent="0.2">
      <c r="B50" s="257"/>
      <c r="C50" s="257"/>
      <c r="D50" s="257"/>
      <c r="E50" s="230"/>
      <c r="F50" s="258"/>
      <c r="G50" s="258"/>
      <c r="H50" s="258"/>
      <c r="I50" s="258"/>
      <c r="J50" s="260" t="s">
        <v>68</v>
      </c>
      <c r="K50" s="258"/>
      <c r="L50" s="258"/>
      <c r="M50" s="258"/>
      <c r="N50" s="262"/>
      <c r="O50" s="263"/>
      <c r="P50" s="264"/>
      <c r="Q50" s="258"/>
      <c r="R50" s="258"/>
      <c r="S50" s="226"/>
      <c r="T50" s="258"/>
      <c r="U50" s="230"/>
      <c r="V50" s="229"/>
    </row>
    <row r="51" spans="2:30" ht="15" customHeight="1" x14ac:dyDescent="0.25">
      <c r="B51" s="701" t="s">
        <v>63</v>
      </c>
      <c r="C51" s="701"/>
      <c r="D51" s="701"/>
      <c r="E51" s="701"/>
      <c r="F51" s="701"/>
      <c r="G51" s="701"/>
      <c r="H51" s="701"/>
      <c r="I51" s="701"/>
      <c r="J51" s="701"/>
      <c r="K51" s="701"/>
      <c r="L51" s="701"/>
      <c r="M51" s="701"/>
      <c r="N51" s="701"/>
      <c r="O51" s="701"/>
      <c r="P51" s="701"/>
      <c r="Q51" s="701"/>
    </row>
    <row r="52" spans="2:30" ht="11.25" customHeight="1" x14ac:dyDescent="0.2">
      <c r="U52" s="229"/>
      <c r="V52" s="229"/>
    </row>
    <row r="53" spans="2:30" ht="15" customHeight="1" x14ac:dyDescent="0.25">
      <c r="B53" s="228" t="s">
        <v>160</v>
      </c>
      <c r="L53" s="228" t="s">
        <v>161</v>
      </c>
    </row>
    <row r="54" spans="2:30" ht="15" customHeight="1" x14ac:dyDescent="0.2">
      <c r="B54" s="267" t="s">
        <v>4</v>
      </c>
      <c r="C54" s="688"/>
      <c r="D54" s="689"/>
      <c r="E54" s="689"/>
      <c r="F54" s="689"/>
      <c r="G54" s="689"/>
      <c r="H54" s="689"/>
      <c r="I54" s="690"/>
      <c r="L54" s="702" t="s">
        <v>163</v>
      </c>
      <c r="M54" s="703"/>
      <c r="N54" s="704"/>
      <c r="O54" s="705"/>
    </row>
    <row r="55" spans="2:30" ht="15" customHeight="1" x14ac:dyDescent="0.2">
      <c r="B55" s="267" t="s">
        <v>5</v>
      </c>
      <c r="C55" s="688"/>
      <c r="D55" s="689"/>
      <c r="E55" s="689"/>
      <c r="F55" s="689"/>
      <c r="G55" s="689"/>
      <c r="H55" s="689"/>
      <c r="I55" s="690"/>
      <c r="L55" s="702" t="s">
        <v>164</v>
      </c>
      <c r="M55" s="703"/>
      <c r="N55" s="688"/>
      <c r="O55" s="690"/>
      <c r="Z55" s="219" t="s">
        <v>296</v>
      </c>
      <c r="AA55" s="219" t="s">
        <v>297</v>
      </c>
      <c r="AD55" s="219" t="s">
        <v>301</v>
      </c>
    </row>
    <row r="56" spans="2:30" ht="15" customHeight="1" x14ac:dyDescent="0.2">
      <c r="B56" s="267" t="s">
        <v>6</v>
      </c>
      <c r="C56" s="688"/>
      <c r="D56" s="689"/>
      <c r="E56" s="689"/>
      <c r="F56" s="689"/>
      <c r="G56" s="689"/>
      <c r="H56" s="689"/>
      <c r="I56" s="690"/>
      <c r="L56" s="702" t="s">
        <v>162</v>
      </c>
      <c r="M56" s="703"/>
      <c r="N56" s="688"/>
      <c r="O56" s="690"/>
      <c r="Z56" s="219" t="s">
        <v>320</v>
      </c>
      <c r="AA56" s="219" t="s">
        <v>299</v>
      </c>
      <c r="AD56" s="219" t="s">
        <v>321</v>
      </c>
    </row>
    <row r="57" spans="2:30" ht="15" customHeight="1" x14ac:dyDescent="0.2">
      <c r="B57" s="267" t="s">
        <v>7</v>
      </c>
      <c r="C57" s="688"/>
      <c r="D57" s="689"/>
      <c r="E57" s="689"/>
      <c r="F57" s="689"/>
      <c r="G57" s="689"/>
      <c r="H57" s="689"/>
      <c r="I57" s="690"/>
      <c r="L57" s="702" t="s">
        <v>165</v>
      </c>
      <c r="M57" s="703"/>
      <c r="N57" s="706"/>
      <c r="O57" s="707"/>
      <c r="Z57" s="219" t="s">
        <v>325</v>
      </c>
      <c r="AD57" s="219" t="s">
        <v>322</v>
      </c>
    </row>
    <row r="58" spans="2:30" ht="15" customHeight="1" x14ac:dyDescent="0.2">
      <c r="B58" s="708" t="s">
        <v>65</v>
      </c>
      <c r="C58" s="704"/>
      <c r="D58" s="709"/>
      <c r="E58" s="709"/>
      <c r="F58" s="709"/>
      <c r="G58" s="709"/>
      <c r="H58" s="709"/>
      <c r="I58" s="705"/>
      <c r="Z58" s="219" t="s">
        <v>324</v>
      </c>
      <c r="AD58" s="219" t="s">
        <v>312</v>
      </c>
    </row>
    <row r="59" spans="2:30" ht="15" customHeight="1" x14ac:dyDescent="0.2">
      <c r="B59" s="708"/>
      <c r="C59" s="706"/>
      <c r="D59" s="710"/>
      <c r="E59" s="710"/>
      <c r="F59" s="710"/>
      <c r="G59" s="710"/>
      <c r="H59" s="710"/>
      <c r="I59" s="707"/>
      <c r="Z59" s="219" t="s">
        <v>323</v>
      </c>
    </row>
    <row r="60" spans="2:30" ht="15" customHeight="1" x14ac:dyDescent="0.2">
      <c r="B60" s="268"/>
      <c r="C60" s="225"/>
      <c r="D60" s="225"/>
      <c r="E60" s="225"/>
      <c r="F60" s="225"/>
      <c r="G60" s="225"/>
      <c r="H60" s="225"/>
      <c r="I60" s="225"/>
      <c r="N60" s="571" t="s">
        <v>2508</v>
      </c>
    </row>
    <row r="61" spans="2:30" ht="15" customHeight="1" x14ac:dyDescent="0.25">
      <c r="B61" s="269" t="s">
        <v>66</v>
      </c>
      <c r="C61" s="269"/>
      <c r="D61" s="269"/>
      <c r="E61" s="269"/>
      <c r="F61" s="269"/>
      <c r="G61" s="269"/>
      <c r="H61" s="269"/>
      <c r="I61" s="269"/>
      <c r="J61" s="269"/>
      <c r="K61" s="269"/>
      <c r="L61" s="269"/>
      <c r="M61" s="269"/>
      <c r="N61" s="4" t="s">
        <v>341</v>
      </c>
      <c r="O61" s="269"/>
      <c r="P61" s="269"/>
      <c r="Q61" s="269"/>
    </row>
    <row r="62" spans="2:30" ht="15" customHeight="1" x14ac:dyDescent="0.25">
      <c r="B62" s="270"/>
      <c r="N62" s="571"/>
      <c r="U62" s="229"/>
      <c r="V62" s="229"/>
    </row>
    <row r="63" spans="2:30" ht="15" customHeight="1" x14ac:dyDescent="0.2">
      <c r="B63" s="271" t="s">
        <v>170</v>
      </c>
      <c r="C63" s="239"/>
      <c r="D63" s="239"/>
      <c r="E63" s="239"/>
      <c r="F63" s="239"/>
      <c r="G63" s="239"/>
      <c r="I63" s="239"/>
      <c r="J63" s="272" t="s">
        <v>67</v>
      </c>
      <c r="L63" s="239"/>
      <c r="N63" s="273"/>
      <c r="P63" s="239"/>
      <c r="Q63" s="239"/>
      <c r="U63" s="229"/>
      <c r="V63" s="229"/>
    </row>
    <row r="64" spans="2:30" ht="15" customHeight="1" x14ac:dyDescent="0.2">
      <c r="B64" s="271"/>
      <c r="C64" s="239"/>
      <c r="D64" s="239"/>
      <c r="E64" s="239"/>
      <c r="F64" s="239"/>
      <c r="G64" s="239"/>
      <c r="I64" s="239"/>
      <c r="J64" s="272" t="s">
        <v>2086</v>
      </c>
      <c r="L64" s="239"/>
      <c r="N64" s="273"/>
      <c r="P64" s="239"/>
      <c r="Q64" s="239"/>
      <c r="U64" s="229"/>
      <c r="V64" s="229"/>
    </row>
    <row r="65" spans="2:22" ht="13.5" customHeight="1" x14ac:dyDescent="0.25">
      <c r="B65" s="271"/>
      <c r="C65" s="239"/>
      <c r="D65" s="239"/>
      <c r="E65" s="239"/>
      <c r="F65" s="239"/>
      <c r="G65" s="239"/>
      <c r="H65" s="239"/>
      <c r="I65" s="269"/>
      <c r="J65" s="239"/>
      <c r="K65" s="239"/>
      <c r="M65" s="239"/>
      <c r="N65" s="239"/>
      <c r="O65" s="239"/>
      <c r="P65" s="239"/>
      <c r="Q65" s="239"/>
      <c r="U65" s="229"/>
      <c r="V65" s="229"/>
    </row>
    <row r="66" spans="2:22" ht="15" customHeight="1" x14ac:dyDescent="0.2">
      <c r="B66" s="711" t="s">
        <v>69</v>
      </c>
      <c r="C66" s="712"/>
      <c r="D66" s="712"/>
      <c r="E66" s="712"/>
      <c r="F66" s="712"/>
      <c r="G66" s="712"/>
      <c r="H66" s="712"/>
      <c r="I66" s="712"/>
      <c r="J66" s="712"/>
      <c r="K66" s="712"/>
      <c r="L66" s="712"/>
      <c r="M66" s="712"/>
      <c r="N66" s="712"/>
      <c r="O66" s="712"/>
      <c r="P66" s="713"/>
      <c r="Q66" s="254"/>
      <c r="R66" s="254"/>
      <c r="S66" s="254"/>
      <c r="T66" s="254"/>
      <c r="U66" s="229"/>
      <c r="V66" s="229"/>
    </row>
    <row r="67" spans="2:22" ht="9" customHeight="1" x14ac:dyDescent="0.2">
      <c r="B67" s="274"/>
      <c r="C67" s="274"/>
      <c r="D67" s="274"/>
      <c r="E67" s="274"/>
      <c r="F67" s="274"/>
      <c r="G67" s="274"/>
      <c r="H67" s="274"/>
      <c r="I67" s="275"/>
      <c r="J67" s="274"/>
      <c r="K67" s="274"/>
      <c r="L67" s="274"/>
      <c r="M67" s="274"/>
      <c r="N67" s="274"/>
      <c r="O67" s="274"/>
      <c r="P67" s="274"/>
      <c r="Q67" s="274"/>
      <c r="R67" s="274"/>
      <c r="S67" s="274"/>
      <c r="T67" s="274"/>
      <c r="U67" s="229"/>
      <c r="V67" s="229"/>
    </row>
    <row r="68" spans="2:22" ht="15" customHeight="1" x14ac:dyDescent="0.2">
      <c r="B68" s="271" t="s">
        <v>70</v>
      </c>
      <c r="C68" s="239"/>
      <c r="D68" s="239"/>
      <c r="E68" s="239"/>
      <c r="F68" s="239"/>
      <c r="G68" s="239"/>
      <c r="I68" s="272" t="s">
        <v>71</v>
      </c>
      <c r="J68" s="239"/>
      <c r="N68" s="273"/>
      <c r="O68" s="239"/>
      <c r="P68" s="239"/>
      <c r="Q68" s="239"/>
      <c r="U68" s="229"/>
      <c r="V68" s="229"/>
    </row>
    <row r="69" spans="2:22" ht="14.25" customHeight="1" x14ac:dyDescent="0.2">
      <c r="B69" s="239"/>
      <c r="C69" s="239"/>
      <c r="D69" s="239"/>
      <c r="E69" s="239"/>
      <c r="F69" s="239"/>
      <c r="G69" s="239"/>
      <c r="I69" s="272" t="s">
        <v>72</v>
      </c>
      <c r="J69" s="239"/>
      <c r="K69" s="239"/>
      <c r="L69" s="239"/>
      <c r="M69" s="239"/>
      <c r="N69" s="239"/>
      <c r="O69" s="239"/>
      <c r="U69" s="229"/>
      <c r="V69" s="229"/>
    </row>
    <row r="70" spans="2:22" ht="14.25" customHeight="1" x14ac:dyDescent="0.2">
      <c r="B70" s="239"/>
      <c r="C70" s="239"/>
      <c r="D70" s="239"/>
      <c r="E70" s="239"/>
      <c r="F70" s="239"/>
      <c r="G70" s="239"/>
      <c r="H70" s="239"/>
      <c r="I70" s="276"/>
      <c r="J70" s="239"/>
      <c r="K70" s="239"/>
      <c r="L70" s="239"/>
      <c r="M70" s="239"/>
      <c r="N70" s="239"/>
      <c r="O70" s="239"/>
      <c r="U70" s="229"/>
      <c r="V70" s="229"/>
    </row>
    <row r="71" spans="2:22" ht="15" customHeight="1" x14ac:dyDescent="0.2">
      <c r="B71" s="271" t="s">
        <v>73</v>
      </c>
      <c r="C71" s="239"/>
      <c r="D71" s="239"/>
      <c r="E71" s="239"/>
      <c r="F71" s="239"/>
      <c r="G71" s="239"/>
      <c r="I71" s="272" t="s">
        <v>74</v>
      </c>
      <c r="J71" s="239"/>
      <c r="L71" s="239"/>
      <c r="N71" s="273"/>
      <c r="U71" s="229"/>
      <c r="V71" s="229"/>
    </row>
    <row r="72" spans="2:22" ht="15" customHeight="1" x14ac:dyDescent="0.2">
      <c r="B72" s="271"/>
      <c r="C72" s="239"/>
      <c r="D72" s="239"/>
      <c r="E72" s="239"/>
      <c r="F72" s="239"/>
      <c r="G72" s="239"/>
      <c r="I72" s="272" t="s">
        <v>2239</v>
      </c>
      <c r="J72" s="239"/>
      <c r="K72" s="239"/>
      <c r="L72" s="239"/>
      <c r="N72" s="273"/>
      <c r="U72" s="229"/>
      <c r="V72" s="229"/>
    </row>
    <row r="73" spans="2:22" ht="17.25" customHeight="1" x14ac:dyDescent="0.2">
      <c r="B73" s="239"/>
      <c r="C73" s="239"/>
      <c r="D73" s="239"/>
      <c r="E73" s="239"/>
      <c r="F73" s="239"/>
      <c r="G73" s="239"/>
      <c r="H73" s="239"/>
      <c r="I73" s="239"/>
      <c r="J73" s="239"/>
      <c r="K73" s="239"/>
      <c r="L73" s="239"/>
      <c r="M73" s="239"/>
      <c r="U73" s="229"/>
      <c r="V73" s="229"/>
    </row>
    <row r="74" spans="2:22" ht="17.25" customHeight="1" x14ac:dyDescent="0.2">
      <c r="B74" s="239"/>
      <c r="C74" s="239"/>
      <c r="D74" s="239"/>
      <c r="E74" s="239"/>
      <c r="F74" s="239"/>
      <c r="G74" s="239"/>
      <c r="H74" s="239"/>
      <c r="I74" s="219" t="s">
        <v>156</v>
      </c>
      <c r="P74" s="225"/>
      <c r="Q74" s="225"/>
      <c r="R74" s="229"/>
      <c r="S74" s="229"/>
      <c r="T74" s="229"/>
      <c r="U74" s="229"/>
      <c r="V74" s="229"/>
    </row>
    <row r="75" spans="2:22" ht="17.25" customHeight="1" x14ac:dyDescent="0.2">
      <c r="B75" s="239"/>
      <c r="C75" s="239"/>
      <c r="D75" s="239"/>
      <c r="E75" s="239"/>
      <c r="F75" s="239"/>
      <c r="G75" s="239"/>
      <c r="H75" s="239"/>
      <c r="J75" s="277" t="s">
        <v>157</v>
      </c>
      <c r="K75" s="277" t="s">
        <v>91</v>
      </c>
      <c r="L75" s="278" t="s">
        <v>90</v>
      </c>
      <c r="M75" s="278" t="s">
        <v>158</v>
      </c>
      <c r="P75" s="225"/>
      <c r="Q75" s="225"/>
      <c r="R75" s="229"/>
      <c r="S75" s="229"/>
      <c r="T75" s="229"/>
      <c r="U75" s="229"/>
      <c r="V75" s="229"/>
    </row>
    <row r="76" spans="2:22" ht="17.25" customHeight="1" x14ac:dyDescent="0.2">
      <c r="B76" s="239"/>
      <c r="C76" s="239"/>
      <c r="D76" s="239"/>
      <c r="E76" s="239"/>
      <c r="F76" s="239"/>
      <c r="G76" s="239"/>
      <c r="H76" s="239"/>
      <c r="I76" s="225"/>
      <c r="J76" s="277"/>
      <c r="K76" s="279"/>
      <c r="L76" s="279"/>
      <c r="M76" s="279"/>
      <c r="P76" s="225"/>
      <c r="Q76" s="225"/>
      <c r="R76" s="229"/>
      <c r="S76" s="229"/>
      <c r="T76" s="229"/>
      <c r="U76" s="229"/>
      <c r="V76" s="229"/>
    </row>
    <row r="77" spans="2:22" ht="17.25" customHeight="1" x14ac:dyDescent="0.2">
      <c r="B77" s="239"/>
      <c r="C77" s="239"/>
      <c r="D77" s="239"/>
      <c r="E77" s="239"/>
      <c r="F77" s="239"/>
      <c r="G77" s="239"/>
      <c r="H77" s="239"/>
      <c r="I77" s="239"/>
      <c r="J77" s="239"/>
      <c r="K77" s="239"/>
      <c r="L77" s="239"/>
      <c r="M77" s="239"/>
      <c r="P77" s="225"/>
      <c r="Q77" s="225"/>
      <c r="R77" s="229"/>
      <c r="S77" s="229"/>
      <c r="T77" s="229"/>
      <c r="U77" s="229"/>
      <c r="V77" s="229"/>
    </row>
    <row r="78" spans="2:22" ht="15" customHeight="1" x14ac:dyDescent="0.2">
      <c r="B78" s="271" t="s">
        <v>75</v>
      </c>
      <c r="C78" s="239"/>
      <c r="D78" s="239"/>
      <c r="U78" s="229"/>
      <c r="V78" s="229"/>
    </row>
    <row r="79" spans="2:22" ht="14.25" customHeight="1" x14ac:dyDescent="0.25">
      <c r="B79" s="270"/>
      <c r="M79" s="234"/>
      <c r="N79" s="234"/>
      <c r="O79" s="234"/>
      <c r="P79" s="234"/>
      <c r="U79" s="229"/>
      <c r="V79" s="229"/>
    </row>
    <row r="80" spans="2:22" ht="14.25" customHeight="1" x14ac:dyDescent="0.2">
      <c r="B80" s="239" t="s">
        <v>76</v>
      </c>
      <c r="C80" s="239"/>
      <c r="D80" s="239"/>
      <c r="E80" s="239"/>
      <c r="G80" s="241" t="s">
        <v>67</v>
      </c>
      <c r="H80" s="243"/>
      <c r="I80" s="239" t="s">
        <v>77</v>
      </c>
      <c r="K80" s="239"/>
      <c r="M80" s="688"/>
      <c r="N80" s="689"/>
      <c r="O80" s="689"/>
      <c r="P80" s="690"/>
      <c r="Q80" s="240"/>
      <c r="R80" s="230"/>
      <c r="U80" s="229"/>
      <c r="V80" s="229"/>
    </row>
    <row r="81" spans="2:22" ht="14.25" customHeight="1" x14ac:dyDescent="0.2">
      <c r="B81" s="239"/>
      <c r="C81" s="239"/>
      <c r="D81" s="239"/>
      <c r="E81" s="239"/>
      <c r="G81" s="241" t="s">
        <v>68</v>
      </c>
      <c r="H81" s="243"/>
      <c r="I81" s="239"/>
      <c r="K81" s="239"/>
      <c r="M81" s="225"/>
      <c r="N81" s="225"/>
      <c r="O81" s="225"/>
      <c r="P81" s="225"/>
      <c r="Q81" s="230"/>
      <c r="R81" s="230"/>
      <c r="U81" s="229"/>
      <c r="V81" s="229"/>
    </row>
    <row r="82" spans="2:22" ht="14.25" customHeight="1" x14ac:dyDescent="0.25">
      <c r="B82" s="270"/>
      <c r="U82" s="229"/>
      <c r="V82" s="229"/>
    </row>
    <row r="83" spans="2:22" ht="15" customHeight="1" x14ac:dyDescent="0.2">
      <c r="B83" s="271" t="s">
        <v>78</v>
      </c>
      <c r="C83" s="239"/>
      <c r="D83" s="239"/>
      <c r="E83" s="239"/>
      <c r="F83" s="239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U83" s="229"/>
      <c r="V83" s="229"/>
    </row>
    <row r="84" spans="2:22" ht="15" customHeight="1" x14ac:dyDescent="0.2">
      <c r="B84" s="271"/>
      <c r="C84" s="239"/>
      <c r="D84" s="239"/>
      <c r="E84" s="239"/>
      <c r="F84" s="239"/>
      <c r="G84" s="239"/>
      <c r="H84" s="239"/>
      <c r="I84" s="239"/>
      <c r="J84" s="239"/>
      <c r="K84" s="239"/>
      <c r="L84" s="239"/>
      <c r="M84" s="239"/>
      <c r="N84" s="239"/>
      <c r="O84" s="239"/>
      <c r="P84" s="239"/>
      <c r="Q84" s="239"/>
      <c r="U84" s="229"/>
      <c r="V84" s="229"/>
    </row>
    <row r="85" spans="2:22" ht="46.5" customHeight="1" x14ac:dyDescent="0.2">
      <c r="B85" s="711"/>
      <c r="C85" s="712"/>
      <c r="D85" s="712"/>
      <c r="E85" s="712"/>
      <c r="F85" s="712"/>
      <c r="G85" s="712"/>
      <c r="H85" s="712"/>
      <c r="I85" s="712"/>
      <c r="J85" s="712"/>
      <c r="K85" s="712"/>
      <c r="L85" s="712"/>
      <c r="M85" s="712"/>
      <c r="N85" s="712"/>
      <c r="O85" s="712"/>
      <c r="P85" s="713"/>
      <c r="Q85" s="254"/>
      <c r="R85" s="254"/>
      <c r="S85" s="254"/>
      <c r="T85" s="254"/>
      <c r="U85" s="230"/>
      <c r="V85" s="230"/>
    </row>
    <row r="86" spans="2:22" ht="9" customHeight="1" x14ac:dyDescent="0.2">
      <c r="B86" s="274"/>
      <c r="C86" s="274"/>
      <c r="D86" s="274"/>
      <c r="E86" s="274"/>
      <c r="F86" s="274"/>
      <c r="G86" s="274"/>
      <c r="H86" s="274"/>
      <c r="I86" s="274"/>
      <c r="J86" s="274"/>
      <c r="K86" s="274"/>
      <c r="L86" s="274"/>
      <c r="M86" s="274"/>
      <c r="N86" s="274"/>
      <c r="O86" s="274"/>
      <c r="P86" s="274"/>
      <c r="Q86" s="274"/>
      <c r="R86" s="274"/>
      <c r="S86" s="274"/>
      <c r="T86" s="274"/>
      <c r="U86" s="230"/>
      <c r="V86" s="230"/>
    </row>
    <row r="87" spans="2:22" ht="15" customHeight="1" x14ac:dyDescent="0.2">
      <c r="B87" s="280" t="s">
        <v>79</v>
      </c>
      <c r="C87" s="254"/>
      <c r="D87" s="229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</row>
    <row r="88" spans="2:22" ht="58.5" customHeight="1" x14ac:dyDescent="0.2">
      <c r="B88" s="711"/>
      <c r="C88" s="712"/>
      <c r="D88" s="712"/>
      <c r="E88" s="712"/>
      <c r="F88" s="712"/>
      <c r="G88" s="712"/>
      <c r="H88" s="712"/>
      <c r="I88" s="712"/>
      <c r="J88" s="712"/>
      <c r="K88" s="712"/>
      <c r="L88" s="712"/>
      <c r="M88" s="712"/>
      <c r="N88" s="712"/>
      <c r="O88" s="712"/>
      <c r="P88" s="713"/>
      <c r="Q88" s="281"/>
      <c r="R88" s="254"/>
      <c r="S88" s="254"/>
      <c r="T88" s="254"/>
      <c r="U88" s="230"/>
      <c r="V88" s="230"/>
    </row>
    <row r="89" spans="2:22" ht="9" customHeight="1" x14ac:dyDescent="0.2">
      <c r="B89" s="274"/>
      <c r="C89" s="274"/>
      <c r="D89" s="274"/>
      <c r="E89" s="274"/>
      <c r="F89" s="274"/>
      <c r="G89" s="274"/>
      <c r="H89" s="274"/>
      <c r="I89" s="274"/>
      <c r="J89" s="274"/>
      <c r="K89" s="274"/>
      <c r="L89" s="274"/>
      <c r="M89" s="274"/>
      <c r="N89" s="274"/>
      <c r="O89" s="274"/>
      <c r="P89" s="274"/>
      <c r="Q89" s="274"/>
      <c r="R89" s="274"/>
      <c r="S89" s="274"/>
      <c r="T89" s="274"/>
      <c r="U89" s="230"/>
      <c r="V89" s="230"/>
    </row>
    <row r="90" spans="2:22" s="286" customFormat="1" ht="15" customHeight="1" x14ac:dyDescent="0.2">
      <c r="B90" s="282" t="s">
        <v>166</v>
      </c>
      <c r="C90" s="283"/>
      <c r="D90" s="284"/>
      <c r="E90" s="285"/>
      <c r="F90" s="285"/>
      <c r="G90" s="285"/>
      <c r="H90" s="285"/>
      <c r="I90" s="285"/>
      <c r="J90" s="285"/>
      <c r="K90" s="285"/>
      <c r="L90" s="285"/>
      <c r="M90" s="285"/>
      <c r="N90" s="285"/>
      <c r="O90" s="285"/>
      <c r="P90" s="285"/>
      <c r="Q90" s="285"/>
      <c r="R90" s="285"/>
      <c r="S90" s="285"/>
      <c r="T90" s="285"/>
      <c r="U90" s="285"/>
      <c r="V90" s="285"/>
    </row>
    <row r="91" spans="2:22" ht="64.5" customHeight="1" x14ac:dyDescent="0.2">
      <c r="B91" s="711"/>
      <c r="C91" s="712"/>
      <c r="D91" s="712"/>
      <c r="E91" s="712"/>
      <c r="F91" s="712"/>
      <c r="G91" s="712"/>
      <c r="H91" s="712"/>
      <c r="I91" s="712"/>
      <c r="J91" s="712"/>
      <c r="K91" s="712"/>
      <c r="L91" s="712"/>
      <c r="M91" s="712"/>
      <c r="N91" s="712"/>
      <c r="O91" s="712"/>
      <c r="P91" s="713"/>
      <c r="Q91" s="281"/>
      <c r="R91" s="254"/>
      <c r="S91" s="254"/>
      <c r="T91" s="254"/>
      <c r="U91" s="230"/>
      <c r="V91" s="230"/>
    </row>
    <row r="92" spans="2:22" ht="9" customHeight="1" x14ac:dyDescent="0.2">
      <c r="B92" s="287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9"/>
      <c r="Q92" s="274"/>
      <c r="R92" s="274"/>
      <c r="S92" s="274"/>
      <c r="T92" s="274"/>
      <c r="U92" s="230"/>
      <c r="V92" s="230"/>
    </row>
    <row r="93" spans="2:22" ht="15" customHeight="1" x14ac:dyDescent="0.2">
      <c r="B93" s="290" t="s">
        <v>80</v>
      </c>
      <c r="C93" s="291"/>
      <c r="D93" s="292"/>
      <c r="E93" s="293"/>
      <c r="F93" s="293"/>
      <c r="G93" s="293"/>
      <c r="H93" s="293"/>
      <c r="I93" s="293"/>
      <c r="J93" s="293"/>
      <c r="K93" s="293"/>
      <c r="L93" s="293"/>
      <c r="M93" s="293"/>
      <c r="N93" s="293"/>
      <c r="O93" s="293"/>
      <c r="P93" s="294"/>
      <c r="Q93" s="230"/>
      <c r="R93" s="230"/>
      <c r="S93" s="230"/>
      <c r="T93" s="230"/>
      <c r="U93" s="230"/>
      <c r="V93" s="230"/>
    </row>
    <row r="94" spans="2:22" ht="21" customHeight="1" x14ac:dyDescent="0.2">
      <c r="B94" s="711"/>
      <c r="C94" s="712"/>
      <c r="D94" s="712"/>
      <c r="E94" s="712"/>
      <c r="F94" s="712"/>
      <c r="G94" s="712"/>
      <c r="H94" s="712"/>
      <c r="I94" s="712"/>
      <c r="J94" s="712"/>
      <c r="K94" s="712"/>
      <c r="L94" s="712"/>
      <c r="M94" s="712"/>
      <c r="N94" s="712"/>
      <c r="O94" s="712"/>
      <c r="P94" s="712"/>
      <c r="Q94" s="254"/>
      <c r="R94" s="254"/>
      <c r="S94" s="254"/>
      <c r="T94" s="254"/>
      <c r="U94" s="230"/>
      <c r="V94" s="230"/>
    </row>
    <row r="95" spans="2:22" ht="9" customHeight="1" x14ac:dyDescent="0.2">
      <c r="B95" s="229"/>
      <c r="C95" s="229"/>
      <c r="D95" s="229"/>
      <c r="E95" s="229"/>
      <c r="F95" s="229"/>
      <c r="G95" s="229"/>
      <c r="H95" s="229"/>
      <c r="I95" s="229"/>
      <c r="J95" s="229"/>
      <c r="K95" s="230"/>
      <c r="L95" s="230"/>
      <c r="M95" s="230"/>
      <c r="N95" s="230"/>
      <c r="O95" s="230"/>
      <c r="P95" s="230"/>
      <c r="Q95" s="230"/>
      <c r="R95" s="230"/>
      <c r="S95" s="230"/>
      <c r="T95" s="230"/>
      <c r="U95" s="230"/>
      <c r="V95" s="230"/>
    </row>
    <row r="96" spans="2:22" ht="9" customHeight="1" x14ac:dyDescent="0.2">
      <c r="B96" s="229"/>
      <c r="C96" s="229"/>
      <c r="D96" s="229"/>
      <c r="E96" s="229"/>
      <c r="F96" s="229"/>
      <c r="G96" s="229"/>
      <c r="H96" s="229"/>
      <c r="I96" s="229"/>
      <c r="J96" s="229"/>
      <c r="K96" s="229"/>
      <c r="L96" s="229"/>
      <c r="M96" s="229"/>
      <c r="N96" s="230"/>
      <c r="O96" s="230"/>
      <c r="P96" s="230"/>
      <c r="Q96" s="230"/>
      <c r="R96" s="230"/>
      <c r="S96" s="230"/>
      <c r="T96" s="230"/>
      <c r="U96" s="230"/>
      <c r="V96" s="230"/>
    </row>
    <row r="97" spans="2:22" ht="6.75" customHeight="1" x14ac:dyDescent="0.2">
      <c r="B97" s="295"/>
      <c r="C97" s="296"/>
      <c r="D97" s="296"/>
      <c r="E97" s="258"/>
      <c r="F97" s="258"/>
      <c r="G97" s="258"/>
      <c r="H97" s="258"/>
      <c r="I97" s="258"/>
      <c r="J97" s="258"/>
      <c r="K97" s="258"/>
      <c r="L97" s="258"/>
      <c r="M97" s="258"/>
      <c r="N97" s="297"/>
      <c r="O97" s="297"/>
      <c r="P97" s="297"/>
      <c r="Q97" s="297"/>
      <c r="R97" s="297"/>
      <c r="S97" s="297"/>
      <c r="T97" s="297"/>
      <c r="U97" s="229"/>
      <c r="V97" s="229"/>
    </row>
    <row r="98" spans="2:22" ht="15" customHeight="1" x14ac:dyDescent="0.2">
      <c r="B98" s="298" t="s">
        <v>188</v>
      </c>
      <c r="C98" s="296"/>
      <c r="D98" s="296"/>
      <c r="E98" s="258"/>
      <c r="F98" s="258"/>
      <c r="G98" s="258"/>
      <c r="H98" s="258"/>
      <c r="I98" s="258"/>
      <c r="J98" s="258"/>
      <c r="K98" s="258"/>
      <c r="L98" s="258"/>
      <c r="M98" s="258"/>
      <c r="N98" s="297"/>
      <c r="O98" s="297"/>
      <c r="P98" s="297"/>
      <c r="Q98" s="297"/>
      <c r="R98" s="297"/>
      <c r="S98" s="297"/>
      <c r="T98" s="297"/>
      <c r="U98" s="229"/>
      <c r="V98" s="229"/>
    </row>
    <row r="99" spans="2:22" ht="15" customHeight="1" x14ac:dyDescent="0.2">
      <c r="B99" s="296"/>
      <c r="C99" s="296"/>
      <c r="D99" s="296"/>
      <c r="E99" s="258"/>
      <c r="F99" s="258"/>
      <c r="G99" s="258"/>
      <c r="H99" s="258"/>
      <c r="I99" s="258"/>
      <c r="J99" s="258"/>
      <c r="K99" s="258"/>
      <c r="L99" s="258"/>
      <c r="M99" s="258"/>
      <c r="N99" s="297"/>
      <c r="O99" s="297"/>
      <c r="P99" s="297"/>
      <c r="Q99" s="297"/>
      <c r="R99" s="297"/>
      <c r="S99" s="297"/>
      <c r="T99" s="297"/>
      <c r="U99" s="229"/>
      <c r="V99" s="229"/>
    </row>
    <row r="100" spans="2:22" ht="15" customHeight="1" x14ac:dyDescent="0.2">
      <c r="B100" s="714" t="s">
        <v>81</v>
      </c>
      <c r="C100" s="715" t="s">
        <v>92</v>
      </c>
      <c r="D100" s="715"/>
      <c r="E100" s="716" t="s">
        <v>88</v>
      </c>
      <c r="F100" s="716"/>
      <c r="G100" s="716"/>
      <c r="H100" s="714" t="s">
        <v>93</v>
      </c>
      <c r="I100" s="714"/>
      <c r="J100" s="714"/>
      <c r="K100" s="717" t="s">
        <v>104</v>
      </c>
      <c r="L100" s="718"/>
      <c r="M100" s="721" t="s">
        <v>94</v>
      </c>
      <c r="N100" s="722"/>
      <c r="O100" s="722"/>
      <c r="P100" s="723"/>
      <c r="Q100" s="299"/>
      <c r="R100" s="300"/>
      <c r="S100" s="300"/>
      <c r="T100" s="300"/>
      <c r="U100" s="229"/>
      <c r="V100" s="229"/>
    </row>
    <row r="101" spans="2:22" ht="30" customHeight="1" x14ac:dyDescent="0.2">
      <c r="B101" s="714"/>
      <c r="C101" s="301" t="s">
        <v>67</v>
      </c>
      <c r="D101" s="301" t="s">
        <v>68</v>
      </c>
      <c r="E101" s="302" t="s">
        <v>175</v>
      </c>
      <c r="F101" s="260" t="s">
        <v>180</v>
      </c>
      <c r="G101" s="260" t="s">
        <v>181</v>
      </c>
      <c r="H101" s="302" t="s">
        <v>89</v>
      </c>
      <c r="I101" s="302" t="s">
        <v>90</v>
      </c>
      <c r="J101" s="302" t="s">
        <v>91</v>
      </c>
      <c r="K101" s="719"/>
      <c r="L101" s="720"/>
      <c r="M101" s="724"/>
      <c r="N101" s="725"/>
      <c r="O101" s="725"/>
      <c r="P101" s="726"/>
      <c r="Q101" s="299"/>
      <c r="R101" s="300"/>
      <c r="S101" s="300"/>
      <c r="T101" s="300"/>
      <c r="U101" s="229"/>
      <c r="V101" s="229"/>
    </row>
    <row r="102" spans="2:22" ht="15" customHeight="1" x14ac:dyDescent="0.2">
      <c r="B102" s="303" t="s">
        <v>82</v>
      </c>
      <c r="C102" s="301"/>
      <c r="D102" s="301"/>
      <c r="E102" s="260"/>
      <c r="F102" s="260"/>
      <c r="G102" s="260"/>
      <c r="H102" s="260"/>
      <c r="I102" s="260"/>
      <c r="J102" s="260"/>
      <c r="K102" s="711"/>
      <c r="L102" s="713"/>
      <c r="M102" s="711"/>
      <c r="N102" s="712"/>
      <c r="O102" s="712"/>
      <c r="P102" s="713"/>
      <c r="Q102" s="299"/>
      <c r="R102" s="300"/>
      <c r="S102" s="300"/>
      <c r="T102" s="300"/>
      <c r="U102" s="229"/>
      <c r="V102" s="229"/>
    </row>
    <row r="103" spans="2:22" ht="15" customHeight="1" x14ac:dyDescent="0.2">
      <c r="B103" s="303" t="s">
        <v>83</v>
      </c>
      <c r="C103" s="301"/>
      <c r="D103" s="301"/>
      <c r="E103" s="260"/>
      <c r="F103" s="260"/>
      <c r="G103" s="260"/>
      <c r="H103" s="260"/>
      <c r="I103" s="260"/>
      <c r="J103" s="260"/>
      <c r="K103" s="711"/>
      <c r="L103" s="713"/>
      <c r="M103" s="711"/>
      <c r="N103" s="712"/>
      <c r="O103" s="712"/>
      <c r="P103" s="713"/>
      <c r="Q103" s="299"/>
      <c r="R103" s="300"/>
      <c r="S103" s="300"/>
      <c r="T103" s="300"/>
      <c r="U103" s="229"/>
      <c r="V103" s="229"/>
    </row>
    <row r="104" spans="2:22" ht="15" customHeight="1" x14ac:dyDescent="0.2">
      <c r="B104" s="303" t="s">
        <v>84</v>
      </c>
      <c r="C104" s="301"/>
      <c r="D104" s="301"/>
      <c r="E104" s="260"/>
      <c r="F104" s="260"/>
      <c r="G104" s="260"/>
      <c r="H104" s="260"/>
      <c r="I104" s="260"/>
      <c r="J104" s="260"/>
      <c r="K104" s="711"/>
      <c r="L104" s="713"/>
      <c r="M104" s="711"/>
      <c r="N104" s="712"/>
      <c r="O104" s="712"/>
      <c r="P104" s="713"/>
      <c r="Q104" s="299"/>
      <c r="R104" s="300"/>
      <c r="S104" s="300"/>
      <c r="T104" s="300"/>
      <c r="U104" s="229"/>
      <c r="V104" s="229"/>
    </row>
    <row r="105" spans="2:22" ht="15" customHeight="1" x14ac:dyDescent="0.2">
      <c r="B105" s="303" t="s">
        <v>85</v>
      </c>
      <c r="C105" s="301"/>
      <c r="D105" s="301"/>
      <c r="E105" s="260"/>
      <c r="F105" s="260"/>
      <c r="G105" s="260"/>
      <c r="H105" s="260"/>
      <c r="I105" s="260"/>
      <c r="J105" s="260"/>
      <c r="K105" s="711"/>
      <c r="L105" s="713"/>
      <c r="M105" s="711"/>
      <c r="N105" s="712"/>
      <c r="O105" s="712"/>
      <c r="P105" s="713"/>
      <c r="Q105" s="299"/>
      <c r="R105" s="300"/>
      <c r="S105" s="300"/>
      <c r="T105" s="300"/>
      <c r="U105" s="229"/>
      <c r="V105" s="229"/>
    </row>
    <row r="106" spans="2:22" ht="15" customHeight="1" x14ac:dyDescent="0.2">
      <c r="B106" s="303" t="s">
        <v>86</v>
      </c>
      <c r="C106" s="301"/>
      <c r="D106" s="301"/>
      <c r="E106" s="260"/>
      <c r="F106" s="260"/>
      <c r="G106" s="260"/>
      <c r="H106" s="260"/>
      <c r="I106" s="260"/>
      <c r="J106" s="260"/>
      <c r="K106" s="711"/>
      <c r="L106" s="713"/>
      <c r="M106" s="711"/>
      <c r="N106" s="712"/>
      <c r="O106" s="712"/>
      <c r="P106" s="713"/>
      <c r="Q106" s="299"/>
      <c r="R106" s="300"/>
      <c r="S106" s="300"/>
      <c r="T106" s="300"/>
      <c r="U106" s="229"/>
      <c r="V106" s="229"/>
    </row>
    <row r="107" spans="2:22" ht="15" customHeight="1" x14ac:dyDescent="0.2">
      <c r="B107" s="303" t="s">
        <v>87</v>
      </c>
      <c r="C107" s="301"/>
      <c r="D107" s="301"/>
      <c r="E107" s="260"/>
      <c r="F107" s="260"/>
      <c r="G107" s="260"/>
      <c r="H107" s="260"/>
      <c r="I107" s="260"/>
      <c r="J107" s="260"/>
      <c r="K107" s="711"/>
      <c r="L107" s="713"/>
      <c r="M107" s="711"/>
      <c r="N107" s="712"/>
      <c r="O107" s="712"/>
      <c r="P107" s="713"/>
      <c r="Q107" s="299"/>
      <c r="R107" s="300"/>
      <c r="S107" s="300"/>
      <c r="T107" s="300"/>
      <c r="U107" s="229"/>
      <c r="V107" s="229"/>
    </row>
    <row r="108" spans="2:22" ht="15" customHeight="1" x14ac:dyDescent="0.2">
      <c r="B108" s="295"/>
      <c r="C108" s="296"/>
      <c r="D108" s="296"/>
      <c r="E108" s="258"/>
      <c r="F108" s="258"/>
      <c r="G108" s="258"/>
      <c r="H108" s="258"/>
      <c r="I108" s="258"/>
      <c r="J108" s="258"/>
      <c r="K108" s="258"/>
      <c r="L108" s="258"/>
      <c r="M108" s="258"/>
      <c r="N108" s="297"/>
      <c r="O108" s="297"/>
      <c r="P108" s="297"/>
      <c r="Q108" s="297"/>
      <c r="R108" s="297"/>
      <c r="S108" s="297"/>
      <c r="T108" s="297"/>
      <c r="U108" s="229"/>
      <c r="V108" s="229"/>
    </row>
    <row r="109" spans="2:22" ht="15" customHeight="1" x14ac:dyDescent="0.25">
      <c r="B109" s="701" t="s">
        <v>96</v>
      </c>
      <c r="C109" s="701"/>
      <c r="D109" s="701"/>
      <c r="E109" s="701"/>
      <c r="F109" s="701"/>
      <c r="G109" s="701"/>
      <c r="H109" s="701"/>
      <c r="I109" s="701"/>
      <c r="J109" s="701"/>
      <c r="K109" s="701"/>
      <c r="L109" s="701"/>
      <c r="M109" s="701"/>
      <c r="N109" s="701"/>
      <c r="O109" s="701"/>
      <c r="P109" s="701"/>
      <c r="Q109" s="701"/>
      <c r="R109" s="228"/>
      <c r="S109" s="228"/>
      <c r="T109" s="304"/>
      <c r="U109" s="229"/>
      <c r="V109" s="229"/>
    </row>
    <row r="110" spans="2:22" s="286" customFormat="1" ht="15" customHeight="1" x14ac:dyDescent="0.2">
      <c r="B110" s="239" t="s">
        <v>97</v>
      </c>
    </row>
    <row r="111" spans="2:22" ht="15" customHeight="1" x14ac:dyDescent="0.2">
      <c r="B111" s="727" t="s">
        <v>203</v>
      </c>
      <c r="C111" s="727"/>
      <c r="D111" s="727"/>
      <c r="E111" s="727"/>
      <c r="F111" s="727"/>
      <c r="G111" s="727"/>
      <c r="H111" s="727"/>
      <c r="I111" s="728" t="s">
        <v>95</v>
      </c>
      <c r="J111" s="728"/>
      <c r="K111" s="728" t="s">
        <v>11</v>
      </c>
      <c r="L111" s="728"/>
      <c r="M111" s="305" t="s">
        <v>204</v>
      </c>
      <c r="N111" s="715" t="s">
        <v>205</v>
      </c>
      <c r="O111" s="715"/>
      <c r="P111" s="715"/>
      <c r="Q111" s="240"/>
      <c r="R111" s="230"/>
      <c r="S111" s="230"/>
      <c r="T111" s="230"/>
      <c r="U111" s="229"/>
    </row>
    <row r="112" spans="2:22" ht="15" customHeight="1" x14ac:dyDescent="0.2">
      <c r="B112" s="729"/>
      <c r="C112" s="729"/>
      <c r="D112" s="729"/>
      <c r="E112" s="729"/>
      <c r="F112" s="729"/>
      <c r="G112" s="729"/>
      <c r="H112" s="729"/>
      <c r="I112" s="728"/>
      <c r="J112" s="728"/>
      <c r="K112" s="688"/>
      <c r="L112" s="690"/>
      <c r="M112" s="306"/>
      <c r="N112" s="688"/>
      <c r="O112" s="689"/>
      <c r="P112" s="689"/>
      <c r="Q112" s="240"/>
      <c r="R112" s="230"/>
      <c r="S112" s="230"/>
      <c r="T112" s="230"/>
      <c r="U112" s="229"/>
    </row>
    <row r="113" spans="2:21" ht="15" customHeight="1" x14ac:dyDescent="0.2">
      <c r="B113" s="729"/>
      <c r="C113" s="729"/>
      <c r="D113" s="729"/>
      <c r="E113" s="729"/>
      <c r="F113" s="729"/>
      <c r="G113" s="729"/>
      <c r="H113" s="729"/>
      <c r="I113" s="728"/>
      <c r="J113" s="728"/>
      <c r="K113" s="688"/>
      <c r="L113" s="690"/>
      <c r="M113" s="241"/>
      <c r="N113" s="688"/>
      <c r="O113" s="689"/>
      <c r="P113" s="689"/>
      <c r="Q113" s="240"/>
      <c r="R113" s="230"/>
      <c r="S113" s="230"/>
      <c r="T113" s="230"/>
      <c r="U113" s="229"/>
    </row>
    <row r="114" spans="2:21" ht="15" customHeight="1" x14ac:dyDescent="0.2">
      <c r="B114" s="729"/>
      <c r="C114" s="729"/>
      <c r="D114" s="729"/>
      <c r="E114" s="729"/>
      <c r="F114" s="729"/>
      <c r="G114" s="729"/>
      <c r="H114" s="729"/>
      <c r="I114" s="728"/>
      <c r="J114" s="728"/>
      <c r="K114" s="688"/>
      <c r="L114" s="690"/>
      <c r="M114" s="241"/>
      <c r="N114" s="688"/>
      <c r="O114" s="689"/>
      <c r="P114" s="689"/>
      <c r="Q114" s="240"/>
      <c r="R114" s="230"/>
      <c r="S114" s="230"/>
      <c r="T114" s="230"/>
      <c r="U114" s="229"/>
    </row>
    <row r="115" spans="2:21" ht="15" customHeight="1" x14ac:dyDescent="0.2">
      <c r="B115" s="729"/>
      <c r="C115" s="729"/>
      <c r="D115" s="729"/>
      <c r="E115" s="729"/>
      <c r="F115" s="729"/>
      <c r="G115" s="729"/>
      <c r="H115" s="729"/>
      <c r="I115" s="728"/>
      <c r="J115" s="728"/>
      <c r="K115" s="688"/>
      <c r="L115" s="690"/>
      <c r="M115" s="241"/>
      <c r="N115" s="688"/>
      <c r="O115" s="689"/>
      <c r="P115" s="689"/>
      <c r="Q115" s="240"/>
      <c r="R115" s="230"/>
      <c r="S115" s="230"/>
      <c r="T115" s="230"/>
      <c r="U115" s="229"/>
    </row>
    <row r="116" spans="2:21" ht="15" customHeight="1" x14ac:dyDescent="0.2">
      <c r="B116" s="307"/>
      <c r="C116" s="307"/>
      <c r="D116" s="307"/>
      <c r="E116" s="307"/>
      <c r="F116" s="307"/>
      <c r="G116" s="307"/>
      <c r="H116" s="307"/>
      <c r="I116" s="308"/>
      <c r="J116" s="308"/>
      <c r="L116" s="309"/>
      <c r="M116" s="309"/>
      <c r="N116" s="309"/>
      <c r="O116" s="309"/>
      <c r="P116" s="309"/>
      <c r="Q116" s="309"/>
      <c r="R116" s="309"/>
      <c r="S116" s="310"/>
      <c r="T116" s="310"/>
      <c r="U116" s="229"/>
    </row>
    <row r="117" spans="2:21" ht="15" customHeight="1" x14ac:dyDescent="0.2">
      <c r="B117" s="309"/>
      <c r="C117" s="309"/>
      <c r="D117" s="309"/>
      <c r="E117" s="309"/>
      <c r="F117" s="309"/>
      <c r="G117" s="309"/>
      <c r="H117" s="309"/>
      <c r="I117" s="310"/>
      <c r="J117" s="310"/>
      <c r="L117" s="309"/>
      <c r="M117" s="309"/>
      <c r="N117" s="309"/>
      <c r="O117" s="309"/>
      <c r="P117" s="309"/>
      <c r="Q117" s="309"/>
      <c r="R117" s="309"/>
      <c r="S117" s="310"/>
      <c r="T117" s="310"/>
      <c r="U117" s="229"/>
    </row>
    <row r="118" spans="2:21" ht="15" customHeight="1" x14ac:dyDescent="0.2">
      <c r="B118" s="727" t="s">
        <v>206</v>
      </c>
      <c r="C118" s="727"/>
      <c r="D118" s="727"/>
      <c r="E118" s="727"/>
      <c r="F118" s="727"/>
      <c r="G118" s="727"/>
      <c r="H118" s="727"/>
      <c r="I118" s="728" t="s">
        <v>95</v>
      </c>
      <c r="J118" s="728"/>
      <c r="K118" s="730" t="s">
        <v>11</v>
      </c>
      <c r="L118" s="731"/>
      <c r="M118" s="305" t="s">
        <v>204</v>
      </c>
      <c r="N118" s="688" t="s">
        <v>205</v>
      </c>
      <c r="O118" s="689"/>
      <c r="P118" s="690"/>
      <c r="Q118" s="240"/>
      <c r="R118" s="230"/>
      <c r="S118" s="230"/>
      <c r="T118" s="230"/>
      <c r="U118" s="229"/>
    </row>
    <row r="119" spans="2:21" ht="15" customHeight="1" x14ac:dyDescent="0.2">
      <c r="B119" s="729"/>
      <c r="C119" s="729"/>
      <c r="D119" s="729"/>
      <c r="E119" s="729"/>
      <c r="F119" s="729"/>
      <c r="G119" s="729"/>
      <c r="H119" s="729"/>
      <c r="I119" s="728"/>
      <c r="J119" s="728"/>
      <c r="K119" s="688"/>
      <c r="L119" s="690"/>
      <c r="M119" s="306"/>
      <c r="N119" s="715"/>
      <c r="O119" s="715"/>
      <c r="P119" s="715"/>
      <c r="Q119" s="240"/>
      <c r="R119" s="230"/>
      <c r="S119" s="230"/>
      <c r="T119" s="230"/>
      <c r="U119" s="229"/>
    </row>
    <row r="120" spans="2:21" ht="15" customHeight="1" x14ac:dyDescent="0.2">
      <c r="B120" s="729"/>
      <c r="C120" s="729"/>
      <c r="D120" s="729"/>
      <c r="E120" s="729"/>
      <c r="F120" s="729"/>
      <c r="G120" s="729"/>
      <c r="H120" s="729"/>
      <c r="I120" s="728"/>
      <c r="J120" s="728"/>
      <c r="K120" s="688"/>
      <c r="L120" s="690"/>
      <c r="M120" s="306"/>
      <c r="N120" s="715"/>
      <c r="O120" s="715"/>
      <c r="P120" s="715"/>
      <c r="Q120" s="240"/>
      <c r="R120" s="230"/>
      <c r="S120" s="230"/>
      <c r="T120" s="230"/>
      <c r="U120" s="229"/>
    </row>
    <row r="121" spans="2:21" ht="15" customHeight="1" x14ac:dyDescent="0.2">
      <c r="B121" s="729"/>
      <c r="C121" s="729"/>
      <c r="D121" s="729"/>
      <c r="E121" s="729"/>
      <c r="F121" s="729"/>
      <c r="G121" s="729"/>
      <c r="H121" s="729"/>
      <c r="I121" s="728"/>
      <c r="J121" s="728"/>
      <c r="K121" s="688"/>
      <c r="L121" s="690"/>
      <c r="M121" s="306"/>
      <c r="N121" s="715"/>
      <c r="O121" s="715"/>
      <c r="P121" s="715"/>
      <c r="Q121" s="240"/>
      <c r="R121" s="230"/>
      <c r="S121" s="230"/>
      <c r="T121" s="230"/>
      <c r="U121" s="229"/>
    </row>
    <row r="122" spans="2:21" ht="15" customHeight="1" x14ac:dyDescent="0.2">
      <c r="B122" s="729"/>
      <c r="C122" s="729"/>
      <c r="D122" s="729"/>
      <c r="E122" s="729"/>
      <c r="F122" s="729"/>
      <c r="G122" s="729"/>
      <c r="H122" s="729"/>
      <c r="I122" s="728"/>
      <c r="J122" s="728"/>
      <c r="K122" s="688"/>
      <c r="L122" s="690"/>
      <c r="M122" s="306"/>
      <c r="N122" s="715"/>
      <c r="O122" s="715"/>
      <c r="P122" s="715"/>
      <c r="Q122" s="240"/>
      <c r="R122" s="230"/>
      <c r="S122" s="230"/>
      <c r="T122" s="230"/>
      <c r="U122" s="229"/>
    </row>
    <row r="123" spans="2:21" ht="15" customHeight="1" x14ac:dyDescent="0.2">
      <c r="B123" s="309"/>
      <c r="C123" s="309"/>
      <c r="D123" s="309"/>
      <c r="E123" s="309"/>
      <c r="F123" s="309"/>
      <c r="G123" s="309"/>
      <c r="H123" s="309"/>
      <c r="I123" s="310"/>
      <c r="J123" s="310"/>
      <c r="L123" s="309"/>
      <c r="M123" s="309"/>
      <c r="N123" s="309"/>
      <c r="O123" s="309"/>
      <c r="P123" s="309"/>
      <c r="Q123" s="309"/>
      <c r="R123" s="309"/>
      <c r="S123" s="310"/>
      <c r="T123" s="310"/>
      <c r="U123" s="229"/>
    </row>
    <row r="124" spans="2:21" ht="15" customHeight="1" x14ac:dyDescent="0.2">
      <c r="B124" s="239" t="s">
        <v>207</v>
      </c>
      <c r="C124" s="309"/>
      <c r="D124" s="309"/>
      <c r="E124" s="309"/>
      <c r="F124" s="309"/>
      <c r="G124" s="309"/>
      <c r="H124" s="309"/>
      <c r="I124" s="310"/>
      <c r="J124" s="310"/>
      <c r="L124" s="309"/>
      <c r="M124" s="309"/>
      <c r="N124" s="309"/>
      <c r="O124" s="309"/>
      <c r="P124" s="309"/>
      <c r="Q124" s="309"/>
      <c r="R124" s="309"/>
      <c r="S124" s="310"/>
      <c r="T124" s="310"/>
      <c r="U124" s="229"/>
    </row>
    <row r="125" spans="2:21" ht="15" customHeight="1" x14ac:dyDescent="0.2">
      <c r="B125" s="727" t="s">
        <v>208</v>
      </c>
      <c r="C125" s="727"/>
      <c r="D125" s="727"/>
      <c r="E125" s="727"/>
      <c r="F125" s="727"/>
      <c r="G125" s="727"/>
      <c r="H125" s="727"/>
      <c r="I125" s="730" t="s">
        <v>209</v>
      </c>
      <c r="J125" s="732"/>
      <c r="K125" s="732"/>
      <c r="L125" s="728" t="s">
        <v>210</v>
      </c>
      <c r="M125" s="728"/>
      <c r="N125" s="728"/>
      <c r="O125" s="728" t="s">
        <v>211</v>
      </c>
      <c r="P125" s="728"/>
      <c r="Q125" s="311"/>
      <c r="R125" s="285"/>
      <c r="S125" s="285"/>
      <c r="T125" s="285"/>
      <c r="U125" s="229"/>
    </row>
    <row r="126" spans="2:21" ht="15" customHeight="1" x14ac:dyDescent="0.2">
      <c r="B126" s="312" t="s">
        <v>2123</v>
      </c>
      <c r="C126" s="313"/>
      <c r="D126" s="313"/>
      <c r="E126" s="313"/>
      <c r="F126" s="313"/>
      <c r="G126" s="313"/>
      <c r="H126" s="314"/>
      <c r="I126" s="315" t="s">
        <v>2375</v>
      </c>
      <c r="J126" s="316"/>
      <c r="K126" s="317"/>
      <c r="L126" s="728"/>
      <c r="M126" s="728"/>
      <c r="N126" s="728"/>
      <c r="O126" s="727"/>
      <c r="P126" s="727"/>
      <c r="Q126" s="733"/>
      <c r="R126" s="734"/>
      <c r="S126" s="734"/>
      <c r="T126" s="734"/>
      <c r="U126" s="229"/>
    </row>
    <row r="127" spans="2:21" ht="15" customHeight="1" x14ac:dyDescent="0.2">
      <c r="B127" s="312" t="s">
        <v>2126</v>
      </c>
      <c r="C127" s="313"/>
      <c r="D127" s="313"/>
      <c r="E127" s="313"/>
      <c r="F127" s="313"/>
      <c r="G127" s="313"/>
      <c r="H127" s="314"/>
      <c r="I127" s="315" t="s">
        <v>2376</v>
      </c>
      <c r="J127" s="316"/>
      <c r="K127" s="317"/>
      <c r="L127" s="728"/>
      <c r="M127" s="728"/>
      <c r="N127" s="728"/>
      <c r="O127" s="727"/>
      <c r="P127" s="727"/>
      <c r="Q127" s="733"/>
      <c r="R127" s="734"/>
      <c r="S127" s="734"/>
      <c r="T127" s="734"/>
      <c r="U127" s="229"/>
    </row>
    <row r="128" spans="2:21" ht="15" customHeight="1" x14ac:dyDescent="0.2">
      <c r="B128" s="312" t="s">
        <v>2116</v>
      </c>
      <c r="C128" s="313"/>
      <c r="D128" s="313"/>
      <c r="E128" s="313"/>
      <c r="F128" s="313"/>
      <c r="G128" s="313"/>
      <c r="H128" s="314"/>
      <c r="I128" s="315" t="s">
        <v>2377</v>
      </c>
      <c r="J128" s="316"/>
      <c r="K128" s="317"/>
      <c r="L128" s="728"/>
      <c r="M128" s="728"/>
      <c r="N128" s="728"/>
      <c r="O128" s="727"/>
      <c r="P128" s="727"/>
      <c r="Q128" s="733"/>
      <c r="R128" s="734"/>
      <c r="S128" s="734"/>
      <c r="T128" s="734"/>
      <c r="U128" s="229"/>
    </row>
    <row r="129" spans="2:22" ht="15" customHeight="1" x14ac:dyDescent="0.2">
      <c r="B129" s="312" t="s">
        <v>2127</v>
      </c>
      <c r="C129" s="313"/>
      <c r="D129" s="313"/>
      <c r="E129" s="313"/>
      <c r="F129" s="313"/>
      <c r="G129" s="313"/>
      <c r="H129" s="314"/>
      <c r="I129" s="315" t="s">
        <v>2378</v>
      </c>
      <c r="J129" s="316"/>
      <c r="K129" s="317"/>
      <c r="L129" s="728"/>
      <c r="M129" s="728"/>
      <c r="N129" s="728"/>
      <c r="O129" s="727"/>
      <c r="P129" s="727"/>
      <c r="Q129" s="733"/>
      <c r="R129" s="734"/>
      <c r="S129" s="734"/>
      <c r="T129" s="734"/>
      <c r="U129" s="229"/>
    </row>
    <row r="130" spans="2:22" ht="15" customHeight="1" x14ac:dyDescent="0.2">
      <c r="B130" s="312" t="s">
        <v>2124</v>
      </c>
      <c r="C130" s="313"/>
      <c r="D130" s="313"/>
      <c r="E130" s="313"/>
      <c r="F130" s="313"/>
      <c r="G130" s="313"/>
      <c r="H130" s="314"/>
      <c r="I130" s="728"/>
      <c r="J130" s="728"/>
      <c r="K130" s="728"/>
      <c r="L130" s="728"/>
      <c r="M130" s="728"/>
      <c r="N130" s="728"/>
      <c r="O130" s="727"/>
      <c r="P130" s="727"/>
      <c r="Q130" s="733"/>
      <c r="R130" s="734"/>
      <c r="S130" s="734"/>
      <c r="T130" s="734"/>
      <c r="U130" s="229"/>
    </row>
    <row r="131" spans="2:22" ht="15" customHeight="1" x14ac:dyDescent="0.2">
      <c r="B131" s="318" t="s">
        <v>2125</v>
      </c>
      <c r="C131" s="319"/>
      <c r="D131" s="319"/>
      <c r="E131" s="319"/>
      <c r="F131" s="319"/>
      <c r="G131" s="319"/>
      <c r="H131" s="320"/>
      <c r="I131" s="728"/>
      <c r="J131" s="728"/>
      <c r="K131" s="728"/>
      <c r="L131" s="728"/>
      <c r="M131" s="728"/>
      <c r="N131" s="728"/>
      <c r="O131" s="727"/>
      <c r="P131" s="727"/>
      <c r="Q131" s="321"/>
      <c r="R131" s="321"/>
      <c r="S131" s="321"/>
      <c r="T131" s="321"/>
      <c r="U131" s="229"/>
    </row>
    <row r="132" spans="2:22" ht="15" customHeight="1" x14ac:dyDescent="0.2">
      <c r="B132" s="738"/>
      <c r="C132" s="739"/>
      <c r="D132" s="739"/>
      <c r="E132" s="739"/>
      <c r="F132" s="739"/>
      <c r="G132" s="739"/>
      <c r="H132" s="740"/>
      <c r="I132" s="728"/>
      <c r="J132" s="728"/>
      <c r="K132" s="728"/>
      <c r="L132" s="728"/>
      <c r="M132" s="728"/>
      <c r="N132" s="728"/>
      <c r="O132" s="727"/>
      <c r="P132" s="727"/>
      <c r="Q132" s="321"/>
      <c r="R132" s="321"/>
      <c r="S132" s="321"/>
      <c r="T132" s="321"/>
      <c r="U132" s="229"/>
    </row>
    <row r="133" spans="2:22" ht="15" customHeight="1" x14ac:dyDescent="0.2">
      <c r="B133" s="738"/>
      <c r="C133" s="739"/>
      <c r="D133" s="739"/>
      <c r="E133" s="739"/>
      <c r="F133" s="739"/>
      <c r="G133" s="739"/>
      <c r="H133" s="740"/>
      <c r="I133" s="728"/>
      <c r="J133" s="728"/>
      <c r="K133" s="728"/>
      <c r="L133" s="728"/>
      <c r="M133" s="728"/>
      <c r="N133" s="728"/>
      <c r="O133" s="727"/>
      <c r="P133" s="727"/>
      <c r="Q133" s="309"/>
      <c r="R133" s="309"/>
      <c r="S133" s="310"/>
      <c r="T133" s="310"/>
      <c r="U133" s="229"/>
    </row>
    <row r="134" spans="2:22" ht="15" customHeight="1" x14ac:dyDescent="0.2">
      <c r="B134" s="734"/>
      <c r="C134" s="734"/>
      <c r="D134" s="734"/>
      <c r="E134" s="734"/>
      <c r="F134" s="734"/>
      <c r="G134" s="734"/>
      <c r="H134" s="734"/>
      <c r="I134" s="735"/>
      <c r="J134" s="735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229"/>
      <c r="V134" s="229"/>
    </row>
    <row r="135" spans="2:22" ht="15" customHeight="1" x14ac:dyDescent="0.2">
      <c r="B135" s="239" t="s">
        <v>212</v>
      </c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86"/>
      <c r="R135" s="286"/>
      <c r="S135" s="286"/>
      <c r="T135" s="286"/>
      <c r="U135" s="229"/>
      <c r="V135" s="229"/>
    </row>
    <row r="136" spans="2:22" ht="31.5" customHeight="1" x14ac:dyDescent="0.2">
      <c r="B136" s="727"/>
      <c r="C136" s="727"/>
      <c r="D136" s="727"/>
      <c r="E136" s="727"/>
      <c r="F136" s="727"/>
      <c r="G136" s="727"/>
      <c r="H136" s="727"/>
      <c r="I136" s="727"/>
      <c r="J136" s="727"/>
      <c r="K136" s="727"/>
      <c r="L136" s="727"/>
      <c r="M136" s="727"/>
      <c r="N136" s="727"/>
      <c r="O136" s="727"/>
      <c r="P136" s="727"/>
      <c r="Q136" s="323"/>
      <c r="R136" s="285"/>
      <c r="S136" s="285"/>
      <c r="T136" s="285"/>
      <c r="U136" s="229"/>
      <c r="V136" s="229"/>
    </row>
    <row r="137" spans="2:22" ht="31.5" customHeight="1" x14ac:dyDescent="0.2">
      <c r="B137" s="324" t="s">
        <v>213</v>
      </c>
      <c r="C137" s="325"/>
      <c r="D137" s="325"/>
      <c r="E137" s="325"/>
      <c r="F137" s="325"/>
      <c r="G137" s="325"/>
      <c r="H137" s="325"/>
      <c r="I137" s="325"/>
      <c r="J137" s="325"/>
      <c r="K137" s="325"/>
      <c r="L137" s="325"/>
      <c r="M137" s="325"/>
      <c r="N137" s="325"/>
      <c r="O137" s="325"/>
      <c r="P137" s="325"/>
      <c r="Q137" s="322"/>
      <c r="R137" s="322"/>
      <c r="S137" s="322"/>
      <c r="T137" s="322"/>
      <c r="U137" s="229"/>
      <c r="V137" s="229"/>
    </row>
    <row r="138" spans="2:22" ht="15" customHeight="1" x14ac:dyDescent="0.2">
      <c r="B138" s="727" t="s">
        <v>214</v>
      </c>
      <c r="C138" s="727"/>
      <c r="D138" s="727"/>
      <c r="E138" s="727"/>
      <c r="F138" s="727"/>
      <c r="G138" s="727"/>
      <c r="H138" s="727"/>
      <c r="I138" s="736" t="s">
        <v>95</v>
      </c>
      <c r="J138" s="736"/>
      <c r="K138" s="736" t="s">
        <v>11</v>
      </c>
      <c r="L138" s="736"/>
      <c r="M138" s="326" t="s">
        <v>215</v>
      </c>
      <c r="N138" s="737" t="s">
        <v>216</v>
      </c>
      <c r="O138" s="737"/>
      <c r="P138" s="737"/>
      <c r="Q138" s="230"/>
      <c r="R138" s="230"/>
      <c r="S138" s="230"/>
      <c r="T138" s="230"/>
      <c r="U138" s="229"/>
      <c r="V138" s="229"/>
    </row>
    <row r="139" spans="2:22" ht="33" customHeight="1" x14ac:dyDescent="0.2">
      <c r="B139" s="729"/>
      <c r="C139" s="729"/>
      <c r="D139" s="729"/>
      <c r="E139" s="729"/>
      <c r="F139" s="729"/>
      <c r="G139" s="729"/>
      <c r="H139" s="729"/>
      <c r="I139" s="728"/>
      <c r="J139" s="728"/>
      <c r="K139" s="688"/>
      <c r="L139" s="690"/>
      <c r="M139" s="306"/>
      <c r="N139" s="715"/>
      <c r="O139" s="715"/>
      <c r="P139" s="715"/>
      <c r="Q139" s="230"/>
      <c r="R139" s="230"/>
      <c r="S139" s="230"/>
      <c r="T139" s="230"/>
      <c r="U139" s="229"/>
      <c r="V139" s="229"/>
    </row>
    <row r="140" spans="2:22" ht="15" customHeight="1" x14ac:dyDescent="0.2">
      <c r="B140" s="309"/>
      <c r="C140" s="309"/>
      <c r="D140" s="309"/>
      <c r="E140" s="309"/>
      <c r="F140" s="309"/>
      <c r="G140" s="309"/>
      <c r="H140" s="309"/>
      <c r="I140" s="310"/>
      <c r="J140" s="310"/>
      <c r="K140" s="225"/>
      <c r="L140" s="225"/>
      <c r="M140" s="225"/>
      <c r="N140" s="225"/>
      <c r="O140" s="225"/>
      <c r="P140" s="225"/>
      <c r="Q140" s="225"/>
      <c r="R140" s="225"/>
      <c r="S140" s="225"/>
      <c r="T140" s="225"/>
      <c r="U140" s="229"/>
      <c r="V140" s="229"/>
    </row>
    <row r="141" spans="2:22" ht="15" customHeight="1" x14ac:dyDescent="0.2">
      <c r="B141" s="324" t="s">
        <v>217</v>
      </c>
      <c r="C141" s="325"/>
      <c r="D141" s="325"/>
      <c r="E141" s="325"/>
      <c r="F141" s="325"/>
      <c r="G141" s="325"/>
      <c r="H141" s="325"/>
      <c r="I141" s="325"/>
      <c r="J141" s="325"/>
      <c r="K141" s="325"/>
      <c r="L141" s="325"/>
      <c r="M141" s="325"/>
      <c r="N141" s="325"/>
      <c r="O141" s="325"/>
      <c r="P141" s="325"/>
      <c r="Q141" s="322"/>
      <c r="R141" s="322"/>
      <c r="S141" s="322"/>
      <c r="T141" s="322"/>
      <c r="U141" s="229"/>
      <c r="V141" s="229"/>
    </row>
    <row r="142" spans="2:22" ht="15" customHeight="1" x14ac:dyDescent="0.2">
      <c r="B142" s="727" t="s">
        <v>218</v>
      </c>
      <c r="C142" s="727"/>
      <c r="D142" s="727"/>
      <c r="E142" s="727"/>
      <c r="F142" s="727"/>
      <c r="G142" s="727"/>
      <c r="H142" s="727"/>
      <c r="I142" s="736" t="s">
        <v>95</v>
      </c>
      <c r="J142" s="736"/>
      <c r="K142" s="736" t="s">
        <v>11</v>
      </c>
      <c r="L142" s="736"/>
      <c r="M142" s="326" t="s">
        <v>215</v>
      </c>
      <c r="N142" s="737" t="s">
        <v>216</v>
      </c>
      <c r="O142" s="737"/>
      <c r="P142" s="737"/>
      <c r="Q142" s="230"/>
      <c r="R142" s="230"/>
      <c r="S142" s="230"/>
      <c r="T142" s="230"/>
      <c r="U142" s="229"/>
      <c r="V142" s="229"/>
    </row>
    <row r="143" spans="2:22" ht="15" customHeight="1" x14ac:dyDescent="0.2">
      <c r="B143" s="729"/>
      <c r="C143" s="729"/>
      <c r="D143" s="729"/>
      <c r="E143" s="729"/>
      <c r="F143" s="729"/>
      <c r="G143" s="729"/>
      <c r="H143" s="729"/>
      <c r="I143" s="728"/>
      <c r="J143" s="728"/>
      <c r="K143" s="688"/>
      <c r="L143" s="690"/>
      <c r="M143" s="306"/>
      <c r="N143" s="715"/>
      <c r="O143" s="715"/>
      <c r="P143" s="715"/>
      <c r="Q143" s="230"/>
      <c r="R143" s="230"/>
      <c r="S143" s="230"/>
      <c r="T143" s="230"/>
      <c r="U143" s="229"/>
      <c r="V143" s="229"/>
    </row>
    <row r="144" spans="2:22" ht="15" customHeight="1" x14ac:dyDescent="0.2">
      <c r="B144" s="729"/>
      <c r="C144" s="729"/>
      <c r="D144" s="729"/>
      <c r="E144" s="729"/>
      <c r="F144" s="729"/>
      <c r="G144" s="729"/>
      <c r="H144" s="729"/>
      <c r="I144" s="728"/>
      <c r="J144" s="728"/>
      <c r="K144" s="688"/>
      <c r="L144" s="690"/>
      <c r="M144" s="306"/>
      <c r="N144" s="715"/>
      <c r="O144" s="715"/>
      <c r="P144" s="715"/>
      <c r="Q144" s="230"/>
      <c r="R144" s="230"/>
      <c r="S144" s="230"/>
      <c r="T144" s="230"/>
      <c r="U144" s="229"/>
      <c r="V144" s="229"/>
    </row>
    <row r="145" spans="2:22" ht="15" customHeight="1" x14ac:dyDescent="0.2">
      <c r="B145" s="729"/>
      <c r="C145" s="729"/>
      <c r="D145" s="729"/>
      <c r="E145" s="729"/>
      <c r="F145" s="729"/>
      <c r="G145" s="729"/>
      <c r="H145" s="729"/>
      <c r="I145" s="728"/>
      <c r="J145" s="728"/>
      <c r="K145" s="688"/>
      <c r="L145" s="690"/>
      <c r="M145" s="306"/>
      <c r="N145" s="715"/>
      <c r="O145" s="715"/>
      <c r="P145" s="715"/>
      <c r="Q145" s="230"/>
      <c r="R145" s="230"/>
      <c r="S145" s="230"/>
      <c r="T145" s="230"/>
      <c r="U145" s="229"/>
      <c r="V145" s="229"/>
    </row>
    <row r="146" spans="2:22" ht="15" customHeight="1" x14ac:dyDescent="0.2">
      <c r="B146" s="729"/>
      <c r="C146" s="729"/>
      <c r="D146" s="729"/>
      <c r="E146" s="729"/>
      <c r="F146" s="729"/>
      <c r="G146" s="729"/>
      <c r="H146" s="729"/>
      <c r="I146" s="728"/>
      <c r="J146" s="728"/>
      <c r="K146" s="688"/>
      <c r="L146" s="690"/>
      <c r="M146" s="306"/>
      <c r="N146" s="715"/>
      <c r="O146" s="715"/>
      <c r="P146" s="715"/>
      <c r="Q146" s="230"/>
      <c r="R146" s="230"/>
      <c r="S146" s="230"/>
      <c r="T146" s="230"/>
      <c r="U146" s="229"/>
      <c r="V146" s="229"/>
    </row>
    <row r="147" spans="2:22" ht="15" customHeight="1" x14ac:dyDescent="0.2">
      <c r="B147" s="309"/>
      <c r="C147" s="309"/>
      <c r="D147" s="309"/>
      <c r="E147" s="309"/>
      <c r="F147" s="309"/>
      <c r="G147" s="309"/>
      <c r="H147" s="309"/>
      <c r="I147" s="310"/>
      <c r="J147" s="310"/>
      <c r="K147" s="225"/>
      <c r="L147" s="225"/>
      <c r="M147" s="225"/>
      <c r="N147" s="225"/>
      <c r="O147" s="225"/>
      <c r="P147" s="225"/>
      <c r="Q147" s="225"/>
      <c r="R147" s="225"/>
      <c r="S147" s="225"/>
      <c r="T147" s="225"/>
      <c r="U147" s="229"/>
      <c r="V147" s="229"/>
    </row>
    <row r="148" spans="2:22" ht="15" customHeight="1" x14ac:dyDescent="0.2">
      <c r="B148" s="324" t="s">
        <v>219</v>
      </c>
      <c r="C148" s="325"/>
      <c r="D148" s="325"/>
      <c r="E148" s="325"/>
      <c r="F148" s="325"/>
      <c r="G148" s="325"/>
      <c r="H148" s="325"/>
      <c r="I148" s="325"/>
      <c r="J148" s="325"/>
      <c r="K148" s="325"/>
      <c r="L148" s="325"/>
      <c r="M148" s="325"/>
      <c r="N148" s="325"/>
      <c r="O148" s="325"/>
      <c r="P148" s="325"/>
      <c r="Q148" s="322"/>
      <c r="R148" s="322"/>
      <c r="S148" s="322"/>
      <c r="T148" s="322"/>
      <c r="U148" s="229"/>
      <c r="V148" s="229"/>
    </row>
    <row r="149" spans="2:22" ht="15" customHeight="1" x14ac:dyDescent="0.2">
      <c r="B149" s="727" t="s">
        <v>220</v>
      </c>
      <c r="C149" s="727"/>
      <c r="D149" s="727"/>
      <c r="E149" s="727"/>
      <c r="F149" s="727"/>
      <c r="G149" s="727"/>
      <c r="H149" s="727"/>
      <c r="I149" s="736" t="s">
        <v>95</v>
      </c>
      <c r="J149" s="736"/>
      <c r="K149" s="736" t="s">
        <v>11</v>
      </c>
      <c r="L149" s="736"/>
      <c r="M149" s="326" t="s">
        <v>215</v>
      </c>
      <c r="N149" s="737" t="s">
        <v>216</v>
      </c>
      <c r="O149" s="737"/>
      <c r="P149" s="737"/>
      <c r="Q149" s="240"/>
      <c r="R149" s="230"/>
      <c r="S149" s="230"/>
      <c r="T149" s="230"/>
      <c r="U149" s="229"/>
      <c r="V149" s="229"/>
    </row>
    <row r="150" spans="2:22" ht="15" customHeight="1" x14ac:dyDescent="0.2">
      <c r="B150" s="729"/>
      <c r="C150" s="729"/>
      <c r="D150" s="729"/>
      <c r="E150" s="729"/>
      <c r="F150" s="729"/>
      <c r="G150" s="729"/>
      <c r="H150" s="729"/>
      <c r="I150" s="728"/>
      <c r="J150" s="728"/>
      <c r="K150" s="688"/>
      <c r="L150" s="690"/>
      <c r="M150" s="306"/>
      <c r="N150" s="715"/>
      <c r="O150" s="715"/>
      <c r="P150" s="715"/>
      <c r="Q150" s="240"/>
      <c r="R150" s="230"/>
      <c r="S150" s="230"/>
      <c r="T150" s="230"/>
      <c r="U150" s="229"/>
      <c r="V150" s="229"/>
    </row>
    <row r="151" spans="2:22" ht="15" customHeight="1" x14ac:dyDescent="0.2">
      <c r="B151" s="729"/>
      <c r="C151" s="729"/>
      <c r="D151" s="729"/>
      <c r="E151" s="729"/>
      <c r="F151" s="729"/>
      <c r="G151" s="729"/>
      <c r="H151" s="729"/>
      <c r="I151" s="728"/>
      <c r="J151" s="728"/>
      <c r="K151" s="688"/>
      <c r="L151" s="690"/>
      <c r="M151" s="306"/>
      <c r="N151" s="715"/>
      <c r="O151" s="715"/>
      <c r="P151" s="715"/>
      <c r="Q151" s="240"/>
      <c r="R151" s="230"/>
      <c r="S151" s="230"/>
      <c r="T151" s="230"/>
      <c r="U151" s="229"/>
      <c r="V151" s="229"/>
    </row>
    <row r="152" spans="2:22" ht="15" customHeight="1" x14ac:dyDescent="0.2">
      <c r="B152" s="729"/>
      <c r="C152" s="729"/>
      <c r="D152" s="729"/>
      <c r="E152" s="729"/>
      <c r="F152" s="729"/>
      <c r="G152" s="729"/>
      <c r="H152" s="729"/>
      <c r="I152" s="728"/>
      <c r="J152" s="728"/>
      <c r="K152" s="688"/>
      <c r="L152" s="690"/>
      <c r="M152" s="306"/>
      <c r="N152" s="715"/>
      <c r="O152" s="715"/>
      <c r="P152" s="715"/>
      <c r="Q152" s="240"/>
      <c r="R152" s="230"/>
      <c r="S152" s="230"/>
      <c r="T152" s="230"/>
      <c r="U152" s="229"/>
      <c r="V152" s="229"/>
    </row>
    <row r="153" spans="2:22" ht="15" customHeight="1" x14ac:dyDescent="0.2">
      <c r="B153" s="729"/>
      <c r="C153" s="729"/>
      <c r="D153" s="729"/>
      <c r="E153" s="729"/>
      <c r="F153" s="729"/>
      <c r="G153" s="729"/>
      <c r="H153" s="729"/>
      <c r="I153" s="728"/>
      <c r="J153" s="728"/>
      <c r="K153" s="688"/>
      <c r="L153" s="690"/>
      <c r="M153" s="306"/>
      <c r="N153" s="715"/>
      <c r="O153" s="715"/>
      <c r="P153" s="715"/>
      <c r="Q153" s="240"/>
      <c r="R153" s="230"/>
      <c r="S153" s="230"/>
      <c r="T153" s="230"/>
      <c r="U153" s="229"/>
      <c r="V153" s="229"/>
    </row>
    <row r="154" spans="2:22" ht="15" customHeight="1" x14ac:dyDescent="0.2">
      <c r="B154" s="309"/>
      <c r="C154" s="309"/>
      <c r="D154" s="309"/>
      <c r="E154" s="309"/>
      <c r="F154" s="309"/>
      <c r="G154" s="309"/>
      <c r="H154" s="309"/>
      <c r="I154" s="310"/>
      <c r="J154" s="310"/>
      <c r="K154" s="225"/>
      <c r="L154" s="225"/>
      <c r="M154" s="225"/>
      <c r="N154" s="225"/>
      <c r="O154" s="225"/>
      <c r="P154" s="225"/>
      <c r="Q154" s="225"/>
      <c r="R154" s="225"/>
      <c r="S154" s="225"/>
      <c r="T154" s="225"/>
      <c r="U154" s="229"/>
      <c r="V154" s="229"/>
    </row>
    <row r="155" spans="2:22" ht="15" customHeight="1" x14ac:dyDescent="0.2">
      <c r="B155" s="239" t="s">
        <v>2277</v>
      </c>
      <c r="C155" s="309"/>
      <c r="D155" s="309"/>
      <c r="E155" s="309"/>
      <c r="F155" s="309"/>
      <c r="G155" s="309"/>
      <c r="H155" s="309"/>
      <c r="I155" s="310"/>
      <c r="J155" s="310"/>
      <c r="K155" s="225"/>
      <c r="L155" s="225"/>
      <c r="M155" s="225"/>
      <c r="N155" s="225"/>
      <c r="O155" s="225"/>
      <c r="P155" s="225"/>
      <c r="Q155" s="225"/>
      <c r="R155" s="225"/>
      <c r="S155" s="225"/>
      <c r="T155" s="225"/>
      <c r="U155" s="229"/>
      <c r="V155" s="229"/>
    </row>
    <row r="156" spans="2:22" ht="15" customHeight="1" x14ac:dyDescent="0.2">
      <c r="B156" s="309"/>
      <c r="C156" s="309"/>
      <c r="D156" s="309"/>
      <c r="E156" s="309"/>
      <c r="F156" s="309"/>
      <c r="G156" s="309"/>
      <c r="H156" s="309"/>
      <c r="I156" s="310"/>
      <c r="J156" s="310"/>
      <c r="K156" s="225"/>
      <c r="L156" s="225"/>
      <c r="M156" s="225"/>
      <c r="N156" s="225"/>
      <c r="O156" s="225"/>
      <c r="P156" s="225"/>
      <c r="Q156" s="225"/>
      <c r="R156" s="225"/>
      <c r="S156" s="225"/>
      <c r="T156" s="225"/>
      <c r="U156" s="229"/>
      <c r="V156" s="229"/>
    </row>
    <row r="157" spans="2:22" ht="15" customHeight="1" x14ac:dyDescent="0.2">
      <c r="B157" s="327" t="s">
        <v>2278</v>
      </c>
      <c r="C157" s="309"/>
      <c r="D157" s="309"/>
      <c r="E157" s="309"/>
      <c r="F157" s="309"/>
      <c r="G157" s="309"/>
      <c r="H157" s="309"/>
      <c r="I157" s="310"/>
      <c r="J157" s="310"/>
      <c r="K157" s="225"/>
      <c r="L157" s="225"/>
      <c r="M157" s="225"/>
      <c r="N157" s="225"/>
      <c r="O157" s="225"/>
      <c r="P157" s="225"/>
      <c r="Q157" s="225"/>
      <c r="R157" s="225"/>
      <c r="S157" s="225"/>
      <c r="T157" s="225"/>
      <c r="U157" s="229"/>
      <c r="V157" s="229"/>
    </row>
    <row r="158" spans="2:22" ht="15" customHeight="1" x14ac:dyDescent="0.2">
      <c r="B158" s="309" t="s">
        <v>2279</v>
      </c>
      <c r="C158" s="741" t="s">
        <v>2379</v>
      </c>
      <c r="D158" s="742"/>
      <c r="E158" s="742"/>
      <c r="F158" s="742"/>
      <c r="G158" s="742"/>
      <c r="H158" s="743"/>
      <c r="I158" s="310"/>
      <c r="J158" s="310"/>
      <c r="K158" s="225"/>
      <c r="L158" s="225"/>
      <c r="M158" s="225"/>
      <c r="N158" s="225"/>
      <c r="O158" s="225"/>
      <c r="P158" s="225"/>
      <c r="Q158" s="225"/>
      <c r="R158" s="225"/>
      <c r="S158" s="225"/>
      <c r="T158" s="225"/>
      <c r="U158" s="229"/>
      <c r="V158" s="229"/>
    </row>
    <row r="159" spans="2:22" ht="15" customHeight="1" x14ac:dyDescent="0.2">
      <c r="B159" s="309" t="s">
        <v>240</v>
      </c>
      <c r="C159" s="741"/>
      <c r="D159" s="742"/>
      <c r="E159" s="742"/>
      <c r="F159" s="742"/>
      <c r="G159" s="742"/>
      <c r="H159" s="743"/>
      <c r="I159" s="310"/>
      <c r="J159" s="310"/>
      <c r="K159" s="225"/>
      <c r="L159" s="225"/>
      <c r="M159" s="225"/>
      <c r="N159" s="225"/>
      <c r="O159" s="225"/>
      <c r="P159" s="225"/>
      <c r="Q159" s="225"/>
      <c r="R159" s="225"/>
      <c r="S159" s="225"/>
      <c r="T159" s="225"/>
      <c r="U159" s="229"/>
      <c r="V159" s="229"/>
    </row>
    <row r="160" spans="2:22" ht="15" customHeight="1" x14ac:dyDescent="0.2">
      <c r="B160" s="309" t="s">
        <v>2280</v>
      </c>
      <c r="C160" s="741" t="s">
        <v>267</v>
      </c>
      <c r="D160" s="742"/>
      <c r="E160" s="742"/>
      <c r="F160" s="742"/>
      <c r="G160" s="742"/>
      <c r="H160" s="743"/>
      <c r="I160" s="310"/>
      <c r="J160" s="310"/>
      <c r="K160" s="225"/>
      <c r="L160" s="225"/>
      <c r="M160" s="225"/>
      <c r="N160" s="225"/>
      <c r="O160" s="225"/>
      <c r="P160" s="225"/>
      <c r="Q160" s="225"/>
      <c r="R160" s="225"/>
      <c r="S160" s="225"/>
      <c r="T160" s="225"/>
      <c r="U160" s="229"/>
      <c r="V160" s="229"/>
    </row>
    <row r="161" spans="2:23" ht="15" customHeight="1" x14ac:dyDescent="0.2">
      <c r="B161" s="327" t="s">
        <v>2281</v>
      </c>
      <c r="C161" s="309"/>
      <c r="D161" s="309"/>
      <c r="E161" s="309"/>
      <c r="F161" s="309"/>
      <c r="G161" s="309"/>
      <c r="H161" s="309"/>
      <c r="I161" s="310"/>
      <c r="J161" s="310"/>
      <c r="K161" s="225"/>
      <c r="L161" s="225"/>
      <c r="M161" s="225"/>
      <c r="N161" s="225"/>
      <c r="O161" s="225"/>
      <c r="P161" s="225"/>
      <c r="Q161" s="225"/>
      <c r="R161" s="225"/>
      <c r="S161" s="225"/>
      <c r="T161" s="225"/>
      <c r="U161" s="229"/>
      <c r="V161" s="229"/>
    </row>
    <row r="162" spans="2:23" ht="15" customHeight="1" x14ac:dyDescent="0.2">
      <c r="B162" s="309" t="s">
        <v>2279</v>
      </c>
      <c r="C162" s="741" t="s">
        <v>2380</v>
      </c>
      <c r="D162" s="742"/>
      <c r="E162" s="742"/>
      <c r="F162" s="742"/>
      <c r="G162" s="742"/>
      <c r="H162" s="743"/>
      <c r="I162" s="310"/>
      <c r="J162" s="310"/>
      <c r="K162" s="225"/>
      <c r="L162" s="225"/>
      <c r="M162" s="225"/>
      <c r="N162" s="225"/>
      <c r="O162" s="225"/>
      <c r="P162" s="225"/>
      <c r="Q162" s="225"/>
      <c r="R162" s="225"/>
      <c r="S162" s="225"/>
      <c r="T162" s="225"/>
      <c r="U162" s="229"/>
      <c r="V162" s="229"/>
    </row>
    <row r="163" spans="2:23" ht="15" customHeight="1" x14ac:dyDescent="0.2">
      <c r="B163" s="309" t="s">
        <v>240</v>
      </c>
      <c r="C163" s="741"/>
      <c r="D163" s="742"/>
      <c r="E163" s="742"/>
      <c r="F163" s="742"/>
      <c r="G163" s="742"/>
      <c r="H163" s="743"/>
      <c r="I163" s="310"/>
      <c r="J163" s="310"/>
      <c r="K163" s="225"/>
      <c r="L163" s="225"/>
      <c r="M163" s="225"/>
      <c r="N163" s="225"/>
      <c r="O163" s="225"/>
      <c r="P163" s="225"/>
      <c r="Q163" s="225"/>
      <c r="R163" s="225"/>
      <c r="S163" s="225"/>
      <c r="T163" s="225"/>
      <c r="U163" s="229"/>
      <c r="V163" s="229"/>
    </row>
    <row r="164" spans="2:23" ht="15" customHeight="1" x14ac:dyDescent="0.2">
      <c r="B164" s="309" t="s">
        <v>2280</v>
      </c>
      <c r="C164" s="741" t="s">
        <v>267</v>
      </c>
      <c r="D164" s="742"/>
      <c r="E164" s="742"/>
      <c r="F164" s="742"/>
      <c r="G164" s="742"/>
      <c r="H164" s="743"/>
      <c r="I164" s="310"/>
      <c r="J164" s="310"/>
      <c r="K164" s="225"/>
      <c r="L164" s="225"/>
      <c r="M164" s="225"/>
      <c r="N164" s="225"/>
      <c r="O164" s="225"/>
      <c r="P164" s="225"/>
      <c r="Q164" s="225"/>
      <c r="R164" s="225"/>
      <c r="S164" s="225"/>
      <c r="T164" s="225"/>
      <c r="U164" s="229"/>
      <c r="V164" s="229"/>
    </row>
    <row r="165" spans="2:23" ht="15" customHeight="1" x14ac:dyDescent="0.2">
      <c r="B165" s="309"/>
      <c r="C165" s="309"/>
      <c r="D165" s="309"/>
      <c r="E165" s="309"/>
      <c r="F165" s="309"/>
      <c r="G165" s="309"/>
      <c r="H165" s="309"/>
      <c r="I165" s="310"/>
      <c r="J165" s="310"/>
      <c r="K165" s="225"/>
      <c r="L165" s="225"/>
      <c r="M165" s="225"/>
      <c r="N165" s="225"/>
      <c r="O165" s="225"/>
      <c r="P165" s="225"/>
      <c r="Q165" s="225"/>
      <c r="R165" s="225"/>
      <c r="S165" s="225"/>
      <c r="T165" s="225"/>
      <c r="U165" s="229"/>
      <c r="V165" s="229"/>
    </row>
    <row r="166" spans="2:23" ht="15" customHeight="1" x14ac:dyDescent="0.2">
      <c r="B166" s="328" t="s">
        <v>2282</v>
      </c>
      <c r="C166" s="57">
        <v>10</v>
      </c>
      <c r="D166" s="309"/>
      <c r="E166" s="309"/>
      <c r="F166" s="309"/>
      <c r="G166" s="309"/>
      <c r="H166" s="309"/>
      <c r="I166" s="310"/>
      <c r="J166" s="310"/>
      <c r="K166" s="225"/>
      <c r="L166" s="225"/>
      <c r="M166" s="225"/>
      <c r="N166" s="225"/>
      <c r="O166" s="225"/>
      <c r="P166" s="225"/>
      <c r="Q166" s="225"/>
      <c r="R166" s="225"/>
      <c r="S166" s="225"/>
      <c r="T166" s="225"/>
      <c r="U166" s="229"/>
      <c r="V166" s="229"/>
    </row>
    <row r="167" spans="2:23" ht="15" customHeight="1" x14ac:dyDescent="0.2">
      <c r="B167" s="309"/>
      <c r="C167" s="309"/>
      <c r="D167" s="309"/>
      <c r="E167" s="309"/>
      <c r="F167" s="309"/>
      <c r="G167" s="309"/>
      <c r="H167" s="309"/>
      <c r="I167" s="310"/>
      <c r="J167" s="310"/>
      <c r="K167" s="225"/>
      <c r="L167" s="225"/>
      <c r="M167" s="225"/>
      <c r="N167" s="225"/>
      <c r="O167" s="225"/>
      <c r="P167" s="225"/>
      <c r="Q167" s="225"/>
      <c r="R167" s="225"/>
      <c r="S167" s="225"/>
      <c r="T167" s="225"/>
      <c r="U167" s="229"/>
      <c r="V167" s="229"/>
    </row>
    <row r="168" spans="2:23" ht="15" customHeight="1" x14ac:dyDescent="0.2">
      <c r="B168" s="329" t="s">
        <v>2283</v>
      </c>
      <c r="C168" s="330" t="s">
        <v>2284</v>
      </c>
      <c r="D168" s="331"/>
      <c r="E168" s="332"/>
      <c r="F168" s="330" t="s">
        <v>2280</v>
      </c>
      <c r="G168" s="331"/>
      <c r="H168" s="332"/>
      <c r="I168" s="310"/>
      <c r="J168" s="310"/>
      <c r="K168" s="225"/>
      <c r="L168" s="225"/>
      <c r="M168" s="225"/>
      <c r="N168" s="225"/>
      <c r="O168" s="225"/>
      <c r="P168" s="225"/>
      <c r="Q168" s="225"/>
      <c r="R168" s="225"/>
      <c r="S168" s="225"/>
      <c r="T168" s="225"/>
      <c r="U168" s="229"/>
      <c r="V168" s="229"/>
    </row>
    <row r="169" spans="2:23" ht="29.25" customHeight="1" x14ac:dyDescent="0.2">
      <c r="B169" s="614" t="s">
        <v>2509</v>
      </c>
      <c r="C169" s="744"/>
      <c r="D169" s="744"/>
      <c r="E169" s="744"/>
      <c r="F169" s="615" t="s">
        <v>267</v>
      </c>
      <c r="G169" s="616"/>
      <c r="H169" s="617"/>
      <c r="I169" s="310"/>
      <c r="J169" s="310"/>
      <c r="K169" s="225"/>
      <c r="L169" s="225"/>
      <c r="M169" s="225"/>
      <c r="N169" s="225"/>
      <c r="O169" s="225"/>
      <c r="P169" s="225"/>
      <c r="Q169" s="225"/>
      <c r="R169" s="225"/>
      <c r="S169" s="225"/>
      <c r="T169" s="225"/>
      <c r="U169" s="229"/>
      <c r="V169" s="229"/>
    </row>
    <row r="170" spans="2:23" ht="29.25" customHeight="1" x14ac:dyDescent="0.2">
      <c r="B170" s="614" t="s">
        <v>2510</v>
      </c>
      <c r="C170" s="744"/>
      <c r="D170" s="744"/>
      <c r="E170" s="744"/>
      <c r="F170" s="615" t="s">
        <v>2512</v>
      </c>
      <c r="G170" s="616"/>
      <c r="H170" s="617"/>
      <c r="I170" s="310"/>
      <c r="J170" s="310"/>
      <c r="K170" s="225"/>
      <c r="L170" s="225"/>
      <c r="M170" s="225"/>
      <c r="N170" s="225"/>
      <c r="O170" s="225"/>
      <c r="P170" s="225"/>
      <c r="Q170" s="225"/>
      <c r="R170" s="225"/>
      <c r="S170" s="225"/>
      <c r="T170" s="225"/>
      <c r="U170" s="229"/>
      <c r="V170" s="229"/>
    </row>
    <row r="171" spans="2:23" ht="28.5" customHeight="1" x14ac:dyDescent="0.2">
      <c r="B171" s="614" t="s">
        <v>2511</v>
      </c>
      <c r="C171" s="744"/>
      <c r="D171" s="744"/>
      <c r="E171" s="744"/>
      <c r="F171" s="615" t="s">
        <v>322</v>
      </c>
      <c r="G171" s="616"/>
      <c r="H171" s="617"/>
      <c r="I171" s="310"/>
      <c r="J171" s="310"/>
      <c r="K171" s="225"/>
      <c r="L171" s="225"/>
      <c r="M171" s="225"/>
      <c r="N171" s="225"/>
      <c r="O171" s="225"/>
      <c r="P171" s="225"/>
      <c r="Q171" s="225"/>
      <c r="R171" s="225"/>
      <c r="S171" s="225"/>
      <c r="T171" s="225"/>
      <c r="U171" s="229"/>
      <c r="V171" s="229"/>
    </row>
    <row r="172" spans="2:23" ht="25.5" customHeight="1" x14ac:dyDescent="0.2">
      <c r="B172" s="333"/>
      <c r="C172" s="744"/>
      <c r="D172" s="744"/>
      <c r="E172" s="744"/>
      <c r="F172" s="744"/>
      <c r="G172" s="744"/>
      <c r="H172" s="744"/>
      <c r="I172" s="310"/>
      <c r="J172" s="310"/>
      <c r="K172" s="225"/>
      <c r="L172" s="225"/>
      <c r="M172" s="225"/>
      <c r="N172" s="225"/>
      <c r="O172" s="225"/>
      <c r="P172" s="225"/>
      <c r="Q172" s="225"/>
      <c r="R172" s="225"/>
      <c r="S172" s="225"/>
      <c r="T172" s="225"/>
      <c r="U172" s="229"/>
      <c r="V172" s="229"/>
    </row>
    <row r="173" spans="2:23" ht="15" customHeight="1" x14ac:dyDescent="0.2">
      <c r="B173" s="309"/>
      <c r="C173" s="309"/>
      <c r="D173" s="309"/>
      <c r="E173" s="309"/>
      <c r="F173" s="309"/>
      <c r="G173" s="309"/>
      <c r="H173" s="309"/>
      <c r="I173" s="310"/>
      <c r="J173" s="310"/>
      <c r="K173" s="225"/>
      <c r="L173" s="225"/>
      <c r="M173" s="225"/>
      <c r="N173" s="225"/>
      <c r="O173" s="225"/>
      <c r="P173" s="225"/>
      <c r="Q173" s="225"/>
      <c r="R173" s="225"/>
      <c r="S173" s="225"/>
      <c r="T173" s="225"/>
      <c r="U173" s="229"/>
      <c r="V173" s="229"/>
    </row>
    <row r="174" spans="2:23" ht="15" customHeight="1" x14ac:dyDescent="0.25">
      <c r="B174" s="701" t="s">
        <v>167</v>
      </c>
      <c r="C174" s="701"/>
      <c r="D174" s="701"/>
      <c r="E174" s="701"/>
      <c r="F174" s="701"/>
      <c r="G174" s="701"/>
      <c r="H174" s="701"/>
      <c r="I174" s="701"/>
      <c r="J174" s="701"/>
      <c r="K174" s="701"/>
      <c r="L174" s="701"/>
      <c r="M174" s="701"/>
      <c r="N174" s="701"/>
      <c r="O174" s="701"/>
      <c r="P174" s="701"/>
      <c r="Q174" s="701"/>
      <c r="R174" s="334"/>
      <c r="S174" s="334"/>
      <c r="T174" s="334"/>
      <c r="U174" s="229"/>
      <c r="V174" s="229"/>
    </row>
    <row r="175" spans="2:23" ht="15" customHeight="1" x14ac:dyDescent="0.2">
      <c r="B175" s="239"/>
      <c r="C175" s="334"/>
      <c r="D175" s="334"/>
      <c r="E175" s="334"/>
      <c r="F175" s="334"/>
      <c r="G175" s="334"/>
      <c r="H175" s="334"/>
      <c r="I175" s="334"/>
      <c r="J175" s="334"/>
      <c r="K175" s="334"/>
      <c r="L175" s="334"/>
      <c r="M175" s="334"/>
      <c r="N175" s="334"/>
      <c r="O175" s="334"/>
      <c r="P175" s="334"/>
      <c r="Q175" s="334"/>
      <c r="R175" s="334"/>
      <c r="S175" s="334"/>
      <c r="T175" s="334"/>
      <c r="U175" s="334"/>
      <c r="V175" s="229"/>
      <c r="W175" s="229"/>
    </row>
    <row r="176" spans="2:23" ht="23.25" customHeight="1" thickBot="1" x14ac:dyDescent="0.25">
      <c r="B176" s="219" t="s">
        <v>173</v>
      </c>
      <c r="C176" s="334"/>
      <c r="D176" s="334"/>
      <c r="E176" s="334"/>
      <c r="F176" s="334"/>
      <c r="G176" s="334"/>
      <c r="R176" s="745" t="s">
        <v>259</v>
      </c>
      <c r="S176" s="745"/>
      <c r="T176" s="334"/>
      <c r="U176" s="335" t="s">
        <v>260</v>
      </c>
      <c r="V176" s="335" t="s">
        <v>261</v>
      </c>
      <c r="W176" s="335" t="s">
        <v>262</v>
      </c>
    </row>
    <row r="177" spans="2:23" ht="19.5" customHeight="1" thickBot="1" x14ac:dyDescent="0.3">
      <c r="B177" s="336"/>
      <c r="C177" s="334"/>
      <c r="G177" s="334"/>
      <c r="H177" s="710" t="s">
        <v>95</v>
      </c>
      <c r="I177" s="710"/>
      <c r="R177" s="219" t="s">
        <v>263</v>
      </c>
      <c r="U177" s="337">
        <v>0.156</v>
      </c>
      <c r="V177" s="337">
        <v>0.156</v>
      </c>
      <c r="W177" s="338">
        <v>0.159</v>
      </c>
    </row>
    <row r="178" spans="2:23" ht="16.5" customHeight="1" thickBot="1" x14ac:dyDescent="0.25">
      <c r="B178" s="239" t="s">
        <v>168</v>
      </c>
      <c r="C178" s="334"/>
      <c r="G178" s="334"/>
      <c r="H178" s="746">
        <v>96</v>
      </c>
      <c r="I178" s="747"/>
      <c r="J178" s="219" t="s">
        <v>266</v>
      </c>
      <c r="R178" s="219" t="s">
        <v>264</v>
      </c>
      <c r="U178" s="337">
        <f>1-U177</f>
        <v>0.84399999999999997</v>
      </c>
      <c r="V178" s="337">
        <f>1-V177</f>
        <v>0.84399999999999997</v>
      </c>
      <c r="W178" s="338">
        <f>1-W177</f>
        <v>0.84099999999999997</v>
      </c>
    </row>
    <row r="179" spans="2:23" ht="15" customHeight="1" thickBot="1" x14ac:dyDescent="0.25">
      <c r="B179" s="239" t="s">
        <v>169</v>
      </c>
      <c r="C179" s="334"/>
      <c r="G179" s="334"/>
      <c r="H179" s="746">
        <v>372</v>
      </c>
      <c r="I179" s="747"/>
      <c r="J179" s="219" t="s">
        <v>266</v>
      </c>
      <c r="R179" s="219" t="s">
        <v>265</v>
      </c>
      <c r="U179" s="339">
        <f>35.8276739648688%*0.5</f>
        <v>0.179138369824344</v>
      </c>
      <c r="V179" s="339">
        <f>37.5774864863464%*0.5</f>
        <v>0.187887432431732</v>
      </c>
      <c r="W179" s="340">
        <f>33.9183579468245%*0.5</f>
        <v>0.16959178973412251</v>
      </c>
    </row>
    <row r="180" spans="2:23" ht="15" customHeight="1" x14ac:dyDescent="0.2">
      <c r="B180" s="239" t="s">
        <v>98</v>
      </c>
      <c r="C180" s="334"/>
      <c r="G180" s="334"/>
      <c r="H180" s="748">
        <v>2.0000000000000001E-4</v>
      </c>
      <c r="I180" s="748"/>
      <c r="J180" s="219" t="s">
        <v>267</v>
      </c>
      <c r="V180" s="229"/>
      <c r="W180" s="229"/>
    </row>
    <row r="181" spans="2:23" ht="15" customHeight="1" x14ac:dyDescent="0.2">
      <c r="B181" s="239"/>
      <c r="C181" s="334"/>
      <c r="G181" s="334"/>
      <c r="H181" s="341"/>
      <c r="I181" s="342"/>
      <c r="V181" s="229"/>
      <c r="W181" s="229"/>
    </row>
    <row r="182" spans="2:23" ht="15" customHeight="1" x14ac:dyDescent="0.2">
      <c r="B182" s="239" t="s">
        <v>99</v>
      </c>
      <c r="C182" s="334"/>
      <c r="G182" s="749"/>
      <c r="H182" s="750"/>
      <c r="I182" s="343" t="s">
        <v>221</v>
      </c>
      <c r="K182" s="749"/>
      <c r="L182" s="749"/>
      <c r="M182" s="283"/>
      <c r="V182" s="229"/>
      <c r="W182" s="229"/>
    </row>
    <row r="183" spans="2:23" ht="15" customHeight="1" x14ac:dyDescent="0.2">
      <c r="B183" s="239"/>
      <c r="C183" s="334"/>
      <c r="D183" s="334"/>
      <c r="E183" s="334"/>
      <c r="F183" s="334"/>
      <c r="G183" s="334"/>
      <c r="I183" s="343" t="s">
        <v>222</v>
      </c>
      <c r="V183" s="229"/>
      <c r="W183" s="229"/>
    </row>
    <row r="184" spans="2:23" ht="15" customHeight="1" x14ac:dyDescent="0.2">
      <c r="B184" s="334"/>
      <c r="C184" s="334"/>
      <c r="D184" s="334"/>
      <c r="E184" s="334"/>
      <c r="F184" s="334"/>
      <c r="G184" s="334"/>
      <c r="H184" s="334"/>
      <c r="I184" s="334"/>
      <c r="J184" s="334"/>
      <c r="K184" s="334"/>
      <c r="L184" s="334"/>
      <c r="M184" s="334"/>
      <c r="N184" s="334"/>
      <c r="O184" s="334"/>
      <c r="P184" s="334"/>
      <c r="Q184" s="334"/>
      <c r="R184" s="334"/>
      <c r="S184" s="334"/>
      <c r="T184" s="334"/>
      <c r="U184" s="229"/>
      <c r="V184" s="229"/>
    </row>
    <row r="185" spans="2:23" ht="15" customHeight="1" x14ac:dyDescent="0.2">
      <c r="B185" s="344" t="s">
        <v>53</v>
      </c>
      <c r="C185" s="344">
        <v>0</v>
      </c>
      <c r="D185" s="344">
        <v>1</v>
      </c>
      <c r="E185" s="344">
        <v>2</v>
      </c>
      <c r="F185" s="344">
        <v>3</v>
      </c>
      <c r="G185" s="344">
        <v>4</v>
      </c>
      <c r="H185" s="344">
        <v>5</v>
      </c>
      <c r="I185" s="344">
        <v>6</v>
      </c>
      <c r="J185" s="344">
        <v>7</v>
      </c>
      <c r="K185" s="344">
        <v>8</v>
      </c>
      <c r="L185" s="344">
        <v>9</v>
      </c>
      <c r="M185" s="344">
        <v>10</v>
      </c>
      <c r="N185" s="334"/>
      <c r="O185" s="334"/>
      <c r="P185" s="334"/>
      <c r="Q185" s="334"/>
      <c r="R185" s="334"/>
      <c r="S185" s="334"/>
      <c r="T185" s="334"/>
      <c r="U185" s="229"/>
      <c r="V185" s="229"/>
    </row>
    <row r="186" spans="2:23" ht="15" customHeight="1" x14ac:dyDescent="0.2">
      <c r="B186" s="344" t="s">
        <v>50</v>
      </c>
      <c r="C186" s="345">
        <f>((C187*U178/U177)*U179)+C187</f>
        <v>921.57835239523888</v>
      </c>
      <c r="D186" s="346">
        <f>$C$186*(1+$H$180)^(D185-$C$185)</f>
        <v>921.76266806571789</v>
      </c>
      <c r="E186" s="346">
        <f t="shared" ref="E186:M186" si="0">$C$186*(1+$H$180)^(E185-$C$185)</f>
        <v>921.94702059933104</v>
      </c>
      <c r="F186" s="346">
        <f t="shared" si="0"/>
        <v>922.13141000345081</v>
      </c>
      <c r="G186" s="346">
        <f t="shared" si="0"/>
        <v>922.31583628545161</v>
      </c>
      <c r="H186" s="346">
        <f t="shared" si="0"/>
        <v>922.50029945270865</v>
      </c>
      <c r="I186" s="346">
        <f t="shared" si="0"/>
        <v>922.68479951259906</v>
      </c>
      <c r="J186" s="346">
        <f t="shared" si="0"/>
        <v>922.86933647250157</v>
      </c>
      <c r="K186" s="346">
        <f t="shared" si="0"/>
        <v>923.05391033979618</v>
      </c>
      <c r="L186" s="346">
        <f t="shared" si="0"/>
        <v>923.23852112186421</v>
      </c>
      <c r="M186" s="346">
        <f t="shared" si="0"/>
        <v>923.4231688260885</v>
      </c>
      <c r="N186" s="334"/>
      <c r="O186" s="334"/>
      <c r="P186" s="334"/>
      <c r="Q186" s="334"/>
      <c r="R186" s="334"/>
      <c r="S186" s="334"/>
      <c r="T186" s="334"/>
      <c r="U186" s="229"/>
      <c r="V186" s="229"/>
    </row>
    <row r="187" spans="2:23" ht="15" customHeight="1" x14ac:dyDescent="0.2">
      <c r="B187" s="344" t="s">
        <v>51</v>
      </c>
      <c r="C187" s="347">
        <f>H178+H179</f>
        <v>468</v>
      </c>
      <c r="D187" s="347">
        <f>+C187</f>
        <v>468</v>
      </c>
      <c r="E187" s="347">
        <f t="shared" ref="E187:M187" si="1">+D187</f>
        <v>468</v>
      </c>
      <c r="F187" s="347">
        <f t="shared" si="1"/>
        <v>468</v>
      </c>
      <c r="G187" s="347">
        <f t="shared" si="1"/>
        <v>468</v>
      </c>
      <c r="H187" s="347">
        <f t="shared" si="1"/>
        <v>468</v>
      </c>
      <c r="I187" s="347">
        <f t="shared" si="1"/>
        <v>468</v>
      </c>
      <c r="J187" s="347">
        <f t="shared" si="1"/>
        <v>468</v>
      </c>
      <c r="K187" s="347">
        <f t="shared" si="1"/>
        <v>468</v>
      </c>
      <c r="L187" s="347">
        <f t="shared" si="1"/>
        <v>468</v>
      </c>
      <c r="M187" s="347">
        <f t="shared" si="1"/>
        <v>468</v>
      </c>
      <c r="N187" s="334"/>
      <c r="O187" s="334"/>
      <c r="P187" s="334"/>
      <c r="Q187" s="334"/>
      <c r="R187" s="334"/>
      <c r="S187" s="334"/>
      <c r="T187" s="334"/>
      <c r="U187" s="229"/>
      <c r="V187" s="229"/>
    </row>
    <row r="188" spans="2:23" ht="15" customHeight="1" x14ac:dyDescent="0.2">
      <c r="B188" s="344" t="s">
        <v>52</v>
      </c>
      <c r="C188" s="348">
        <f>+C186-C187</f>
        <v>453.57835239523888</v>
      </c>
      <c r="D188" s="348">
        <f t="shared" ref="D188:M188" si="2">+D186-D187</f>
        <v>453.76266806571789</v>
      </c>
      <c r="E188" s="348">
        <f t="shared" si="2"/>
        <v>453.94702059933104</v>
      </c>
      <c r="F188" s="348">
        <f t="shared" si="2"/>
        <v>454.13141000345081</v>
      </c>
      <c r="G188" s="348">
        <f t="shared" si="2"/>
        <v>454.31583628545161</v>
      </c>
      <c r="H188" s="348">
        <f t="shared" si="2"/>
        <v>454.50029945270865</v>
      </c>
      <c r="I188" s="348">
        <f t="shared" si="2"/>
        <v>454.68479951259906</v>
      </c>
      <c r="J188" s="348">
        <f t="shared" si="2"/>
        <v>454.86933647250157</v>
      </c>
      <c r="K188" s="348">
        <f t="shared" si="2"/>
        <v>455.05391033979618</v>
      </c>
      <c r="L188" s="348">
        <f t="shared" si="2"/>
        <v>455.23852112186421</v>
      </c>
      <c r="M188" s="348">
        <f t="shared" si="2"/>
        <v>455.4231688260885</v>
      </c>
      <c r="N188" s="334"/>
      <c r="O188" s="334"/>
      <c r="P188" s="334"/>
      <c r="Q188" s="334"/>
      <c r="R188" s="334"/>
      <c r="S188" s="334"/>
      <c r="T188" s="334"/>
      <c r="U188" s="229"/>
      <c r="V188" s="229"/>
    </row>
    <row r="189" spans="2:23" ht="15" customHeight="1" x14ac:dyDescent="0.2">
      <c r="B189" s="334"/>
      <c r="C189" s="334"/>
      <c r="D189" s="334"/>
      <c r="E189" s="334"/>
      <c r="F189" s="334"/>
      <c r="G189" s="334"/>
      <c r="H189" s="334"/>
      <c r="I189" s="334"/>
      <c r="J189" s="334"/>
      <c r="K189" s="334"/>
      <c r="L189" s="334"/>
      <c r="M189" s="334"/>
      <c r="N189" s="334"/>
      <c r="O189" s="334"/>
      <c r="P189" s="334"/>
      <c r="Q189" s="334"/>
      <c r="R189" s="334"/>
      <c r="S189" s="334"/>
      <c r="T189" s="334"/>
      <c r="U189" s="229"/>
      <c r="V189" s="229"/>
    </row>
    <row r="190" spans="2:23" ht="15" customHeight="1" x14ac:dyDescent="0.2">
      <c r="B190" s="334"/>
      <c r="C190" s="738" t="s">
        <v>223</v>
      </c>
      <c r="D190" s="739"/>
      <c r="E190" s="739"/>
      <c r="F190" s="739"/>
      <c r="G190" s="739"/>
      <c r="H190" s="740"/>
      <c r="I190" s="349">
        <f>ROUNDUP((H186/365),0)*3</f>
        <v>9</v>
      </c>
      <c r="J190" s="334"/>
      <c r="K190" s="334"/>
      <c r="L190" s="334"/>
      <c r="M190" s="334"/>
      <c r="N190" s="334"/>
      <c r="O190" s="334"/>
      <c r="P190" s="334"/>
      <c r="Q190" s="334"/>
      <c r="R190" s="334"/>
      <c r="S190" s="334"/>
      <c r="T190" s="334"/>
      <c r="U190" s="229"/>
      <c r="V190" s="229"/>
    </row>
    <row r="191" spans="2:23" ht="15" customHeight="1" x14ac:dyDescent="0.2">
      <c r="B191" s="334"/>
      <c r="C191" s="334"/>
      <c r="D191" s="334"/>
      <c r="E191" s="334"/>
      <c r="F191" s="334"/>
      <c r="G191" s="334"/>
      <c r="H191" s="334"/>
      <c r="I191" s="334"/>
      <c r="J191" s="334"/>
      <c r="K191" s="334"/>
      <c r="L191" s="334"/>
      <c r="M191" s="334"/>
      <c r="N191" s="334"/>
      <c r="O191" s="334"/>
      <c r="P191" s="334"/>
      <c r="Q191" s="334"/>
      <c r="R191" s="334"/>
      <c r="S191" s="334"/>
      <c r="T191" s="334"/>
      <c r="U191" s="229"/>
      <c r="V191" s="229"/>
    </row>
    <row r="192" spans="2:23" ht="15" customHeight="1" x14ac:dyDescent="0.2">
      <c r="B192" s="219" t="s">
        <v>174</v>
      </c>
      <c r="Q192" s="334"/>
      <c r="R192" s="716" t="s">
        <v>230</v>
      </c>
      <c r="S192" s="716"/>
      <c r="T192" s="716"/>
      <c r="U192" s="334"/>
      <c r="V192" s="229"/>
      <c r="W192" s="229"/>
    </row>
    <row r="193" spans="2:23" ht="47.25" customHeight="1" x14ac:dyDescent="0.2">
      <c r="B193" s="698" t="s">
        <v>45</v>
      </c>
      <c r="C193" s="698"/>
      <c r="D193" s="754" t="s">
        <v>224</v>
      </c>
      <c r="E193" s="755"/>
      <c r="F193" s="754" t="s">
        <v>103</v>
      </c>
      <c r="G193" s="755"/>
      <c r="H193" s="758" t="s">
        <v>2360</v>
      </c>
      <c r="I193" s="758" t="s">
        <v>2130</v>
      </c>
      <c r="J193" s="760" t="s">
        <v>2131</v>
      </c>
      <c r="K193" s="762" t="s">
        <v>2132</v>
      </c>
      <c r="L193" s="760" t="s">
        <v>2133</v>
      </c>
      <c r="M193" s="762" t="s">
        <v>2134</v>
      </c>
      <c r="N193" s="698" t="s">
        <v>2135</v>
      </c>
      <c r="O193" s="751" t="s">
        <v>2136</v>
      </c>
      <c r="P193" s="752"/>
      <c r="R193" s="344" t="s">
        <v>231</v>
      </c>
      <c r="S193" s="344" t="s">
        <v>232</v>
      </c>
      <c r="T193" s="344" t="s">
        <v>233</v>
      </c>
      <c r="U193" s="344" t="s">
        <v>234</v>
      </c>
    </row>
    <row r="194" spans="2:23" ht="45.75" customHeight="1" x14ac:dyDescent="0.2">
      <c r="B194" s="698"/>
      <c r="C194" s="698"/>
      <c r="D194" s="756"/>
      <c r="E194" s="757"/>
      <c r="F194" s="756"/>
      <c r="G194" s="757"/>
      <c r="H194" s="759"/>
      <c r="I194" s="759"/>
      <c r="J194" s="761"/>
      <c r="K194" s="762"/>
      <c r="L194" s="761"/>
      <c r="M194" s="762"/>
      <c r="N194" s="698"/>
      <c r="O194" s="350" t="s">
        <v>225</v>
      </c>
      <c r="P194" s="350" t="s">
        <v>226</v>
      </c>
      <c r="R194" s="344" t="s">
        <v>235</v>
      </c>
      <c r="S194" s="351">
        <f>I195*M195*K195</f>
        <v>67.2</v>
      </c>
      <c r="T194" s="351">
        <f>S194*0.55</f>
        <v>36.960000000000008</v>
      </c>
      <c r="U194" s="351">
        <f>T194*0.2</f>
        <v>7.3920000000000021</v>
      </c>
    </row>
    <row r="195" spans="2:23" ht="15" customHeight="1" x14ac:dyDescent="0.2">
      <c r="B195" s="753" t="s">
        <v>100</v>
      </c>
      <c r="C195" s="753"/>
      <c r="D195" s="312" t="s">
        <v>2128</v>
      </c>
      <c r="E195" s="314"/>
      <c r="F195" s="716"/>
      <c r="G195" s="716"/>
      <c r="H195" s="352">
        <v>7.47</v>
      </c>
      <c r="I195" s="353">
        <v>14</v>
      </c>
      <c r="J195" s="354">
        <f>H195/I195</f>
        <v>0.53357142857142859</v>
      </c>
      <c r="K195" s="355">
        <v>0.6</v>
      </c>
      <c r="L195" s="354">
        <f>J195/K195*1</f>
        <v>0.88928571428571435</v>
      </c>
      <c r="M195" s="353">
        <v>8</v>
      </c>
      <c r="N195" s="356">
        <f>ROUNDUP((M195/L195),0)</f>
        <v>9</v>
      </c>
      <c r="O195" s="357">
        <f>+N195*H195</f>
        <v>67.23</v>
      </c>
      <c r="P195" s="358"/>
      <c r="R195" s="279" t="s">
        <v>236</v>
      </c>
      <c r="S195" s="351">
        <f>I196*M196*K196</f>
        <v>196</v>
      </c>
      <c r="T195" s="351">
        <f>S195*0.55</f>
        <v>107.80000000000001</v>
      </c>
      <c r="U195" s="351"/>
    </row>
    <row r="196" spans="2:23" ht="15" customHeight="1" x14ac:dyDescent="0.2">
      <c r="B196" s="753" t="s">
        <v>101</v>
      </c>
      <c r="C196" s="753"/>
      <c r="D196" s="312" t="s">
        <v>2129</v>
      </c>
      <c r="E196" s="314"/>
      <c r="F196" s="716"/>
      <c r="G196" s="716"/>
      <c r="H196" s="277">
        <v>26.69</v>
      </c>
      <c r="I196" s="359">
        <v>35</v>
      </c>
      <c r="J196" s="354">
        <f>H196/I196</f>
        <v>0.76257142857142857</v>
      </c>
      <c r="K196" s="360">
        <v>0.35</v>
      </c>
      <c r="L196" s="354">
        <f>J196/K196*1</f>
        <v>2.1787755102040816</v>
      </c>
      <c r="M196" s="353">
        <v>16</v>
      </c>
      <c r="N196" s="356">
        <f>ROUNDUP((M196/L196),0)</f>
        <v>8</v>
      </c>
      <c r="O196" s="279"/>
      <c r="P196" s="357">
        <f>+N196*H196</f>
        <v>213.52</v>
      </c>
      <c r="R196" s="250"/>
      <c r="S196" s="361"/>
      <c r="T196" s="361"/>
      <c r="U196" s="361"/>
    </row>
    <row r="197" spans="2:23" ht="15" customHeight="1" x14ac:dyDescent="0.2">
      <c r="B197" s="738" t="s">
        <v>102</v>
      </c>
      <c r="C197" s="740"/>
      <c r="D197" s="746"/>
      <c r="E197" s="747"/>
      <c r="F197" s="716"/>
      <c r="G197" s="716"/>
      <c r="H197" s="277">
        <v>9.89</v>
      </c>
      <c r="I197" s="359">
        <v>14</v>
      </c>
      <c r="J197" s="354">
        <f>H197/I197</f>
        <v>0.70642857142857152</v>
      </c>
      <c r="K197" s="360">
        <v>0.6</v>
      </c>
      <c r="L197" s="354">
        <f>J197/K197*1</f>
        <v>1.1773809523809526</v>
      </c>
      <c r="M197" s="353">
        <v>8</v>
      </c>
      <c r="N197" s="356">
        <f>ROUNDUP((M197/L197),0)</f>
        <v>7</v>
      </c>
      <c r="O197" s="357">
        <f>+N197*H197</f>
        <v>69.23</v>
      </c>
      <c r="P197" s="279"/>
      <c r="R197" s="334"/>
    </row>
    <row r="198" spans="2:23" ht="15" customHeight="1" x14ac:dyDescent="0.2">
      <c r="B198" s="738" t="s">
        <v>227</v>
      </c>
      <c r="C198" s="740"/>
      <c r="D198" s="746"/>
      <c r="E198" s="747"/>
      <c r="F198" s="716"/>
      <c r="G198" s="716"/>
      <c r="H198" s="277">
        <v>8.4499999999999993</v>
      </c>
      <c r="I198" s="359">
        <v>14</v>
      </c>
      <c r="J198" s="354">
        <f>H198/I198</f>
        <v>0.60357142857142854</v>
      </c>
      <c r="K198" s="360">
        <v>0.6</v>
      </c>
      <c r="L198" s="354">
        <f>J198/K198*1</f>
        <v>1.0059523809523809</v>
      </c>
      <c r="M198" s="353">
        <v>8</v>
      </c>
      <c r="N198" s="356">
        <f>ROUNDUP((M198/L198),0)</f>
        <v>8</v>
      </c>
      <c r="O198" s="357">
        <f>+N198*H198</f>
        <v>67.599999999999994</v>
      </c>
      <c r="P198" s="279"/>
      <c r="R198" s="334"/>
    </row>
    <row r="199" spans="2:23" ht="15" customHeight="1" x14ac:dyDescent="0.2">
      <c r="B199" s="738" t="s">
        <v>228</v>
      </c>
      <c r="C199" s="740"/>
      <c r="D199" s="746"/>
      <c r="E199" s="747"/>
      <c r="F199" s="716"/>
      <c r="G199" s="716"/>
      <c r="H199" s="277">
        <v>8.15</v>
      </c>
      <c r="I199" s="359">
        <v>14</v>
      </c>
      <c r="J199" s="354">
        <f>H199/I199</f>
        <v>0.58214285714285718</v>
      </c>
      <c r="K199" s="360">
        <v>0.6</v>
      </c>
      <c r="L199" s="354">
        <f>J199/K199*1</f>
        <v>0.97023809523809534</v>
      </c>
      <c r="M199" s="353">
        <v>8</v>
      </c>
      <c r="N199" s="356">
        <f>ROUNDUP((M199/L199),0)</f>
        <v>9</v>
      </c>
      <c r="O199" s="357">
        <f>+N199*H199</f>
        <v>73.350000000000009</v>
      </c>
      <c r="P199" s="279"/>
      <c r="R199" s="334"/>
    </row>
    <row r="200" spans="2:23" ht="15" customHeight="1" x14ac:dyDescent="0.2">
      <c r="B200" s="312" t="s">
        <v>0</v>
      </c>
      <c r="C200" s="313"/>
      <c r="D200" s="313"/>
      <c r="E200" s="313"/>
      <c r="F200" s="313"/>
      <c r="G200" s="314"/>
      <c r="H200" s="359"/>
      <c r="I200" s="359"/>
      <c r="J200" s="279"/>
      <c r="K200" s="359"/>
      <c r="M200" s="353"/>
      <c r="N200" s="356"/>
      <c r="O200" s="362">
        <f>O195+O196+O197+O198+O199</f>
        <v>277.41000000000003</v>
      </c>
      <c r="P200" s="362">
        <f>P195+P196+P197+P198+P199</f>
        <v>213.52</v>
      </c>
      <c r="R200" s="334"/>
    </row>
    <row r="201" spans="2:23" ht="15" customHeight="1" x14ac:dyDescent="0.25">
      <c r="B201" s="239"/>
      <c r="C201" s="334"/>
      <c r="F201" s="334"/>
      <c r="G201" s="334"/>
      <c r="H201" s="363"/>
      <c r="I201" s="363"/>
      <c r="J201" s="363"/>
      <c r="K201" s="363"/>
      <c r="L201" s="334"/>
      <c r="M201" s="363"/>
      <c r="N201" s="364" t="s">
        <v>229</v>
      </c>
      <c r="O201" s="763">
        <f>O200+P200</f>
        <v>490.93000000000006</v>
      </c>
      <c r="P201" s="764"/>
      <c r="R201" s="334"/>
    </row>
    <row r="202" spans="2:23" ht="15" customHeight="1" x14ac:dyDescent="0.2">
      <c r="B202" s="765" t="s">
        <v>237</v>
      </c>
      <c r="C202" s="765"/>
      <c r="D202" s="765"/>
      <c r="E202" s="765"/>
      <c r="F202" s="765"/>
      <c r="G202" s="334"/>
      <c r="H202" s="334"/>
      <c r="I202" s="334"/>
      <c r="J202" s="334"/>
      <c r="K202" s="334"/>
      <c r="L202" s="334"/>
      <c r="M202" s="334"/>
      <c r="O202" s="363"/>
      <c r="P202" s="363"/>
      <c r="Q202" s="334"/>
      <c r="R202" s="334"/>
      <c r="S202" s="334"/>
      <c r="T202" s="334"/>
      <c r="U202" s="334"/>
      <c r="V202" s="229"/>
      <c r="W202" s="229"/>
    </row>
    <row r="203" spans="2:23" ht="15" customHeight="1" x14ac:dyDescent="0.2">
      <c r="B203" s="334"/>
      <c r="C203" s="334"/>
      <c r="D203" s="334"/>
      <c r="E203" s="219" t="s">
        <v>238</v>
      </c>
      <c r="K203" s="283"/>
      <c r="O203" s="363"/>
      <c r="P203" s="363"/>
      <c r="Q203" s="334"/>
      <c r="R203" s="334"/>
      <c r="S203" s="334"/>
      <c r="T203" s="334"/>
      <c r="U203" s="334"/>
      <c r="V203" s="229"/>
      <c r="W203" s="229"/>
    </row>
    <row r="204" spans="2:23" ht="15" customHeight="1" x14ac:dyDescent="0.2">
      <c r="B204" s="365" t="s">
        <v>239</v>
      </c>
      <c r="C204" s="766" t="s">
        <v>240</v>
      </c>
      <c r="D204" s="766"/>
      <c r="E204" s="219" t="s">
        <v>241</v>
      </c>
      <c r="K204" s="283"/>
      <c r="O204" s="363"/>
      <c r="P204" s="363"/>
      <c r="Q204" s="334"/>
      <c r="R204" s="334"/>
      <c r="S204" s="334"/>
      <c r="T204" s="334"/>
      <c r="U204" s="334"/>
      <c r="V204" s="229"/>
      <c r="W204" s="229"/>
    </row>
    <row r="205" spans="2:23" ht="15" customHeight="1" x14ac:dyDescent="0.2">
      <c r="B205" s="366"/>
      <c r="C205" s="350" t="s">
        <v>225</v>
      </c>
      <c r="D205" s="350" t="s">
        <v>226</v>
      </c>
      <c r="E205" s="350" t="s">
        <v>225</v>
      </c>
      <c r="F205" s="350" t="s">
        <v>226</v>
      </c>
      <c r="G205" s="350" t="s">
        <v>242</v>
      </c>
      <c r="H205" s="334"/>
      <c r="I205" s="334"/>
      <c r="J205" s="334"/>
      <c r="K205" s="334"/>
      <c r="L205" s="334"/>
      <c r="M205" s="334"/>
      <c r="O205" s="363"/>
      <c r="P205" s="363"/>
      <c r="Q205" s="334"/>
      <c r="R205" s="334"/>
      <c r="S205" s="334"/>
      <c r="T205" s="334"/>
      <c r="U205" s="334"/>
      <c r="V205" s="229"/>
      <c r="W205" s="229"/>
    </row>
    <row r="206" spans="2:23" ht="15" customHeight="1" x14ac:dyDescent="0.2">
      <c r="B206" s="367" t="s">
        <v>243</v>
      </c>
      <c r="C206" s="368">
        <v>1</v>
      </c>
      <c r="D206" s="369">
        <v>1</v>
      </c>
      <c r="E206" s="370">
        <f>+C206*S194</f>
        <v>67.2</v>
      </c>
      <c r="F206" s="370">
        <f>D206*S195</f>
        <v>196</v>
      </c>
      <c r="G206" s="371">
        <f>(C206+D206)*2</f>
        <v>4</v>
      </c>
      <c r="I206" s="219" t="s">
        <v>244</v>
      </c>
      <c r="O206" s="363"/>
      <c r="P206" s="363"/>
      <c r="Q206" s="334"/>
      <c r="R206" s="334"/>
      <c r="S206" s="334"/>
      <c r="T206" s="334"/>
      <c r="U206" s="334"/>
      <c r="V206" s="229"/>
      <c r="W206" s="229"/>
    </row>
    <row r="207" spans="2:23" ht="15" customHeight="1" x14ac:dyDescent="0.2">
      <c r="B207" s="367" t="s">
        <v>245</v>
      </c>
      <c r="C207" s="368">
        <v>6</v>
      </c>
      <c r="D207" s="369"/>
      <c r="E207" s="372">
        <f>C207*T194</f>
        <v>221.76000000000005</v>
      </c>
      <c r="F207" s="370">
        <f>D207*T195</f>
        <v>0</v>
      </c>
      <c r="G207" s="371">
        <f>(C207+D207)*1</f>
        <v>6</v>
      </c>
      <c r="I207" s="219" t="s">
        <v>246</v>
      </c>
      <c r="O207" s="363"/>
      <c r="P207" s="363"/>
      <c r="Q207" s="334"/>
      <c r="R207" s="334"/>
      <c r="S207" s="334"/>
      <c r="T207" s="334"/>
      <c r="U207" s="334"/>
      <c r="V207" s="229"/>
      <c r="W207" s="229"/>
    </row>
    <row r="208" spans="2:23" ht="15" customHeight="1" x14ac:dyDescent="0.2">
      <c r="B208" s="367" t="s">
        <v>234</v>
      </c>
      <c r="C208" s="368">
        <v>1</v>
      </c>
      <c r="D208" s="369"/>
      <c r="E208" s="372">
        <f>C208*U194</f>
        <v>7.3920000000000021</v>
      </c>
      <c r="F208" s="370"/>
      <c r="G208" s="371">
        <f>C208*2</f>
        <v>2</v>
      </c>
      <c r="I208" s="219" t="s">
        <v>247</v>
      </c>
      <c r="O208" s="363"/>
      <c r="P208" s="363"/>
      <c r="Q208" s="334"/>
      <c r="R208" s="334"/>
      <c r="S208" s="334"/>
      <c r="T208" s="334"/>
      <c r="U208" s="334"/>
      <c r="V208" s="229"/>
      <c r="W208" s="229"/>
    </row>
    <row r="209" spans="2:23" ht="15" customHeight="1" x14ac:dyDescent="0.2">
      <c r="B209" s="344" t="s">
        <v>229</v>
      </c>
      <c r="C209" s="373"/>
      <c r="D209" s="373"/>
      <c r="E209" s="374">
        <f>E206+E207+E208</f>
        <v>296.35200000000003</v>
      </c>
      <c r="F209" s="373">
        <f>F206+F207</f>
        <v>196</v>
      </c>
      <c r="G209" s="375">
        <f>G206+G207</f>
        <v>10</v>
      </c>
      <c r="I209" s="334"/>
      <c r="J209" s="334"/>
      <c r="K209" s="334"/>
      <c r="L209" s="334"/>
      <c r="M209" s="334"/>
      <c r="N209" s="334"/>
      <c r="O209" s="363"/>
      <c r="P209" s="363"/>
      <c r="Q209" s="334"/>
      <c r="R209" s="334"/>
      <c r="S209" s="334"/>
      <c r="T209" s="334"/>
      <c r="U209" s="334"/>
      <c r="V209" s="229"/>
      <c r="W209" s="229"/>
    </row>
    <row r="210" spans="2:23" ht="15" customHeight="1" x14ac:dyDescent="0.2">
      <c r="B210" s="366" t="s">
        <v>248</v>
      </c>
      <c r="C210" s="376"/>
      <c r="D210" s="376"/>
      <c r="E210" s="377">
        <f>E209/O200</f>
        <v>1.0682816048448145</v>
      </c>
      <c r="F210" s="378">
        <f>F209/P200</f>
        <v>0.91794679655301603</v>
      </c>
      <c r="G210" s="379"/>
      <c r="I210" s="334"/>
      <c r="J210" s="334"/>
      <c r="K210" s="334"/>
      <c r="O210" s="363"/>
      <c r="P210" s="363"/>
      <c r="Q210" s="334"/>
      <c r="R210" s="334"/>
      <c r="S210" s="334"/>
      <c r="T210" s="334"/>
      <c r="U210" s="334"/>
      <c r="V210" s="229"/>
      <c r="W210" s="229"/>
    </row>
    <row r="211" spans="2:23" ht="15" customHeight="1" x14ac:dyDescent="0.2">
      <c r="B211" s="334"/>
      <c r="C211" s="380"/>
      <c r="D211" s="380"/>
      <c r="E211" s="767">
        <f>AVERAGE(E210:F210)</f>
        <v>0.99311420069891532</v>
      </c>
      <c r="F211" s="768"/>
      <c r="G211" s="379"/>
      <c r="O211" s="363"/>
      <c r="P211" s="363"/>
      <c r="Q211" s="334"/>
      <c r="R211" s="334"/>
      <c r="S211" s="334"/>
      <c r="T211" s="334"/>
      <c r="U211" s="334"/>
      <c r="V211" s="229"/>
      <c r="W211" s="229"/>
    </row>
    <row r="212" spans="2:23" ht="15" customHeight="1" x14ac:dyDescent="0.2">
      <c r="B212" s="334"/>
      <c r="C212" s="334"/>
      <c r="D212" s="334"/>
      <c r="E212" s="219" t="s">
        <v>249</v>
      </c>
      <c r="J212" s="334"/>
      <c r="K212" s="334"/>
      <c r="O212" s="363"/>
      <c r="P212" s="363"/>
      <c r="Q212" s="334"/>
      <c r="R212" s="334"/>
      <c r="S212" s="334"/>
      <c r="T212" s="334"/>
      <c r="U212" s="334"/>
      <c r="V212" s="229"/>
      <c r="W212" s="229"/>
    </row>
    <row r="213" spans="2:23" ht="15" customHeight="1" x14ac:dyDescent="0.2">
      <c r="B213" s="219" t="s">
        <v>250</v>
      </c>
      <c r="C213" s="334"/>
      <c r="D213" s="334"/>
      <c r="F213" s="334"/>
      <c r="G213" s="334"/>
      <c r="H213" s="334"/>
      <c r="I213" s="334"/>
      <c r="J213" s="334"/>
      <c r="K213" s="334"/>
      <c r="O213" s="363"/>
      <c r="P213" s="363"/>
      <c r="Q213" s="334"/>
      <c r="R213" s="334"/>
      <c r="S213" s="334"/>
      <c r="T213" s="334"/>
      <c r="U213" s="334"/>
      <c r="V213" s="229"/>
      <c r="W213" s="229"/>
    </row>
    <row r="214" spans="2:23" ht="15" customHeight="1" x14ac:dyDescent="0.2">
      <c r="B214" s="334"/>
      <c r="C214" s="334"/>
      <c r="D214" s="334"/>
      <c r="E214" s="334"/>
      <c r="F214" s="334"/>
      <c r="G214" s="334"/>
      <c r="H214" s="334"/>
      <c r="I214" s="334"/>
      <c r="J214" s="334"/>
      <c r="K214" s="334"/>
      <c r="O214" s="363"/>
      <c r="P214" s="363"/>
      <c r="Q214" s="334"/>
      <c r="R214" s="334"/>
      <c r="S214" s="334"/>
      <c r="T214" s="334"/>
      <c r="U214" s="334"/>
      <c r="V214" s="229"/>
      <c r="W214" s="229"/>
    </row>
    <row r="215" spans="2:23" ht="15" customHeight="1" x14ac:dyDescent="0.2">
      <c r="B215" s="366"/>
      <c r="C215" s="350" t="s">
        <v>240</v>
      </c>
      <c r="D215" s="350" t="s">
        <v>231</v>
      </c>
      <c r="E215" s="350" t="s">
        <v>229</v>
      </c>
      <c r="F215" s="334"/>
      <c r="G215" s="334"/>
      <c r="H215" s="334"/>
      <c r="I215" s="334"/>
      <c r="O215" s="363"/>
      <c r="P215" s="363"/>
      <c r="Q215" s="334"/>
      <c r="R215" s="334"/>
      <c r="S215" s="334"/>
      <c r="T215" s="334"/>
      <c r="U215" s="334"/>
      <c r="V215" s="229"/>
      <c r="W215" s="229"/>
    </row>
    <row r="216" spans="2:23" ht="15" customHeight="1" x14ac:dyDescent="0.2">
      <c r="B216" s="367" t="s">
        <v>243</v>
      </c>
      <c r="C216" s="381">
        <v>1</v>
      </c>
      <c r="D216" s="382">
        <f>S194</f>
        <v>67.2</v>
      </c>
      <c r="E216" s="382">
        <f>D216*C216</f>
        <v>67.2</v>
      </c>
      <c r="F216" s="334"/>
      <c r="G216" s="334"/>
      <c r="H216" s="334"/>
      <c r="I216" s="334"/>
      <c r="O216" s="363"/>
      <c r="P216" s="363"/>
      <c r="Q216" s="334"/>
      <c r="R216" s="334"/>
      <c r="S216" s="334"/>
      <c r="T216" s="334"/>
      <c r="U216" s="334"/>
      <c r="V216" s="229"/>
      <c r="W216" s="229"/>
    </row>
    <row r="217" spans="2:23" ht="15" customHeight="1" x14ac:dyDescent="0.2">
      <c r="B217" s="367" t="s">
        <v>245</v>
      </c>
      <c r="C217" s="383"/>
      <c r="D217" s="382">
        <f>C217*U203</f>
        <v>0</v>
      </c>
      <c r="E217" s="382"/>
      <c r="F217" s="334"/>
      <c r="G217" s="334"/>
      <c r="H217" s="334"/>
      <c r="I217" s="334"/>
      <c r="O217" s="363"/>
      <c r="P217" s="363"/>
      <c r="Q217" s="334"/>
      <c r="R217" s="334"/>
      <c r="S217" s="334"/>
      <c r="T217" s="334"/>
      <c r="U217" s="334"/>
      <c r="V217" s="229"/>
      <c r="W217" s="229"/>
    </row>
    <row r="218" spans="2:23" ht="15" customHeight="1" x14ac:dyDescent="0.2">
      <c r="B218" s="367" t="s">
        <v>234</v>
      </c>
      <c r="C218" s="384">
        <v>1</v>
      </c>
      <c r="D218" s="382">
        <f>U194</f>
        <v>7.3920000000000021</v>
      </c>
      <c r="E218" s="382">
        <f>D218*C218</f>
        <v>7.3920000000000021</v>
      </c>
      <c r="F218" s="334"/>
      <c r="G218" s="334"/>
      <c r="H218" s="334"/>
      <c r="I218" s="334"/>
      <c r="O218" s="363"/>
      <c r="P218" s="363"/>
      <c r="Q218" s="334"/>
      <c r="R218" s="334"/>
      <c r="S218" s="334"/>
      <c r="T218" s="334"/>
      <c r="U218" s="334"/>
      <c r="V218" s="229"/>
      <c r="W218" s="229"/>
    </row>
    <row r="219" spans="2:23" ht="15" customHeight="1" x14ac:dyDescent="0.2">
      <c r="B219" s="344" t="s">
        <v>229</v>
      </c>
      <c r="C219" s="385"/>
      <c r="D219" s="386">
        <f>D216+D217</f>
        <v>67.2</v>
      </c>
      <c r="E219" s="386">
        <f>E216+E217+E218</f>
        <v>74.591999999999999</v>
      </c>
      <c r="F219" s="334"/>
      <c r="G219" s="334"/>
      <c r="H219" s="334"/>
      <c r="I219" s="334"/>
      <c r="O219" s="363"/>
      <c r="P219" s="363"/>
      <c r="Q219" s="334"/>
      <c r="R219" s="334"/>
      <c r="S219" s="334"/>
      <c r="T219" s="334"/>
      <c r="U219" s="334"/>
      <c r="V219" s="229"/>
      <c r="W219" s="229"/>
    </row>
    <row r="220" spans="2:23" ht="15" customHeight="1" x14ac:dyDescent="0.2">
      <c r="B220" s="769" t="s">
        <v>248</v>
      </c>
      <c r="C220" s="770"/>
      <c r="D220" s="771">
        <f>E219/O201</f>
        <v>0.15194019513983661</v>
      </c>
      <c r="E220" s="771"/>
      <c r="G220" s="334"/>
      <c r="H220" s="334"/>
      <c r="I220" s="334"/>
      <c r="J220" s="334"/>
      <c r="O220" s="363"/>
      <c r="P220" s="363"/>
      <c r="Q220" s="334"/>
      <c r="R220" s="334"/>
      <c r="S220" s="334"/>
      <c r="T220" s="334"/>
      <c r="U220" s="334"/>
      <c r="V220" s="229"/>
      <c r="W220" s="229"/>
    </row>
    <row r="221" spans="2:23" ht="15" customHeight="1" x14ac:dyDescent="0.2">
      <c r="B221" s="334"/>
      <c r="C221" s="334"/>
      <c r="D221" s="334"/>
      <c r="E221" s="334"/>
      <c r="F221" s="334"/>
      <c r="G221" s="334"/>
      <c r="H221" s="334"/>
      <c r="I221" s="334"/>
      <c r="J221" s="334"/>
      <c r="K221" s="334"/>
      <c r="L221" s="334"/>
      <c r="M221" s="334"/>
      <c r="N221" s="334"/>
      <c r="O221" s="334"/>
      <c r="P221" s="334"/>
      <c r="Q221" s="334"/>
      <c r="R221" s="334"/>
      <c r="S221" s="334"/>
      <c r="T221" s="334"/>
      <c r="U221" s="229"/>
      <c r="V221" s="229"/>
    </row>
    <row r="222" spans="2:23" ht="15" customHeight="1" x14ac:dyDescent="0.2">
      <c r="B222" s="772" t="s">
        <v>251</v>
      </c>
      <c r="C222" s="772"/>
      <c r="D222" s="772"/>
      <c r="E222" s="772"/>
      <c r="F222" s="772"/>
      <c r="G222" s="772"/>
      <c r="H222" s="772"/>
      <c r="I222" s="772"/>
      <c r="J222" s="772"/>
      <c r="K222" s="772"/>
      <c r="L222" s="772"/>
      <c r="M222" s="772"/>
      <c r="N222" s="334"/>
      <c r="O222" s="334"/>
      <c r="P222" s="334"/>
      <c r="Q222" s="334"/>
      <c r="R222" s="334"/>
      <c r="S222" s="334"/>
      <c r="T222" s="334"/>
      <c r="U222" s="229"/>
      <c r="V222" s="229"/>
    </row>
    <row r="223" spans="2:23" ht="15" customHeight="1" x14ac:dyDescent="0.2">
      <c r="B223" s="344" t="s">
        <v>105</v>
      </c>
      <c r="C223" s="344"/>
      <c r="D223" s="344"/>
      <c r="E223" s="344"/>
      <c r="F223" s="344"/>
      <c r="G223" s="344"/>
      <c r="H223" s="344"/>
      <c r="I223" s="344"/>
      <c r="J223" s="344"/>
      <c r="K223" s="344"/>
      <c r="L223" s="344"/>
      <c r="M223" s="344"/>
      <c r="N223" s="334"/>
      <c r="O223" s="334"/>
      <c r="P223" s="334"/>
      <c r="Q223" s="334"/>
      <c r="R223" s="334"/>
      <c r="S223" s="334"/>
      <c r="T223" s="334"/>
      <c r="U223" s="229"/>
      <c r="V223" s="229"/>
    </row>
    <row r="224" spans="2:23" ht="15" customHeight="1" x14ac:dyDescent="0.2">
      <c r="B224" s="344" t="s">
        <v>106</v>
      </c>
      <c r="C224" s="344"/>
      <c r="D224" s="344"/>
      <c r="E224" s="344"/>
      <c r="F224" s="344"/>
      <c r="G224" s="344"/>
      <c r="H224" s="344"/>
      <c r="I224" s="344"/>
      <c r="J224" s="344"/>
      <c r="K224" s="344"/>
      <c r="L224" s="344"/>
      <c r="M224" s="344"/>
      <c r="N224" s="334"/>
      <c r="O224" s="334"/>
      <c r="P224" s="334"/>
      <c r="Q224" s="334"/>
      <c r="R224" s="334"/>
      <c r="S224" s="334"/>
      <c r="T224" s="334"/>
      <c r="U224" s="229"/>
      <c r="V224" s="229"/>
    </row>
    <row r="225" spans="2:23" ht="15" customHeight="1" x14ac:dyDescent="0.2">
      <c r="B225" s="344" t="s">
        <v>52</v>
      </c>
      <c r="C225" s="344"/>
      <c r="D225" s="344"/>
      <c r="E225" s="344"/>
      <c r="F225" s="344"/>
      <c r="G225" s="344"/>
      <c r="H225" s="344"/>
      <c r="I225" s="344"/>
      <c r="J225" s="344"/>
      <c r="K225" s="344"/>
      <c r="L225" s="344"/>
      <c r="M225" s="344"/>
      <c r="N225" s="334"/>
      <c r="O225" s="334"/>
      <c r="P225" s="334"/>
      <c r="Q225" s="334"/>
      <c r="R225" s="334"/>
      <c r="S225" s="334"/>
      <c r="T225" s="334"/>
      <c r="U225" s="229"/>
      <c r="V225" s="229"/>
    </row>
    <row r="226" spans="2:23" ht="15" customHeight="1" x14ac:dyDescent="0.2">
      <c r="B226" s="334"/>
      <c r="C226" s="334"/>
      <c r="D226" s="334"/>
      <c r="E226" s="334"/>
      <c r="F226" s="334"/>
      <c r="G226" s="334"/>
      <c r="H226" s="334"/>
      <c r="I226" s="334"/>
      <c r="J226" s="334"/>
      <c r="K226" s="334"/>
      <c r="L226" s="334"/>
      <c r="M226" s="334"/>
      <c r="N226" s="334"/>
      <c r="O226" s="334"/>
      <c r="P226" s="334"/>
      <c r="Q226" s="334"/>
      <c r="R226" s="334"/>
      <c r="S226" s="334"/>
      <c r="T226" s="334"/>
      <c r="U226" s="230"/>
      <c r="V226" s="230"/>
    </row>
    <row r="227" spans="2:23" ht="15" customHeight="1" x14ac:dyDescent="0.2">
      <c r="B227" s="239"/>
      <c r="C227" s="387"/>
      <c r="D227" s="387"/>
      <c r="E227" s="387"/>
      <c r="F227" s="387"/>
      <c r="G227" s="387"/>
      <c r="H227" s="388" t="s">
        <v>47</v>
      </c>
      <c r="I227" s="389"/>
      <c r="J227" s="390"/>
      <c r="K227" s="388" t="s">
        <v>48</v>
      </c>
      <c r="L227" s="389"/>
      <c r="M227" s="391"/>
      <c r="N227" s="715" t="s">
        <v>49</v>
      </c>
      <c r="O227" s="715"/>
      <c r="P227" s="715"/>
      <c r="T227" s="392"/>
      <c r="W227" s="230"/>
    </row>
    <row r="228" spans="2:23" ht="15" customHeight="1" x14ac:dyDescent="0.2">
      <c r="B228" s="239" t="s">
        <v>189</v>
      </c>
      <c r="C228" s="387"/>
      <c r="D228" s="387"/>
      <c r="E228" s="387"/>
      <c r="F228" s="387"/>
      <c r="G228" s="387"/>
      <c r="H228" s="393"/>
      <c r="I228" s="389"/>
      <c r="J228" s="391"/>
      <c r="K228" s="393"/>
      <c r="L228" s="389"/>
      <c r="M228" s="391"/>
      <c r="N228" s="773"/>
      <c r="O228" s="774"/>
      <c r="P228" s="775"/>
      <c r="T228" s="392"/>
      <c r="W228" s="230"/>
    </row>
    <row r="229" spans="2:23" ht="15" customHeight="1" x14ac:dyDescent="0.2">
      <c r="B229" s="239"/>
      <c r="C229" s="394" t="s">
        <v>268</v>
      </c>
      <c r="D229" s="387"/>
      <c r="E229" s="387"/>
      <c r="F229" s="394" t="s">
        <v>269</v>
      </c>
      <c r="G229" s="387"/>
      <c r="H229" s="387"/>
      <c r="I229" s="395"/>
      <c r="J229" s="395"/>
      <c r="K229" s="395"/>
      <c r="L229" s="395"/>
      <c r="M229" s="395"/>
      <c r="N229" s="395"/>
      <c r="O229" s="395"/>
      <c r="P229" s="395"/>
      <c r="T229" s="392"/>
      <c r="W229" s="230"/>
    </row>
    <row r="230" spans="2:23" ht="15" customHeight="1" x14ac:dyDescent="0.2">
      <c r="B230" s="272" t="s">
        <v>270</v>
      </c>
      <c r="C230" s="776" t="s">
        <v>47</v>
      </c>
      <c r="D230" s="776"/>
      <c r="E230" s="776"/>
      <c r="F230" s="776"/>
      <c r="G230" s="776" t="s">
        <v>47</v>
      </c>
      <c r="H230" s="776"/>
      <c r="I230" s="776"/>
      <c r="J230" s="395"/>
      <c r="K230" s="395"/>
      <c r="L230" s="395"/>
      <c r="M230" s="395"/>
      <c r="N230" s="395"/>
      <c r="O230" s="395"/>
      <c r="P230" s="395"/>
      <c r="T230" s="392"/>
      <c r="W230" s="230"/>
    </row>
    <row r="231" spans="2:23" ht="15" customHeight="1" x14ac:dyDescent="0.2">
      <c r="B231" s="272"/>
      <c r="C231" s="777" t="s">
        <v>2361</v>
      </c>
      <c r="D231" s="777"/>
      <c r="E231" s="776" t="s">
        <v>271</v>
      </c>
      <c r="F231" s="776"/>
      <c r="G231" s="776" t="s">
        <v>272</v>
      </c>
      <c r="H231" s="776"/>
      <c r="I231" s="396" t="s">
        <v>271</v>
      </c>
      <c r="J231" s="395"/>
      <c r="K231" s="395"/>
      <c r="L231" s="395"/>
      <c r="M231" s="395"/>
      <c r="N231" s="395"/>
      <c r="O231" s="395"/>
      <c r="P231" s="395"/>
      <c r="T231" s="392"/>
      <c r="W231" s="230"/>
    </row>
    <row r="232" spans="2:23" ht="15" customHeight="1" x14ac:dyDescent="0.2">
      <c r="B232" s="272" t="s">
        <v>273</v>
      </c>
      <c r="C232" s="773">
        <v>6</v>
      </c>
      <c r="D232" s="775"/>
      <c r="E232" s="776">
        <v>10</v>
      </c>
      <c r="F232" s="776"/>
      <c r="G232" s="773">
        <f>I190</f>
        <v>9</v>
      </c>
      <c r="H232" s="775"/>
      <c r="I232" s="396">
        <f>G232</f>
        <v>9</v>
      </c>
      <c r="J232" s="397" t="s">
        <v>274</v>
      </c>
      <c r="K232" s="398"/>
      <c r="L232" s="395"/>
      <c r="M232" s="395"/>
      <c r="N232" s="395"/>
      <c r="O232" s="395"/>
      <c r="P232" s="395"/>
      <c r="T232" s="392"/>
      <c r="W232" s="230"/>
    </row>
    <row r="233" spans="2:23" ht="15" customHeight="1" x14ac:dyDescent="0.2">
      <c r="B233" s="272" t="s">
        <v>275</v>
      </c>
      <c r="C233" s="773">
        <v>7</v>
      </c>
      <c r="D233" s="775"/>
      <c r="E233" s="778">
        <v>13</v>
      </c>
      <c r="F233" s="778"/>
      <c r="G233" s="773">
        <f>G209</f>
        <v>10</v>
      </c>
      <c r="H233" s="775"/>
      <c r="I233" s="396">
        <f>G233*2</f>
        <v>20</v>
      </c>
      <c r="J233" s="397" t="s">
        <v>276</v>
      </c>
      <c r="K233" s="398"/>
      <c r="L233" s="395"/>
      <c r="M233" s="395"/>
      <c r="N233" s="395"/>
      <c r="O233" s="395"/>
      <c r="P233" s="395"/>
      <c r="T233" s="392"/>
      <c r="W233" s="230"/>
    </row>
    <row r="234" spans="2:23" ht="15" customHeight="1" x14ac:dyDescent="0.2">
      <c r="B234" s="272" t="s">
        <v>277</v>
      </c>
      <c r="C234" s="773">
        <v>1</v>
      </c>
      <c r="D234" s="775"/>
      <c r="E234" s="776">
        <v>2</v>
      </c>
      <c r="F234" s="776"/>
      <c r="G234" s="773">
        <v>2</v>
      </c>
      <c r="H234" s="775"/>
      <c r="I234" s="396">
        <v>4</v>
      </c>
      <c r="J234" s="779" t="s">
        <v>278</v>
      </c>
      <c r="K234" s="779"/>
      <c r="L234" s="779"/>
      <c r="M234" s="395"/>
      <c r="N234" s="395"/>
      <c r="O234" s="395"/>
      <c r="P234" s="395"/>
      <c r="T234" s="392"/>
      <c r="W234" s="230"/>
    </row>
    <row r="235" spans="2:23" ht="15" customHeight="1" x14ac:dyDescent="0.2">
      <c r="B235" s="272" t="s">
        <v>279</v>
      </c>
      <c r="C235" s="773">
        <v>1</v>
      </c>
      <c r="D235" s="775"/>
      <c r="E235" s="773">
        <v>2</v>
      </c>
      <c r="F235" s="775"/>
      <c r="G235" s="773">
        <v>1</v>
      </c>
      <c r="H235" s="775"/>
      <c r="I235" s="396">
        <f>G235*2</f>
        <v>2</v>
      </c>
      <c r="J235" s="779"/>
      <c r="K235" s="779"/>
      <c r="L235" s="779"/>
      <c r="M235" s="395"/>
      <c r="N235" s="395"/>
      <c r="O235" s="395"/>
      <c r="P235" s="395"/>
      <c r="T235" s="392"/>
      <c r="W235" s="230"/>
    </row>
    <row r="236" spans="2:23" ht="15" customHeight="1" x14ac:dyDescent="0.2">
      <c r="B236" s="272" t="s">
        <v>280</v>
      </c>
      <c r="C236" s="773">
        <v>3</v>
      </c>
      <c r="D236" s="775"/>
      <c r="E236" s="776">
        <v>3</v>
      </c>
      <c r="F236" s="776"/>
      <c r="G236" s="773">
        <v>5</v>
      </c>
      <c r="H236" s="775"/>
      <c r="I236" s="396">
        <v>5</v>
      </c>
      <c r="J236" s="779"/>
      <c r="K236" s="779"/>
      <c r="L236" s="779"/>
      <c r="M236" s="395"/>
      <c r="N236" s="395"/>
      <c r="O236" s="395"/>
      <c r="P236" s="395"/>
      <c r="Q236" s="399"/>
      <c r="R236" s="399"/>
      <c r="S236" s="399"/>
      <c r="T236" s="392"/>
      <c r="W236" s="230"/>
    </row>
    <row r="237" spans="2:23" ht="15" customHeight="1" x14ac:dyDescent="0.2">
      <c r="B237" s="272" t="s">
        <v>229</v>
      </c>
      <c r="C237" s="773">
        <f>C232+C233+C234+C236</f>
        <v>17</v>
      </c>
      <c r="D237" s="775"/>
      <c r="E237" s="773">
        <f>E232+E233+E234+E236</f>
        <v>28</v>
      </c>
      <c r="F237" s="775"/>
      <c r="G237" s="773">
        <f>G232+G233+G234+G236+G235</f>
        <v>27</v>
      </c>
      <c r="H237" s="775"/>
      <c r="I237" s="396">
        <f>I232+I233+I234+I236+I235</f>
        <v>40</v>
      </c>
      <c r="J237" s="387"/>
      <c r="K237" s="395"/>
      <c r="L237" s="395"/>
      <c r="U237" s="229"/>
      <c r="V237" s="229"/>
    </row>
    <row r="238" spans="2:23" ht="15" customHeight="1" x14ac:dyDescent="0.25">
      <c r="B238" s="228"/>
      <c r="C238" s="228"/>
      <c r="D238" s="228"/>
      <c r="E238" s="228"/>
      <c r="F238" s="228"/>
      <c r="G238" s="228"/>
      <c r="H238" s="228"/>
      <c r="I238" s="228"/>
      <c r="J238" s="228"/>
      <c r="U238" s="229"/>
      <c r="V238" s="229"/>
    </row>
    <row r="239" spans="2:23" ht="15" customHeight="1" x14ac:dyDescent="0.2">
      <c r="B239" s="239" t="s">
        <v>327</v>
      </c>
      <c r="C239" s="229"/>
      <c r="D239" s="229"/>
      <c r="E239" s="229"/>
      <c r="F239" s="229"/>
      <c r="G239" s="229"/>
      <c r="H239" s="229"/>
      <c r="I239" s="229"/>
      <c r="J239" s="229"/>
      <c r="K239" s="229"/>
      <c r="L239" s="229"/>
      <c r="M239" s="229"/>
      <c r="N239" s="229"/>
      <c r="O239" s="229"/>
      <c r="P239" s="229"/>
      <c r="Q239" s="229"/>
      <c r="R239" s="229"/>
      <c r="S239" s="229"/>
      <c r="T239" s="229"/>
      <c r="U239" s="229"/>
      <c r="V239" s="229"/>
    </row>
    <row r="240" spans="2:23" ht="15" customHeight="1" x14ac:dyDescent="0.2">
      <c r="B240" s="714" t="s">
        <v>326</v>
      </c>
      <c r="C240" s="714" t="s">
        <v>3</v>
      </c>
      <c r="D240" s="714"/>
      <c r="E240" s="714"/>
      <c r="F240" s="714"/>
      <c r="G240" s="714"/>
      <c r="H240" s="714"/>
      <c r="I240" s="714"/>
      <c r="J240" s="714"/>
      <c r="K240" s="714"/>
      <c r="L240" s="714"/>
      <c r="M240" s="714" t="s">
        <v>25</v>
      </c>
      <c r="N240" s="714"/>
      <c r="O240" s="714" t="s">
        <v>20</v>
      </c>
      <c r="P240" s="714" t="s">
        <v>107</v>
      </c>
    </row>
    <row r="241" spans="2:23" ht="15" customHeight="1" x14ac:dyDescent="0.2">
      <c r="B241" s="714"/>
      <c r="C241" s="714"/>
      <c r="D241" s="714"/>
      <c r="E241" s="714"/>
      <c r="F241" s="714"/>
      <c r="G241" s="714"/>
      <c r="H241" s="714"/>
      <c r="I241" s="714"/>
      <c r="J241" s="714"/>
      <c r="K241" s="714"/>
      <c r="L241" s="714"/>
      <c r="M241" s="714"/>
      <c r="N241" s="714"/>
      <c r="O241" s="714"/>
      <c r="P241" s="714"/>
      <c r="U241" s="229"/>
    </row>
    <row r="242" spans="2:23" ht="45" customHeight="1" x14ac:dyDescent="0.2">
      <c r="B242" s="400" t="s">
        <v>1</v>
      </c>
      <c r="C242" s="401" t="s">
        <v>2358</v>
      </c>
      <c r="D242" s="402"/>
      <c r="E242" s="402"/>
      <c r="F242" s="402"/>
      <c r="G242" s="402"/>
      <c r="H242" s="402"/>
      <c r="I242" s="402"/>
      <c r="J242" s="402"/>
      <c r="K242" s="402"/>
      <c r="L242" s="403"/>
      <c r="M242" s="780"/>
      <c r="N242" s="780"/>
      <c r="O242" s="400"/>
      <c r="P242" s="400"/>
      <c r="Q242" s="781"/>
      <c r="R242" s="782"/>
      <c r="S242" s="404"/>
      <c r="T242" s="404"/>
      <c r="U242" s="229"/>
    </row>
    <row r="243" spans="2:23" ht="45" customHeight="1" x14ac:dyDescent="0.2">
      <c r="B243" s="238"/>
      <c r="C243" s="401" t="s">
        <v>2359</v>
      </c>
      <c r="D243" s="402"/>
      <c r="E243" s="402"/>
      <c r="F243" s="402"/>
      <c r="G243" s="402"/>
      <c r="H243" s="402"/>
      <c r="I243" s="402"/>
      <c r="J243" s="402"/>
      <c r="K243" s="402"/>
      <c r="L243" s="403"/>
      <c r="M243" s="238"/>
      <c r="N243" s="238"/>
      <c r="O243" s="238"/>
      <c r="P243" s="238"/>
      <c r="Q243" s="405"/>
      <c r="R243" s="405"/>
      <c r="S243" s="404"/>
      <c r="T243" s="404"/>
      <c r="U243" s="229"/>
    </row>
    <row r="244" spans="2:23" ht="14.25" customHeight="1" x14ac:dyDescent="0.2">
      <c r="B244" s="238"/>
      <c r="C244" s="795"/>
      <c r="D244" s="795"/>
      <c r="E244" s="795"/>
      <c r="F244" s="795"/>
      <c r="G244" s="795"/>
      <c r="H244" s="795"/>
      <c r="I244" s="795"/>
      <c r="J244" s="795"/>
      <c r="K244" s="795"/>
      <c r="L244" s="795"/>
      <c r="M244" s="238"/>
      <c r="N244" s="238"/>
      <c r="O244" s="238"/>
      <c r="P244" s="238"/>
      <c r="Q244" s="405"/>
      <c r="R244" s="405"/>
      <c r="S244" s="404"/>
      <c r="T244" s="404"/>
      <c r="U244" s="229"/>
    </row>
    <row r="245" spans="2:23" s="286" customFormat="1" ht="15" customHeight="1" x14ac:dyDescent="0.2">
      <c r="B245" s="334"/>
      <c r="C245" s="334"/>
      <c r="D245" s="334"/>
      <c r="E245" s="334"/>
      <c r="F245" s="334"/>
      <c r="G245" s="334"/>
      <c r="H245" s="334"/>
      <c r="I245" s="334"/>
      <c r="J245" s="334"/>
      <c r="K245" s="334"/>
      <c r="L245" s="334"/>
      <c r="M245" s="334"/>
      <c r="N245" s="334"/>
      <c r="O245" s="334"/>
      <c r="P245" s="334"/>
      <c r="Q245" s="334"/>
      <c r="R245" s="334"/>
      <c r="S245" s="334"/>
      <c r="T245" s="334"/>
      <c r="U245" s="284"/>
      <c r="V245" s="284"/>
    </row>
    <row r="246" spans="2:23" s="286" customFormat="1" ht="15" customHeight="1" x14ac:dyDescent="0.25">
      <c r="B246" s="228" t="s">
        <v>108</v>
      </c>
      <c r="C246" s="334"/>
      <c r="D246" s="334"/>
      <c r="E246" s="334"/>
      <c r="F246" s="334"/>
      <c r="G246" s="334"/>
      <c r="H246" s="334"/>
      <c r="I246" s="334"/>
      <c r="J246" s="334"/>
      <c r="K246" s="334"/>
      <c r="L246" s="334"/>
      <c r="M246" s="334"/>
      <c r="N246" s="334"/>
      <c r="O246" s="334"/>
      <c r="P246" s="334"/>
      <c r="Q246" s="334"/>
      <c r="R246" s="334"/>
      <c r="S246" s="334"/>
      <c r="T246" s="334"/>
      <c r="U246" s="284"/>
      <c r="V246" s="284"/>
    </row>
    <row r="247" spans="2:23" s="286" customFormat="1" ht="15" customHeight="1" x14ac:dyDescent="0.25">
      <c r="B247" s="228"/>
      <c r="C247" s="334"/>
      <c r="D247" s="334"/>
      <c r="E247" s="334"/>
      <c r="F247" s="334"/>
      <c r="G247" s="334"/>
      <c r="H247" s="334"/>
      <c r="I247" s="334"/>
      <c r="J247" s="334"/>
      <c r="K247" s="334"/>
      <c r="L247" s="334"/>
      <c r="M247" s="334"/>
      <c r="N247" s="334"/>
      <c r="O247" s="334"/>
      <c r="P247" s="334"/>
      <c r="Q247" s="334"/>
      <c r="R247" s="334"/>
      <c r="S247" s="334"/>
      <c r="T247" s="334"/>
      <c r="U247" s="284"/>
      <c r="V247" s="284"/>
    </row>
    <row r="248" spans="2:23" ht="15" customHeight="1" x14ac:dyDescent="0.25">
      <c r="B248" s="239" t="s">
        <v>190</v>
      </c>
      <c r="C248" s="387"/>
      <c r="D248" s="387"/>
      <c r="E248" s="387"/>
      <c r="F248" s="387"/>
      <c r="G248" s="387"/>
      <c r="H248" s="387"/>
      <c r="I248" s="387"/>
      <c r="J248" s="387"/>
      <c r="K248" s="773"/>
      <c r="L248" s="774"/>
      <c r="M248" s="775"/>
      <c r="N248" s="230"/>
      <c r="O248" s="230"/>
      <c r="P248" s="230"/>
      <c r="Q248" s="230"/>
      <c r="R248" s="406"/>
      <c r="S248" s="406"/>
      <c r="T248" s="392"/>
      <c r="W248" s="230"/>
    </row>
    <row r="249" spans="2:23" ht="15" customHeight="1" x14ac:dyDescent="0.25">
      <c r="B249" s="239"/>
      <c r="C249" s="387"/>
      <c r="D249" s="387"/>
      <c r="E249" s="387"/>
      <c r="F249" s="387"/>
      <c r="G249" s="387"/>
      <c r="H249" s="387"/>
      <c r="I249" s="387"/>
      <c r="J249" s="387"/>
      <c r="O249" s="230"/>
      <c r="P249" s="230"/>
      <c r="Q249" s="230"/>
      <c r="R249" s="406"/>
      <c r="S249" s="406"/>
      <c r="T249" s="392"/>
      <c r="W249" s="230"/>
    </row>
    <row r="250" spans="2:23" ht="15" customHeight="1" x14ac:dyDescent="0.25">
      <c r="B250" s="239" t="s">
        <v>191</v>
      </c>
      <c r="C250" s="387"/>
      <c r="D250" s="387"/>
      <c r="E250" s="387"/>
      <c r="F250" s="387"/>
      <c r="G250" s="387"/>
      <c r="H250" s="387"/>
      <c r="I250" s="387"/>
      <c r="J250" s="387"/>
      <c r="K250" s="773"/>
      <c r="L250" s="774"/>
      <c r="M250" s="775"/>
      <c r="N250" s="230"/>
      <c r="O250" s="230"/>
      <c r="P250" s="230"/>
      <c r="Q250" s="230"/>
      <c r="R250" s="406"/>
      <c r="S250" s="406"/>
      <c r="T250" s="392"/>
      <c r="W250" s="230"/>
    </row>
    <row r="251" spans="2:23" s="286" customFormat="1" ht="15" customHeight="1" x14ac:dyDescent="0.2">
      <c r="B251" s="239"/>
      <c r="C251" s="334"/>
      <c r="D251" s="334"/>
      <c r="E251" s="334"/>
      <c r="F251" s="334"/>
      <c r="G251" s="334"/>
      <c r="H251" s="334"/>
      <c r="I251" s="334"/>
      <c r="J251" s="334"/>
      <c r="K251" s="334"/>
      <c r="L251" s="334"/>
      <c r="M251" s="334"/>
      <c r="N251" s="334"/>
      <c r="O251" s="334"/>
      <c r="P251" s="334"/>
      <c r="Q251" s="334"/>
      <c r="R251" s="334"/>
      <c r="S251" s="334"/>
      <c r="T251" s="334"/>
      <c r="U251" s="284"/>
      <c r="V251" s="284"/>
    </row>
    <row r="252" spans="2:23" s="286" customFormat="1" ht="35.25" customHeight="1" x14ac:dyDescent="0.2">
      <c r="B252" s="350" t="s">
        <v>329</v>
      </c>
      <c r="C252" s="751" t="s">
        <v>54</v>
      </c>
      <c r="D252" s="783"/>
      <c r="E252" s="783"/>
      <c r="F252" s="752"/>
      <c r="G252" s="751" t="s">
        <v>176</v>
      </c>
      <c r="H252" s="783"/>
      <c r="I252" s="783"/>
      <c r="J252" s="350" t="s">
        <v>55</v>
      </c>
      <c r="K252" s="350" t="s">
        <v>56</v>
      </c>
      <c r="L252" s="350" t="s">
        <v>57</v>
      </c>
      <c r="M252" s="350" t="s">
        <v>61</v>
      </c>
      <c r="N252" s="334"/>
      <c r="O252" s="334"/>
      <c r="P252" s="334"/>
      <c r="Q252" s="334"/>
      <c r="R252" s="334"/>
      <c r="S252" s="334"/>
      <c r="T252" s="334"/>
      <c r="U252" s="284"/>
      <c r="V252" s="284"/>
    </row>
    <row r="253" spans="2:23" s="286" customFormat="1" ht="15" customHeight="1" x14ac:dyDescent="0.2">
      <c r="B253" s="784" t="s">
        <v>328</v>
      </c>
      <c r="C253" s="786" t="s">
        <v>58</v>
      </c>
      <c r="D253" s="787"/>
      <c r="E253" s="787"/>
      <c r="F253" s="788"/>
      <c r="G253" s="407"/>
      <c r="H253" s="408"/>
      <c r="I253" s="408"/>
      <c r="J253" s="409"/>
      <c r="K253" s="279"/>
      <c r="L253" s="409"/>
      <c r="M253" s="409"/>
      <c r="N253" s="334"/>
      <c r="O253" s="334"/>
      <c r="P253" s="334"/>
      <c r="Q253" s="334"/>
      <c r="R253" s="334"/>
      <c r="S253" s="334"/>
      <c r="T253" s="334"/>
      <c r="U253" s="284"/>
      <c r="V253" s="284"/>
    </row>
    <row r="254" spans="2:23" s="286" customFormat="1" ht="15" customHeight="1" x14ac:dyDescent="0.2">
      <c r="B254" s="785"/>
      <c r="C254" s="789"/>
      <c r="D254" s="790"/>
      <c r="E254" s="790"/>
      <c r="F254" s="791"/>
      <c r="G254" s="407"/>
      <c r="H254" s="408"/>
      <c r="I254" s="408"/>
      <c r="J254" s="409"/>
      <c r="K254" s="279"/>
      <c r="L254" s="409"/>
      <c r="M254" s="409"/>
      <c r="N254" s="334"/>
      <c r="O254" s="334"/>
      <c r="P254" s="334"/>
      <c r="Q254" s="334"/>
      <c r="R254" s="334"/>
      <c r="S254" s="334"/>
      <c r="T254" s="334"/>
      <c r="U254" s="284"/>
      <c r="V254" s="284"/>
    </row>
    <row r="255" spans="2:23" s="286" customFormat="1" ht="15" customHeight="1" x14ac:dyDescent="0.2">
      <c r="B255" s="785"/>
      <c r="C255" s="792"/>
      <c r="D255" s="793"/>
      <c r="E255" s="793"/>
      <c r="F255" s="794"/>
      <c r="G255" s="407"/>
      <c r="H255" s="408"/>
      <c r="I255" s="408"/>
      <c r="J255" s="409"/>
      <c r="K255" s="279"/>
      <c r="L255" s="409"/>
      <c r="M255" s="409"/>
      <c r="N255" s="334"/>
      <c r="O255" s="334"/>
      <c r="P255" s="334"/>
      <c r="Q255" s="334"/>
      <c r="R255" s="334"/>
      <c r="S255" s="334"/>
      <c r="T255" s="334"/>
      <c r="U255" s="284"/>
      <c r="V255" s="284"/>
    </row>
    <row r="256" spans="2:23" s="286" customFormat="1" ht="15" customHeight="1" x14ac:dyDescent="0.2">
      <c r="B256" s="785"/>
      <c r="C256" s="786" t="s">
        <v>59</v>
      </c>
      <c r="D256" s="787"/>
      <c r="E256" s="787"/>
      <c r="F256" s="788"/>
      <c r="G256" s="407"/>
      <c r="H256" s="408"/>
      <c r="I256" s="408"/>
      <c r="J256" s="409"/>
      <c r="K256" s="279"/>
      <c r="L256" s="409"/>
      <c r="M256" s="409"/>
      <c r="N256" s="334"/>
      <c r="O256" s="334"/>
      <c r="P256" s="334"/>
      <c r="Q256" s="334"/>
      <c r="R256" s="334"/>
      <c r="S256" s="334"/>
      <c r="T256" s="334"/>
      <c r="U256" s="284"/>
      <c r="V256" s="284"/>
    </row>
    <row r="257" spans="2:25" s="286" customFormat="1" ht="15" customHeight="1" x14ac:dyDescent="0.2">
      <c r="B257" s="785"/>
      <c r="C257" s="789"/>
      <c r="D257" s="790"/>
      <c r="E257" s="790"/>
      <c r="F257" s="791"/>
      <c r="G257" s="407"/>
      <c r="H257" s="408"/>
      <c r="I257" s="408"/>
      <c r="J257" s="409"/>
      <c r="K257" s="279"/>
      <c r="L257" s="409"/>
      <c r="M257" s="409"/>
      <c r="N257" s="334"/>
      <c r="O257" s="334"/>
      <c r="P257" s="334"/>
      <c r="Q257" s="334"/>
      <c r="R257" s="334"/>
      <c r="S257" s="334"/>
      <c r="T257" s="334"/>
      <c r="U257" s="284"/>
      <c r="V257" s="284"/>
    </row>
    <row r="258" spans="2:25" s="286" customFormat="1" ht="15" customHeight="1" x14ac:dyDescent="0.2">
      <c r="B258" s="785"/>
      <c r="C258" s="792"/>
      <c r="D258" s="793"/>
      <c r="E258" s="793"/>
      <c r="F258" s="794"/>
      <c r="G258" s="407"/>
      <c r="H258" s="408"/>
      <c r="I258" s="408"/>
      <c r="J258" s="409"/>
      <c r="K258" s="279"/>
      <c r="L258" s="409"/>
      <c r="M258" s="409"/>
      <c r="N258" s="334"/>
      <c r="O258" s="334"/>
      <c r="P258" s="334"/>
      <c r="Q258" s="334"/>
      <c r="R258" s="334"/>
      <c r="S258" s="334"/>
      <c r="T258" s="334"/>
      <c r="U258" s="284"/>
      <c r="V258" s="284"/>
    </row>
    <row r="259" spans="2:25" s="286" customFormat="1" ht="15" customHeight="1" x14ac:dyDescent="0.2">
      <c r="B259" s="785"/>
      <c r="C259" s="786" t="s">
        <v>60</v>
      </c>
      <c r="D259" s="787"/>
      <c r="E259" s="787"/>
      <c r="F259" s="788"/>
      <c r="G259" s="407"/>
      <c r="H259" s="408"/>
      <c r="I259" s="408"/>
      <c r="J259" s="409"/>
      <c r="K259" s="279"/>
      <c r="L259" s="409"/>
      <c r="M259" s="409"/>
      <c r="N259" s="334"/>
      <c r="O259" s="334"/>
      <c r="P259" s="334"/>
      <c r="Q259" s="334"/>
      <c r="R259" s="334"/>
      <c r="S259" s="334"/>
      <c r="T259" s="334"/>
      <c r="U259" s="284"/>
      <c r="V259" s="284"/>
    </row>
    <row r="260" spans="2:25" s="286" customFormat="1" ht="15" customHeight="1" x14ac:dyDescent="0.2">
      <c r="B260" s="785"/>
      <c r="C260" s="789"/>
      <c r="D260" s="790"/>
      <c r="E260" s="790"/>
      <c r="F260" s="791"/>
      <c r="G260" s="407"/>
      <c r="H260" s="408"/>
      <c r="I260" s="408"/>
      <c r="J260" s="409"/>
      <c r="K260" s="279"/>
      <c r="L260" s="409"/>
      <c r="M260" s="409"/>
      <c r="N260" s="334"/>
      <c r="O260" s="334"/>
      <c r="P260" s="334"/>
      <c r="Q260" s="334"/>
      <c r="R260" s="334"/>
      <c r="S260" s="334"/>
      <c r="T260" s="334"/>
      <c r="U260" s="284"/>
      <c r="V260" s="284"/>
    </row>
    <row r="261" spans="2:25" s="286" customFormat="1" ht="15" customHeight="1" x14ac:dyDescent="0.2">
      <c r="B261" s="785"/>
      <c r="C261" s="789"/>
      <c r="D261" s="790"/>
      <c r="E261" s="790"/>
      <c r="F261" s="791"/>
      <c r="G261" s="410"/>
      <c r="H261" s="411"/>
      <c r="I261" s="411"/>
      <c r="J261" s="409"/>
      <c r="K261" s="279"/>
      <c r="L261" s="409"/>
      <c r="M261" s="409"/>
      <c r="N261" s="334"/>
      <c r="O261" s="334"/>
      <c r="P261" s="334"/>
      <c r="Q261" s="334"/>
      <c r="R261" s="334"/>
      <c r="S261" s="334"/>
      <c r="T261" s="334"/>
      <c r="U261" s="284"/>
      <c r="V261" s="284"/>
    </row>
    <row r="262" spans="2:25" s="286" customFormat="1" ht="15" customHeight="1" x14ac:dyDescent="0.2">
      <c r="B262" s="412"/>
      <c r="C262" s="280"/>
      <c r="D262" s="280"/>
      <c r="E262" s="280"/>
      <c r="F262" s="280"/>
      <c r="G262" s="280"/>
      <c r="H262" s="280"/>
      <c r="I262" s="280"/>
      <c r="J262" s="280"/>
      <c r="K262" s="229"/>
      <c r="L262" s="280"/>
      <c r="M262" s="280"/>
      <c r="N262" s="334"/>
      <c r="O262" s="334"/>
      <c r="P262" s="334"/>
      <c r="Q262" s="334"/>
      <c r="R262" s="334"/>
      <c r="S262" s="334"/>
      <c r="T262" s="334"/>
      <c r="U262" s="284"/>
      <c r="V262" s="284"/>
    </row>
    <row r="263" spans="2:25" s="286" customFormat="1" ht="15" customHeight="1" x14ac:dyDescent="0.25">
      <c r="B263" s="413" t="s">
        <v>124</v>
      </c>
      <c r="C263" s="414"/>
      <c r="D263" s="414"/>
      <c r="E263" s="414"/>
      <c r="F263" s="414"/>
      <c r="G263" s="414"/>
      <c r="H263" s="414"/>
      <c r="I263" s="414"/>
      <c r="J263" s="414"/>
    </row>
    <row r="264" spans="2:25" s="286" customFormat="1" ht="15" customHeight="1" x14ac:dyDescent="0.25">
      <c r="B264" s="413"/>
      <c r="C264" s="414"/>
      <c r="D264" s="414"/>
      <c r="E264" s="414"/>
      <c r="F264" s="414"/>
      <c r="G264" s="414"/>
      <c r="H264" s="414"/>
      <c r="I264" s="414"/>
      <c r="J264" s="414"/>
    </row>
    <row r="265" spans="2:25" s="286" customFormat="1" ht="15" customHeight="1" x14ac:dyDescent="0.25">
      <c r="B265" s="239" t="s">
        <v>178</v>
      </c>
      <c r="C265" s="414"/>
      <c r="D265" s="414"/>
      <c r="E265" s="414"/>
      <c r="F265" s="414"/>
      <c r="G265" s="414"/>
      <c r="H265" s="414"/>
      <c r="I265" s="414"/>
      <c r="J265" s="414"/>
    </row>
    <row r="266" spans="2:25" s="286" customFormat="1" ht="15" customHeight="1" x14ac:dyDescent="0.25">
      <c r="B266" s="239"/>
      <c r="C266" s="414"/>
      <c r="D266" s="414"/>
      <c r="E266" s="414"/>
      <c r="F266" s="414"/>
      <c r="G266" s="414"/>
      <c r="H266" s="414"/>
      <c r="I266" s="414"/>
      <c r="J266" s="414"/>
    </row>
    <row r="267" spans="2:25" ht="43.5" customHeight="1" x14ac:dyDescent="0.2">
      <c r="B267" s="714" t="s">
        <v>177</v>
      </c>
      <c r="C267" s="714"/>
      <c r="D267" s="714"/>
      <c r="E267" s="714"/>
      <c r="F267" s="714"/>
      <c r="G267" s="711"/>
      <c r="H267" s="260" t="s">
        <v>11</v>
      </c>
      <c r="I267" s="260" t="s">
        <v>2</v>
      </c>
      <c r="J267" s="714" t="s">
        <v>28</v>
      </c>
      <c r="K267" s="711"/>
      <c r="L267" s="714" t="s">
        <v>187</v>
      </c>
      <c r="M267" s="714"/>
      <c r="N267" s="260" t="s">
        <v>21</v>
      </c>
      <c r="O267" s="281"/>
      <c r="P267" s="254"/>
      <c r="Q267" s="254"/>
      <c r="R267" s="229"/>
      <c r="S267" s="254"/>
      <c r="T267" s="229"/>
      <c r="U267" s="230"/>
      <c r="V267" s="230"/>
      <c r="W267" s="230"/>
      <c r="X267" s="230"/>
      <c r="Y267" s="230"/>
    </row>
    <row r="268" spans="2:25" ht="15" customHeight="1" x14ac:dyDescent="0.2">
      <c r="B268" s="415" t="s">
        <v>8</v>
      </c>
      <c r="C268" s="293"/>
      <c r="D268" s="293"/>
      <c r="E268" s="293"/>
      <c r="F268" s="416"/>
      <c r="G268" s="416"/>
      <c r="H268" s="417"/>
      <c r="I268" s="418"/>
      <c r="J268" s="688"/>
      <c r="K268" s="690"/>
      <c r="L268" s="715"/>
      <c r="M268" s="715"/>
      <c r="N268" s="419"/>
      <c r="O268" s="420"/>
      <c r="P268" s="421"/>
      <c r="Q268" s="421"/>
      <c r="R268" s="421"/>
      <c r="S268" s="421"/>
      <c r="T268" s="229"/>
      <c r="W268" s="258"/>
    </row>
    <row r="269" spans="2:25" ht="15" customHeight="1" x14ac:dyDescent="0.2">
      <c r="B269" s="422" t="s">
        <v>116</v>
      </c>
      <c r="C269" s="242"/>
      <c r="D269" s="242"/>
      <c r="E269" s="242"/>
      <c r="F269" s="246"/>
      <c r="G269" s="246"/>
      <c r="H269" s="279"/>
      <c r="I269" s="396"/>
      <c r="J269" s="688"/>
      <c r="K269" s="690"/>
      <c r="L269" s="715"/>
      <c r="M269" s="715"/>
      <c r="N269" s="419"/>
      <c r="O269" s="420"/>
      <c r="P269" s="421"/>
      <c r="Q269" s="421"/>
      <c r="R269" s="229"/>
      <c r="S269" s="421"/>
      <c r="T269" s="229"/>
      <c r="W269" s="258"/>
    </row>
    <row r="270" spans="2:25" ht="15" customHeight="1" x14ac:dyDescent="0.2">
      <c r="B270" s="422" t="s">
        <v>117</v>
      </c>
      <c r="C270" s="423"/>
      <c r="D270" s="423"/>
      <c r="E270" s="423"/>
      <c r="F270" s="423"/>
      <c r="G270" s="423"/>
      <c r="H270" s="279"/>
      <c r="I270" s="396"/>
      <c r="J270" s="688"/>
      <c r="K270" s="690"/>
      <c r="L270" s="715"/>
      <c r="M270" s="715"/>
      <c r="N270" s="419"/>
      <c r="O270" s="420"/>
      <c r="P270" s="421"/>
      <c r="Q270" s="421"/>
      <c r="R270" s="229"/>
      <c r="S270" s="421"/>
      <c r="T270" s="229"/>
      <c r="W270" s="258"/>
    </row>
    <row r="271" spans="2:25" ht="15" customHeight="1" x14ac:dyDescent="0.2">
      <c r="B271" s="415" t="s">
        <v>109</v>
      </c>
      <c r="C271" s="293"/>
      <c r="D271" s="293"/>
      <c r="E271" s="293"/>
      <c r="F271" s="416"/>
      <c r="G271" s="416"/>
      <c r="H271" s="417"/>
      <c r="I271" s="418"/>
      <c r="J271" s="688"/>
      <c r="K271" s="690"/>
      <c r="L271" s="715"/>
      <c r="M271" s="715"/>
      <c r="N271" s="419"/>
      <c r="O271" s="420"/>
      <c r="P271" s="421"/>
      <c r="Q271" s="421"/>
      <c r="R271" s="229"/>
      <c r="S271" s="421"/>
      <c r="T271" s="229"/>
      <c r="W271" s="230"/>
    </row>
    <row r="272" spans="2:25" ht="15" customHeight="1" x14ac:dyDescent="0.2">
      <c r="B272" s="422" t="s">
        <v>193</v>
      </c>
      <c r="C272" s="242"/>
      <c r="D272" s="242"/>
      <c r="E272" s="242"/>
      <c r="F272" s="246"/>
      <c r="G272" s="246"/>
      <c r="H272" s="279"/>
      <c r="I272" s="396"/>
      <c r="J272" s="688"/>
      <c r="K272" s="690"/>
      <c r="L272" s="715"/>
      <c r="M272" s="715"/>
      <c r="N272" s="419"/>
      <c r="O272" s="420"/>
      <c r="P272" s="421"/>
      <c r="Q272" s="421"/>
      <c r="R272" s="229"/>
      <c r="S272" s="421"/>
      <c r="T272" s="229"/>
      <c r="W272" s="230"/>
    </row>
    <row r="273" spans="2:23" ht="15" customHeight="1" x14ac:dyDescent="0.2">
      <c r="B273" s="422" t="s">
        <v>192</v>
      </c>
      <c r="C273" s="423"/>
      <c r="D273" s="423"/>
      <c r="E273" s="423"/>
      <c r="F273" s="423"/>
      <c r="G273" s="423"/>
      <c r="H273" s="279"/>
      <c r="I273" s="396"/>
      <c r="J273" s="688"/>
      <c r="K273" s="690"/>
      <c r="L273" s="715"/>
      <c r="M273" s="715"/>
      <c r="N273" s="419"/>
      <c r="O273" s="420"/>
      <c r="P273" s="421"/>
      <c r="Q273" s="421"/>
      <c r="R273" s="229"/>
      <c r="S273" s="421"/>
      <c r="T273" s="229"/>
      <c r="W273" s="230"/>
    </row>
    <row r="274" spans="2:23" ht="15" customHeight="1" x14ac:dyDescent="0.2">
      <c r="B274" s="422" t="s">
        <v>282</v>
      </c>
      <c r="C274" s="276"/>
      <c r="D274" s="276"/>
      <c r="E274" s="276"/>
      <c r="F274" s="242"/>
      <c r="G274" s="242"/>
      <c r="H274" s="279"/>
      <c r="I274" s="396"/>
      <c r="J274" s="688"/>
      <c r="K274" s="690"/>
      <c r="L274" s="715"/>
      <c r="M274" s="715"/>
      <c r="N274" s="419"/>
      <c r="O274" s="420"/>
      <c r="P274" s="421"/>
      <c r="Q274" s="421"/>
      <c r="R274" s="229"/>
      <c r="S274" s="421"/>
      <c r="T274" s="229"/>
      <c r="W274" s="230"/>
    </row>
    <row r="275" spans="2:23" ht="15" customHeight="1" x14ac:dyDescent="0.2">
      <c r="B275" s="422" t="s">
        <v>281</v>
      </c>
      <c r="C275" s="276"/>
      <c r="D275" s="276"/>
      <c r="E275" s="276"/>
      <c r="F275" s="242"/>
      <c r="G275" s="242"/>
      <c r="H275" s="279"/>
      <c r="I275" s="396"/>
      <c r="J275" s="424"/>
      <c r="K275" s="247"/>
      <c r="L275" s="424"/>
      <c r="M275" s="247"/>
      <c r="N275" s="419"/>
      <c r="O275" s="420"/>
      <c r="P275" s="421"/>
      <c r="Q275" s="421"/>
      <c r="R275" s="229"/>
      <c r="S275" s="421"/>
      <c r="T275" s="229"/>
      <c r="W275" s="230"/>
    </row>
    <row r="276" spans="2:23" ht="15" customHeight="1" x14ac:dyDescent="0.2">
      <c r="B276" s="422" t="s">
        <v>110</v>
      </c>
      <c r="C276" s="276"/>
      <c r="D276" s="276"/>
      <c r="E276" s="276"/>
      <c r="F276" s="242"/>
      <c r="G276" s="242"/>
      <c r="H276" s="279"/>
      <c r="I276" s="396"/>
      <c r="J276" s="688"/>
      <c r="K276" s="690"/>
      <c r="L276" s="715"/>
      <c r="M276" s="715"/>
      <c r="N276" s="419"/>
      <c r="O276" s="420"/>
      <c r="P276" s="421"/>
      <c r="Q276" s="421"/>
      <c r="R276" s="229"/>
      <c r="S276" s="421"/>
      <c r="T276" s="229"/>
      <c r="W276" s="230"/>
    </row>
    <row r="277" spans="2:23" ht="15" customHeight="1" x14ac:dyDescent="0.2">
      <c r="B277" s="415" t="s">
        <v>111</v>
      </c>
      <c r="C277" s="293"/>
      <c r="D277" s="293"/>
      <c r="E277" s="293"/>
      <c r="F277" s="416"/>
      <c r="G277" s="416"/>
      <c r="H277" s="279"/>
      <c r="I277" s="396"/>
      <c r="J277" s="688"/>
      <c r="K277" s="690"/>
      <c r="L277" s="715"/>
      <c r="M277" s="715"/>
      <c r="N277" s="419"/>
      <c r="O277" s="420"/>
      <c r="P277" s="421"/>
      <c r="Q277" s="421"/>
      <c r="R277" s="229"/>
      <c r="S277" s="421"/>
      <c r="T277" s="229"/>
      <c r="W277" s="230"/>
    </row>
    <row r="278" spans="2:23" ht="15" customHeight="1" x14ac:dyDescent="0.2">
      <c r="B278" s="422" t="s">
        <v>194</v>
      </c>
      <c r="C278" s="242"/>
      <c r="D278" s="242"/>
      <c r="E278" s="242"/>
      <c r="F278" s="246"/>
      <c r="G278" s="246"/>
      <c r="H278" s="279"/>
      <c r="I278" s="396"/>
      <c r="J278" s="688"/>
      <c r="K278" s="690"/>
      <c r="L278" s="715"/>
      <c r="M278" s="715"/>
      <c r="N278" s="419"/>
      <c r="O278" s="420"/>
      <c r="P278" s="421"/>
      <c r="Q278" s="421"/>
      <c r="R278" s="229"/>
      <c r="S278" s="421"/>
      <c r="T278" s="229"/>
      <c r="W278" s="230"/>
    </row>
    <row r="279" spans="2:23" ht="15" customHeight="1" x14ac:dyDescent="0.2">
      <c r="B279" s="422" t="s">
        <v>112</v>
      </c>
      <c r="C279" s="423"/>
      <c r="D279" s="423"/>
      <c r="E279" s="423"/>
      <c r="F279" s="423"/>
      <c r="G279" s="423"/>
      <c r="H279" s="279"/>
      <c r="I279" s="396"/>
      <c r="J279" s="688"/>
      <c r="K279" s="690"/>
      <c r="L279" s="715"/>
      <c r="M279" s="715"/>
      <c r="N279" s="419"/>
      <c r="O279" s="420"/>
      <c r="P279" s="421"/>
      <c r="Q279" s="421"/>
      <c r="R279" s="229"/>
      <c r="S279" s="421"/>
      <c r="T279" s="229"/>
      <c r="W279" s="230"/>
    </row>
    <row r="280" spans="2:23" ht="15" customHeight="1" x14ac:dyDescent="0.2">
      <c r="B280" s="422" t="s">
        <v>113</v>
      </c>
      <c r="C280" s="276"/>
      <c r="D280" s="276"/>
      <c r="E280" s="276"/>
      <c r="F280" s="242"/>
      <c r="G280" s="242"/>
      <c r="H280" s="279"/>
      <c r="I280" s="396"/>
      <c r="J280" s="688"/>
      <c r="K280" s="690"/>
      <c r="L280" s="715"/>
      <c r="M280" s="715"/>
      <c r="N280" s="419"/>
      <c r="O280" s="420"/>
      <c r="P280" s="421"/>
      <c r="Q280" s="421"/>
      <c r="R280" s="229"/>
      <c r="S280" s="421"/>
      <c r="T280" s="229"/>
      <c r="W280" s="230"/>
    </row>
    <row r="281" spans="2:23" ht="15" customHeight="1" x14ac:dyDescent="0.2">
      <c r="B281" s="422" t="s">
        <v>114</v>
      </c>
      <c r="C281" s="276"/>
      <c r="D281" s="276"/>
      <c r="E281" s="276"/>
      <c r="F281" s="242"/>
      <c r="G281" s="242"/>
      <c r="H281" s="279"/>
      <c r="I281" s="396"/>
      <c r="J281" s="688"/>
      <c r="K281" s="690"/>
      <c r="L281" s="715"/>
      <c r="M281" s="715"/>
      <c r="N281" s="419"/>
      <c r="O281" s="420"/>
      <c r="P281" s="421"/>
      <c r="Q281" s="421"/>
      <c r="R281" s="229"/>
      <c r="S281" s="421"/>
      <c r="T281" s="229"/>
      <c r="W281" s="230"/>
    </row>
    <row r="282" spans="2:23" ht="15" customHeight="1" x14ac:dyDescent="0.2">
      <c r="B282" s="422" t="s">
        <v>115</v>
      </c>
      <c r="C282" s="276"/>
      <c r="D282" s="276"/>
      <c r="E282" s="276"/>
      <c r="F282" s="242"/>
      <c r="G282" s="242"/>
      <c r="H282" s="279"/>
      <c r="I282" s="396"/>
      <c r="J282" s="688"/>
      <c r="K282" s="690"/>
      <c r="L282" s="715"/>
      <c r="M282" s="715"/>
      <c r="N282" s="419"/>
      <c r="O282" s="420"/>
      <c r="P282" s="421"/>
      <c r="Q282" s="421"/>
      <c r="R282" s="229"/>
      <c r="S282" s="421"/>
      <c r="T282" s="229"/>
      <c r="W282" s="230"/>
    </row>
    <row r="283" spans="2:23" ht="15" customHeight="1" x14ac:dyDescent="0.2">
      <c r="B283" s="415" t="s">
        <v>118</v>
      </c>
      <c r="C283" s="276"/>
      <c r="D283" s="276"/>
      <c r="E283" s="276"/>
      <c r="F283" s="242"/>
      <c r="G283" s="242"/>
      <c r="H283" s="279"/>
      <c r="I283" s="396"/>
      <c r="J283" s="688"/>
      <c r="K283" s="690"/>
      <c r="L283" s="715"/>
      <c r="M283" s="715"/>
      <c r="N283" s="419"/>
      <c r="O283" s="420"/>
      <c r="P283" s="421"/>
      <c r="Q283" s="421"/>
      <c r="R283" s="229"/>
      <c r="S283" s="421"/>
      <c r="T283" s="229"/>
      <c r="W283" s="230"/>
    </row>
    <row r="284" spans="2:23" ht="15" customHeight="1" x14ac:dyDescent="0.2">
      <c r="B284" s="422" t="s">
        <v>119</v>
      </c>
      <c r="C284" s="276"/>
      <c r="D284" s="276"/>
      <c r="E284" s="276"/>
      <c r="F284" s="242"/>
      <c r="G284" s="242"/>
      <c r="H284" s="279"/>
      <c r="I284" s="396"/>
      <c r="J284" s="688"/>
      <c r="K284" s="690"/>
      <c r="L284" s="715"/>
      <c r="M284" s="715"/>
      <c r="N284" s="419"/>
      <c r="O284" s="420"/>
      <c r="P284" s="421"/>
      <c r="Q284" s="421"/>
      <c r="R284" s="229"/>
      <c r="S284" s="421"/>
      <c r="T284" s="229"/>
      <c r="W284" s="230"/>
    </row>
    <row r="285" spans="2:23" ht="15" customHeight="1" x14ac:dyDescent="0.2">
      <c r="B285" s="422" t="s">
        <v>120</v>
      </c>
      <c r="C285" s="276"/>
      <c r="D285" s="276"/>
      <c r="E285" s="276"/>
      <c r="F285" s="242"/>
      <c r="G285" s="242"/>
      <c r="H285" s="279"/>
      <c r="I285" s="396"/>
      <c r="J285" s="688"/>
      <c r="K285" s="690"/>
      <c r="L285" s="715"/>
      <c r="M285" s="715"/>
      <c r="N285" s="419"/>
      <c r="O285" s="420"/>
      <c r="P285" s="421"/>
      <c r="Q285" s="421"/>
      <c r="R285" s="229"/>
      <c r="S285" s="421"/>
      <c r="T285" s="229"/>
      <c r="W285" s="230"/>
    </row>
    <row r="286" spans="2:23" ht="15" customHeight="1" x14ac:dyDescent="0.2">
      <c r="B286" s="422" t="s">
        <v>121</v>
      </c>
      <c r="C286" s="276"/>
      <c r="D286" s="276"/>
      <c r="E286" s="276"/>
      <c r="F286" s="242"/>
      <c r="G286" s="242"/>
      <c r="H286" s="279"/>
      <c r="I286" s="396"/>
      <c r="J286" s="688"/>
      <c r="K286" s="690"/>
      <c r="L286" s="715"/>
      <c r="M286" s="715"/>
      <c r="N286" s="419"/>
      <c r="O286" s="420"/>
      <c r="P286" s="421"/>
      <c r="Q286" s="421"/>
      <c r="R286" s="229"/>
      <c r="S286" s="421"/>
      <c r="T286" s="229"/>
      <c r="W286" s="230"/>
    </row>
    <row r="287" spans="2:23" ht="15" customHeight="1" x14ac:dyDescent="0.2">
      <c r="B287" s="415" t="s">
        <v>122</v>
      </c>
      <c r="C287" s="276"/>
      <c r="D287" s="276"/>
      <c r="E287" s="276"/>
      <c r="F287" s="242"/>
      <c r="G287" s="242"/>
      <c r="H287" s="279"/>
      <c r="I287" s="396"/>
      <c r="J287" s="688"/>
      <c r="K287" s="690"/>
      <c r="L287" s="715"/>
      <c r="M287" s="715"/>
      <c r="N287" s="419"/>
      <c r="O287" s="420"/>
      <c r="P287" s="421"/>
      <c r="Q287" s="421"/>
      <c r="R287" s="229"/>
      <c r="S287" s="421"/>
      <c r="T287" s="229"/>
      <c r="W287" s="230"/>
    </row>
    <row r="288" spans="2:23" ht="15" customHeight="1" thickBot="1" x14ac:dyDescent="0.25">
      <c r="B288" s="425" t="s">
        <v>123</v>
      </c>
      <c r="C288" s="426"/>
      <c r="D288" s="426"/>
      <c r="E288" s="426"/>
      <c r="F288" s="427"/>
      <c r="G288" s="427"/>
      <c r="H288" s="428"/>
      <c r="I288" s="429"/>
      <c r="J288" s="688"/>
      <c r="K288" s="690"/>
      <c r="L288" s="796"/>
      <c r="M288" s="796"/>
      <c r="N288" s="419"/>
      <c r="O288" s="420"/>
      <c r="P288" s="421"/>
      <c r="Q288" s="421"/>
      <c r="R288" s="229"/>
      <c r="S288" s="421"/>
      <c r="T288" s="229"/>
      <c r="W288" s="230"/>
    </row>
    <row r="289" spans="2:23" ht="15" customHeight="1" thickBot="1" x14ac:dyDescent="0.25">
      <c r="B289" s="797" t="s">
        <v>27</v>
      </c>
      <c r="C289" s="798"/>
      <c r="D289" s="798"/>
      <c r="E289" s="799"/>
      <c r="F289" s="387"/>
      <c r="G289" s="387"/>
      <c r="H289" s="387"/>
      <c r="L289" s="800"/>
      <c r="M289" s="801"/>
      <c r="Q289" s="229"/>
      <c r="R289" s="229"/>
      <c r="S289" s="392"/>
      <c r="T289" s="229"/>
      <c r="W289" s="230"/>
    </row>
    <row r="290" spans="2:23" ht="15" customHeight="1" x14ac:dyDescent="0.25">
      <c r="B290" s="387"/>
      <c r="C290" s="387"/>
      <c r="D290" s="387"/>
      <c r="E290" s="387"/>
      <c r="F290" s="387"/>
      <c r="G290" s="387"/>
      <c r="H290" s="387"/>
      <c r="I290" s="387"/>
      <c r="J290" s="387"/>
      <c r="N290" s="230"/>
      <c r="O290" s="230"/>
      <c r="P290" s="230"/>
      <c r="Q290" s="230"/>
      <c r="R290" s="406"/>
      <c r="S290" s="406"/>
      <c r="T290" s="392"/>
      <c r="W290" s="230"/>
    </row>
    <row r="291" spans="2:23" ht="15" customHeight="1" x14ac:dyDescent="0.25">
      <c r="B291" s="239"/>
      <c r="C291" s="387"/>
      <c r="D291" s="387"/>
      <c r="E291" s="387"/>
      <c r="F291" s="387"/>
      <c r="G291" s="387"/>
      <c r="H291" s="387"/>
      <c r="I291" s="387"/>
      <c r="J291" s="387"/>
      <c r="N291" s="230"/>
      <c r="O291" s="230"/>
      <c r="P291" s="230"/>
      <c r="Q291" s="230"/>
      <c r="R291" s="406"/>
      <c r="S291" s="406"/>
      <c r="T291" s="392"/>
      <c r="W291" s="230"/>
    </row>
    <row r="292" spans="2:23" ht="15" customHeight="1" x14ac:dyDescent="0.25">
      <c r="B292" s="239" t="s">
        <v>195</v>
      </c>
      <c r="K292" s="773"/>
      <c r="L292" s="774"/>
      <c r="M292" s="775"/>
      <c r="N292" s="225" t="s">
        <v>179</v>
      </c>
      <c r="O292" s="230"/>
      <c r="P292" s="230"/>
      <c r="Q292" s="230"/>
      <c r="R292" s="406"/>
      <c r="S292" s="406"/>
      <c r="T292" s="392"/>
      <c r="W292" s="230"/>
    </row>
    <row r="293" spans="2:23" ht="15" customHeight="1" x14ac:dyDescent="0.25">
      <c r="B293" s="239"/>
      <c r="C293" s="387"/>
      <c r="D293" s="387"/>
      <c r="E293" s="387"/>
      <c r="F293" s="387"/>
      <c r="G293" s="387"/>
      <c r="H293" s="387"/>
      <c r="I293" s="387"/>
      <c r="J293" s="387"/>
      <c r="N293" s="230"/>
      <c r="O293" s="230"/>
      <c r="P293" s="230"/>
      <c r="Q293" s="230"/>
      <c r="R293" s="406"/>
      <c r="S293" s="406"/>
      <c r="T293" s="392"/>
      <c r="W293" s="230"/>
    </row>
    <row r="294" spans="2:23" s="286" customFormat="1" ht="15" customHeight="1" x14ac:dyDescent="0.2">
      <c r="B294" s="239" t="s">
        <v>196</v>
      </c>
      <c r="C294" s="430"/>
      <c r="E294" s="285"/>
      <c r="F294" s="285"/>
      <c r="G294" s="285"/>
      <c r="H294" s="285"/>
      <c r="I294" s="285"/>
      <c r="J294" s="285"/>
      <c r="K294" s="431" t="s">
        <v>2321</v>
      </c>
      <c r="L294" s="432"/>
      <c r="M294" s="432"/>
      <c r="N294" s="432"/>
      <c r="O294" s="432"/>
      <c r="P294" s="433"/>
      <c r="Q294" s="434"/>
      <c r="R294" s="435"/>
      <c r="S294" s="436"/>
      <c r="T294" s="284"/>
      <c r="W294" s="285"/>
    </row>
    <row r="295" spans="2:23" s="286" customFormat="1" ht="15" customHeight="1" x14ac:dyDescent="0.2">
      <c r="B295" s="239"/>
      <c r="C295" s="430"/>
      <c r="E295" s="285"/>
      <c r="F295" s="285"/>
      <c r="G295" s="285"/>
      <c r="H295" s="285"/>
      <c r="I295" s="285"/>
      <c r="J295" s="285"/>
      <c r="K295" s="431" t="s">
        <v>2322</v>
      </c>
      <c r="L295" s="432"/>
      <c r="M295" s="432"/>
      <c r="N295" s="432"/>
      <c r="O295" s="432"/>
      <c r="P295" s="433"/>
      <c r="Q295" s="435"/>
      <c r="R295" s="435"/>
      <c r="S295" s="436"/>
      <c r="T295" s="284"/>
      <c r="W295" s="285"/>
    </row>
    <row r="296" spans="2:23" s="286" customFormat="1" ht="15" customHeight="1" x14ac:dyDescent="0.2">
      <c r="B296" s="239"/>
      <c r="C296" s="430"/>
      <c r="E296" s="285"/>
      <c r="F296" s="285"/>
      <c r="G296" s="285"/>
      <c r="H296" s="285"/>
      <c r="I296" s="285"/>
      <c r="J296" s="285"/>
      <c r="K296" s="431" t="s">
        <v>2323</v>
      </c>
      <c r="L296" s="432"/>
      <c r="M296" s="432"/>
      <c r="N296" s="432"/>
      <c r="O296" s="432"/>
      <c r="P296" s="433"/>
      <c r="Q296" s="435"/>
      <c r="R296" s="435"/>
      <c r="S296" s="436"/>
      <c r="T296" s="284"/>
      <c r="W296" s="285"/>
    </row>
    <row r="297" spans="2:23" s="286" customFormat="1" ht="15" customHeight="1" x14ac:dyDescent="0.2">
      <c r="B297" s="239"/>
      <c r="C297" s="430"/>
      <c r="E297" s="285"/>
      <c r="F297" s="285"/>
      <c r="G297" s="285"/>
      <c r="H297" s="285"/>
      <c r="I297" s="285"/>
      <c r="J297" s="285"/>
      <c r="K297" s="431" t="s">
        <v>2324</v>
      </c>
      <c r="L297" s="432"/>
      <c r="M297" s="432"/>
      <c r="N297" s="432"/>
      <c r="O297" s="432"/>
      <c r="P297" s="433"/>
      <c r="Q297" s="435"/>
      <c r="R297" s="435"/>
      <c r="S297" s="436"/>
      <c r="T297" s="284"/>
      <c r="W297" s="285"/>
    </row>
    <row r="298" spans="2:23" s="286" customFormat="1" ht="15" customHeight="1" x14ac:dyDescent="0.2">
      <c r="B298" s="239"/>
      <c r="C298" s="430"/>
      <c r="E298" s="285"/>
      <c r="F298" s="285"/>
      <c r="G298" s="285"/>
      <c r="H298" s="285"/>
      <c r="I298" s="285"/>
      <c r="J298" s="285"/>
      <c r="K298" s="431" t="s">
        <v>2325</v>
      </c>
      <c r="L298" s="432"/>
      <c r="M298" s="432"/>
      <c r="N298" s="432"/>
      <c r="O298" s="432"/>
      <c r="P298" s="433"/>
      <c r="Q298" s="435"/>
      <c r="R298" s="435"/>
      <c r="S298" s="436"/>
      <c r="T298" s="284"/>
      <c r="W298" s="285"/>
    </row>
    <row r="299" spans="2:23" s="286" customFormat="1" ht="15" customHeight="1" x14ac:dyDescent="0.2">
      <c r="B299" s="239"/>
      <c r="C299" s="430"/>
      <c r="E299" s="285"/>
      <c r="F299" s="285"/>
      <c r="G299" s="285"/>
      <c r="H299" s="285"/>
      <c r="I299" s="285"/>
      <c r="J299" s="285"/>
      <c r="K299" s="436"/>
      <c r="L299" s="436"/>
      <c r="M299" s="436"/>
      <c r="N299" s="436"/>
      <c r="O299" s="436"/>
      <c r="P299" s="436"/>
      <c r="Q299" s="436"/>
      <c r="R299" s="436"/>
      <c r="S299" s="436"/>
      <c r="T299" s="284"/>
      <c r="W299" s="285"/>
    </row>
    <row r="300" spans="2:23" s="286" customFormat="1" ht="15" customHeight="1" x14ac:dyDescent="0.25">
      <c r="B300" s="239" t="s">
        <v>197</v>
      </c>
      <c r="C300" s="437"/>
      <c r="D300" s="437"/>
      <c r="E300" s="437"/>
      <c r="F300" s="437"/>
      <c r="G300" s="437"/>
      <c r="H300" s="437"/>
      <c r="I300" s="430"/>
      <c r="J300" s="430"/>
      <c r="W300" s="430"/>
    </row>
    <row r="301" spans="2:23" s="286" customFormat="1" ht="15" customHeight="1" x14ac:dyDescent="0.25">
      <c r="B301" s="414"/>
      <c r="C301" s="430"/>
      <c r="D301" s="430"/>
      <c r="E301" s="430"/>
      <c r="F301" s="430"/>
      <c r="G301" s="430"/>
      <c r="H301" s="430"/>
      <c r="I301" s="430"/>
      <c r="J301" s="430"/>
      <c r="W301" s="430"/>
    </row>
    <row r="302" spans="2:23" s="286" customFormat="1" ht="15" customHeight="1" x14ac:dyDescent="0.25">
      <c r="B302" s="698" t="s">
        <v>9</v>
      </c>
      <c r="C302" s="728" t="s">
        <v>22</v>
      </c>
      <c r="D302" s="802"/>
      <c r="E302" s="802"/>
      <c r="F302" s="802"/>
      <c r="G302" s="802"/>
      <c r="H302" s="802"/>
      <c r="I302" s="802"/>
      <c r="J302" s="802"/>
      <c r="K302" s="802"/>
      <c r="U302" s="430"/>
      <c r="V302" s="430"/>
      <c r="W302" s="284"/>
    </row>
    <row r="303" spans="2:23" s="286" customFormat="1" ht="15" customHeight="1" x14ac:dyDescent="0.2">
      <c r="B303" s="698"/>
      <c r="C303" s="438" t="s">
        <v>16</v>
      </c>
      <c r="D303" s="438" t="s">
        <v>17</v>
      </c>
      <c r="E303" s="438" t="s">
        <v>15</v>
      </c>
      <c r="F303" s="438" t="s">
        <v>14</v>
      </c>
      <c r="G303" s="438" t="s">
        <v>13</v>
      </c>
      <c r="H303" s="438" t="s">
        <v>35</v>
      </c>
      <c r="I303" s="438" t="s">
        <v>36</v>
      </c>
      <c r="J303" s="438" t="s">
        <v>37</v>
      </c>
      <c r="K303" s="438" t="s">
        <v>0</v>
      </c>
      <c r="V303" s="284"/>
      <c r="W303" s="310"/>
    </row>
    <row r="304" spans="2:23" s="286" customFormat="1" ht="15" customHeight="1" thickBot="1" x14ac:dyDescent="0.25">
      <c r="B304" s="439" t="str">
        <f>+B268</f>
        <v>1. EXPEDIENTE TÉCNICO</v>
      </c>
      <c r="C304" s="440"/>
      <c r="D304" s="254"/>
      <c r="E304" s="441"/>
      <c r="F304" s="442"/>
      <c r="G304" s="442"/>
      <c r="H304" s="442"/>
      <c r="I304" s="442"/>
      <c r="J304" s="442"/>
      <c r="K304" s="443"/>
      <c r="V304" s="285"/>
      <c r="W304" s="285"/>
    </row>
    <row r="305" spans="2:23" s="286" customFormat="1" ht="15" customHeight="1" thickTop="1" x14ac:dyDescent="0.2">
      <c r="B305" s="444" t="str">
        <f>+B271</f>
        <v>2. INFRAESTRUCTURA</v>
      </c>
      <c r="C305" s="445"/>
      <c r="D305" s="446"/>
      <c r="E305" s="447"/>
      <c r="F305" s="448"/>
      <c r="G305" s="448"/>
      <c r="H305" s="448"/>
      <c r="I305" s="448"/>
      <c r="J305" s="448"/>
      <c r="K305" s="449"/>
      <c r="V305" s="285"/>
      <c r="W305" s="285"/>
    </row>
    <row r="306" spans="2:23" s="286" customFormat="1" ht="15" customHeight="1" x14ac:dyDescent="0.2">
      <c r="B306" s="450" t="str">
        <f>+B277</f>
        <v>3. EQUIPAMIENTO</v>
      </c>
      <c r="C306" s="306"/>
      <c r="D306" s="242"/>
      <c r="E306" s="306"/>
      <c r="F306" s="241"/>
      <c r="G306" s="241"/>
      <c r="H306" s="241"/>
      <c r="I306" s="241"/>
      <c r="J306" s="241"/>
      <c r="K306" s="451"/>
      <c r="V306" s="285"/>
      <c r="W306" s="285"/>
    </row>
    <row r="307" spans="2:23" s="286" customFormat="1" ht="15" customHeight="1" x14ac:dyDescent="0.2">
      <c r="B307" s="452" t="str">
        <f>+B283</f>
        <v>4. SUPERVISION</v>
      </c>
      <c r="C307" s="306"/>
      <c r="D307" s="453"/>
      <c r="E307" s="453"/>
      <c r="F307" s="453"/>
      <c r="G307" s="453"/>
      <c r="H307" s="453"/>
      <c r="I307" s="241"/>
      <c r="J307" s="241"/>
      <c r="K307" s="451"/>
      <c r="V307" s="285"/>
      <c r="W307" s="285"/>
    </row>
    <row r="308" spans="2:23" s="286" customFormat="1" ht="15" customHeight="1" x14ac:dyDescent="0.2">
      <c r="B308" s="454" t="str">
        <f>+B287</f>
        <v>5. GESTION DEL PIP</v>
      </c>
      <c r="C308" s="306"/>
      <c r="D308" s="453"/>
      <c r="E308" s="453"/>
      <c r="F308" s="453"/>
      <c r="G308" s="453"/>
      <c r="H308" s="453"/>
      <c r="I308" s="306"/>
      <c r="J308" s="306"/>
      <c r="K308" s="315"/>
      <c r="L308" s="240"/>
      <c r="M308" s="230"/>
      <c r="N308" s="230"/>
      <c r="O308" s="230"/>
      <c r="P308" s="230"/>
      <c r="Q308" s="230"/>
      <c r="R308" s="284"/>
      <c r="S308" s="284"/>
      <c r="T308" s="455"/>
      <c r="V308" s="285"/>
      <c r="W308" s="285"/>
    </row>
    <row r="309" spans="2:23" s="286" customFormat="1" ht="15" customHeight="1" x14ac:dyDescent="0.2">
      <c r="B309" s="456"/>
      <c r="C309" s="230"/>
      <c r="D309" s="457"/>
      <c r="E309" s="457"/>
      <c r="F309" s="457"/>
      <c r="G309" s="457"/>
      <c r="H309" s="457"/>
      <c r="I309" s="230"/>
      <c r="J309" s="230"/>
      <c r="K309" s="285"/>
      <c r="L309" s="240"/>
      <c r="M309" s="230"/>
      <c r="N309" s="230"/>
      <c r="O309" s="230"/>
      <c r="P309" s="230"/>
      <c r="Q309" s="230"/>
      <c r="R309" s="284"/>
      <c r="S309" s="284"/>
      <c r="T309" s="455"/>
      <c r="V309" s="285"/>
      <c r="W309" s="285"/>
    </row>
    <row r="310" spans="2:23" s="286" customFormat="1" ht="15" customHeight="1" x14ac:dyDescent="0.2">
      <c r="B310" s="456"/>
      <c r="C310" s="230"/>
      <c r="D310" s="457"/>
      <c r="E310" s="457"/>
      <c r="F310" s="457"/>
      <c r="G310" s="457"/>
      <c r="H310" s="457"/>
      <c r="I310" s="230"/>
      <c r="J310" s="230"/>
      <c r="K310" s="285"/>
      <c r="L310" s="240"/>
      <c r="M310" s="230"/>
      <c r="N310" s="230"/>
      <c r="O310" s="230"/>
      <c r="P310" s="230"/>
      <c r="Q310" s="230"/>
      <c r="R310" s="284"/>
      <c r="S310" s="284"/>
      <c r="T310" s="455"/>
      <c r="V310" s="285"/>
      <c r="W310" s="285"/>
    </row>
    <row r="311" spans="2:23" s="286" customFormat="1" ht="15" customHeight="1" x14ac:dyDescent="0.2">
      <c r="B311" s="456"/>
      <c r="C311" s="230" t="s">
        <v>2150</v>
      </c>
      <c r="D311" s="70"/>
      <c r="E311" s="70"/>
      <c r="F311" s="70"/>
      <c r="G311" s="70"/>
      <c r="H311" s="70"/>
      <c r="I311" s="19"/>
      <c r="J311" s="19"/>
      <c r="K311" s="25"/>
      <c r="L311" s="240"/>
      <c r="M311" s="230"/>
      <c r="N311" s="230"/>
      <c r="O311" s="230"/>
      <c r="P311" s="230"/>
      <c r="Q311" s="230"/>
      <c r="R311" s="284"/>
      <c r="S311" s="284"/>
      <c r="T311" s="455"/>
      <c r="V311" s="285"/>
      <c r="W311" s="285"/>
    </row>
    <row r="312" spans="2:23" s="286" customFormat="1" ht="15" customHeight="1" x14ac:dyDescent="0.2">
      <c r="B312" s="456"/>
      <c r="C312" s="230" t="s">
        <v>2166</v>
      </c>
      <c r="D312" s="70"/>
      <c r="E312" s="70"/>
      <c r="F312" s="70"/>
      <c r="G312" s="70"/>
      <c r="H312" s="70"/>
      <c r="I312" s="19"/>
      <c r="J312" s="19"/>
      <c r="K312" s="25"/>
      <c r="L312" s="240"/>
      <c r="M312" s="230"/>
      <c r="N312" s="230"/>
      <c r="O312" s="230"/>
      <c r="P312" s="230"/>
      <c r="Q312" s="230"/>
      <c r="R312" s="284"/>
      <c r="S312" s="284"/>
      <c r="T312" s="455"/>
      <c r="V312" s="285"/>
      <c r="W312" s="285"/>
    </row>
    <row r="313" spans="2:23" s="286" customFormat="1" ht="15" customHeight="1" x14ac:dyDescent="0.2">
      <c r="B313" s="456"/>
      <c r="C313" s="230" t="s">
        <v>2166</v>
      </c>
      <c r="D313" s="70"/>
      <c r="E313" s="70"/>
      <c r="F313" s="70"/>
      <c r="G313" s="70"/>
      <c r="H313" s="70"/>
      <c r="I313" s="19"/>
      <c r="J313" s="19"/>
      <c r="K313" s="25"/>
      <c r="L313" s="240"/>
      <c r="M313" s="230"/>
      <c r="N313" s="230"/>
      <c r="O313" s="230"/>
      <c r="P313" s="230"/>
      <c r="Q313" s="230"/>
      <c r="R313" s="284"/>
      <c r="S313" s="284"/>
      <c r="T313" s="455"/>
      <c r="V313" s="285"/>
      <c r="W313" s="285"/>
    </row>
    <row r="314" spans="2:23" s="286" customFormat="1" ht="15" customHeight="1" x14ac:dyDescent="0.2">
      <c r="B314" s="456"/>
      <c r="C314" s="230" t="s">
        <v>2203</v>
      </c>
      <c r="D314" s="70"/>
      <c r="E314" s="70"/>
      <c r="F314" s="70"/>
      <c r="G314" s="70"/>
      <c r="H314" s="70"/>
      <c r="I314" s="19"/>
      <c r="J314" s="19"/>
      <c r="K314" s="25"/>
      <c r="L314" s="240"/>
      <c r="M314" s="230"/>
      <c r="N314" s="230"/>
      <c r="O314" s="230"/>
      <c r="P314" s="230"/>
      <c r="Q314" s="230"/>
      <c r="R314" s="284"/>
      <c r="S314" s="284"/>
      <c r="T314" s="455"/>
      <c r="V314" s="285"/>
      <c r="W314" s="285"/>
    </row>
    <row r="315" spans="2:23" s="286" customFormat="1" ht="15" customHeight="1" x14ac:dyDescent="0.2">
      <c r="B315" s="456"/>
      <c r="C315" s="19"/>
      <c r="D315" s="70"/>
      <c r="E315" s="70"/>
      <c r="F315" s="70"/>
      <c r="G315" s="70"/>
      <c r="H315" s="70"/>
      <c r="I315" s="19"/>
      <c r="J315" s="19"/>
      <c r="K315" s="25"/>
      <c r="L315" s="240"/>
      <c r="M315" s="230"/>
      <c r="N315" s="230"/>
      <c r="O315" s="230"/>
      <c r="P315" s="230"/>
      <c r="Q315" s="230"/>
      <c r="R315" s="284"/>
      <c r="S315" s="284"/>
      <c r="T315" s="455"/>
      <c r="V315" s="285"/>
      <c r="W315" s="285"/>
    </row>
    <row r="316" spans="2:23" s="286" customFormat="1" ht="15" customHeight="1" x14ac:dyDescent="0.2">
      <c r="B316" s="456"/>
      <c r="C316" s="19"/>
      <c r="D316" s="70"/>
      <c r="E316" s="70"/>
      <c r="F316" s="70"/>
      <c r="G316" s="70"/>
      <c r="H316" s="70"/>
      <c r="I316" s="19"/>
      <c r="J316" s="19"/>
      <c r="K316" s="25"/>
      <c r="L316" s="240"/>
      <c r="M316" s="230"/>
      <c r="N316" s="230"/>
      <c r="O316" s="230"/>
      <c r="P316" s="230"/>
      <c r="Q316" s="230"/>
      <c r="R316" s="284"/>
      <c r="S316" s="284"/>
      <c r="T316" s="455"/>
      <c r="V316" s="285"/>
      <c r="W316" s="285"/>
    </row>
    <row r="317" spans="2:23" s="286" customFormat="1" ht="15" customHeight="1" x14ac:dyDescent="0.2">
      <c r="B317" s="456"/>
      <c r="C317" s="230"/>
      <c r="D317" s="457"/>
      <c r="E317" s="457"/>
      <c r="F317" s="457"/>
      <c r="G317" s="457"/>
      <c r="H317" s="457"/>
      <c r="I317" s="230"/>
      <c r="J317" s="230"/>
      <c r="K317" s="285"/>
      <c r="L317" s="240"/>
      <c r="M317" s="230"/>
      <c r="N317" s="230"/>
      <c r="O317" s="230"/>
      <c r="P317" s="230"/>
      <c r="Q317" s="230"/>
      <c r="R317" s="284"/>
      <c r="S317" s="284"/>
      <c r="T317" s="455"/>
      <c r="V317" s="285"/>
      <c r="W317" s="285"/>
    </row>
    <row r="318" spans="2:23" s="286" customFormat="1" ht="15" customHeight="1" x14ac:dyDescent="0.2">
      <c r="B318" s="456"/>
      <c r="C318" s="230"/>
      <c r="D318" s="457"/>
      <c r="E318" s="457"/>
      <c r="F318" s="457"/>
      <c r="G318" s="457"/>
      <c r="H318" s="457"/>
      <c r="I318" s="230"/>
      <c r="J318" s="230"/>
      <c r="K318" s="285"/>
      <c r="L318" s="240"/>
      <c r="M318" s="230"/>
      <c r="N318" s="230"/>
      <c r="O318" s="230"/>
      <c r="P318" s="230"/>
      <c r="Q318" s="230"/>
      <c r="R318" s="284"/>
      <c r="S318" s="284"/>
      <c r="T318" s="455"/>
      <c r="V318" s="285"/>
      <c r="W318" s="285"/>
    </row>
    <row r="319" spans="2:23" s="286" customFormat="1" ht="15" customHeight="1" x14ac:dyDescent="0.2">
      <c r="B319" s="456"/>
      <c r="C319" s="230"/>
      <c r="D319" s="457"/>
      <c r="E319" s="457"/>
      <c r="F319" s="457"/>
      <c r="G319" s="457"/>
      <c r="H319" s="457"/>
      <c r="I319" s="230"/>
      <c r="J319" s="230"/>
      <c r="K319" s="285"/>
      <c r="L319" s="240"/>
      <c r="M319" s="230"/>
      <c r="N319" s="230"/>
      <c r="O319" s="230"/>
      <c r="P319" s="230"/>
      <c r="Q319" s="230"/>
      <c r="R319" s="284"/>
      <c r="S319" s="284"/>
      <c r="T319" s="455"/>
      <c r="V319" s="285"/>
      <c r="W319" s="285"/>
    </row>
    <row r="320" spans="2:23" s="286" customFormat="1" ht="15" customHeight="1" x14ac:dyDescent="0.25">
      <c r="B320" s="698" t="s">
        <v>9</v>
      </c>
      <c r="C320" s="728" t="s">
        <v>26</v>
      </c>
      <c r="D320" s="802"/>
      <c r="E320" s="802"/>
      <c r="F320" s="802"/>
      <c r="G320" s="802"/>
      <c r="H320" s="802"/>
      <c r="I320" s="802"/>
      <c r="J320" s="802"/>
      <c r="K320" s="802"/>
      <c r="L320" s="240"/>
      <c r="M320" s="230"/>
      <c r="N320" s="230"/>
      <c r="O320" s="230"/>
      <c r="P320" s="230"/>
      <c r="Q320" s="230"/>
      <c r="R320" s="284"/>
      <c r="S320" s="284"/>
      <c r="T320" s="455"/>
      <c r="V320" s="285"/>
      <c r="W320" s="285"/>
    </row>
    <row r="321" spans="2:23" s="286" customFormat="1" ht="15" customHeight="1" x14ac:dyDescent="0.2">
      <c r="B321" s="698"/>
      <c r="C321" s="438" t="s">
        <v>16</v>
      </c>
      <c r="D321" s="438" t="s">
        <v>17</v>
      </c>
      <c r="E321" s="438" t="s">
        <v>15</v>
      </c>
      <c r="F321" s="438" t="s">
        <v>14</v>
      </c>
      <c r="G321" s="438" t="s">
        <v>13</v>
      </c>
      <c r="H321" s="438" t="s">
        <v>35</v>
      </c>
      <c r="I321" s="438" t="s">
        <v>36</v>
      </c>
      <c r="J321" s="438" t="s">
        <v>37</v>
      </c>
      <c r="K321" s="438" t="s">
        <v>0</v>
      </c>
      <c r="L321" s="240"/>
      <c r="M321" s="230"/>
      <c r="N321" s="230"/>
      <c r="O321" s="230"/>
      <c r="P321" s="230"/>
      <c r="Q321" s="230"/>
      <c r="R321" s="284"/>
      <c r="S321" s="284"/>
      <c r="T321" s="455"/>
      <c r="V321" s="285"/>
      <c r="W321" s="285"/>
    </row>
    <row r="322" spans="2:23" s="286" customFormat="1" ht="15" customHeight="1" thickBot="1" x14ac:dyDescent="0.25">
      <c r="B322" s="439" t="str">
        <f>+B304</f>
        <v>1. EXPEDIENTE TÉCNICO</v>
      </c>
      <c r="C322" s="441"/>
      <c r="D322" s="442"/>
      <c r="E322" s="442"/>
      <c r="F322" s="442"/>
      <c r="G322" s="442"/>
      <c r="H322" s="442"/>
      <c r="I322" s="442"/>
      <c r="J322" s="442"/>
      <c r="K322" s="458"/>
      <c r="L322" s="240"/>
      <c r="M322" s="230"/>
      <c r="N322" s="230"/>
      <c r="O322" s="230"/>
      <c r="P322" s="230"/>
      <c r="Q322" s="230"/>
      <c r="R322" s="284"/>
      <c r="S322" s="284"/>
      <c r="T322" s="455"/>
      <c r="V322" s="285"/>
      <c r="W322" s="285"/>
    </row>
    <row r="323" spans="2:23" s="286" customFormat="1" ht="15" customHeight="1" thickTop="1" x14ac:dyDescent="0.2">
      <c r="B323" s="444" t="str">
        <f>+B305</f>
        <v>2. INFRAESTRUCTURA</v>
      </c>
      <c r="C323" s="447"/>
      <c r="D323" s="459"/>
      <c r="E323" s="459"/>
      <c r="F323" s="459"/>
      <c r="G323" s="459"/>
      <c r="H323" s="459"/>
      <c r="I323" s="459"/>
      <c r="J323" s="459"/>
      <c r="K323" s="460"/>
      <c r="L323" s="240"/>
      <c r="M323" s="230"/>
      <c r="N323" s="230"/>
      <c r="O323" s="230"/>
      <c r="P323" s="230"/>
      <c r="Q323" s="230"/>
      <c r="R323" s="284"/>
      <c r="S323" s="284"/>
      <c r="T323" s="455"/>
      <c r="V323" s="285"/>
      <c r="W323" s="285"/>
    </row>
    <row r="324" spans="2:23" s="286" customFormat="1" ht="15" customHeight="1" x14ac:dyDescent="0.2">
      <c r="B324" s="444" t="str">
        <f>+B306</f>
        <v>3. EQUIPAMIENTO</v>
      </c>
      <c r="C324" s="306"/>
      <c r="D324" s="306"/>
      <c r="E324" s="306"/>
      <c r="F324" s="306"/>
      <c r="G324" s="306"/>
      <c r="H324" s="461"/>
      <c r="I324" s="459"/>
      <c r="K324" s="462"/>
      <c r="L324" s="240"/>
      <c r="M324" s="230"/>
      <c r="N324" s="230"/>
      <c r="O324" s="230"/>
      <c r="P324" s="230"/>
      <c r="Q324" s="230"/>
      <c r="R324" s="284"/>
      <c r="S324" s="284"/>
      <c r="T324" s="455"/>
      <c r="V324" s="285"/>
      <c r="W324" s="285"/>
    </row>
    <row r="325" spans="2:23" s="286" customFormat="1" ht="15" customHeight="1" x14ac:dyDescent="0.2">
      <c r="B325" s="444" t="str">
        <f>+B307</f>
        <v>4. SUPERVISION</v>
      </c>
      <c r="C325" s="306"/>
      <c r="D325" s="306"/>
      <c r="E325" s="241"/>
      <c r="F325" s="241"/>
      <c r="G325" s="241"/>
      <c r="H325" s="306"/>
      <c r="I325" s="459"/>
      <c r="J325" s="463"/>
      <c r="K325" s="462"/>
      <c r="L325" s="240"/>
      <c r="M325" s="230"/>
      <c r="N325" s="230"/>
      <c r="O325" s="230"/>
      <c r="P325" s="230"/>
      <c r="Q325" s="230"/>
      <c r="R325" s="284"/>
      <c r="S325" s="284"/>
      <c r="T325" s="455"/>
      <c r="V325" s="285"/>
      <c r="W325" s="285"/>
    </row>
    <row r="326" spans="2:23" s="286" customFormat="1" ht="15" customHeight="1" x14ac:dyDescent="0.2">
      <c r="B326" s="456"/>
      <c r="C326" s="230"/>
      <c r="D326" s="457"/>
      <c r="E326" s="457"/>
      <c r="F326" s="457"/>
      <c r="G326" s="457"/>
      <c r="H326" s="457"/>
      <c r="I326" s="230"/>
      <c r="J326" s="230"/>
      <c r="K326" s="464"/>
      <c r="L326" s="230"/>
      <c r="M326" s="230"/>
      <c r="N326" s="230"/>
      <c r="O326" s="230"/>
      <c r="P326" s="230"/>
      <c r="Q326" s="230"/>
      <c r="R326" s="284"/>
      <c r="S326" s="284"/>
      <c r="T326" s="455"/>
      <c r="V326" s="285"/>
      <c r="W326" s="285"/>
    </row>
    <row r="327" spans="2:23" s="286" customFormat="1" ht="15" customHeight="1" x14ac:dyDescent="0.25">
      <c r="B327" s="686"/>
      <c r="C327" s="686"/>
      <c r="D327" s="686"/>
      <c r="E327" s="686"/>
      <c r="F327" s="686"/>
      <c r="G327" s="686"/>
      <c r="H327" s="686"/>
      <c r="I327" s="686"/>
      <c r="J327" s="686"/>
      <c r="K327" s="686"/>
      <c r="L327" s="230"/>
      <c r="M327" s="230"/>
      <c r="N327" s="230"/>
      <c r="O327" s="230"/>
      <c r="P327" s="230"/>
      <c r="Q327" s="284"/>
      <c r="R327" s="230"/>
      <c r="S327" s="230"/>
      <c r="T327" s="455"/>
      <c r="V327" s="285"/>
      <c r="W327" s="285"/>
    </row>
    <row r="328" spans="2:23" s="286" customFormat="1" ht="15" customHeight="1" x14ac:dyDescent="0.25">
      <c r="B328" s="336" t="s">
        <v>198</v>
      </c>
      <c r="C328" s="414"/>
      <c r="D328" s="414"/>
      <c r="E328" s="414"/>
      <c r="F328" s="414"/>
      <c r="G328" s="414"/>
      <c r="H328" s="414"/>
      <c r="I328" s="414"/>
      <c r="J328" s="414"/>
      <c r="N328" s="322"/>
      <c r="O328" s="322"/>
      <c r="P328" s="322"/>
      <c r="Q328" s="322"/>
      <c r="R328" s="322"/>
      <c r="S328" s="322"/>
      <c r="T328" s="430"/>
      <c r="V328" s="284"/>
      <c r="W328" s="284"/>
    </row>
    <row r="329" spans="2:23" s="286" customFormat="1" ht="15" customHeight="1" x14ac:dyDescent="0.25">
      <c r="B329" s="239"/>
      <c r="C329" s="414"/>
      <c r="D329" s="414"/>
      <c r="E329" s="414"/>
      <c r="F329" s="414"/>
      <c r="G329" s="414"/>
      <c r="H329" s="414"/>
      <c r="I329" s="414"/>
      <c r="J329" s="414"/>
      <c r="N329" s="322"/>
      <c r="O329" s="322"/>
      <c r="P329" s="322"/>
      <c r="Q329" s="322"/>
      <c r="R329" s="322"/>
      <c r="S329" s="322"/>
      <c r="T329" s="430"/>
      <c r="V329" s="284"/>
      <c r="W329" s="284"/>
    </row>
    <row r="330" spans="2:23" s="286" customFormat="1" ht="15" customHeight="1" x14ac:dyDescent="0.25">
      <c r="B330" s="803" t="s">
        <v>103</v>
      </c>
      <c r="C330" s="804"/>
      <c r="D330" s="465">
        <v>1</v>
      </c>
      <c r="E330" s="465">
        <v>2</v>
      </c>
      <c r="F330" s="465">
        <v>3</v>
      </c>
      <c r="G330" s="465">
        <v>4</v>
      </c>
      <c r="H330" s="465">
        <v>5</v>
      </c>
      <c r="I330" s="465">
        <v>6</v>
      </c>
      <c r="J330" s="465">
        <v>7</v>
      </c>
      <c r="K330" s="465">
        <v>8</v>
      </c>
      <c r="L330" s="465">
        <v>9</v>
      </c>
      <c r="M330" s="465">
        <v>10</v>
      </c>
      <c r="N330" s="322"/>
      <c r="O330" s="322"/>
      <c r="P330" s="322"/>
      <c r="Q330" s="322"/>
      <c r="R330" s="322"/>
      <c r="S330" s="322"/>
      <c r="T330" s="430"/>
      <c r="V330" s="284"/>
      <c r="W330" s="284"/>
    </row>
    <row r="331" spans="2:23" s="286" customFormat="1" ht="15" customHeight="1" x14ac:dyDescent="0.2">
      <c r="B331" s="708" t="s">
        <v>138</v>
      </c>
      <c r="C331" s="708"/>
      <c r="D331" s="466"/>
      <c r="E331" s="467"/>
      <c r="F331" s="467"/>
      <c r="G331" s="467"/>
      <c r="H331" s="467"/>
      <c r="I331" s="467"/>
      <c r="J331" s="467"/>
      <c r="K331" s="468"/>
      <c r="L331" s="467"/>
      <c r="M331" s="467"/>
      <c r="N331" s="322"/>
      <c r="O331" s="322"/>
      <c r="P331" s="322"/>
      <c r="Q331" s="322"/>
      <c r="R331" s="322"/>
      <c r="S331" s="322"/>
      <c r="T331" s="430"/>
      <c r="V331" s="284"/>
      <c r="W331" s="284"/>
    </row>
    <row r="332" spans="2:23" s="286" customFormat="1" ht="15" customHeight="1" x14ac:dyDescent="0.2">
      <c r="B332" s="708" t="s">
        <v>139</v>
      </c>
      <c r="C332" s="708"/>
      <c r="D332" s="466"/>
      <c r="E332" s="467"/>
      <c r="F332" s="467"/>
      <c r="G332" s="467"/>
      <c r="H332" s="467"/>
      <c r="I332" s="467"/>
      <c r="J332" s="467"/>
      <c r="K332" s="468"/>
      <c r="L332" s="467"/>
      <c r="M332" s="467"/>
      <c r="N332" s="322"/>
      <c r="O332" s="322"/>
      <c r="P332" s="322"/>
      <c r="Q332" s="322"/>
      <c r="R332" s="322"/>
      <c r="S332" s="322"/>
      <c r="T332" s="430"/>
      <c r="V332" s="284"/>
      <c r="W332" s="284"/>
    </row>
    <row r="333" spans="2:23" s="286" customFormat="1" ht="15" customHeight="1" x14ac:dyDescent="0.25">
      <c r="B333" s="803" t="s">
        <v>137</v>
      </c>
      <c r="C333" s="804"/>
      <c r="D333" s="469"/>
      <c r="E333" s="278"/>
      <c r="F333" s="278"/>
      <c r="G333" s="278"/>
      <c r="H333" s="278"/>
      <c r="I333" s="278"/>
      <c r="J333" s="278"/>
      <c r="K333" s="278"/>
      <c r="L333" s="278"/>
      <c r="M333" s="278"/>
      <c r="N333" s="322"/>
      <c r="O333" s="322"/>
      <c r="P333" s="322"/>
      <c r="Q333" s="322"/>
      <c r="R333" s="322"/>
      <c r="S333" s="322"/>
      <c r="T333" s="430"/>
      <c r="V333" s="284"/>
      <c r="W333" s="284"/>
    </row>
    <row r="334" spans="2:23" s="286" customFormat="1" ht="15" customHeight="1" x14ac:dyDescent="0.2">
      <c r="B334" s="309"/>
      <c r="C334" s="322"/>
      <c r="D334" s="322"/>
      <c r="E334" s="322"/>
      <c r="F334" s="322"/>
      <c r="G334" s="322"/>
      <c r="H334" s="322"/>
      <c r="I334" s="322"/>
      <c r="J334" s="322"/>
      <c r="K334" s="430"/>
      <c r="L334" s="322"/>
      <c r="M334" s="322"/>
      <c r="N334" s="322"/>
      <c r="O334" s="322"/>
      <c r="P334" s="322"/>
      <c r="Q334" s="322"/>
      <c r="R334" s="322"/>
      <c r="S334" s="322"/>
      <c r="T334" s="430"/>
      <c r="V334" s="284"/>
      <c r="W334" s="284"/>
    </row>
    <row r="335" spans="2:23" s="286" customFormat="1" ht="15" customHeight="1" x14ac:dyDescent="0.25">
      <c r="B335" s="336" t="s">
        <v>199</v>
      </c>
      <c r="C335" s="414"/>
      <c r="D335" s="414"/>
      <c r="E335" s="414"/>
      <c r="F335" s="414"/>
      <c r="G335" s="414"/>
      <c r="H335" s="414"/>
      <c r="I335" s="414"/>
      <c r="J335" s="414"/>
      <c r="V335" s="284"/>
      <c r="W335" s="284"/>
    </row>
    <row r="336" spans="2:23" s="286" customFormat="1" ht="15" customHeight="1" x14ac:dyDescent="0.25">
      <c r="B336" s="239"/>
      <c r="C336" s="414"/>
      <c r="D336" s="414"/>
      <c r="E336" s="414"/>
      <c r="F336" s="414"/>
      <c r="G336" s="414"/>
      <c r="H336" s="414"/>
      <c r="I336" s="414"/>
      <c r="J336" s="414"/>
      <c r="V336" s="284"/>
      <c r="W336" s="284"/>
    </row>
    <row r="337" spans="2:23" s="286" customFormat="1" ht="15" customHeight="1" x14ac:dyDescent="0.25">
      <c r="B337" s="239" t="s">
        <v>135</v>
      </c>
      <c r="C337" s="414"/>
      <c r="D337" s="414"/>
      <c r="E337" s="414"/>
      <c r="F337" s="414"/>
      <c r="G337" s="414"/>
      <c r="H337" s="414"/>
      <c r="I337" s="414"/>
      <c r="J337" s="414"/>
      <c r="V337" s="284"/>
      <c r="W337" s="284"/>
    </row>
    <row r="338" spans="2:23" s="286" customFormat="1" ht="15" customHeight="1" x14ac:dyDescent="0.25">
      <c r="B338" s="239"/>
      <c r="C338" s="414"/>
      <c r="D338" s="414"/>
      <c r="E338" s="414"/>
      <c r="F338" s="414"/>
      <c r="G338" s="414"/>
      <c r="H338" s="414"/>
      <c r="I338" s="414"/>
      <c r="J338" s="414"/>
      <c r="V338" s="284"/>
      <c r="W338" s="284"/>
    </row>
    <row r="339" spans="2:23" s="286" customFormat="1" ht="15" customHeight="1" x14ac:dyDescent="0.25">
      <c r="B339" s="805" t="s">
        <v>103</v>
      </c>
      <c r="C339" s="806"/>
      <c r="D339" s="465">
        <v>1</v>
      </c>
      <c r="E339" s="465">
        <v>2</v>
      </c>
      <c r="F339" s="465">
        <v>3</v>
      </c>
      <c r="G339" s="465">
        <v>4</v>
      </c>
      <c r="H339" s="465">
        <v>5</v>
      </c>
      <c r="I339" s="465">
        <v>6</v>
      </c>
      <c r="J339" s="465">
        <v>7</v>
      </c>
      <c r="K339" s="465">
        <v>8</v>
      </c>
      <c r="L339" s="465">
        <v>9</v>
      </c>
      <c r="M339" s="465">
        <v>10</v>
      </c>
      <c r="N339" s="322"/>
      <c r="O339" s="322"/>
      <c r="P339" s="322"/>
      <c r="Q339" s="322"/>
      <c r="R339" s="322"/>
      <c r="S339" s="322"/>
      <c r="T339" s="430"/>
      <c r="V339" s="284"/>
      <c r="W339" s="284"/>
    </row>
    <row r="340" spans="2:23" s="286" customFormat="1" ht="15" customHeight="1" x14ac:dyDescent="0.2">
      <c r="B340" s="807" t="s">
        <v>125</v>
      </c>
      <c r="C340" s="808"/>
      <c r="D340" s="466"/>
      <c r="E340" s="467"/>
      <c r="F340" s="467"/>
      <c r="G340" s="467"/>
      <c r="H340" s="467"/>
      <c r="I340" s="467"/>
      <c r="J340" s="467"/>
      <c r="K340" s="468"/>
      <c r="L340" s="467"/>
      <c r="M340" s="467"/>
      <c r="N340" s="322"/>
      <c r="O340" s="322"/>
      <c r="P340" s="322"/>
      <c r="Q340" s="322"/>
      <c r="R340" s="322"/>
      <c r="S340" s="322"/>
      <c r="T340" s="430"/>
      <c r="V340" s="284"/>
      <c r="W340" s="284"/>
    </row>
    <row r="341" spans="2:23" s="286" customFormat="1" ht="15" customHeight="1" x14ac:dyDescent="0.2">
      <c r="B341" s="708" t="s">
        <v>126</v>
      </c>
      <c r="C341" s="708"/>
      <c r="D341" s="466"/>
      <c r="E341" s="467"/>
      <c r="F341" s="467"/>
      <c r="G341" s="467"/>
      <c r="H341" s="467"/>
      <c r="I341" s="467"/>
      <c r="J341" s="467"/>
      <c r="K341" s="468"/>
      <c r="L341" s="467"/>
      <c r="M341" s="467"/>
      <c r="N341" s="322"/>
      <c r="O341" s="322"/>
      <c r="P341" s="322"/>
      <c r="Q341" s="322"/>
      <c r="R341" s="322"/>
      <c r="S341" s="322"/>
      <c r="T341" s="430"/>
      <c r="V341" s="284"/>
      <c r="W341" s="284"/>
    </row>
    <row r="342" spans="2:23" s="286" customFormat="1" ht="15" customHeight="1" x14ac:dyDescent="0.2">
      <c r="B342" s="708" t="s">
        <v>127</v>
      </c>
      <c r="C342" s="708"/>
      <c r="D342" s="466"/>
      <c r="E342" s="467"/>
      <c r="F342" s="467"/>
      <c r="G342" s="467"/>
      <c r="H342" s="467"/>
      <c r="I342" s="467"/>
      <c r="J342" s="467"/>
      <c r="K342" s="468"/>
      <c r="L342" s="467"/>
      <c r="M342" s="467"/>
      <c r="N342" s="322"/>
      <c r="O342" s="322"/>
      <c r="P342" s="322"/>
      <c r="Q342" s="322"/>
      <c r="R342" s="322"/>
      <c r="S342" s="322"/>
      <c r="T342" s="430"/>
      <c r="V342" s="284"/>
      <c r="W342" s="284"/>
    </row>
    <row r="343" spans="2:23" s="286" customFormat="1" ht="15" customHeight="1" x14ac:dyDescent="0.2">
      <c r="B343" s="708" t="s">
        <v>128</v>
      </c>
      <c r="C343" s="708"/>
      <c r="D343" s="466"/>
      <c r="E343" s="467"/>
      <c r="F343" s="467"/>
      <c r="G343" s="467"/>
      <c r="H343" s="467"/>
      <c r="I343" s="467"/>
      <c r="J343" s="467"/>
      <c r="K343" s="468"/>
      <c r="L343" s="467"/>
      <c r="M343" s="467"/>
      <c r="N343" s="322"/>
      <c r="O343" s="322"/>
      <c r="P343" s="322"/>
      <c r="Q343" s="322"/>
      <c r="R343" s="322"/>
      <c r="S343" s="322"/>
      <c r="T343" s="430"/>
      <c r="V343" s="284"/>
      <c r="W343" s="284"/>
    </row>
    <row r="344" spans="2:23" s="286" customFormat="1" ht="15" customHeight="1" x14ac:dyDescent="0.2">
      <c r="B344" s="708" t="s">
        <v>129</v>
      </c>
      <c r="C344" s="708"/>
      <c r="D344" s="466"/>
      <c r="E344" s="467"/>
      <c r="F344" s="467"/>
      <c r="G344" s="467"/>
      <c r="H344" s="467"/>
      <c r="I344" s="467"/>
      <c r="J344" s="467"/>
      <c r="K344" s="468"/>
      <c r="L344" s="467"/>
      <c r="M344" s="467"/>
      <c r="N344" s="322"/>
      <c r="O344" s="322"/>
      <c r="P344" s="322"/>
      <c r="Q344" s="322"/>
      <c r="R344" s="322"/>
      <c r="S344" s="322"/>
      <c r="T344" s="430"/>
      <c r="V344" s="284"/>
      <c r="W344" s="284"/>
    </row>
    <row r="345" spans="2:23" s="286" customFormat="1" ht="15" customHeight="1" x14ac:dyDescent="0.2">
      <c r="B345" s="708" t="s">
        <v>134</v>
      </c>
      <c r="C345" s="708"/>
      <c r="D345" s="466"/>
      <c r="E345" s="467"/>
      <c r="F345" s="467"/>
      <c r="G345" s="467"/>
      <c r="H345" s="467"/>
      <c r="I345" s="467"/>
      <c r="J345" s="467"/>
      <c r="K345" s="468"/>
      <c r="L345" s="467"/>
      <c r="M345" s="467"/>
      <c r="N345" s="322"/>
      <c r="O345" s="322"/>
      <c r="P345" s="322"/>
      <c r="Q345" s="322"/>
      <c r="R345" s="322"/>
      <c r="S345" s="322"/>
      <c r="T345" s="430"/>
      <c r="V345" s="284"/>
      <c r="W345" s="284"/>
    </row>
    <row r="346" spans="2:23" s="286" customFormat="1" ht="15" customHeight="1" x14ac:dyDescent="0.2">
      <c r="B346" s="807" t="s">
        <v>130</v>
      </c>
      <c r="C346" s="808"/>
      <c r="D346" s="466"/>
      <c r="E346" s="467"/>
      <c r="F346" s="467"/>
      <c r="G346" s="467"/>
      <c r="H346" s="467"/>
      <c r="I346" s="467"/>
      <c r="J346" s="467"/>
      <c r="K346" s="468"/>
      <c r="L346" s="467"/>
      <c r="M346" s="467"/>
      <c r="N346" s="322"/>
      <c r="O346" s="322"/>
      <c r="P346" s="322"/>
      <c r="Q346" s="322"/>
      <c r="R346" s="322"/>
      <c r="S346" s="322"/>
      <c r="T346" s="430"/>
      <c r="V346" s="284"/>
      <c r="W346" s="284"/>
    </row>
    <row r="347" spans="2:23" s="286" customFormat="1" ht="15" customHeight="1" x14ac:dyDescent="0.2">
      <c r="B347" s="708" t="s">
        <v>131</v>
      </c>
      <c r="C347" s="708"/>
      <c r="D347" s="466"/>
      <c r="E347" s="467"/>
      <c r="F347" s="467"/>
      <c r="G347" s="467"/>
      <c r="H347" s="467"/>
      <c r="I347" s="467"/>
      <c r="J347" s="467"/>
      <c r="K347" s="468"/>
      <c r="L347" s="467"/>
      <c r="M347" s="467"/>
      <c r="N347" s="322"/>
      <c r="O347" s="322"/>
      <c r="P347" s="322"/>
      <c r="Q347" s="322"/>
      <c r="R347" s="322"/>
      <c r="S347" s="322"/>
      <c r="T347" s="430"/>
      <c r="V347" s="284"/>
      <c r="W347" s="284"/>
    </row>
    <row r="348" spans="2:23" s="286" customFormat="1" ht="15" customHeight="1" x14ac:dyDescent="0.2">
      <c r="B348" s="708" t="s">
        <v>132</v>
      </c>
      <c r="C348" s="708"/>
      <c r="D348" s="466"/>
      <c r="E348" s="467"/>
      <c r="F348" s="467"/>
      <c r="G348" s="467"/>
      <c r="H348" s="467"/>
      <c r="I348" s="467"/>
      <c r="J348" s="467"/>
      <c r="K348" s="468"/>
      <c r="L348" s="467"/>
      <c r="M348" s="467"/>
      <c r="N348" s="322"/>
      <c r="O348" s="322"/>
      <c r="P348" s="322"/>
      <c r="Q348" s="322"/>
      <c r="R348" s="322"/>
      <c r="S348" s="322"/>
      <c r="T348" s="430"/>
      <c r="V348" s="284"/>
      <c r="W348" s="284"/>
    </row>
    <row r="349" spans="2:23" s="286" customFormat="1" ht="15" customHeight="1" x14ac:dyDescent="0.2">
      <c r="B349" s="708" t="s">
        <v>133</v>
      </c>
      <c r="C349" s="708"/>
      <c r="D349" s="466"/>
      <c r="E349" s="467"/>
      <c r="F349" s="467"/>
      <c r="G349" s="467"/>
      <c r="H349" s="467"/>
      <c r="I349" s="467"/>
      <c r="J349" s="467"/>
      <c r="K349" s="468"/>
      <c r="L349" s="467"/>
      <c r="M349" s="467"/>
      <c r="N349" s="322"/>
      <c r="O349" s="322"/>
      <c r="P349" s="322"/>
      <c r="Q349" s="322"/>
      <c r="R349" s="322"/>
      <c r="S349" s="322"/>
      <c r="T349" s="430"/>
      <c r="V349" s="284"/>
      <c r="W349" s="284"/>
    </row>
    <row r="350" spans="2:23" s="286" customFormat="1" ht="15" customHeight="1" x14ac:dyDescent="0.2">
      <c r="B350" s="309"/>
      <c r="C350" s="322"/>
      <c r="D350" s="322"/>
      <c r="E350" s="322"/>
      <c r="F350" s="322"/>
      <c r="G350" s="322"/>
      <c r="H350" s="322"/>
      <c r="I350" s="322"/>
      <c r="J350" s="322"/>
      <c r="K350" s="430"/>
      <c r="L350" s="322"/>
      <c r="M350" s="322"/>
      <c r="N350" s="322"/>
      <c r="O350" s="322"/>
      <c r="P350" s="322"/>
      <c r="Q350" s="322"/>
      <c r="R350" s="322"/>
      <c r="S350" s="322"/>
      <c r="T350" s="430"/>
      <c r="V350" s="284"/>
      <c r="W350" s="284"/>
    </row>
    <row r="351" spans="2:23" s="286" customFormat="1" ht="15" customHeight="1" x14ac:dyDescent="0.25">
      <c r="B351" s="239" t="s">
        <v>136</v>
      </c>
      <c r="C351" s="414"/>
      <c r="D351" s="414"/>
      <c r="E351" s="414"/>
      <c r="F351" s="414"/>
      <c r="G351" s="414"/>
      <c r="H351" s="414"/>
      <c r="I351" s="414"/>
      <c r="J351" s="414"/>
      <c r="N351" s="322"/>
      <c r="O351" s="322"/>
      <c r="P351" s="322"/>
      <c r="Q351" s="322"/>
      <c r="R351" s="322"/>
      <c r="S351" s="322"/>
      <c r="T351" s="430"/>
      <c r="V351" s="284"/>
      <c r="W351" s="284"/>
    </row>
    <row r="352" spans="2:23" s="286" customFormat="1" ht="15" customHeight="1" x14ac:dyDescent="0.25">
      <c r="B352" s="239"/>
      <c r="C352" s="414"/>
      <c r="D352" s="414"/>
      <c r="E352" s="414"/>
      <c r="F352" s="414"/>
      <c r="G352" s="414"/>
      <c r="H352" s="414"/>
      <c r="I352" s="414"/>
      <c r="J352" s="414"/>
      <c r="N352" s="322"/>
      <c r="O352" s="322"/>
      <c r="P352" s="322"/>
      <c r="Q352" s="322"/>
      <c r="R352" s="322"/>
      <c r="S352" s="322"/>
      <c r="T352" s="430"/>
      <c r="V352" s="284"/>
      <c r="W352" s="284"/>
    </row>
    <row r="353" spans="2:23" s="286" customFormat="1" ht="15" customHeight="1" x14ac:dyDescent="0.25">
      <c r="B353" s="805" t="s">
        <v>103</v>
      </c>
      <c r="C353" s="806"/>
      <c r="D353" s="465">
        <v>1</v>
      </c>
      <c r="E353" s="465">
        <v>2</v>
      </c>
      <c r="F353" s="465">
        <v>3</v>
      </c>
      <c r="G353" s="465">
        <v>4</v>
      </c>
      <c r="H353" s="465">
        <v>5</v>
      </c>
      <c r="I353" s="465">
        <v>6</v>
      </c>
      <c r="J353" s="465">
        <v>7</v>
      </c>
      <c r="K353" s="465">
        <v>8</v>
      </c>
      <c r="L353" s="465">
        <v>9</v>
      </c>
      <c r="M353" s="465">
        <v>10</v>
      </c>
      <c r="N353" s="322"/>
      <c r="O353" s="322"/>
      <c r="P353" s="322"/>
      <c r="Q353" s="322"/>
      <c r="R353" s="322"/>
      <c r="S353" s="322"/>
      <c r="T353" s="430"/>
      <c r="V353" s="284"/>
      <c r="W353" s="284"/>
    </row>
    <row r="354" spans="2:23" s="286" customFormat="1" ht="15" customHeight="1" x14ac:dyDescent="0.2">
      <c r="B354" s="807" t="s">
        <v>125</v>
      </c>
      <c r="C354" s="808"/>
      <c r="D354" s="466"/>
      <c r="E354" s="467"/>
      <c r="F354" s="467"/>
      <c r="G354" s="467"/>
      <c r="H354" s="467"/>
      <c r="I354" s="467"/>
      <c r="J354" s="467"/>
      <c r="K354" s="468"/>
      <c r="L354" s="467"/>
      <c r="M354" s="467"/>
      <c r="N354" s="322"/>
      <c r="O354" s="322"/>
      <c r="P354" s="322"/>
      <c r="Q354" s="322"/>
      <c r="R354" s="322"/>
      <c r="S354" s="322"/>
      <c r="T354" s="430"/>
      <c r="V354" s="284"/>
      <c r="W354" s="284"/>
    </row>
    <row r="355" spans="2:23" s="286" customFormat="1" ht="15" customHeight="1" x14ac:dyDescent="0.2">
      <c r="B355" s="708" t="s">
        <v>126</v>
      </c>
      <c r="C355" s="708"/>
      <c r="D355" s="466"/>
      <c r="E355" s="467"/>
      <c r="F355" s="467"/>
      <c r="G355" s="467"/>
      <c r="H355" s="467"/>
      <c r="I355" s="467"/>
      <c r="J355" s="467"/>
      <c r="K355" s="468"/>
      <c r="L355" s="467"/>
      <c r="M355" s="467"/>
      <c r="N355" s="322"/>
      <c r="O355" s="322"/>
      <c r="P355" s="322"/>
      <c r="Q355" s="322"/>
      <c r="R355" s="322"/>
      <c r="S355" s="322"/>
      <c r="T355" s="430"/>
      <c r="V355" s="284"/>
      <c r="W355" s="284"/>
    </row>
    <row r="356" spans="2:23" s="286" customFormat="1" ht="15" customHeight="1" x14ac:dyDescent="0.2">
      <c r="B356" s="708" t="s">
        <v>127</v>
      </c>
      <c r="C356" s="708"/>
      <c r="D356" s="466"/>
      <c r="E356" s="467"/>
      <c r="F356" s="467"/>
      <c r="G356" s="467"/>
      <c r="H356" s="467"/>
      <c r="I356" s="467"/>
      <c r="J356" s="467"/>
      <c r="K356" s="468"/>
      <c r="L356" s="467"/>
      <c r="M356" s="467"/>
      <c r="N356" s="322"/>
      <c r="O356" s="322"/>
      <c r="P356" s="322"/>
      <c r="Q356" s="322"/>
      <c r="R356" s="322"/>
      <c r="S356" s="322"/>
      <c r="T356" s="430"/>
      <c r="V356" s="284"/>
      <c r="W356" s="284"/>
    </row>
    <row r="357" spans="2:23" s="286" customFormat="1" ht="15" customHeight="1" x14ac:dyDescent="0.2">
      <c r="B357" s="708" t="s">
        <v>128</v>
      </c>
      <c r="C357" s="708"/>
      <c r="D357" s="466"/>
      <c r="E357" s="467"/>
      <c r="F357" s="467"/>
      <c r="G357" s="467"/>
      <c r="H357" s="467"/>
      <c r="I357" s="467"/>
      <c r="J357" s="467"/>
      <c r="K357" s="468"/>
      <c r="L357" s="467"/>
      <c r="M357" s="467"/>
      <c r="N357" s="322"/>
      <c r="O357" s="322"/>
      <c r="P357" s="322"/>
      <c r="Q357" s="322"/>
      <c r="R357" s="322"/>
      <c r="S357" s="322"/>
      <c r="T357" s="430"/>
      <c r="V357" s="284"/>
      <c r="W357" s="284"/>
    </row>
    <row r="358" spans="2:23" s="286" customFormat="1" ht="15" customHeight="1" x14ac:dyDescent="0.2">
      <c r="B358" s="708" t="s">
        <v>129</v>
      </c>
      <c r="C358" s="708"/>
      <c r="D358" s="466"/>
      <c r="E358" s="467"/>
      <c r="F358" s="467"/>
      <c r="G358" s="467"/>
      <c r="H358" s="467"/>
      <c r="I358" s="467"/>
      <c r="J358" s="467"/>
      <c r="K358" s="468"/>
      <c r="L358" s="467"/>
      <c r="M358" s="467"/>
      <c r="N358" s="322"/>
      <c r="O358" s="322"/>
      <c r="P358" s="322"/>
      <c r="Q358" s="322"/>
      <c r="R358" s="322"/>
      <c r="S358" s="322"/>
      <c r="T358" s="430"/>
      <c r="V358" s="284"/>
      <c r="W358" s="284"/>
    </row>
    <row r="359" spans="2:23" s="286" customFormat="1" ht="15" customHeight="1" x14ac:dyDescent="0.2">
      <c r="B359" s="708" t="s">
        <v>134</v>
      </c>
      <c r="C359" s="708"/>
      <c r="D359" s="466"/>
      <c r="E359" s="467"/>
      <c r="F359" s="467"/>
      <c r="G359" s="467"/>
      <c r="H359" s="467"/>
      <c r="I359" s="467"/>
      <c r="J359" s="467"/>
      <c r="K359" s="468"/>
      <c r="L359" s="467"/>
      <c r="M359" s="467"/>
      <c r="N359" s="322"/>
      <c r="O359" s="322"/>
      <c r="P359" s="322"/>
      <c r="Q359" s="322"/>
      <c r="R359" s="322"/>
      <c r="S359" s="322"/>
      <c r="T359" s="430"/>
      <c r="V359" s="284"/>
      <c r="W359" s="284"/>
    </row>
    <row r="360" spans="2:23" s="286" customFormat="1" ht="15" customHeight="1" x14ac:dyDescent="0.2">
      <c r="B360" s="807" t="s">
        <v>130</v>
      </c>
      <c r="C360" s="808"/>
      <c r="D360" s="466"/>
      <c r="E360" s="467"/>
      <c r="F360" s="467"/>
      <c r="G360" s="467"/>
      <c r="H360" s="467"/>
      <c r="I360" s="467"/>
      <c r="J360" s="467"/>
      <c r="K360" s="468"/>
      <c r="L360" s="467"/>
      <c r="M360" s="467"/>
      <c r="N360" s="322"/>
      <c r="O360" s="322"/>
      <c r="P360" s="322"/>
      <c r="Q360" s="322"/>
      <c r="R360" s="322"/>
      <c r="S360" s="322"/>
      <c r="T360" s="430"/>
      <c r="V360" s="284"/>
      <c r="W360" s="284"/>
    </row>
    <row r="361" spans="2:23" s="286" customFormat="1" ht="15" customHeight="1" x14ac:dyDescent="0.2">
      <c r="B361" s="708" t="s">
        <v>131</v>
      </c>
      <c r="C361" s="708"/>
      <c r="D361" s="466"/>
      <c r="E361" s="467"/>
      <c r="F361" s="467"/>
      <c r="G361" s="467"/>
      <c r="H361" s="467"/>
      <c r="I361" s="467"/>
      <c r="J361" s="467"/>
      <c r="K361" s="468"/>
      <c r="L361" s="467"/>
      <c r="M361" s="467"/>
      <c r="N361" s="322"/>
      <c r="O361" s="322"/>
      <c r="P361" s="322"/>
      <c r="Q361" s="322"/>
      <c r="R361" s="322"/>
      <c r="S361" s="322"/>
      <c r="T361" s="430"/>
      <c r="V361" s="284"/>
      <c r="W361" s="284"/>
    </row>
    <row r="362" spans="2:23" s="286" customFormat="1" ht="15" customHeight="1" x14ac:dyDescent="0.2">
      <c r="B362" s="708" t="s">
        <v>132</v>
      </c>
      <c r="C362" s="708"/>
      <c r="D362" s="466"/>
      <c r="E362" s="467"/>
      <c r="F362" s="467"/>
      <c r="G362" s="467"/>
      <c r="H362" s="467"/>
      <c r="I362" s="467"/>
      <c r="J362" s="467"/>
      <c r="K362" s="468"/>
      <c r="L362" s="467"/>
      <c r="M362" s="467"/>
      <c r="N362" s="322"/>
      <c r="O362" s="322"/>
      <c r="P362" s="322"/>
      <c r="Q362" s="322"/>
      <c r="R362" s="322"/>
      <c r="S362" s="322"/>
      <c r="T362" s="430"/>
      <c r="V362" s="284"/>
      <c r="W362" s="284"/>
    </row>
    <row r="363" spans="2:23" s="286" customFormat="1" ht="15" customHeight="1" x14ac:dyDescent="0.2">
      <c r="B363" s="708" t="s">
        <v>133</v>
      </c>
      <c r="C363" s="708"/>
      <c r="D363" s="466"/>
      <c r="E363" s="467"/>
      <c r="F363" s="467"/>
      <c r="G363" s="467"/>
      <c r="H363" s="467"/>
      <c r="I363" s="467"/>
      <c r="J363" s="467"/>
      <c r="K363" s="468"/>
      <c r="L363" s="467"/>
      <c r="M363" s="467"/>
      <c r="N363" s="322"/>
      <c r="O363" s="322"/>
      <c r="P363" s="322"/>
      <c r="Q363" s="322"/>
      <c r="R363" s="322"/>
      <c r="S363" s="322"/>
      <c r="T363" s="430"/>
      <c r="V363" s="284"/>
      <c r="W363" s="284"/>
    </row>
    <row r="364" spans="2:23" s="286" customFormat="1" ht="15" customHeight="1" x14ac:dyDescent="0.2">
      <c r="B364" s="309"/>
      <c r="C364" s="322"/>
      <c r="D364" s="322"/>
      <c r="E364" s="322"/>
      <c r="F364" s="322"/>
      <c r="G364" s="322"/>
      <c r="H364" s="322"/>
      <c r="I364" s="322"/>
      <c r="J364" s="322"/>
      <c r="K364" s="430"/>
      <c r="L364" s="322"/>
      <c r="M364" s="322"/>
      <c r="N364" s="322"/>
      <c r="O364" s="322"/>
      <c r="P364" s="322"/>
      <c r="Q364" s="322"/>
      <c r="R364" s="322"/>
      <c r="S364" s="322"/>
      <c r="T364" s="430"/>
      <c r="V364" s="284"/>
      <c r="W364" s="284"/>
    </row>
    <row r="365" spans="2:23" s="286" customFormat="1" ht="15" customHeight="1" x14ac:dyDescent="0.2">
      <c r="B365" s="309"/>
      <c r="C365" s="322"/>
      <c r="D365" s="470" t="s">
        <v>335</v>
      </c>
      <c r="E365" s="322"/>
      <c r="F365" s="322"/>
      <c r="G365" s="322"/>
      <c r="H365" s="322"/>
      <c r="I365" s="322"/>
      <c r="J365" s="322"/>
      <c r="K365" s="430"/>
      <c r="L365" s="322"/>
      <c r="M365" s="322"/>
      <c r="N365" s="322"/>
      <c r="O365" s="322"/>
      <c r="P365" s="322"/>
      <c r="Q365" s="322"/>
      <c r="R365" s="322"/>
      <c r="S365" s="322"/>
      <c r="T365" s="430"/>
      <c r="V365" s="284"/>
      <c r="W365" s="284"/>
    </row>
    <row r="366" spans="2:23" s="286" customFormat="1" ht="15" customHeight="1" x14ac:dyDescent="0.2">
      <c r="B366" s="309"/>
      <c r="C366" s="322"/>
      <c r="D366" s="470" t="s">
        <v>68</v>
      </c>
      <c r="E366" s="322"/>
      <c r="F366" s="322"/>
      <c r="G366" s="322"/>
      <c r="H366" s="322"/>
      <c r="I366" s="322"/>
      <c r="J366" s="322"/>
      <c r="K366" s="430"/>
      <c r="L366" s="322"/>
      <c r="M366" s="322"/>
      <c r="N366" s="322"/>
      <c r="O366" s="322"/>
      <c r="P366" s="322"/>
      <c r="Q366" s="322"/>
      <c r="R366" s="322"/>
      <c r="S366" s="322"/>
      <c r="T366" s="430"/>
      <c r="V366" s="284"/>
      <c r="W366" s="284"/>
    </row>
    <row r="367" spans="2:23" s="286" customFormat="1" ht="15" customHeight="1" x14ac:dyDescent="0.2">
      <c r="B367" s="309"/>
      <c r="C367" s="322"/>
      <c r="D367" s="470" t="s">
        <v>2315</v>
      </c>
      <c r="E367" s="322"/>
      <c r="F367" s="322"/>
      <c r="G367" s="322"/>
      <c r="H367" s="322"/>
      <c r="I367" s="322"/>
      <c r="J367" s="322"/>
      <c r="K367" s="430"/>
      <c r="L367" s="322"/>
      <c r="M367" s="322"/>
      <c r="N367" s="322"/>
      <c r="O367" s="322"/>
      <c r="P367" s="322"/>
      <c r="Q367" s="322"/>
      <c r="R367" s="322"/>
      <c r="S367" s="322"/>
      <c r="T367" s="430"/>
      <c r="V367" s="284"/>
      <c r="W367" s="284"/>
    </row>
    <row r="368" spans="2:23" s="286" customFormat="1" ht="15" customHeight="1" x14ac:dyDescent="0.2">
      <c r="B368" s="309"/>
      <c r="C368" s="322"/>
      <c r="D368" s="470"/>
      <c r="E368" s="322"/>
      <c r="F368" s="322"/>
      <c r="G368" s="322"/>
      <c r="H368" s="322"/>
      <c r="I368" s="322"/>
      <c r="J368" s="322"/>
      <c r="K368" s="430"/>
      <c r="L368" s="322"/>
      <c r="M368" s="322"/>
      <c r="N368" s="322"/>
      <c r="O368" s="322"/>
      <c r="P368" s="322"/>
      <c r="Q368" s="322"/>
      <c r="R368" s="322"/>
      <c r="S368" s="322"/>
      <c r="T368" s="430"/>
      <c r="V368" s="284"/>
      <c r="W368" s="284"/>
    </row>
    <row r="369" spans="2:23" s="286" customFormat="1" ht="15" customHeight="1" x14ac:dyDescent="0.25">
      <c r="B369" s="413" t="s">
        <v>140</v>
      </c>
      <c r="C369" s="414"/>
      <c r="D369" s="414"/>
      <c r="E369" s="414"/>
      <c r="F369" s="414"/>
      <c r="G369" s="414"/>
      <c r="H369" s="414"/>
      <c r="I369" s="414"/>
      <c r="J369" s="414"/>
      <c r="L369" s="322"/>
      <c r="M369" s="322"/>
      <c r="N369" s="322"/>
      <c r="O369" s="322"/>
      <c r="P369" s="322"/>
      <c r="Q369" s="322"/>
      <c r="R369" s="322"/>
      <c r="S369" s="322"/>
      <c r="T369" s="430"/>
      <c r="V369" s="284"/>
      <c r="W369" s="284"/>
    </row>
    <row r="370" spans="2:23" s="286" customFormat="1" ht="15" customHeight="1" x14ac:dyDescent="0.25">
      <c r="B370" s="413"/>
      <c r="C370" s="414"/>
      <c r="D370" s="414"/>
      <c r="E370" s="414"/>
      <c r="F370" s="414"/>
      <c r="G370" s="414"/>
      <c r="H370" s="414"/>
      <c r="I370" s="414"/>
      <c r="J370" s="414"/>
      <c r="L370" s="322"/>
      <c r="M370" s="322"/>
      <c r="N370" s="322"/>
      <c r="O370" s="322"/>
      <c r="P370" s="322"/>
      <c r="Q370" s="322"/>
      <c r="R370" s="322"/>
      <c r="S370" s="322"/>
      <c r="T370" s="430"/>
      <c r="V370" s="284"/>
      <c r="W370" s="284"/>
    </row>
    <row r="371" spans="2:23" s="286" customFormat="1" ht="15" customHeight="1" x14ac:dyDescent="0.25">
      <c r="B371" s="239" t="s">
        <v>141</v>
      </c>
      <c r="C371" s="414"/>
      <c r="D371" s="414"/>
      <c r="E371" s="414"/>
      <c r="F371" s="728"/>
      <c r="G371" s="728"/>
      <c r="H371" s="728"/>
      <c r="I371" s="414"/>
      <c r="J371" s="414"/>
      <c r="L371" s="322"/>
      <c r="M371" s="322"/>
      <c r="N371" s="322"/>
      <c r="O371" s="322"/>
      <c r="P371" s="322"/>
      <c r="Q371" s="322"/>
      <c r="R371" s="322"/>
      <c r="S371" s="322"/>
      <c r="T371" s="430"/>
      <c r="V371" s="284"/>
      <c r="W371" s="284"/>
    </row>
    <row r="372" spans="2:23" s="286" customFormat="1" ht="15" customHeight="1" x14ac:dyDescent="0.2">
      <c r="B372" s="239" t="s">
        <v>142</v>
      </c>
      <c r="C372" s="322"/>
      <c r="D372" s="322"/>
      <c r="E372" s="322"/>
      <c r="F372" s="728"/>
      <c r="G372" s="728"/>
      <c r="H372" s="728"/>
      <c r="I372" s="730" t="s">
        <v>182</v>
      </c>
      <c r="J372" s="732"/>
      <c r="K372" s="732"/>
      <c r="L372" s="732"/>
      <c r="M372" s="732"/>
      <c r="N372" s="731"/>
      <c r="O372" s="322"/>
      <c r="P372" s="322"/>
      <c r="Q372" s="322"/>
      <c r="R372" s="322"/>
      <c r="S372" s="322"/>
      <c r="T372" s="430"/>
      <c r="V372" s="284"/>
      <c r="W372" s="284"/>
    </row>
    <row r="373" spans="2:23" s="286" customFormat="1" ht="15" customHeight="1" x14ac:dyDescent="0.2">
      <c r="B373" s="239" t="s">
        <v>143</v>
      </c>
      <c r="C373" s="322"/>
      <c r="D373" s="322"/>
      <c r="E373" s="322"/>
      <c r="F373" s="728"/>
      <c r="G373" s="728"/>
      <c r="H373" s="728"/>
      <c r="I373" s="322"/>
      <c r="J373" s="322"/>
      <c r="K373" s="430"/>
      <c r="L373" s="322"/>
      <c r="M373" s="322"/>
      <c r="N373" s="322"/>
      <c r="O373" s="322"/>
      <c r="P373" s="322"/>
      <c r="Q373" s="322"/>
      <c r="R373" s="322"/>
      <c r="S373" s="322"/>
      <c r="T373" s="430"/>
      <c r="V373" s="284"/>
      <c r="W373" s="284"/>
    </row>
    <row r="374" spans="2:23" s="286" customFormat="1" ht="15" customHeight="1" x14ac:dyDescent="0.2">
      <c r="B374" s="309"/>
      <c r="C374" s="322"/>
      <c r="D374" s="322"/>
      <c r="E374" s="322"/>
      <c r="F374" s="322"/>
      <c r="G374" s="322"/>
      <c r="H374" s="322"/>
      <c r="I374" s="322"/>
      <c r="J374" s="322"/>
      <c r="K374" s="430"/>
      <c r="L374" s="322"/>
      <c r="M374" s="322"/>
      <c r="N374" s="322"/>
      <c r="O374" s="322"/>
      <c r="P374" s="322"/>
      <c r="Q374" s="322"/>
      <c r="R374" s="322"/>
      <c r="S374" s="322"/>
      <c r="T374" s="430"/>
      <c r="V374" s="284"/>
      <c r="W374" s="284"/>
    </row>
    <row r="375" spans="2:23" s="286" customFormat="1" ht="15" customHeight="1" x14ac:dyDescent="0.25">
      <c r="B375" s="413" t="s">
        <v>144</v>
      </c>
      <c r="C375" s="414"/>
      <c r="D375" s="414"/>
      <c r="E375" s="414"/>
      <c r="F375" s="414"/>
      <c r="G375" s="414"/>
      <c r="H375" s="414"/>
      <c r="I375" s="414"/>
      <c r="J375" s="414"/>
      <c r="L375" s="322"/>
      <c r="M375" s="322"/>
      <c r="N375" s="322"/>
      <c r="O375" s="322"/>
      <c r="P375" s="322"/>
      <c r="Q375" s="322"/>
      <c r="R375" s="322"/>
      <c r="S375" s="322"/>
      <c r="T375" s="430"/>
      <c r="V375" s="284"/>
      <c r="W375" s="284"/>
    </row>
    <row r="376" spans="2:23" s="286" customFormat="1" ht="15" customHeight="1" x14ac:dyDescent="0.2">
      <c r="B376" s="309"/>
      <c r="C376" s="322"/>
      <c r="D376" s="322"/>
      <c r="E376" s="322"/>
      <c r="F376" s="322"/>
      <c r="G376" s="322"/>
      <c r="H376" s="322"/>
      <c r="I376" s="322"/>
      <c r="J376" s="322"/>
      <c r="K376" s="430"/>
      <c r="L376" s="322"/>
      <c r="M376" s="322"/>
      <c r="N376" s="322"/>
      <c r="O376" s="322"/>
      <c r="P376" s="322"/>
      <c r="Q376" s="322"/>
      <c r="R376" s="322"/>
      <c r="S376" s="322"/>
      <c r="T376" s="430"/>
      <c r="V376" s="284"/>
      <c r="W376" s="284"/>
    </row>
    <row r="377" spans="2:23" s="286" customFormat="1" ht="15" customHeight="1" x14ac:dyDescent="0.2">
      <c r="B377" s="309"/>
      <c r="C377" s="322"/>
      <c r="D377" s="322"/>
      <c r="E377" s="322"/>
      <c r="F377" s="322"/>
      <c r="G377" s="322"/>
      <c r="H377" s="322"/>
      <c r="I377" s="322"/>
      <c r="J377" s="322"/>
      <c r="K377" s="430"/>
      <c r="L377" s="322"/>
      <c r="M377" s="322"/>
      <c r="N377" s="322"/>
      <c r="O377" s="322"/>
      <c r="P377" s="322"/>
      <c r="Q377" s="322"/>
      <c r="R377" s="322"/>
      <c r="S377" s="322"/>
      <c r="T377" s="430"/>
      <c r="V377" s="284"/>
      <c r="W377" s="284"/>
    </row>
    <row r="378" spans="2:23" s="286" customFormat="1" ht="60" customHeight="1" x14ac:dyDescent="0.2">
      <c r="B378" s="471" t="s">
        <v>145</v>
      </c>
      <c r="C378" s="809" t="s">
        <v>146</v>
      </c>
      <c r="D378" s="810"/>
      <c r="E378" s="810"/>
      <c r="F378" s="811"/>
      <c r="G378" s="809" t="s">
        <v>147</v>
      </c>
      <c r="H378" s="810"/>
      <c r="I378" s="810"/>
      <c r="J378" s="811"/>
      <c r="K378" s="812" t="s">
        <v>148</v>
      </c>
      <c r="L378" s="812"/>
      <c r="M378" s="812"/>
      <c r="N378" s="812"/>
      <c r="S378" s="430"/>
      <c r="U378" s="284"/>
      <c r="V378" s="284"/>
    </row>
    <row r="379" spans="2:23" s="286" customFormat="1" ht="60" customHeight="1" x14ac:dyDescent="0.2">
      <c r="B379" s="471" t="s">
        <v>149</v>
      </c>
      <c r="C379" s="728"/>
      <c r="D379" s="728"/>
      <c r="E379" s="728"/>
      <c r="F379" s="728"/>
      <c r="G379" s="812"/>
      <c r="H379" s="812"/>
      <c r="I379" s="812"/>
      <c r="J379" s="812"/>
      <c r="K379" s="812"/>
      <c r="L379" s="812"/>
      <c r="M379" s="812"/>
      <c r="N379" s="812"/>
      <c r="O379" s="472"/>
      <c r="P379" s="473"/>
      <c r="Q379" s="473"/>
      <c r="R379" s="473"/>
      <c r="S379" s="430"/>
      <c r="U379" s="284"/>
      <c r="V379" s="284"/>
    </row>
    <row r="380" spans="2:23" s="286" customFormat="1" ht="60" customHeight="1" x14ac:dyDescent="0.2">
      <c r="B380" s="471" t="s">
        <v>150</v>
      </c>
      <c r="C380" s="728"/>
      <c r="D380" s="728"/>
      <c r="E380" s="728"/>
      <c r="F380" s="728"/>
      <c r="G380" s="812"/>
      <c r="H380" s="812"/>
      <c r="I380" s="812"/>
      <c r="J380" s="812"/>
      <c r="K380" s="812"/>
      <c r="L380" s="812"/>
      <c r="M380" s="812"/>
      <c r="N380" s="812"/>
      <c r="O380" s="472"/>
      <c r="P380" s="473"/>
      <c r="Q380" s="473"/>
      <c r="R380" s="473"/>
      <c r="S380" s="430"/>
      <c r="U380" s="284"/>
      <c r="V380" s="284"/>
    </row>
    <row r="381" spans="2:23" s="286" customFormat="1" ht="60" customHeight="1" x14ac:dyDescent="0.2">
      <c r="B381" s="471" t="s">
        <v>152</v>
      </c>
      <c r="C381" s="728"/>
      <c r="D381" s="728"/>
      <c r="E381" s="728"/>
      <c r="F381" s="728"/>
      <c r="G381" s="812"/>
      <c r="H381" s="812"/>
      <c r="I381" s="812"/>
      <c r="J381" s="812"/>
      <c r="K381" s="812"/>
      <c r="L381" s="812"/>
      <c r="M381" s="812"/>
      <c r="N381" s="812"/>
      <c r="O381" s="472"/>
      <c r="P381" s="473"/>
      <c r="Q381" s="473"/>
      <c r="R381" s="473"/>
      <c r="S381" s="430"/>
      <c r="U381" s="284"/>
      <c r="V381" s="284"/>
    </row>
    <row r="382" spans="2:23" s="286" customFormat="1" ht="60" customHeight="1" x14ac:dyDescent="0.2">
      <c r="B382" s="471" t="s">
        <v>151</v>
      </c>
      <c r="C382" s="728"/>
      <c r="D382" s="728"/>
      <c r="E382" s="728"/>
      <c r="F382" s="728"/>
      <c r="G382" s="812"/>
      <c r="H382" s="812"/>
      <c r="I382" s="812"/>
      <c r="J382" s="812"/>
      <c r="K382" s="812"/>
      <c r="L382" s="812"/>
      <c r="M382" s="812"/>
      <c r="N382" s="812"/>
      <c r="O382" s="472"/>
      <c r="P382" s="473"/>
      <c r="Q382" s="473"/>
      <c r="R382" s="473"/>
      <c r="S382" s="430"/>
      <c r="U382" s="284"/>
      <c r="V382" s="284"/>
    </row>
    <row r="383" spans="2:23" s="286" customFormat="1" ht="15" customHeight="1" x14ac:dyDescent="0.2">
      <c r="B383" s="309"/>
      <c r="C383" s="322"/>
      <c r="D383" s="322"/>
      <c r="E383" s="322"/>
      <c r="F383" s="322"/>
      <c r="G383" s="322"/>
      <c r="H383" s="322"/>
      <c r="I383" s="322"/>
      <c r="J383" s="322"/>
      <c r="K383" s="322"/>
      <c r="L383" s="322"/>
      <c r="M383" s="322"/>
      <c r="N383" s="322"/>
      <c r="P383" s="322"/>
      <c r="Q383" s="322"/>
      <c r="R383" s="322"/>
      <c r="S383" s="430"/>
      <c r="U383" s="284"/>
      <c r="V383" s="284"/>
    </row>
    <row r="384" spans="2:23" s="286" customFormat="1" ht="15" customHeight="1" x14ac:dyDescent="0.2">
      <c r="B384" s="309"/>
      <c r="C384" s="322"/>
      <c r="D384" s="322"/>
      <c r="E384" s="322"/>
      <c r="F384" s="322"/>
      <c r="G384" s="322"/>
      <c r="H384" s="322"/>
      <c r="I384" s="322"/>
      <c r="J384" s="322"/>
      <c r="K384" s="430"/>
      <c r="L384" s="322"/>
      <c r="M384" s="322"/>
      <c r="N384" s="322"/>
      <c r="O384" s="322"/>
      <c r="P384" s="322"/>
      <c r="Q384" s="322"/>
      <c r="R384" s="322"/>
      <c r="S384" s="322"/>
      <c r="T384" s="430"/>
      <c r="V384" s="284"/>
      <c r="W384" s="284"/>
    </row>
    <row r="385" spans="2:20" ht="15" customHeight="1" x14ac:dyDescent="0.25">
      <c r="B385" s="813" t="s">
        <v>153</v>
      </c>
      <c r="C385" s="813"/>
      <c r="D385" s="813"/>
      <c r="E385" s="813"/>
      <c r="F385" s="813"/>
      <c r="G385" s="813"/>
      <c r="H385" s="813"/>
      <c r="I385" s="813"/>
      <c r="J385" s="813"/>
      <c r="K385" s="813"/>
      <c r="L385" s="813"/>
      <c r="M385" s="813"/>
      <c r="N385" s="813"/>
      <c r="O385" s="813"/>
      <c r="P385" s="813"/>
      <c r="Q385" s="813"/>
      <c r="R385" s="813"/>
      <c r="S385" s="813"/>
      <c r="T385" s="813"/>
    </row>
    <row r="386" spans="2:20" ht="15" customHeight="1" x14ac:dyDescent="0.25">
      <c r="B386" s="228"/>
      <c r="C386" s="228"/>
      <c r="D386" s="228"/>
      <c r="E386" s="228"/>
      <c r="F386" s="228"/>
      <c r="G386" s="228"/>
      <c r="H386" s="228"/>
      <c r="I386" s="228"/>
      <c r="J386" s="228"/>
    </row>
    <row r="387" spans="2:20" s="286" customFormat="1" ht="38.25" customHeight="1" x14ac:dyDescent="0.25">
      <c r="B387" s="814" t="s">
        <v>186</v>
      </c>
      <c r="C387" s="814"/>
      <c r="D387" s="814"/>
      <c r="E387" s="814"/>
      <c r="F387" s="814"/>
      <c r="G387" s="814"/>
      <c r="H387" s="814"/>
      <c r="I387" s="814"/>
      <c r="J387" s="815" t="s">
        <v>183</v>
      </c>
      <c r="K387" s="815"/>
      <c r="L387" s="815"/>
      <c r="M387" s="815"/>
      <c r="N387" s="815"/>
      <c r="O387" s="815"/>
      <c r="P387" s="815"/>
      <c r="Q387" s="474"/>
      <c r="R387" s="474"/>
      <c r="S387" s="474"/>
      <c r="T387" s="474"/>
    </row>
    <row r="388" spans="2:20" s="286" customFormat="1" ht="15" customHeight="1" x14ac:dyDescent="0.25">
      <c r="B388" s="463" t="s">
        <v>38</v>
      </c>
      <c r="C388" s="475"/>
      <c r="D388" s="475"/>
      <c r="E388" s="475"/>
      <c r="F388" s="476"/>
      <c r="G388" s="231"/>
      <c r="H388" s="231"/>
      <c r="I388" s="231"/>
      <c r="J388" s="816" t="s">
        <v>40</v>
      </c>
      <c r="K388" s="816"/>
      <c r="L388" s="816"/>
      <c r="M388" s="816"/>
      <c r="N388" s="816"/>
      <c r="O388" s="816"/>
      <c r="P388" s="816"/>
      <c r="Q388" s="477"/>
      <c r="R388" s="231"/>
      <c r="S388" s="231"/>
      <c r="T388" s="231"/>
    </row>
    <row r="389" spans="2:20" s="286" customFormat="1" ht="15" customHeight="1" x14ac:dyDescent="0.25">
      <c r="B389" s="463" t="s">
        <v>19</v>
      </c>
      <c r="C389" s="475"/>
      <c r="D389" s="475"/>
      <c r="E389" s="475"/>
      <c r="F389" s="476"/>
      <c r="G389" s="231"/>
      <c r="H389" s="231"/>
      <c r="I389" s="231"/>
      <c r="J389" s="816"/>
      <c r="K389" s="816"/>
      <c r="L389" s="816"/>
      <c r="M389" s="816"/>
      <c r="N389" s="816"/>
      <c r="O389" s="816"/>
      <c r="P389" s="816"/>
      <c r="Q389" s="477"/>
      <c r="R389" s="231"/>
      <c r="S389" s="231"/>
      <c r="T389" s="231"/>
    </row>
    <row r="390" spans="2:20" s="286" customFormat="1" ht="15" customHeight="1" x14ac:dyDescent="0.25">
      <c r="B390" s="463" t="s">
        <v>41</v>
      </c>
      <c r="C390" s="475"/>
      <c r="D390" s="475"/>
      <c r="E390" s="475"/>
      <c r="F390" s="476"/>
      <c r="G390" s="231"/>
      <c r="H390" s="231"/>
      <c r="I390" s="231"/>
      <c r="J390" s="816"/>
      <c r="K390" s="816"/>
      <c r="L390" s="816"/>
      <c r="M390" s="816"/>
      <c r="N390" s="816"/>
      <c r="O390" s="816"/>
      <c r="P390" s="816"/>
      <c r="Q390" s="477"/>
      <c r="R390" s="231"/>
      <c r="S390" s="231"/>
      <c r="T390" s="231"/>
    </row>
    <row r="391" spans="2:20" s="286" customFormat="1" ht="15" customHeight="1" x14ac:dyDescent="0.25">
      <c r="B391" s="463" t="s">
        <v>42</v>
      </c>
      <c r="C391" s="475"/>
      <c r="D391" s="475"/>
      <c r="E391" s="475"/>
      <c r="F391" s="476"/>
      <c r="G391" s="231"/>
      <c r="H391" s="231"/>
      <c r="I391" s="231"/>
      <c r="J391" s="231"/>
      <c r="K391" s="284"/>
      <c r="L391" s="284"/>
      <c r="M391" s="231"/>
      <c r="N391" s="231"/>
      <c r="O391" s="231"/>
      <c r="P391" s="231"/>
      <c r="Q391" s="231"/>
      <c r="R391" s="231"/>
      <c r="S391" s="231"/>
      <c r="T391" s="231"/>
    </row>
    <row r="392" spans="2:20" s="286" customFormat="1" ht="15" customHeight="1" x14ac:dyDescent="0.25">
      <c r="B392" s="463" t="s">
        <v>43</v>
      </c>
      <c r="C392" s="475"/>
      <c r="D392" s="475"/>
      <c r="E392" s="475"/>
      <c r="F392" s="476"/>
      <c r="G392" s="231"/>
      <c r="H392" s="231"/>
      <c r="I392" s="231"/>
      <c r="J392" s="231"/>
      <c r="L392" s="284"/>
      <c r="M392" s="231"/>
      <c r="N392" s="231"/>
      <c r="O392" s="231"/>
      <c r="P392" s="231"/>
      <c r="Q392" s="231"/>
      <c r="R392" s="231"/>
      <c r="S392" s="231"/>
      <c r="T392" s="231"/>
    </row>
    <row r="393" spans="2:20" s="286" customFormat="1" ht="15" customHeight="1" x14ac:dyDescent="0.25">
      <c r="B393" s="463" t="s">
        <v>44</v>
      </c>
      <c r="C393" s="475"/>
      <c r="D393" s="475"/>
      <c r="E393" s="475"/>
      <c r="F393" s="476"/>
      <c r="G393" s="231"/>
      <c r="H393" s="231"/>
      <c r="I393" s="231"/>
      <c r="J393" s="231"/>
      <c r="L393" s="284"/>
      <c r="M393" s="231"/>
      <c r="N393" s="231"/>
      <c r="O393" s="231"/>
      <c r="P393" s="231"/>
      <c r="Q393" s="231"/>
      <c r="R393" s="231"/>
      <c r="S393" s="231"/>
      <c r="T393" s="231"/>
    </row>
    <row r="394" spans="2:20" s="286" customFormat="1" ht="15" customHeight="1" x14ac:dyDescent="0.25">
      <c r="B394" s="284"/>
      <c r="C394" s="231"/>
      <c r="D394" s="231"/>
      <c r="E394" s="231"/>
      <c r="F394" s="231"/>
      <c r="G394" s="231"/>
      <c r="H394" s="231"/>
      <c r="I394" s="231"/>
      <c r="J394" s="231"/>
      <c r="L394" s="284"/>
      <c r="M394" s="231"/>
      <c r="N394" s="231"/>
      <c r="O394" s="231"/>
      <c r="P394" s="231"/>
      <c r="Q394" s="231"/>
      <c r="R394" s="231"/>
      <c r="S394" s="231"/>
      <c r="T394" s="231"/>
    </row>
    <row r="395" spans="2:20" s="286" customFormat="1" ht="15" customHeight="1" x14ac:dyDescent="0.25">
      <c r="B395" s="284"/>
      <c r="C395" s="231"/>
      <c r="D395" s="231"/>
      <c r="E395" s="231"/>
      <c r="F395" s="231"/>
      <c r="G395" s="231"/>
      <c r="H395" s="231"/>
      <c r="I395" s="231"/>
      <c r="J395" s="231"/>
      <c r="L395" s="284"/>
      <c r="M395" s="231"/>
      <c r="N395" s="231"/>
      <c r="O395" s="231"/>
      <c r="P395" s="231"/>
      <c r="Q395" s="231"/>
      <c r="R395" s="231"/>
      <c r="S395" s="231"/>
      <c r="T395" s="231"/>
    </row>
    <row r="396" spans="2:20" ht="15" customHeight="1" x14ac:dyDescent="0.25">
      <c r="B396" s="228" t="s">
        <v>154</v>
      </c>
      <c r="Q396" s="229"/>
      <c r="R396" s="229"/>
      <c r="S396" s="229"/>
      <c r="T396" s="229"/>
    </row>
    <row r="397" spans="2:20" ht="15" customHeight="1" x14ac:dyDescent="0.2">
      <c r="B397" s="704"/>
      <c r="C397" s="709"/>
      <c r="D397" s="709"/>
      <c r="E397" s="709"/>
      <c r="F397" s="709"/>
      <c r="G397" s="709"/>
      <c r="H397" s="709"/>
      <c r="I397" s="709"/>
      <c r="J397" s="709"/>
      <c r="K397" s="709"/>
      <c r="L397" s="709"/>
      <c r="M397" s="709"/>
      <c r="N397" s="709"/>
      <c r="O397" s="709"/>
      <c r="P397" s="705"/>
      <c r="Q397" s="230"/>
      <c r="R397" s="230"/>
      <c r="S397" s="230"/>
      <c r="T397" s="230"/>
    </row>
    <row r="398" spans="2:20" ht="15" customHeight="1" x14ac:dyDescent="0.2">
      <c r="B398" s="821"/>
      <c r="C398" s="822"/>
      <c r="D398" s="822"/>
      <c r="E398" s="822"/>
      <c r="F398" s="822"/>
      <c r="G398" s="822"/>
      <c r="H398" s="822"/>
      <c r="I398" s="822"/>
      <c r="J398" s="822"/>
      <c r="K398" s="822"/>
      <c r="L398" s="822"/>
      <c r="M398" s="822"/>
      <c r="N398" s="822"/>
      <c r="O398" s="822"/>
      <c r="P398" s="823"/>
      <c r="Q398" s="230"/>
      <c r="R398" s="230"/>
      <c r="S398" s="230"/>
      <c r="T398" s="230"/>
    </row>
    <row r="399" spans="2:20" ht="15" customHeight="1" x14ac:dyDescent="0.2">
      <c r="B399" s="821"/>
      <c r="C399" s="822"/>
      <c r="D399" s="822"/>
      <c r="E399" s="822"/>
      <c r="F399" s="822"/>
      <c r="G399" s="822"/>
      <c r="H399" s="822"/>
      <c r="I399" s="822"/>
      <c r="J399" s="822"/>
      <c r="K399" s="822"/>
      <c r="L399" s="822"/>
      <c r="M399" s="822"/>
      <c r="N399" s="822"/>
      <c r="O399" s="822"/>
      <c r="P399" s="823"/>
      <c r="Q399" s="230"/>
      <c r="R399" s="230"/>
      <c r="S399" s="230"/>
      <c r="T399" s="230"/>
    </row>
    <row r="400" spans="2:20" ht="15" customHeight="1" x14ac:dyDescent="0.2">
      <c r="B400" s="821"/>
      <c r="C400" s="822"/>
      <c r="D400" s="822"/>
      <c r="E400" s="822"/>
      <c r="F400" s="822"/>
      <c r="G400" s="822"/>
      <c r="H400" s="822"/>
      <c r="I400" s="822"/>
      <c r="J400" s="822"/>
      <c r="K400" s="822"/>
      <c r="L400" s="822"/>
      <c r="M400" s="822"/>
      <c r="N400" s="822"/>
      <c r="O400" s="822"/>
      <c r="P400" s="823"/>
      <c r="Q400" s="230"/>
      <c r="R400" s="230"/>
      <c r="S400" s="230"/>
      <c r="T400" s="230"/>
    </row>
    <row r="401" spans="2:20" ht="15" customHeight="1" x14ac:dyDescent="0.2">
      <c r="B401" s="821"/>
      <c r="C401" s="822"/>
      <c r="D401" s="822"/>
      <c r="E401" s="822"/>
      <c r="F401" s="822"/>
      <c r="G401" s="822"/>
      <c r="H401" s="822"/>
      <c r="I401" s="822"/>
      <c r="J401" s="822"/>
      <c r="K401" s="822"/>
      <c r="L401" s="822"/>
      <c r="M401" s="822"/>
      <c r="N401" s="822"/>
      <c r="O401" s="822"/>
      <c r="P401" s="823"/>
      <c r="Q401" s="230"/>
      <c r="R401" s="230"/>
      <c r="S401" s="230"/>
      <c r="T401" s="230"/>
    </row>
    <row r="402" spans="2:20" ht="15" customHeight="1" x14ac:dyDescent="0.2">
      <c r="B402" s="821"/>
      <c r="C402" s="822"/>
      <c r="D402" s="822"/>
      <c r="E402" s="822"/>
      <c r="F402" s="822"/>
      <c r="G402" s="822"/>
      <c r="H402" s="822"/>
      <c r="I402" s="822"/>
      <c r="J402" s="822"/>
      <c r="K402" s="822"/>
      <c r="L402" s="822"/>
      <c r="M402" s="822"/>
      <c r="N402" s="822"/>
      <c r="O402" s="822"/>
      <c r="P402" s="823"/>
      <c r="Q402" s="230"/>
      <c r="R402" s="230"/>
      <c r="S402" s="230"/>
      <c r="T402" s="230"/>
    </row>
    <row r="403" spans="2:20" ht="15" customHeight="1" x14ac:dyDescent="0.2">
      <c r="B403" s="821"/>
      <c r="C403" s="822"/>
      <c r="D403" s="822"/>
      <c r="E403" s="822"/>
      <c r="F403" s="822"/>
      <c r="G403" s="822"/>
      <c r="H403" s="822"/>
      <c r="I403" s="822"/>
      <c r="J403" s="822"/>
      <c r="K403" s="822"/>
      <c r="L403" s="822"/>
      <c r="M403" s="822"/>
      <c r="N403" s="822"/>
      <c r="O403" s="822"/>
      <c r="P403" s="823"/>
      <c r="Q403" s="230"/>
      <c r="R403" s="230"/>
      <c r="S403" s="230"/>
      <c r="T403" s="230"/>
    </row>
    <row r="404" spans="2:20" ht="15" customHeight="1" x14ac:dyDescent="0.2">
      <c r="B404" s="821"/>
      <c r="C404" s="822"/>
      <c r="D404" s="822"/>
      <c r="E404" s="822"/>
      <c r="F404" s="822"/>
      <c r="G404" s="822"/>
      <c r="H404" s="822"/>
      <c r="I404" s="822"/>
      <c r="J404" s="822"/>
      <c r="K404" s="822"/>
      <c r="L404" s="822"/>
      <c r="M404" s="822"/>
      <c r="N404" s="822"/>
      <c r="O404" s="822"/>
      <c r="P404" s="823"/>
      <c r="Q404" s="230"/>
      <c r="R404" s="230"/>
      <c r="S404" s="230"/>
      <c r="T404" s="230"/>
    </row>
    <row r="405" spans="2:20" ht="15" customHeight="1" x14ac:dyDescent="0.2">
      <c r="B405" s="821"/>
      <c r="C405" s="822"/>
      <c r="D405" s="822"/>
      <c r="E405" s="822"/>
      <c r="F405" s="822"/>
      <c r="G405" s="822"/>
      <c r="H405" s="822"/>
      <c r="I405" s="822"/>
      <c r="J405" s="822"/>
      <c r="K405" s="822"/>
      <c r="L405" s="822"/>
      <c r="M405" s="822"/>
      <c r="N405" s="822"/>
      <c r="O405" s="822"/>
      <c r="P405" s="823"/>
      <c r="Q405" s="230"/>
      <c r="R405" s="230"/>
      <c r="S405" s="230"/>
      <c r="T405" s="230"/>
    </row>
    <row r="406" spans="2:20" ht="15" customHeight="1" x14ac:dyDescent="0.2">
      <c r="B406" s="821"/>
      <c r="C406" s="822"/>
      <c r="D406" s="822"/>
      <c r="E406" s="822"/>
      <c r="F406" s="822"/>
      <c r="G406" s="822"/>
      <c r="H406" s="822"/>
      <c r="I406" s="822"/>
      <c r="J406" s="822"/>
      <c r="K406" s="822"/>
      <c r="L406" s="822"/>
      <c r="M406" s="822"/>
      <c r="N406" s="822"/>
      <c r="O406" s="822"/>
      <c r="P406" s="823"/>
      <c r="Q406" s="230"/>
      <c r="R406" s="230"/>
      <c r="S406" s="230"/>
      <c r="T406" s="230"/>
    </row>
    <row r="407" spans="2:20" ht="15" customHeight="1" x14ac:dyDescent="0.2">
      <c r="B407" s="821"/>
      <c r="C407" s="822"/>
      <c r="D407" s="822"/>
      <c r="E407" s="822"/>
      <c r="F407" s="822"/>
      <c r="G407" s="822"/>
      <c r="H407" s="822"/>
      <c r="I407" s="822"/>
      <c r="J407" s="822"/>
      <c r="K407" s="822"/>
      <c r="L407" s="822"/>
      <c r="M407" s="822"/>
      <c r="N407" s="822"/>
      <c r="O407" s="822"/>
      <c r="P407" s="823"/>
      <c r="Q407" s="230"/>
      <c r="R407" s="230"/>
      <c r="S407" s="230"/>
      <c r="T407" s="230"/>
    </row>
    <row r="408" spans="2:20" ht="15" customHeight="1" x14ac:dyDescent="0.2">
      <c r="B408" s="821"/>
      <c r="C408" s="822"/>
      <c r="D408" s="822"/>
      <c r="E408" s="822"/>
      <c r="F408" s="822"/>
      <c r="G408" s="822"/>
      <c r="H408" s="822"/>
      <c r="I408" s="822"/>
      <c r="J408" s="822"/>
      <c r="K408" s="822"/>
      <c r="L408" s="822"/>
      <c r="M408" s="822"/>
      <c r="N408" s="822"/>
      <c r="O408" s="822"/>
      <c r="P408" s="823"/>
      <c r="Q408" s="230"/>
      <c r="R408" s="230"/>
      <c r="S408" s="230"/>
      <c r="T408" s="230"/>
    </row>
    <row r="409" spans="2:20" ht="15" customHeight="1" x14ac:dyDescent="0.2">
      <c r="B409" s="821"/>
      <c r="C409" s="822"/>
      <c r="D409" s="822"/>
      <c r="E409" s="822"/>
      <c r="F409" s="822"/>
      <c r="G409" s="822"/>
      <c r="H409" s="822"/>
      <c r="I409" s="822"/>
      <c r="J409" s="822"/>
      <c r="K409" s="822"/>
      <c r="L409" s="822"/>
      <c r="M409" s="822"/>
      <c r="N409" s="822"/>
      <c r="O409" s="822"/>
      <c r="P409" s="823"/>
      <c r="Q409" s="230"/>
      <c r="R409" s="230"/>
      <c r="S409" s="230"/>
      <c r="T409" s="230"/>
    </row>
    <row r="410" spans="2:20" ht="15" customHeight="1" x14ac:dyDescent="0.2">
      <c r="B410" s="821"/>
      <c r="C410" s="822"/>
      <c r="D410" s="822"/>
      <c r="E410" s="822"/>
      <c r="F410" s="822"/>
      <c r="G410" s="822"/>
      <c r="H410" s="822"/>
      <c r="I410" s="822"/>
      <c r="J410" s="822"/>
      <c r="K410" s="822"/>
      <c r="L410" s="822"/>
      <c r="M410" s="822"/>
      <c r="N410" s="822"/>
      <c r="O410" s="822"/>
      <c r="P410" s="823"/>
      <c r="Q410" s="230"/>
      <c r="R410" s="230"/>
      <c r="S410" s="230"/>
      <c r="T410" s="230"/>
    </row>
    <row r="411" spans="2:20" ht="15" customHeight="1" x14ac:dyDescent="0.2">
      <c r="B411" s="821"/>
      <c r="C411" s="822"/>
      <c r="D411" s="822"/>
      <c r="E411" s="822"/>
      <c r="F411" s="822"/>
      <c r="G411" s="822"/>
      <c r="H411" s="822"/>
      <c r="I411" s="822"/>
      <c r="J411" s="822"/>
      <c r="K411" s="822"/>
      <c r="L411" s="822"/>
      <c r="M411" s="822"/>
      <c r="N411" s="822"/>
      <c r="O411" s="822"/>
      <c r="P411" s="823"/>
      <c r="Q411" s="230"/>
      <c r="R411" s="230"/>
      <c r="S411" s="230"/>
      <c r="T411" s="230"/>
    </row>
    <row r="412" spans="2:20" ht="15" customHeight="1" x14ac:dyDescent="0.2">
      <c r="B412" s="821"/>
      <c r="C412" s="822"/>
      <c r="D412" s="822"/>
      <c r="E412" s="822"/>
      <c r="F412" s="822"/>
      <c r="G412" s="822"/>
      <c r="H412" s="822"/>
      <c r="I412" s="822"/>
      <c r="J412" s="822"/>
      <c r="K412" s="822"/>
      <c r="L412" s="822"/>
      <c r="M412" s="822"/>
      <c r="N412" s="822"/>
      <c r="O412" s="822"/>
      <c r="P412" s="823"/>
      <c r="Q412" s="230"/>
      <c r="R412" s="230"/>
      <c r="S412" s="230"/>
      <c r="T412" s="230"/>
    </row>
    <row r="413" spans="2:20" ht="15" customHeight="1" x14ac:dyDescent="0.2">
      <c r="B413" s="821"/>
      <c r="C413" s="822"/>
      <c r="D413" s="822"/>
      <c r="E413" s="822"/>
      <c r="F413" s="822"/>
      <c r="G413" s="822"/>
      <c r="H413" s="822"/>
      <c r="I413" s="822"/>
      <c r="J413" s="822"/>
      <c r="K413" s="822"/>
      <c r="L413" s="822"/>
      <c r="M413" s="822"/>
      <c r="N413" s="822"/>
      <c r="O413" s="822"/>
      <c r="P413" s="823"/>
      <c r="Q413" s="230"/>
      <c r="R413" s="230"/>
      <c r="S413" s="230"/>
      <c r="T413" s="230"/>
    </row>
    <row r="414" spans="2:20" ht="15" customHeight="1" x14ac:dyDescent="0.2">
      <c r="B414" s="821"/>
      <c r="C414" s="822"/>
      <c r="D414" s="822"/>
      <c r="E414" s="822"/>
      <c r="F414" s="822"/>
      <c r="G414" s="822"/>
      <c r="H414" s="822"/>
      <c r="I414" s="822"/>
      <c r="J414" s="822"/>
      <c r="K414" s="822"/>
      <c r="L414" s="822"/>
      <c r="M414" s="822"/>
      <c r="N414" s="822"/>
      <c r="O414" s="822"/>
      <c r="P414" s="823"/>
      <c r="Q414" s="230"/>
      <c r="R414" s="230"/>
      <c r="S414" s="230"/>
      <c r="T414" s="230"/>
    </row>
    <row r="415" spans="2:20" ht="15" customHeight="1" x14ac:dyDescent="0.2">
      <c r="B415" s="821"/>
      <c r="C415" s="822"/>
      <c r="D415" s="822"/>
      <c r="E415" s="822"/>
      <c r="F415" s="822"/>
      <c r="G415" s="822"/>
      <c r="H415" s="822"/>
      <c r="I415" s="822"/>
      <c r="J415" s="822"/>
      <c r="K415" s="822"/>
      <c r="L415" s="822"/>
      <c r="M415" s="822"/>
      <c r="N415" s="822"/>
      <c r="O415" s="822"/>
      <c r="P415" s="823"/>
      <c r="Q415" s="230"/>
      <c r="R415" s="230"/>
      <c r="S415" s="230"/>
      <c r="T415" s="230"/>
    </row>
    <row r="416" spans="2:20" ht="15" customHeight="1" x14ac:dyDescent="0.2">
      <c r="B416" s="821"/>
      <c r="C416" s="822"/>
      <c r="D416" s="822"/>
      <c r="E416" s="822"/>
      <c r="F416" s="822"/>
      <c r="G416" s="822"/>
      <c r="H416" s="822"/>
      <c r="I416" s="822"/>
      <c r="J416" s="822"/>
      <c r="K416" s="822"/>
      <c r="L416" s="822"/>
      <c r="M416" s="822"/>
      <c r="N416" s="822"/>
      <c r="O416" s="822"/>
      <c r="P416" s="823"/>
      <c r="Q416" s="230"/>
      <c r="R416" s="230"/>
      <c r="S416" s="230"/>
      <c r="T416" s="230"/>
    </row>
    <row r="417" spans="2:20" ht="15" customHeight="1" x14ac:dyDescent="0.2">
      <c r="B417" s="821"/>
      <c r="C417" s="822"/>
      <c r="D417" s="822"/>
      <c r="E417" s="822"/>
      <c r="F417" s="822"/>
      <c r="G417" s="822"/>
      <c r="H417" s="822"/>
      <c r="I417" s="822"/>
      <c r="J417" s="822"/>
      <c r="K417" s="822"/>
      <c r="L417" s="822"/>
      <c r="M417" s="822"/>
      <c r="N417" s="822"/>
      <c r="O417" s="822"/>
      <c r="P417" s="823"/>
      <c r="Q417" s="230"/>
      <c r="R417" s="230"/>
      <c r="S417" s="230"/>
      <c r="T417" s="230"/>
    </row>
    <row r="418" spans="2:20" ht="15" customHeight="1" x14ac:dyDescent="0.2">
      <c r="B418" s="821"/>
      <c r="C418" s="822"/>
      <c r="D418" s="822"/>
      <c r="E418" s="822"/>
      <c r="F418" s="822"/>
      <c r="G418" s="822"/>
      <c r="H418" s="822"/>
      <c r="I418" s="822"/>
      <c r="J418" s="822"/>
      <c r="K418" s="822"/>
      <c r="L418" s="822"/>
      <c r="M418" s="822"/>
      <c r="N418" s="822"/>
      <c r="O418" s="822"/>
      <c r="P418" s="823"/>
      <c r="Q418" s="230"/>
      <c r="R418" s="230"/>
      <c r="S418" s="230"/>
      <c r="T418" s="230"/>
    </row>
    <row r="419" spans="2:20" ht="15" customHeight="1" x14ac:dyDescent="0.2">
      <c r="B419" s="821"/>
      <c r="C419" s="822"/>
      <c r="D419" s="822"/>
      <c r="E419" s="822"/>
      <c r="F419" s="822"/>
      <c r="G419" s="822"/>
      <c r="H419" s="822"/>
      <c r="I419" s="822"/>
      <c r="J419" s="822"/>
      <c r="K419" s="822"/>
      <c r="L419" s="822"/>
      <c r="M419" s="822"/>
      <c r="N419" s="822"/>
      <c r="O419" s="822"/>
      <c r="P419" s="823"/>
      <c r="Q419" s="230"/>
      <c r="R419" s="230"/>
      <c r="S419" s="230"/>
      <c r="T419" s="230"/>
    </row>
    <row r="420" spans="2:20" ht="15" customHeight="1" x14ac:dyDescent="0.2">
      <c r="B420" s="821"/>
      <c r="C420" s="822"/>
      <c r="D420" s="822"/>
      <c r="E420" s="822"/>
      <c r="F420" s="822"/>
      <c r="G420" s="822"/>
      <c r="H420" s="822"/>
      <c r="I420" s="822"/>
      <c r="J420" s="822"/>
      <c r="K420" s="822"/>
      <c r="L420" s="822"/>
      <c r="M420" s="822"/>
      <c r="N420" s="822"/>
      <c r="O420" s="822"/>
      <c r="P420" s="823"/>
      <c r="Q420" s="230"/>
      <c r="R420" s="230"/>
      <c r="S420" s="230"/>
      <c r="T420" s="230"/>
    </row>
    <row r="421" spans="2:20" ht="15" customHeight="1" x14ac:dyDescent="0.2">
      <c r="B421" s="821"/>
      <c r="C421" s="822"/>
      <c r="D421" s="822"/>
      <c r="E421" s="822"/>
      <c r="F421" s="822"/>
      <c r="G421" s="822"/>
      <c r="H421" s="822"/>
      <c r="I421" s="822"/>
      <c r="J421" s="822"/>
      <c r="K421" s="822"/>
      <c r="L421" s="822"/>
      <c r="M421" s="822"/>
      <c r="N421" s="822"/>
      <c r="O421" s="822"/>
      <c r="P421" s="823"/>
      <c r="Q421" s="230"/>
      <c r="R421" s="230"/>
      <c r="S421" s="230"/>
      <c r="T421" s="230"/>
    </row>
    <row r="422" spans="2:20" ht="15" customHeight="1" x14ac:dyDescent="0.2">
      <c r="B422" s="821"/>
      <c r="C422" s="822"/>
      <c r="D422" s="822"/>
      <c r="E422" s="822"/>
      <c r="F422" s="822"/>
      <c r="G422" s="822"/>
      <c r="H422" s="822"/>
      <c r="I422" s="822"/>
      <c r="J422" s="822"/>
      <c r="K422" s="822"/>
      <c r="L422" s="822"/>
      <c r="M422" s="822"/>
      <c r="N422" s="822"/>
      <c r="O422" s="822"/>
      <c r="P422" s="823"/>
      <c r="Q422" s="230"/>
      <c r="R422" s="230"/>
      <c r="S422" s="230"/>
      <c r="T422" s="230"/>
    </row>
    <row r="423" spans="2:20" ht="15" customHeight="1" x14ac:dyDescent="0.2">
      <c r="B423" s="821"/>
      <c r="C423" s="822"/>
      <c r="D423" s="822"/>
      <c r="E423" s="822"/>
      <c r="F423" s="822"/>
      <c r="G423" s="822"/>
      <c r="H423" s="822"/>
      <c r="I423" s="822"/>
      <c r="J423" s="822"/>
      <c r="K423" s="822"/>
      <c r="L423" s="822"/>
      <c r="M423" s="822"/>
      <c r="N423" s="822"/>
      <c r="O423" s="822"/>
      <c r="P423" s="823"/>
      <c r="Q423" s="230"/>
      <c r="R423" s="230"/>
      <c r="S423" s="230"/>
      <c r="T423" s="230"/>
    </row>
    <row r="424" spans="2:20" ht="15" customHeight="1" x14ac:dyDescent="0.2">
      <c r="B424" s="706"/>
      <c r="C424" s="710"/>
      <c r="D424" s="710"/>
      <c r="E424" s="710"/>
      <c r="F424" s="710"/>
      <c r="G424" s="710"/>
      <c r="H424" s="710"/>
      <c r="I424" s="710"/>
      <c r="J424" s="710"/>
      <c r="K424" s="710"/>
      <c r="L424" s="710"/>
      <c r="M424" s="710"/>
      <c r="N424" s="710"/>
      <c r="O424" s="710"/>
      <c r="P424" s="707"/>
      <c r="Q424" s="230"/>
      <c r="R424" s="230"/>
      <c r="S424" s="230"/>
      <c r="T424" s="230"/>
    </row>
    <row r="425" spans="2:20" ht="15" customHeight="1" x14ac:dyDescent="0.25">
      <c r="B425" s="228" t="s">
        <v>155</v>
      </c>
      <c r="Q425" s="229"/>
      <c r="R425" s="229"/>
      <c r="S425" s="229"/>
      <c r="T425" s="229"/>
    </row>
    <row r="426" spans="2:20" ht="15" customHeight="1" x14ac:dyDescent="0.2">
      <c r="B426" s="715"/>
      <c r="C426" s="715"/>
      <c r="D426" s="715"/>
      <c r="E426" s="715"/>
      <c r="F426" s="715"/>
      <c r="G426" s="715"/>
      <c r="H426" s="715"/>
      <c r="I426" s="715"/>
      <c r="J426" s="715"/>
      <c r="K426" s="715"/>
      <c r="L426" s="715"/>
      <c r="M426" s="715"/>
      <c r="N426" s="715"/>
      <c r="O426" s="715"/>
      <c r="P426" s="715"/>
      <c r="Q426" s="230"/>
      <c r="R426" s="230"/>
      <c r="S426" s="230"/>
      <c r="T426" s="230"/>
    </row>
    <row r="427" spans="2:20" ht="15" customHeight="1" x14ac:dyDescent="0.2">
      <c r="B427" s="715"/>
      <c r="C427" s="715"/>
      <c r="D427" s="715"/>
      <c r="E427" s="715"/>
      <c r="F427" s="715"/>
      <c r="G427" s="715"/>
      <c r="H427" s="715"/>
      <c r="I427" s="715"/>
      <c r="J427" s="715"/>
      <c r="K427" s="715"/>
      <c r="L427" s="715"/>
      <c r="M427" s="715"/>
      <c r="N427" s="715"/>
      <c r="O427" s="715"/>
      <c r="P427" s="715"/>
      <c r="Q427" s="230"/>
      <c r="R427" s="230"/>
      <c r="S427" s="230"/>
      <c r="T427" s="230"/>
    </row>
    <row r="428" spans="2:20" ht="15" customHeight="1" x14ac:dyDescent="0.2">
      <c r="B428" s="715"/>
      <c r="C428" s="715"/>
      <c r="D428" s="715"/>
      <c r="E428" s="715"/>
      <c r="F428" s="715"/>
      <c r="G428" s="715"/>
      <c r="H428" s="715"/>
      <c r="I428" s="715"/>
      <c r="J428" s="715"/>
      <c r="K428" s="715"/>
      <c r="L428" s="715"/>
      <c r="M428" s="715"/>
      <c r="N428" s="715"/>
      <c r="O428" s="715"/>
      <c r="P428" s="715"/>
      <c r="Q428" s="230"/>
      <c r="R428" s="230"/>
      <c r="S428" s="230"/>
      <c r="T428" s="230"/>
    </row>
    <row r="429" spans="2:20" ht="15" customHeight="1" x14ac:dyDescent="0.2">
      <c r="B429" s="715"/>
      <c r="C429" s="715"/>
      <c r="D429" s="715"/>
      <c r="E429" s="715"/>
      <c r="F429" s="715"/>
      <c r="G429" s="715"/>
      <c r="H429" s="715"/>
      <c r="I429" s="715"/>
      <c r="J429" s="715"/>
      <c r="K429" s="715"/>
      <c r="L429" s="715"/>
      <c r="M429" s="715"/>
      <c r="N429" s="715"/>
      <c r="O429" s="715"/>
      <c r="P429" s="715"/>
      <c r="Q429" s="230"/>
      <c r="R429" s="230"/>
      <c r="S429" s="230"/>
      <c r="T429" s="230"/>
    </row>
    <row r="430" spans="2:20" ht="15" customHeight="1" x14ac:dyDescent="0.2">
      <c r="B430" s="715"/>
      <c r="C430" s="715"/>
      <c r="D430" s="715"/>
      <c r="E430" s="715"/>
      <c r="F430" s="715"/>
      <c r="G430" s="715"/>
      <c r="H430" s="715"/>
      <c r="I430" s="715"/>
      <c r="J430" s="715"/>
      <c r="K430" s="715"/>
      <c r="L430" s="715"/>
      <c r="M430" s="715"/>
      <c r="N430" s="715"/>
      <c r="O430" s="715"/>
      <c r="P430" s="715"/>
      <c r="Q430" s="230"/>
      <c r="R430" s="230"/>
      <c r="S430" s="230"/>
      <c r="T430" s="230"/>
    </row>
    <row r="431" spans="2:20" ht="15" customHeight="1" x14ac:dyDescent="0.2">
      <c r="B431" s="715"/>
      <c r="C431" s="715"/>
      <c r="D431" s="715"/>
      <c r="E431" s="715"/>
      <c r="F431" s="715"/>
      <c r="G431" s="715"/>
      <c r="H431" s="715"/>
      <c r="I431" s="715"/>
      <c r="J431" s="715"/>
      <c r="K431" s="715"/>
      <c r="L431" s="715"/>
      <c r="M431" s="715"/>
      <c r="N431" s="715"/>
      <c r="O431" s="715"/>
      <c r="P431" s="715"/>
      <c r="Q431" s="230"/>
      <c r="R431" s="230"/>
      <c r="S431" s="230"/>
      <c r="T431" s="230"/>
    </row>
    <row r="432" spans="2:20" ht="15" customHeight="1" x14ac:dyDescent="0.2">
      <c r="B432" s="715"/>
      <c r="C432" s="715"/>
      <c r="D432" s="715"/>
      <c r="E432" s="715"/>
      <c r="F432" s="715"/>
      <c r="G432" s="715"/>
      <c r="H432" s="715"/>
      <c r="I432" s="715"/>
      <c r="J432" s="715"/>
      <c r="K432" s="715"/>
      <c r="L432" s="715"/>
      <c r="M432" s="715"/>
      <c r="N432" s="715"/>
      <c r="O432" s="715"/>
      <c r="P432" s="715"/>
      <c r="Q432" s="230"/>
      <c r="R432" s="230"/>
      <c r="S432" s="230"/>
      <c r="T432" s="230"/>
    </row>
    <row r="433" spans="2:20" ht="15" customHeight="1" x14ac:dyDescent="0.2">
      <c r="B433" s="715"/>
      <c r="C433" s="715"/>
      <c r="D433" s="715"/>
      <c r="E433" s="715"/>
      <c r="F433" s="715"/>
      <c r="G433" s="715"/>
      <c r="H433" s="715"/>
      <c r="I433" s="715"/>
      <c r="J433" s="715"/>
      <c r="K433" s="715"/>
      <c r="L433" s="715"/>
      <c r="M433" s="715"/>
      <c r="N433" s="715"/>
      <c r="O433" s="715"/>
      <c r="P433" s="715"/>
      <c r="Q433" s="230"/>
      <c r="R433" s="230"/>
      <c r="S433" s="230"/>
      <c r="T433" s="230"/>
    </row>
    <row r="434" spans="2:20" ht="15" customHeight="1" x14ac:dyDescent="0.2">
      <c r="B434" s="715"/>
      <c r="C434" s="715"/>
      <c r="D434" s="715"/>
      <c r="E434" s="715"/>
      <c r="F434" s="715"/>
      <c r="G434" s="715"/>
      <c r="H434" s="715"/>
      <c r="I434" s="715"/>
      <c r="J434" s="715"/>
      <c r="K434" s="715"/>
      <c r="L434" s="715"/>
      <c r="M434" s="715"/>
      <c r="N434" s="715"/>
      <c r="O434" s="715"/>
      <c r="P434" s="715"/>
      <c r="Q434" s="230"/>
      <c r="R434" s="230"/>
      <c r="S434" s="230"/>
      <c r="T434" s="230"/>
    </row>
    <row r="435" spans="2:20" ht="15" customHeight="1" x14ac:dyDescent="0.2">
      <c r="B435" s="715"/>
      <c r="C435" s="715"/>
      <c r="D435" s="715"/>
      <c r="E435" s="715"/>
      <c r="F435" s="715"/>
      <c r="G435" s="715"/>
      <c r="H435" s="715"/>
      <c r="I435" s="715"/>
      <c r="J435" s="715"/>
      <c r="K435" s="715"/>
      <c r="L435" s="715"/>
      <c r="M435" s="715"/>
      <c r="N435" s="715"/>
      <c r="O435" s="715"/>
      <c r="P435" s="715"/>
      <c r="Q435" s="230"/>
      <c r="R435" s="230"/>
      <c r="S435" s="230"/>
      <c r="T435" s="230"/>
    </row>
    <row r="436" spans="2:20" ht="15" customHeight="1" x14ac:dyDescent="0.2">
      <c r="B436" s="715"/>
      <c r="C436" s="715"/>
      <c r="D436" s="715"/>
      <c r="E436" s="715"/>
      <c r="F436" s="715"/>
      <c r="G436" s="715"/>
      <c r="H436" s="715"/>
      <c r="I436" s="715"/>
      <c r="J436" s="715"/>
      <c r="K436" s="715"/>
      <c r="L436" s="715"/>
      <c r="M436" s="715"/>
      <c r="N436" s="715"/>
      <c r="O436" s="715"/>
      <c r="P436" s="715"/>
      <c r="Q436" s="230"/>
      <c r="R436" s="230"/>
      <c r="S436" s="230"/>
      <c r="T436" s="230"/>
    </row>
    <row r="437" spans="2:20" ht="15" customHeight="1" x14ac:dyDescent="0.2">
      <c r="B437" s="715"/>
      <c r="C437" s="715"/>
      <c r="D437" s="715"/>
      <c r="E437" s="715"/>
      <c r="F437" s="715"/>
      <c r="G437" s="715"/>
      <c r="H437" s="715"/>
      <c r="I437" s="715"/>
      <c r="J437" s="715"/>
      <c r="K437" s="715"/>
      <c r="L437" s="715"/>
      <c r="M437" s="715"/>
      <c r="N437" s="715"/>
      <c r="O437" s="715"/>
      <c r="P437" s="715"/>
      <c r="Q437" s="230"/>
      <c r="R437" s="230"/>
      <c r="S437" s="230"/>
      <c r="T437" s="230"/>
    </row>
    <row r="438" spans="2:20" ht="15" customHeight="1" x14ac:dyDescent="0.2">
      <c r="B438" s="715"/>
      <c r="C438" s="715"/>
      <c r="D438" s="715"/>
      <c r="E438" s="715"/>
      <c r="F438" s="715"/>
      <c r="G438" s="715"/>
      <c r="H438" s="715"/>
      <c r="I438" s="715"/>
      <c r="J438" s="715"/>
      <c r="K438" s="715"/>
      <c r="L438" s="715"/>
      <c r="M438" s="715"/>
      <c r="N438" s="715"/>
      <c r="O438" s="715"/>
      <c r="P438" s="715"/>
      <c r="Q438" s="230"/>
      <c r="R438" s="230"/>
      <c r="S438" s="230"/>
      <c r="T438" s="230"/>
    </row>
    <row r="439" spans="2:20" ht="15" customHeight="1" x14ac:dyDescent="0.2">
      <c r="B439" s="715"/>
      <c r="C439" s="715"/>
      <c r="D439" s="715"/>
      <c r="E439" s="715"/>
      <c r="F439" s="715"/>
      <c r="G439" s="715"/>
      <c r="H439" s="715"/>
      <c r="I439" s="715"/>
      <c r="J439" s="715"/>
      <c r="K439" s="715"/>
      <c r="L439" s="715"/>
      <c r="M439" s="715"/>
      <c r="N439" s="715"/>
      <c r="O439" s="715"/>
      <c r="P439" s="715"/>
      <c r="Q439" s="230"/>
      <c r="R439" s="230"/>
      <c r="S439" s="230"/>
      <c r="T439" s="230"/>
    </row>
    <row r="440" spans="2:20" ht="15" customHeight="1" x14ac:dyDescent="0.2">
      <c r="B440" s="715"/>
      <c r="C440" s="715"/>
      <c r="D440" s="715"/>
      <c r="E440" s="715"/>
      <c r="F440" s="715"/>
      <c r="G440" s="715"/>
      <c r="H440" s="715"/>
      <c r="I440" s="715"/>
      <c r="J440" s="715"/>
      <c r="K440" s="715"/>
      <c r="L440" s="715"/>
      <c r="M440" s="715"/>
      <c r="N440" s="715"/>
      <c r="O440" s="715"/>
      <c r="P440" s="715"/>
      <c r="Q440" s="230"/>
      <c r="R440" s="230"/>
      <c r="S440" s="230"/>
      <c r="T440" s="230"/>
    </row>
    <row r="441" spans="2:20" ht="15" customHeight="1" x14ac:dyDescent="0.2">
      <c r="B441" s="715"/>
      <c r="C441" s="715"/>
      <c r="D441" s="715"/>
      <c r="E441" s="715"/>
      <c r="F441" s="715"/>
      <c r="G441" s="715"/>
      <c r="H441" s="715"/>
      <c r="I441" s="715"/>
      <c r="J441" s="715"/>
      <c r="K441" s="715"/>
      <c r="L441" s="715"/>
      <c r="M441" s="715"/>
      <c r="N441" s="715"/>
      <c r="O441" s="715"/>
      <c r="P441" s="715"/>
      <c r="Q441" s="230"/>
      <c r="R441" s="230"/>
      <c r="S441" s="230"/>
      <c r="T441" s="230"/>
    </row>
    <row r="442" spans="2:20" ht="15" customHeight="1" x14ac:dyDescent="0.2">
      <c r="B442" s="715"/>
      <c r="C442" s="715"/>
      <c r="D442" s="715"/>
      <c r="E442" s="715"/>
      <c r="F442" s="715"/>
      <c r="G442" s="715"/>
      <c r="H442" s="715"/>
      <c r="I442" s="715"/>
      <c r="J442" s="715"/>
      <c r="K442" s="715"/>
      <c r="L442" s="715"/>
      <c r="M442" s="715"/>
      <c r="N442" s="715"/>
      <c r="O442" s="715"/>
      <c r="P442" s="715"/>
      <c r="Q442" s="230"/>
      <c r="R442" s="230"/>
      <c r="S442" s="230"/>
      <c r="T442" s="230"/>
    </row>
    <row r="443" spans="2:20" ht="15" customHeight="1" x14ac:dyDescent="0.2">
      <c r="B443" s="715"/>
      <c r="C443" s="715"/>
      <c r="D443" s="715"/>
      <c r="E443" s="715"/>
      <c r="F443" s="715"/>
      <c r="G443" s="715"/>
      <c r="H443" s="715"/>
      <c r="I443" s="715"/>
      <c r="J443" s="715"/>
      <c r="K443" s="715"/>
      <c r="L443" s="715"/>
      <c r="M443" s="715"/>
      <c r="N443" s="715"/>
      <c r="O443" s="715"/>
      <c r="P443" s="715"/>
      <c r="Q443" s="230"/>
      <c r="R443" s="230"/>
      <c r="S443" s="230"/>
      <c r="T443" s="230"/>
    </row>
    <row r="444" spans="2:20" ht="15" customHeight="1" x14ac:dyDescent="0.2">
      <c r="B444" s="715"/>
      <c r="C444" s="715"/>
      <c r="D444" s="715"/>
      <c r="E444" s="715"/>
      <c r="F444" s="715"/>
      <c r="G444" s="715"/>
      <c r="H444" s="715"/>
      <c r="I444" s="715"/>
      <c r="J444" s="715"/>
      <c r="K444" s="715"/>
      <c r="L444" s="715"/>
      <c r="M444" s="715"/>
      <c r="N444" s="715"/>
      <c r="O444" s="715"/>
      <c r="P444" s="715"/>
      <c r="Q444" s="230"/>
      <c r="R444" s="230"/>
      <c r="S444" s="230"/>
      <c r="T444" s="230"/>
    </row>
    <row r="445" spans="2:20" ht="15" customHeight="1" x14ac:dyDescent="0.2">
      <c r="B445" s="715"/>
      <c r="C445" s="715"/>
      <c r="D445" s="715"/>
      <c r="E445" s="715"/>
      <c r="F445" s="715"/>
      <c r="G445" s="715"/>
      <c r="H445" s="715"/>
      <c r="I445" s="715"/>
      <c r="J445" s="715"/>
      <c r="K445" s="715"/>
      <c r="L445" s="715"/>
      <c r="M445" s="715"/>
      <c r="N445" s="715"/>
      <c r="O445" s="715"/>
      <c r="P445" s="715"/>
      <c r="Q445" s="230"/>
      <c r="R445" s="230"/>
      <c r="S445" s="230"/>
      <c r="T445" s="230"/>
    </row>
    <row r="446" spans="2:20" ht="15" customHeight="1" x14ac:dyDescent="0.2">
      <c r="B446" s="715"/>
      <c r="C446" s="715"/>
      <c r="D446" s="715"/>
      <c r="E446" s="715"/>
      <c r="F446" s="715"/>
      <c r="G446" s="715"/>
      <c r="H446" s="715"/>
      <c r="I446" s="715"/>
      <c r="J446" s="715"/>
      <c r="K446" s="715"/>
      <c r="L446" s="715"/>
      <c r="M446" s="715"/>
      <c r="N446" s="715"/>
      <c r="O446" s="715"/>
      <c r="P446" s="715"/>
      <c r="Q446" s="230"/>
      <c r="R446" s="230"/>
      <c r="S446" s="230"/>
      <c r="T446" s="230"/>
    </row>
    <row r="447" spans="2:20" ht="15" customHeight="1" x14ac:dyDescent="0.2">
      <c r="B447" s="715"/>
      <c r="C447" s="715"/>
      <c r="D447" s="715"/>
      <c r="E447" s="715"/>
      <c r="F447" s="715"/>
      <c r="G447" s="715"/>
      <c r="H447" s="715"/>
      <c r="I447" s="715"/>
      <c r="J447" s="715"/>
      <c r="K447" s="715"/>
      <c r="L447" s="715"/>
      <c r="M447" s="715"/>
      <c r="N447" s="715"/>
      <c r="O447" s="715"/>
      <c r="P447" s="715"/>
      <c r="Q447" s="230"/>
      <c r="R447" s="230"/>
      <c r="S447" s="230"/>
      <c r="T447" s="230"/>
    </row>
    <row r="448" spans="2:20" ht="15" customHeight="1" x14ac:dyDescent="0.2">
      <c r="B448" s="715"/>
      <c r="C448" s="715"/>
      <c r="D448" s="715"/>
      <c r="E448" s="715"/>
      <c r="F448" s="715"/>
      <c r="G448" s="715"/>
      <c r="H448" s="715"/>
      <c r="I448" s="715"/>
      <c r="J448" s="715"/>
      <c r="K448" s="715"/>
      <c r="L448" s="715"/>
      <c r="M448" s="715"/>
      <c r="N448" s="715"/>
      <c r="O448" s="715"/>
      <c r="P448" s="715"/>
      <c r="Q448" s="230"/>
      <c r="R448" s="230"/>
      <c r="S448" s="230"/>
      <c r="T448" s="230"/>
    </row>
    <row r="449" spans="2:23" ht="15" customHeight="1" x14ac:dyDescent="0.2">
      <c r="B449" s="715"/>
      <c r="C449" s="715"/>
      <c r="D449" s="715"/>
      <c r="E449" s="715"/>
      <c r="F449" s="715"/>
      <c r="G449" s="715"/>
      <c r="H449" s="715"/>
      <c r="I449" s="715"/>
      <c r="J449" s="715"/>
      <c r="K449" s="715"/>
      <c r="L449" s="715"/>
      <c r="M449" s="715"/>
      <c r="N449" s="715"/>
      <c r="O449" s="715"/>
      <c r="P449" s="715"/>
      <c r="Q449" s="230"/>
      <c r="R449" s="230"/>
      <c r="S449" s="230"/>
      <c r="T449" s="230"/>
    </row>
    <row r="450" spans="2:23" ht="15" customHeight="1" x14ac:dyDescent="0.2">
      <c r="B450" s="715"/>
      <c r="C450" s="715"/>
      <c r="D450" s="715"/>
      <c r="E450" s="715"/>
      <c r="F450" s="715"/>
      <c r="G450" s="715"/>
      <c r="H450" s="715"/>
      <c r="I450" s="715"/>
      <c r="J450" s="715"/>
      <c r="K450" s="715"/>
      <c r="L450" s="715"/>
      <c r="M450" s="715"/>
      <c r="N450" s="715"/>
      <c r="O450" s="715"/>
      <c r="P450" s="715"/>
      <c r="Q450" s="230"/>
      <c r="R450" s="230"/>
      <c r="S450" s="230"/>
      <c r="T450" s="230"/>
    </row>
    <row r="451" spans="2:23" ht="15" customHeight="1" x14ac:dyDescent="0.2">
      <c r="B451" s="715"/>
      <c r="C451" s="715"/>
      <c r="D451" s="715"/>
      <c r="E451" s="715"/>
      <c r="F451" s="715"/>
      <c r="G451" s="715"/>
      <c r="H451" s="715"/>
      <c r="I451" s="715"/>
      <c r="J451" s="715"/>
      <c r="K451" s="715"/>
      <c r="L451" s="715"/>
      <c r="M451" s="715"/>
      <c r="N451" s="715"/>
      <c r="O451" s="715"/>
      <c r="P451" s="715"/>
      <c r="Q451" s="230"/>
      <c r="R451" s="230"/>
      <c r="S451" s="230"/>
      <c r="T451" s="230"/>
    </row>
    <row r="452" spans="2:23" ht="15" customHeight="1" x14ac:dyDescent="0.2">
      <c r="B452" s="715"/>
      <c r="C452" s="715"/>
      <c r="D452" s="715"/>
      <c r="E452" s="715"/>
      <c r="F452" s="715"/>
      <c r="G452" s="715"/>
      <c r="H452" s="715"/>
      <c r="I452" s="715"/>
      <c r="J452" s="715"/>
      <c r="K452" s="715"/>
      <c r="L452" s="715"/>
      <c r="M452" s="715"/>
      <c r="N452" s="715"/>
      <c r="O452" s="715"/>
      <c r="P452" s="715"/>
      <c r="Q452" s="230"/>
      <c r="R452" s="230"/>
      <c r="S452" s="230"/>
      <c r="T452" s="230"/>
    </row>
    <row r="453" spans="2:23" s="286" customFormat="1" ht="15" customHeight="1" x14ac:dyDescent="0.2">
      <c r="B453" s="824" t="s">
        <v>200</v>
      </c>
      <c r="C453" s="824"/>
      <c r="D453" s="824"/>
      <c r="E453" s="824"/>
      <c r="F453" s="824"/>
      <c r="G453" s="824"/>
      <c r="H453" s="824"/>
      <c r="I453" s="824"/>
      <c r="J453" s="824"/>
      <c r="K453" s="824"/>
      <c r="L453" s="824"/>
      <c r="M453" s="824"/>
      <c r="N453" s="824"/>
      <c r="O453" s="824"/>
      <c r="P453" s="824"/>
      <c r="Q453" s="478"/>
      <c r="R453" s="478"/>
      <c r="S453" s="478"/>
      <c r="T453" s="478"/>
      <c r="V453" s="284"/>
      <c r="W453" s="284"/>
    </row>
    <row r="454" spans="2:23" s="286" customFormat="1" ht="15" customHeight="1" x14ac:dyDescent="0.2">
      <c r="B454" s="479" t="s">
        <v>184</v>
      </c>
      <c r="C454" s="480"/>
      <c r="D454" s="480"/>
      <c r="E454" s="480"/>
      <c r="F454" s="480"/>
      <c r="G454" s="480"/>
      <c r="H454" s="480"/>
      <c r="I454" s="480"/>
      <c r="J454" s="480"/>
      <c r="K454" s="480"/>
      <c r="L454" s="480"/>
      <c r="M454" s="480"/>
      <c r="N454" s="480"/>
      <c r="O454" s="480"/>
      <c r="P454" s="481"/>
      <c r="Q454" s="482"/>
      <c r="R454" s="482"/>
      <c r="S454" s="482"/>
      <c r="T454" s="482"/>
    </row>
    <row r="455" spans="2:23" s="286" customFormat="1" ht="15" customHeight="1" x14ac:dyDescent="0.2">
      <c r="B455" s="483" t="s">
        <v>185</v>
      </c>
      <c r="C455" s="482"/>
      <c r="D455" s="482"/>
      <c r="E455" s="482"/>
      <c r="F455" s="482"/>
      <c r="G455" s="482"/>
      <c r="H455" s="482"/>
      <c r="I455" s="482"/>
      <c r="J455" s="482"/>
      <c r="K455" s="482"/>
      <c r="L455" s="482"/>
      <c r="M455" s="482"/>
      <c r="N455" s="482"/>
      <c r="O455" s="482"/>
      <c r="P455" s="484"/>
      <c r="Q455" s="482"/>
      <c r="R455" s="482"/>
      <c r="S455" s="482"/>
      <c r="T455" s="482"/>
    </row>
    <row r="456" spans="2:23" s="286" customFormat="1" ht="15" customHeight="1" x14ac:dyDescent="0.2">
      <c r="B456" s="485"/>
      <c r="C456" s="486"/>
      <c r="D456" s="486"/>
      <c r="E456" s="486"/>
      <c r="F456" s="486"/>
      <c r="G456" s="486"/>
      <c r="H456" s="486"/>
      <c r="I456" s="486"/>
      <c r="J456" s="486"/>
      <c r="K456" s="486"/>
      <c r="L456" s="486"/>
      <c r="M456" s="486"/>
      <c r="N456" s="486"/>
      <c r="O456" s="486"/>
      <c r="P456" s="487"/>
      <c r="Q456" s="482"/>
      <c r="R456" s="482"/>
      <c r="S456" s="482"/>
      <c r="T456" s="482"/>
    </row>
    <row r="457" spans="2:23" s="286" customFormat="1" ht="15" customHeight="1" x14ac:dyDescent="0.2">
      <c r="B457" s="482"/>
      <c r="C457" s="482"/>
      <c r="D457" s="482"/>
      <c r="E457" s="482"/>
      <c r="F457" s="482"/>
      <c r="G457" s="482"/>
      <c r="H457" s="482"/>
      <c r="I457" s="482"/>
      <c r="J457" s="482"/>
      <c r="K457" s="482"/>
      <c r="L457" s="482"/>
      <c r="M457" s="482"/>
      <c r="N457" s="482"/>
      <c r="O457" s="482"/>
      <c r="P457" s="482"/>
      <c r="Q457" s="482"/>
      <c r="R457" s="482"/>
      <c r="S457" s="482"/>
      <c r="T457" s="482"/>
    </row>
    <row r="458" spans="2:23" ht="15" customHeight="1" x14ac:dyDescent="0.25">
      <c r="B458" s="825" t="s">
        <v>201</v>
      </c>
      <c r="C458" s="825"/>
      <c r="D458" s="825"/>
      <c r="E458" s="825"/>
      <c r="F458" s="825"/>
      <c r="G458" s="825"/>
      <c r="H458" s="825"/>
      <c r="I458" s="825"/>
      <c r="J458" s="825"/>
      <c r="K458" s="825"/>
      <c r="L458" s="825"/>
      <c r="M458" s="825"/>
      <c r="N458" s="825"/>
      <c r="O458" s="825"/>
      <c r="P458" s="825"/>
      <c r="Q458" s="825"/>
      <c r="R458" s="825"/>
      <c r="S458" s="825"/>
      <c r="T458" s="825"/>
    </row>
    <row r="459" spans="2:23" ht="33" customHeight="1" x14ac:dyDescent="0.2">
      <c r="B459" s="826" t="s">
        <v>29</v>
      </c>
      <c r="C459" s="827"/>
      <c r="D459" s="827"/>
      <c r="E459" s="827"/>
      <c r="F459" s="827"/>
      <c r="G459" s="827"/>
      <c r="H459" s="827"/>
      <c r="I459" s="827"/>
      <c r="J459" s="827"/>
      <c r="K459" s="827"/>
      <c r="L459" s="827"/>
      <c r="M459" s="827"/>
      <c r="N459" s="827"/>
      <c r="O459" s="827"/>
      <c r="P459" s="828"/>
      <c r="Q459" s="234"/>
      <c r="R459" s="234"/>
      <c r="S459" s="234"/>
      <c r="T459" s="234"/>
    </row>
    <row r="460" spans="2:23" ht="15" customHeight="1" x14ac:dyDescent="0.2"/>
    <row r="461" spans="2:23" ht="15" customHeight="1" thickBot="1" x14ac:dyDescent="0.25"/>
    <row r="462" spans="2:23" ht="15" customHeight="1" x14ac:dyDescent="0.2">
      <c r="B462" s="829" t="s">
        <v>171</v>
      </c>
      <c r="C462" s="830"/>
      <c r="D462" s="830"/>
      <c r="E462" s="830"/>
      <c r="F462" s="831"/>
      <c r="G462" s="488"/>
      <c r="H462" s="488"/>
      <c r="L462" s="832" t="s">
        <v>172</v>
      </c>
      <c r="M462" s="833"/>
      <c r="N462" s="833"/>
      <c r="O462" s="834"/>
    </row>
    <row r="463" spans="2:23" ht="43.5" customHeight="1" x14ac:dyDescent="0.25">
      <c r="B463" s="489"/>
      <c r="C463" s="490"/>
      <c r="D463" s="490"/>
      <c r="E463" s="490"/>
      <c r="F463" s="491"/>
      <c r="G463" s="490"/>
      <c r="H463" s="490"/>
      <c r="L463" s="817"/>
      <c r="M463" s="818"/>
      <c r="N463" s="818"/>
      <c r="O463" s="819"/>
    </row>
    <row r="464" spans="2:23" ht="15" customHeight="1" x14ac:dyDescent="0.25">
      <c r="B464" s="492" t="s">
        <v>38</v>
      </c>
      <c r="C464" s="493"/>
      <c r="D464" s="493"/>
      <c r="E464" s="493"/>
      <c r="F464" s="494"/>
      <c r="G464" s="231"/>
      <c r="H464" s="231"/>
      <c r="I464" s="229"/>
      <c r="J464" s="229"/>
      <c r="K464" s="229"/>
      <c r="L464" s="492" t="s">
        <v>10</v>
      </c>
      <c r="M464" s="493"/>
      <c r="N464" s="493"/>
      <c r="O464" s="494"/>
    </row>
    <row r="465" spans="2:22" ht="15" customHeight="1" thickBot="1" x14ac:dyDescent="0.3">
      <c r="B465" s="495" t="s">
        <v>39</v>
      </c>
      <c r="C465" s="496"/>
      <c r="D465" s="496"/>
      <c r="E465" s="496"/>
      <c r="F465" s="497"/>
      <c r="G465" s="231"/>
      <c r="H465" s="231"/>
      <c r="I465" s="229"/>
      <c r="J465" s="229"/>
      <c r="K465" s="229"/>
      <c r="L465" s="495" t="s">
        <v>19</v>
      </c>
      <c r="M465" s="496"/>
      <c r="N465" s="496"/>
      <c r="O465" s="497"/>
    </row>
    <row r="466" spans="2:22" ht="15" customHeight="1" x14ac:dyDescent="0.2">
      <c r="B466" s="229"/>
      <c r="C466" s="229"/>
      <c r="D466" s="229"/>
      <c r="E466" s="229"/>
      <c r="F466" s="229"/>
      <c r="G466" s="229"/>
      <c r="H466" s="229"/>
      <c r="I466" s="229"/>
      <c r="J466" s="229"/>
      <c r="K466" s="229"/>
      <c r="L466" s="229"/>
      <c r="M466" s="229"/>
      <c r="N466" s="229"/>
      <c r="O466" s="229"/>
    </row>
    <row r="467" spans="2:22" ht="15" customHeight="1" x14ac:dyDescent="0.2">
      <c r="B467" s="229"/>
      <c r="C467" s="229"/>
      <c r="D467" s="229"/>
      <c r="E467" s="229"/>
      <c r="F467" s="229"/>
      <c r="G467" s="229"/>
      <c r="H467" s="229"/>
      <c r="I467" s="229"/>
      <c r="J467" s="229"/>
      <c r="K467" s="229"/>
      <c r="L467" s="229"/>
      <c r="M467" s="229"/>
      <c r="N467" s="229"/>
      <c r="O467" s="229"/>
    </row>
    <row r="468" spans="2:22" ht="15" customHeight="1" x14ac:dyDescent="0.2">
      <c r="B468" s="274"/>
      <c r="C468" s="274"/>
      <c r="D468" s="274"/>
      <c r="E468" s="274"/>
      <c r="F468" s="274"/>
      <c r="G468" s="274"/>
      <c r="H468" s="274"/>
      <c r="I468" s="274"/>
      <c r="J468" s="274"/>
      <c r="K468" s="274"/>
      <c r="L468" s="274"/>
      <c r="M468" s="274"/>
      <c r="N468" s="274"/>
      <c r="O468" s="274"/>
      <c r="P468" s="274"/>
      <c r="Q468" s="274"/>
      <c r="R468" s="274"/>
      <c r="S468" s="274"/>
      <c r="T468" s="274"/>
      <c r="U468" s="229"/>
      <c r="V468" s="229"/>
    </row>
    <row r="469" spans="2:22" s="286" customFormat="1" ht="15" customHeight="1" x14ac:dyDescent="0.25">
      <c r="B469" s="414" t="s">
        <v>202</v>
      </c>
    </row>
    <row r="470" spans="2:22" s="286" customFormat="1" ht="15" customHeight="1" x14ac:dyDescent="0.25">
      <c r="B470" s="414"/>
    </row>
    <row r="471" spans="2:22" s="286" customFormat="1" ht="15" customHeight="1" x14ac:dyDescent="0.2">
      <c r="B471" s="286" t="s">
        <v>24</v>
      </c>
      <c r="C471" s="284"/>
      <c r="E471" s="498"/>
      <c r="F471" s="498"/>
      <c r="G471" s="498"/>
      <c r="H471" s="498"/>
      <c r="I471" s="498"/>
      <c r="J471" s="498"/>
      <c r="K471" s="284"/>
      <c r="L471" s="284"/>
      <c r="M471" s="284"/>
      <c r="N471" s="284"/>
      <c r="O471" s="284"/>
      <c r="P471" s="284"/>
      <c r="Q471" s="284"/>
      <c r="R471" s="284"/>
      <c r="S471" s="284"/>
      <c r="T471" s="284"/>
    </row>
    <row r="472" spans="2:22" ht="15" customHeight="1" x14ac:dyDescent="0.2"/>
    <row r="473" spans="2:22" ht="15" customHeight="1" x14ac:dyDescent="0.2">
      <c r="B473" s="820" t="s">
        <v>30</v>
      </c>
      <c r="C473" s="820"/>
      <c r="D473" s="820"/>
      <c r="E473" s="820"/>
      <c r="F473" s="820"/>
      <c r="G473" s="820"/>
      <c r="H473" s="820"/>
      <c r="I473" s="820"/>
      <c r="J473" s="820"/>
      <c r="K473" s="820"/>
      <c r="L473" s="820"/>
      <c r="M473" s="820"/>
      <c r="N473" s="820"/>
      <c r="O473" s="820"/>
      <c r="P473" s="820"/>
      <c r="Q473" s="234"/>
      <c r="R473" s="234"/>
      <c r="S473" s="234"/>
      <c r="T473" s="234"/>
      <c r="U473" s="229"/>
      <c r="V473" s="229"/>
    </row>
    <row r="474" spans="2:22" ht="15" customHeight="1" x14ac:dyDescent="0.2">
      <c r="B474" s="820"/>
      <c r="C474" s="820"/>
      <c r="D474" s="820"/>
      <c r="E474" s="820"/>
      <c r="F474" s="820"/>
      <c r="G474" s="820"/>
      <c r="H474" s="820"/>
      <c r="I474" s="820"/>
      <c r="J474" s="820"/>
      <c r="K474" s="820"/>
      <c r="L474" s="820"/>
      <c r="M474" s="820"/>
      <c r="N474" s="820"/>
      <c r="O474" s="820"/>
      <c r="P474" s="820"/>
      <c r="Q474" s="234"/>
      <c r="R474" s="234"/>
      <c r="S474" s="234"/>
      <c r="T474" s="234"/>
      <c r="U474" s="229"/>
      <c r="V474" s="229"/>
    </row>
    <row r="475" spans="2:22" ht="15" customHeight="1" x14ac:dyDescent="0.2">
      <c r="B475" s="820" t="s">
        <v>31</v>
      </c>
      <c r="C475" s="820"/>
      <c r="D475" s="820"/>
      <c r="E475" s="820"/>
      <c r="F475" s="820"/>
      <c r="G475" s="820"/>
      <c r="H475" s="820"/>
      <c r="I475" s="820"/>
      <c r="J475" s="820"/>
      <c r="K475" s="820"/>
      <c r="L475" s="820"/>
      <c r="M475" s="820"/>
      <c r="N475" s="820"/>
      <c r="O475" s="820"/>
      <c r="P475" s="820"/>
      <c r="Q475" s="234"/>
      <c r="R475" s="234"/>
      <c r="S475" s="234"/>
      <c r="T475" s="234"/>
    </row>
    <row r="476" spans="2:22" ht="15" customHeight="1" x14ac:dyDescent="0.2">
      <c r="B476" s="820"/>
      <c r="C476" s="820"/>
      <c r="D476" s="820"/>
      <c r="E476" s="820"/>
      <c r="F476" s="820"/>
      <c r="G476" s="820"/>
      <c r="H476" s="820"/>
      <c r="I476" s="820"/>
      <c r="J476" s="820"/>
      <c r="K476" s="820"/>
      <c r="L476" s="820"/>
      <c r="M476" s="820"/>
      <c r="N476" s="820"/>
      <c r="O476" s="820"/>
      <c r="P476" s="820"/>
      <c r="Q476" s="234"/>
      <c r="R476" s="234"/>
      <c r="S476" s="234"/>
      <c r="T476" s="234"/>
    </row>
    <row r="477" spans="2:22" ht="15" customHeight="1" x14ac:dyDescent="0.2">
      <c r="B477" s="499"/>
      <c r="C477" s="499"/>
      <c r="D477" s="499"/>
      <c r="E477" s="499"/>
      <c r="F477" s="499"/>
      <c r="G477" s="499"/>
      <c r="H477" s="499"/>
      <c r="I477" s="499"/>
      <c r="J477" s="499"/>
      <c r="K477" s="499"/>
      <c r="L477" s="499"/>
      <c r="M477" s="499"/>
      <c r="N477" s="499"/>
      <c r="O477" s="499"/>
      <c r="P477" s="499"/>
      <c r="Q477" s="499"/>
      <c r="R477" s="499"/>
      <c r="S477" s="499"/>
      <c r="T477" s="499"/>
    </row>
    <row r="478" spans="2:22" x14ac:dyDescent="0.2">
      <c r="B478" s="274"/>
      <c r="C478" s="274"/>
      <c r="D478" s="274"/>
      <c r="E478" s="274"/>
      <c r="F478" s="274"/>
      <c r="G478" s="274"/>
      <c r="H478" s="274"/>
      <c r="I478" s="274"/>
      <c r="J478" s="274"/>
      <c r="K478" s="274"/>
      <c r="L478" s="274"/>
      <c r="M478" s="274"/>
      <c r="N478" s="274"/>
      <c r="O478" s="274"/>
      <c r="P478" s="274"/>
      <c r="Q478" s="274"/>
      <c r="R478" s="274"/>
      <c r="S478" s="274"/>
      <c r="T478" s="274"/>
      <c r="U478" s="229"/>
      <c r="V478" s="229"/>
    </row>
  </sheetData>
  <sheetProtection password="816A" sheet="1" objects="1" scenarios="1" selectLockedCells="1" selectUnlockedCells="1"/>
  <mergeCells count="391">
    <mergeCell ref="L463:O463"/>
    <mergeCell ref="B473:P474"/>
    <mergeCell ref="B475:P476"/>
    <mergeCell ref="B397:P424"/>
    <mergeCell ref="B426:P452"/>
    <mergeCell ref="B453:P453"/>
    <mergeCell ref="B458:T458"/>
    <mergeCell ref="B459:P459"/>
    <mergeCell ref="B462:F462"/>
    <mergeCell ref="L462:O462"/>
    <mergeCell ref="C382:F382"/>
    <mergeCell ref="G382:J382"/>
    <mergeCell ref="K382:N382"/>
    <mergeCell ref="B385:T385"/>
    <mergeCell ref="B387:I387"/>
    <mergeCell ref="J387:P387"/>
    <mergeCell ref="J388:P388"/>
    <mergeCell ref="J389:P389"/>
    <mergeCell ref="J390:P390"/>
    <mergeCell ref="C379:F379"/>
    <mergeCell ref="G379:J379"/>
    <mergeCell ref="K379:N379"/>
    <mergeCell ref="C380:F380"/>
    <mergeCell ref="G380:J380"/>
    <mergeCell ref="K380:N380"/>
    <mergeCell ref="C381:F381"/>
    <mergeCell ref="G381:J381"/>
    <mergeCell ref="K381:N381"/>
    <mergeCell ref="B362:C362"/>
    <mergeCell ref="B363:C363"/>
    <mergeCell ref="F371:H371"/>
    <mergeCell ref="F372:H372"/>
    <mergeCell ref="I372:N372"/>
    <mergeCell ref="F373:H373"/>
    <mergeCell ref="C378:F378"/>
    <mergeCell ref="G378:J378"/>
    <mergeCell ref="K378:N378"/>
    <mergeCell ref="B353:C353"/>
    <mergeCell ref="B354:C354"/>
    <mergeCell ref="B355:C355"/>
    <mergeCell ref="B356:C356"/>
    <mergeCell ref="B357:C357"/>
    <mergeCell ref="B358:C358"/>
    <mergeCell ref="B359:C359"/>
    <mergeCell ref="B360:C360"/>
    <mergeCell ref="B361:C361"/>
    <mergeCell ref="B341:C341"/>
    <mergeCell ref="B342:C342"/>
    <mergeCell ref="B343:C343"/>
    <mergeCell ref="B344:C344"/>
    <mergeCell ref="B345:C345"/>
    <mergeCell ref="B346:C346"/>
    <mergeCell ref="B347:C347"/>
    <mergeCell ref="B348:C348"/>
    <mergeCell ref="B349:C349"/>
    <mergeCell ref="B320:B321"/>
    <mergeCell ref="C320:K320"/>
    <mergeCell ref="B327:K327"/>
    <mergeCell ref="B330:C330"/>
    <mergeCell ref="B331:C331"/>
    <mergeCell ref="B332:C332"/>
    <mergeCell ref="B333:C333"/>
    <mergeCell ref="B339:C339"/>
    <mergeCell ref="B340:C340"/>
    <mergeCell ref="J287:K287"/>
    <mergeCell ref="L287:M287"/>
    <mergeCell ref="J288:K288"/>
    <mergeCell ref="L288:M288"/>
    <mergeCell ref="B289:E289"/>
    <mergeCell ref="L289:M289"/>
    <mergeCell ref="K292:M292"/>
    <mergeCell ref="B302:B303"/>
    <mergeCell ref="C302:K302"/>
    <mergeCell ref="J282:K282"/>
    <mergeCell ref="L282:M282"/>
    <mergeCell ref="J283:K283"/>
    <mergeCell ref="L283:M283"/>
    <mergeCell ref="J284:K284"/>
    <mergeCell ref="L284:M284"/>
    <mergeCell ref="J285:K285"/>
    <mergeCell ref="L285:M285"/>
    <mergeCell ref="J286:K286"/>
    <mergeCell ref="L286:M286"/>
    <mergeCell ref="J277:K277"/>
    <mergeCell ref="L277:M277"/>
    <mergeCell ref="J278:K278"/>
    <mergeCell ref="L278:M278"/>
    <mergeCell ref="J279:K279"/>
    <mergeCell ref="L279:M279"/>
    <mergeCell ref="J280:K280"/>
    <mergeCell ref="L280:M280"/>
    <mergeCell ref="J281:K281"/>
    <mergeCell ref="L281:M281"/>
    <mergeCell ref="J271:K271"/>
    <mergeCell ref="L271:M271"/>
    <mergeCell ref="J272:K272"/>
    <mergeCell ref="L272:M272"/>
    <mergeCell ref="J273:K273"/>
    <mergeCell ref="L273:M273"/>
    <mergeCell ref="J274:K274"/>
    <mergeCell ref="L274:M274"/>
    <mergeCell ref="J276:K276"/>
    <mergeCell ref="L276:M276"/>
    <mergeCell ref="B267:G267"/>
    <mergeCell ref="J267:K267"/>
    <mergeCell ref="L267:M267"/>
    <mergeCell ref="J268:K268"/>
    <mergeCell ref="L268:M268"/>
    <mergeCell ref="J269:K269"/>
    <mergeCell ref="L269:M269"/>
    <mergeCell ref="J270:K270"/>
    <mergeCell ref="L270:M270"/>
    <mergeCell ref="Q242:R242"/>
    <mergeCell ref="K248:M248"/>
    <mergeCell ref="K250:M250"/>
    <mergeCell ref="C252:F252"/>
    <mergeCell ref="G252:I252"/>
    <mergeCell ref="B253:B261"/>
    <mergeCell ref="C253:F255"/>
    <mergeCell ref="C256:F258"/>
    <mergeCell ref="C259:F261"/>
    <mergeCell ref="C244:L244"/>
    <mergeCell ref="C237:D237"/>
    <mergeCell ref="E237:F237"/>
    <mergeCell ref="G237:H237"/>
    <mergeCell ref="B240:B241"/>
    <mergeCell ref="C240:L241"/>
    <mergeCell ref="M240:N241"/>
    <mergeCell ref="O240:O241"/>
    <mergeCell ref="P240:P241"/>
    <mergeCell ref="M242:N242"/>
    <mergeCell ref="C233:D233"/>
    <mergeCell ref="E233:F233"/>
    <mergeCell ref="G233:H233"/>
    <mergeCell ref="C234:D234"/>
    <mergeCell ref="E234:F234"/>
    <mergeCell ref="G234:H234"/>
    <mergeCell ref="J234:L236"/>
    <mergeCell ref="C235:D235"/>
    <mergeCell ref="E235:F235"/>
    <mergeCell ref="G235:H235"/>
    <mergeCell ref="C236:D236"/>
    <mergeCell ref="E236:F236"/>
    <mergeCell ref="G236:H236"/>
    <mergeCell ref="N227:P227"/>
    <mergeCell ref="N228:P228"/>
    <mergeCell ref="C230:F230"/>
    <mergeCell ref="G230:I230"/>
    <mergeCell ref="C231:D231"/>
    <mergeCell ref="E231:F231"/>
    <mergeCell ref="G231:H231"/>
    <mergeCell ref="C232:D232"/>
    <mergeCell ref="E232:F232"/>
    <mergeCell ref="G232:H232"/>
    <mergeCell ref="B199:C199"/>
    <mergeCell ref="F199:G199"/>
    <mergeCell ref="O201:P201"/>
    <mergeCell ref="B202:F202"/>
    <mergeCell ref="C204:D204"/>
    <mergeCell ref="E211:F211"/>
    <mergeCell ref="B220:C220"/>
    <mergeCell ref="D220:E220"/>
    <mergeCell ref="B222:M222"/>
    <mergeCell ref="D199:E199"/>
    <mergeCell ref="N193:N194"/>
    <mergeCell ref="O193:P193"/>
    <mergeCell ref="B195:C195"/>
    <mergeCell ref="F195:G195"/>
    <mergeCell ref="B196:C196"/>
    <mergeCell ref="F196:G196"/>
    <mergeCell ref="B197:C197"/>
    <mergeCell ref="F197:G197"/>
    <mergeCell ref="B198:C198"/>
    <mergeCell ref="F198:G198"/>
    <mergeCell ref="D193:E194"/>
    <mergeCell ref="D197:E197"/>
    <mergeCell ref="D198:E198"/>
    <mergeCell ref="B193:C194"/>
    <mergeCell ref="F193:G194"/>
    <mergeCell ref="H193:H194"/>
    <mergeCell ref="I193:I194"/>
    <mergeCell ref="J193:J194"/>
    <mergeCell ref="K193:K194"/>
    <mergeCell ref="L193:L194"/>
    <mergeCell ref="M193:M194"/>
    <mergeCell ref="R176:S176"/>
    <mergeCell ref="H177:I177"/>
    <mergeCell ref="H178:I178"/>
    <mergeCell ref="H179:I179"/>
    <mergeCell ref="H180:I180"/>
    <mergeCell ref="G182:H182"/>
    <mergeCell ref="K182:L182"/>
    <mergeCell ref="C190:H190"/>
    <mergeCell ref="R192:T192"/>
    <mergeCell ref="B152:H152"/>
    <mergeCell ref="I152:J152"/>
    <mergeCell ref="K152:L152"/>
    <mergeCell ref="N152:P152"/>
    <mergeCell ref="B153:H153"/>
    <mergeCell ref="I153:J153"/>
    <mergeCell ref="K153:L153"/>
    <mergeCell ref="N153:P153"/>
    <mergeCell ref="B174:Q174"/>
    <mergeCell ref="C158:H158"/>
    <mergeCell ref="C159:H159"/>
    <mergeCell ref="C160:H160"/>
    <mergeCell ref="C162:H162"/>
    <mergeCell ref="C163:H163"/>
    <mergeCell ref="C164:H164"/>
    <mergeCell ref="C169:E169"/>
    <mergeCell ref="C170:E170"/>
    <mergeCell ref="C171:E171"/>
    <mergeCell ref="C172:E172"/>
    <mergeCell ref="F172:H172"/>
    <mergeCell ref="B149:H149"/>
    <mergeCell ref="I149:J149"/>
    <mergeCell ref="K149:L149"/>
    <mergeCell ref="N149:P149"/>
    <mergeCell ref="B150:H150"/>
    <mergeCell ref="I150:J150"/>
    <mergeCell ref="K150:L150"/>
    <mergeCell ref="N150:P150"/>
    <mergeCell ref="B151:H151"/>
    <mergeCell ref="I151:J151"/>
    <mergeCell ref="K151:L151"/>
    <mergeCell ref="N151:P151"/>
    <mergeCell ref="B144:H144"/>
    <mergeCell ref="I144:J144"/>
    <mergeCell ref="K144:L144"/>
    <mergeCell ref="N144:P144"/>
    <mergeCell ref="B145:H145"/>
    <mergeCell ref="I145:J145"/>
    <mergeCell ref="K145:L145"/>
    <mergeCell ref="N145:P145"/>
    <mergeCell ref="B146:H146"/>
    <mergeCell ref="I146:J146"/>
    <mergeCell ref="K146:L146"/>
    <mergeCell ref="N146:P146"/>
    <mergeCell ref="B139:H139"/>
    <mergeCell ref="I139:J139"/>
    <mergeCell ref="K139:L139"/>
    <mergeCell ref="N139:P139"/>
    <mergeCell ref="B142:H142"/>
    <mergeCell ref="I142:J142"/>
    <mergeCell ref="K142:L142"/>
    <mergeCell ref="N142:P142"/>
    <mergeCell ref="B143:H143"/>
    <mergeCell ref="I143:J143"/>
    <mergeCell ref="K143:L143"/>
    <mergeCell ref="N143:P143"/>
    <mergeCell ref="I130:K130"/>
    <mergeCell ref="L130:N130"/>
    <mergeCell ref="O130:P130"/>
    <mergeCell ref="Q130:T130"/>
    <mergeCell ref="B134:H134"/>
    <mergeCell ref="I134:J134"/>
    <mergeCell ref="B136:P136"/>
    <mergeCell ref="B138:H138"/>
    <mergeCell ref="I138:J138"/>
    <mergeCell ref="K138:L138"/>
    <mergeCell ref="N138:P138"/>
    <mergeCell ref="I131:K131"/>
    <mergeCell ref="L131:N131"/>
    <mergeCell ref="O131:P131"/>
    <mergeCell ref="B132:H132"/>
    <mergeCell ref="I132:K132"/>
    <mergeCell ref="L132:N132"/>
    <mergeCell ref="O132:P132"/>
    <mergeCell ref="B133:H133"/>
    <mergeCell ref="I133:K133"/>
    <mergeCell ref="L133:N133"/>
    <mergeCell ref="O133:P133"/>
    <mergeCell ref="L128:N128"/>
    <mergeCell ref="O128:P128"/>
    <mergeCell ref="Q128:T128"/>
    <mergeCell ref="L129:N129"/>
    <mergeCell ref="O129:P129"/>
    <mergeCell ref="Q129:T129"/>
    <mergeCell ref="L126:N126"/>
    <mergeCell ref="O126:P126"/>
    <mergeCell ref="Q126:T126"/>
    <mergeCell ref="L127:N127"/>
    <mergeCell ref="O127:P127"/>
    <mergeCell ref="Q127:T127"/>
    <mergeCell ref="B121:H121"/>
    <mergeCell ref="I121:J121"/>
    <mergeCell ref="K121:L121"/>
    <mergeCell ref="N121:P121"/>
    <mergeCell ref="B122:H122"/>
    <mergeCell ref="I122:J122"/>
    <mergeCell ref="K122:L122"/>
    <mergeCell ref="N122:P122"/>
    <mergeCell ref="B125:H125"/>
    <mergeCell ref="I125:K125"/>
    <mergeCell ref="L125:N125"/>
    <mergeCell ref="O125:P125"/>
    <mergeCell ref="B118:H118"/>
    <mergeCell ref="I118:J118"/>
    <mergeCell ref="K118:L118"/>
    <mergeCell ref="N118:P118"/>
    <mergeCell ref="B119:H119"/>
    <mergeCell ref="I119:J119"/>
    <mergeCell ref="K119:L119"/>
    <mergeCell ref="N119:P119"/>
    <mergeCell ref="B120:H120"/>
    <mergeCell ref="I120:J120"/>
    <mergeCell ref="K120:L120"/>
    <mergeCell ref="N120:P120"/>
    <mergeCell ref="B113:H113"/>
    <mergeCell ref="I113:J113"/>
    <mergeCell ref="K113:L113"/>
    <mergeCell ref="N113:P113"/>
    <mergeCell ref="B114:H114"/>
    <mergeCell ref="I114:J114"/>
    <mergeCell ref="K114:L114"/>
    <mergeCell ref="N114:P114"/>
    <mergeCell ref="B115:H115"/>
    <mergeCell ref="I115:J115"/>
    <mergeCell ref="K115:L115"/>
    <mergeCell ref="N115:P115"/>
    <mergeCell ref="K107:L107"/>
    <mergeCell ref="M107:P107"/>
    <mergeCell ref="B109:Q109"/>
    <mergeCell ref="B111:H111"/>
    <mergeCell ref="I111:J111"/>
    <mergeCell ref="K111:L111"/>
    <mergeCell ref="N111:P111"/>
    <mergeCell ref="B112:H112"/>
    <mergeCell ref="I112:J112"/>
    <mergeCell ref="K112:L112"/>
    <mergeCell ref="N112:P112"/>
    <mergeCell ref="K102:L102"/>
    <mergeCell ref="M102:P102"/>
    <mergeCell ref="K103:L103"/>
    <mergeCell ref="M103:P103"/>
    <mergeCell ref="K104:L104"/>
    <mergeCell ref="M104:P104"/>
    <mergeCell ref="K105:L105"/>
    <mergeCell ref="M105:P105"/>
    <mergeCell ref="K106:L106"/>
    <mergeCell ref="M106:P106"/>
    <mergeCell ref="B58:B59"/>
    <mergeCell ref="C58:I59"/>
    <mergeCell ref="B66:P66"/>
    <mergeCell ref="M80:P80"/>
    <mergeCell ref="B85:P85"/>
    <mergeCell ref="B88:P88"/>
    <mergeCell ref="B91:P91"/>
    <mergeCell ref="B94:P94"/>
    <mergeCell ref="B100:B101"/>
    <mergeCell ref="C100:D100"/>
    <mergeCell ref="E100:G100"/>
    <mergeCell ref="H100:J100"/>
    <mergeCell ref="K100:L101"/>
    <mergeCell ref="M100:P101"/>
    <mergeCell ref="C55:I55"/>
    <mergeCell ref="L55:M55"/>
    <mergeCell ref="N55:O55"/>
    <mergeCell ref="C56:I56"/>
    <mergeCell ref="L56:M56"/>
    <mergeCell ref="N56:O56"/>
    <mergeCell ref="C57:I57"/>
    <mergeCell ref="L57:M57"/>
    <mergeCell ref="N57:O57"/>
    <mergeCell ref="B45:J45"/>
    <mergeCell ref="B47:I47"/>
    <mergeCell ref="K47:M47"/>
    <mergeCell ref="B49:I49"/>
    <mergeCell ref="K49:M49"/>
    <mergeCell ref="B51:Q51"/>
    <mergeCell ref="C54:I54"/>
    <mergeCell ref="L54:M54"/>
    <mergeCell ref="N54:O54"/>
    <mergeCell ref="B3:P3"/>
    <mergeCell ref="B4:P4"/>
    <mergeCell ref="B5:P5"/>
    <mergeCell ref="B6:P6"/>
    <mergeCell ref="F24:P24"/>
    <mergeCell ref="B36:E36"/>
    <mergeCell ref="B40:F40"/>
    <mergeCell ref="B42:C42"/>
    <mergeCell ref="F42:I42"/>
    <mergeCell ref="F17:H17"/>
    <mergeCell ref="I17:L17"/>
    <mergeCell ref="M17:P17"/>
    <mergeCell ref="I18:L18"/>
    <mergeCell ref="M18:P18"/>
    <mergeCell ref="I19:L19"/>
    <mergeCell ref="M19:P19"/>
    <mergeCell ref="I20:L20"/>
    <mergeCell ref="M20:P20"/>
  </mergeCells>
  <printOptions horizontalCentered="1"/>
  <pageMargins left="3.937007874015748E-2" right="3.937007874015748E-2" top="0.55118110236220474" bottom="0.55118110236220474" header="0.31496062992125984" footer="0.31496062992125984"/>
  <pageSetup paperSize="9" scale="51" fitToHeight="4" orientation="portrait" r:id="rId1"/>
  <headerFooter alignWithMargins="0">
    <oddFooter>&amp;RPágina &amp;P de &amp;N</oddFooter>
  </headerFooter>
  <rowBreaks count="5" manualBreakCount="5">
    <brk id="94" min="1" max="15" man="1"/>
    <brk id="190" min="1" max="15" man="1"/>
    <brk id="261" min="1" max="15" man="1"/>
    <brk id="349" min="1" max="15" man="1"/>
    <brk id="424" min="1" max="15" man="1"/>
  </rowBreaks>
  <drawing r:id="rId2"/>
  <legacyDrawing r:id="rId3"/>
  <controls>
    <mc:AlternateContent xmlns:mc="http://schemas.openxmlformats.org/markup-compatibility/2006">
      <mc:Choice Requires="x14">
        <control shapeId="4097" r:id="rId4" name="TextBox1">
          <controlPr defaultSize="0" autoLine="0" autoPict="0" r:id="rId5">
            <anchor moveWithCells="1" sizeWithCells="1">
              <from>
                <xdr:col>17</xdr:col>
                <xdr:colOff>19050</xdr:colOff>
                <xdr:row>478</xdr:row>
                <xdr:rowOff>0</xdr:rowOff>
              </from>
              <to>
                <xdr:col>17</xdr:col>
                <xdr:colOff>85725</xdr:colOff>
                <xdr:row>478</xdr:row>
                <xdr:rowOff>0</xdr:rowOff>
              </to>
            </anchor>
          </controlPr>
        </control>
      </mc:Choice>
      <mc:Fallback>
        <control shapeId="4097" r:id="rId4" name="TextBox1"/>
      </mc:Fallback>
    </mc:AlternateContent>
    <mc:AlternateContent xmlns:mc="http://schemas.openxmlformats.org/markup-compatibility/2006">
      <mc:Choice Requires="x14">
        <control shapeId="4098" r:id="rId6" name="SpinButton1">
          <controlPr defaultSize="0" autoLine="0" r:id="rId7">
            <anchor moveWithCells="1" sizeWithCells="1">
              <from>
                <xdr:col>17</xdr:col>
                <xdr:colOff>285750</xdr:colOff>
                <xdr:row>478</xdr:row>
                <xdr:rowOff>0</xdr:rowOff>
              </from>
              <to>
                <xdr:col>17</xdr:col>
                <xdr:colOff>285750</xdr:colOff>
                <xdr:row>478</xdr:row>
                <xdr:rowOff>0</xdr:rowOff>
              </to>
            </anchor>
          </controlPr>
        </control>
      </mc:Choice>
      <mc:Fallback>
        <control shapeId="4098" r:id="rId6" name="SpinButton1"/>
      </mc:Fallback>
    </mc:AlternateContent>
    <mc:AlternateContent xmlns:mc="http://schemas.openxmlformats.org/markup-compatibility/2006">
      <mc:Choice Requires="x14">
        <control shapeId="4099" r:id="rId8" name="TextBox2">
          <controlPr defaultSize="0" autoLine="0" autoPict="0" r:id="rId9">
            <anchor moveWithCells="1" sizeWithCells="1">
              <from>
                <xdr:col>17</xdr:col>
                <xdr:colOff>180975</xdr:colOff>
                <xdr:row>478</xdr:row>
                <xdr:rowOff>0</xdr:rowOff>
              </from>
              <to>
                <xdr:col>17</xdr:col>
                <xdr:colOff>514350</xdr:colOff>
                <xdr:row>478</xdr:row>
                <xdr:rowOff>0</xdr:rowOff>
              </to>
            </anchor>
          </controlPr>
        </control>
      </mc:Choice>
      <mc:Fallback>
        <control shapeId="4099" r:id="rId8" name="TextBox2"/>
      </mc:Fallback>
    </mc:AlternateContent>
    <mc:AlternateContent xmlns:mc="http://schemas.openxmlformats.org/markup-compatibility/2006">
      <mc:Choice Requires="x14">
        <control shapeId="4100" r:id="rId10" name="SpinButton2">
          <controlPr defaultSize="0" autoLine="0" r:id="rId7">
            <anchor moveWithCells="1" sizeWithCells="1">
              <from>
                <xdr:col>17</xdr:col>
                <xdr:colOff>533400</xdr:colOff>
                <xdr:row>478</xdr:row>
                <xdr:rowOff>0</xdr:rowOff>
              </from>
              <to>
                <xdr:col>17</xdr:col>
                <xdr:colOff>533400</xdr:colOff>
                <xdr:row>478</xdr:row>
                <xdr:rowOff>0</xdr:rowOff>
              </to>
            </anchor>
          </controlPr>
        </control>
      </mc:Choice>
      <mc:Fallback>
        <control shapeId="4100" r:id="rId10" name="SpinButton2"/>
      </mc:Fallback>
    </mc:AlternateContent>
    <mc:AlternateContent xmlns:mc="http://schemas.openxmlformats.org/markup-compatibility/2006">
      <mc:Choice Requires="x14">
        <control shapeId="4101" r:id="rId11" name="TextBox3">
          <controlPr defaultSize="0" autoLine="0" autoPict="0" r:id="rId12">
            <anchor moveWithCells="1" sizeWithCells="1">
              <from>
                <xdr:col>18</xdr:col>
                <xdr:colOff>133350</xdr:colOff>
                <xdr:row>478</xdr:row>
                <xdr:rowOff>0</xdr:rowOff>
              </from>
              <to>
                <xdr:col>19</xdr:col>
                <xdr:colOff>228600</xdr:colOff>
                <xdr:row>478</xdr:row>
                <xdr:rowOff>0</xdr:rowOff>
              </to>
            </anchor>
          </controlPr>
        </control>
      </mc:Choice>
      <mc:Fallback>
        <control shapeId="4101" r:id="rId11" name="TextBox3"/>
      </mc:Fallback>
    </mc:AlternateContent>
    <mc:AlternateContent xmlns:mc="http://schemas.openxmlformats.org/markup-compatibility/2006">
      <mc:Choice Requires="x14">
        <control shapeId="4102" r:id="rId13" name="SpinButton3">
          <controlPr defaultSize="0" autoLine="0" autoPict="0" r:id="rId14">
            <anchor moveWithCells="1" sizeWithCells="1">
              <from>
                <xdr:col>19</xdr:col>
                <xdr:colOff>66675</xdr:colOff>
                <xdr:row>478</xdr:row>
                <xdr:rowOff>0</xdr:rowOff>
              </from>
              <to>
                <xdr:col>19</xdr:col>
                <xdr:colOff>200025</xdr:colOff>
                <xdr:row>478</xdr:row>
                <xdr:rowOff>0</xdr:rowOff>
              </to>
            </anchor>
          </controlPr>
        </control>
      </mc:Choice>
      <mc:Fallback>
        <control shapeId="4102" r:id="rId13" name="SpinButton3"/>
      </mc:Fallback>
    </mc:AlternateContent>
    <mc:AlternateContent xmlns:mc="http://schemas.openxmlformats.org/markup-compatibility/2006">
      <mc:Choice Requires="x14">
        <control shapeId="4103" r:id="rId15" name="TextBox4">
          <controlPr defaultSize="0" autoLine="0" r:id="rId16">
            <anchor moveWithCells="1" sizeWithCells="1">
              <from>
                <xdr:col>4</xdr:col>
                <xdr:colOff>381000</xdr:colOff>
                <xdr:row>478</xdr:row>
                <xdr:rowOff>0</xdr:rowOff>
              </from>
              <to>
                <xdr:col>4</xdr:col>
                <xdr:colOff>381000</xdr:colOff>
                <xdr:row>478</xdr:row>
                <xdr:rowOff>0</xdr:rowOff>
              </to>
            </anchor>
          </controlPr>
        </control>
      </mc:Choice>
      <mc:Fallback>
        <control shapeId="4103" r:id="rId15" name="TextBox4"/>
      </mc:Fallback>
    </mc:AlternateContent>
    <mc:AlternateContent xmlns:mc="http://schemas.openxmlformats.org/markup-compatibility/2006">
      <mc:Choice Requires="x14">
        <control shapeId="4104" r:id="rId17" name="SpinButton4">
          <controlPr defaultSize="0" autoLine="0" r:id="rId7">
            <anchor moveWithCells="1" sizeWithCells="1">
              <from>
                <xdr:col>5</xdr:col>
                <xdr:colOff>228600</xdr:colOff>
                <xdr:row>478</xdr:row>
                <xdr:rowOff>0</xdr:rowOff>
              </from>
              <to>
                <xdr:col>5</xdr:col>
                <xdr:colOff>228600</xdr:colOff>
                <xdr:row>478</xdr:row>
                <xdr:rowOff>0</xdr:rowOff>
              </to>
            </anchor>
          </controlPr>
        </control>
      </mc:Choice>
      <mc:Fallback>
        <control shapeId="4104" r:id="rId17" name="SpinButton4"/>
      </mc:Fallback>
    </mc:AlternateContent>
    <mc:AlternateContent xmlns:mc="http://schemas.openxmlformats.org/markup-compatibility/2006">
      <mc:Choice Requires="x14">
        <control shapeId="4105" r:id="rId18" name="TextBox5">
          <controlPr defaultSize="0" autoLine="0" autoPict="0" r:id="rId19">
            <anchor moveWithCells="1" sizeWithCells="1">
              <from>
                <xdr:col>10</xdr:col>
                <xdr:colOff>333375</xdr:colOff>
                <xdr:row>478</xdr:row>
                <xdr:rowOff>0</xdr:rowOff>
              </from>
              <to>
                <xdr:col>10</xdr:col>
                <xdr:colOff>523875</xdr:colOff>
                <xdr:row>478</xdr:row>
                <xdr:rowOff>0</xdr:rowOff>
              </to>
            </anchor>
          </controlPr>
        </control>
      </mc:Choice>
      <mc:Fallback>
        <control shapeId="4105" r:id="rId18" name="TextBox5"/>
      </mc:Fallback>
    </mc:AlternateContent>
    <mc:AlternateContent xmlns:mc="http://schemas.openxmlformats.org/markup-compatibility/2006">
      <mc:Choice Requires="x14">
        <control shapeId="4106" r:id="rId20" name="SpinButton5">
          <controlPr defaultSize="0" autoLine="0" r:id="rId7">
            <anchor moveWithCells="1" sizeWithCells="1">
              <from>
                <xdr:col>11</xdr:col>
                <xdr:colOff>314325</xdr:colOff>
                <xdr:row>478</xdr:row>
                <xdr:rowOff>0</xdr:rowOff>
              </from>
              <to>
                <xdr:col>11</xdr:col>
                <xdr:colOff>314325</xdr:colOff>
                <xdr:row>478</xdr:row>
                <xdr:rowOff>0</xdr:rowOff>
              </to>
            </anchor>
          </controlPr>
        </control>
      </mc:Choice>
      <mc:Fallback>
        <control shapeId="4106" r:id="rId20" name="SpinButton5"/>
      </mc:Fallback>
    </mc:AlternateContent>
    <mc:AlternateContent xmlns:mc="http://schemas.openxmlformats.org/markup-compatibility/2006">
      <mc:Choice Requires="x14">
        <control shapeId="4107" r:id="rId21" name="TextBox6">
          <controlPr defaultSize="0" autoLine="0" autoPict="0" r:id="rId22">
            <anchor moveWithCells="1" sizeWithCells="1">
              <from>
                <xdr:col>14</xdr:col>
                <xdr:colOff>0</xdr:colOff>
                <xdr:row>478</xdr:row>
                <xdr:rowOff>0</xdr:rowOff>
              </from>
              <to>
                <xdr:col>16</xdr:col>
                <xdr:colOff>228600</xdr:colOff>
                <xdr:row>478</xdr:row>
                <xdr:rowOff>0</xdr:rowOff>
              </to>
            </anchor>
          </controlPr>
        </control>
      </mc:Choice>
      <mc:Fallback>
        <control shapeId="4107" r:id="rId21" name="TextBox6"/>
      </mc:Fallback>
    </mc:AlternateContent>
    <mc:AlternateContent xmlns:mc="http://schemas.openxmlformats.org/markup-compatibility/2006">
      <mc:Choice Requires="x14">
        <control shapeId="4108" r:id="rId23" name="SpinButton6">
          <controlPr defaultSize="0" autoLine="0" autoPict="0" r:id="rId24">
            <anchor moveWithCells="1" sizeWithCells="1">
              <from>
                <xdr:col>16</xdr:col>
                <xdr:colOff>66675</xdr:colOff>
                <xdr:row>478</xdr:row>
                <xdr:rowOff>0</xdr:rowOff>
              </from>
              <to>
                <xdr:col>16</xdr:col>
                <xdr:colOff>238125</xdr:colOff>
                <xdr:row>478</xdr:row>
                <xdr:rowOff>0</xdr:rowOff>
              </to>
            </anchor>
          </controlPr>
        </control>
      </mc:Choice>
      <mc:Fallback>
        <control shapeId="4108" r:id="rId23" name="Spin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indexed="10"/>
    <pageSetUpPr fitToPage="1"/>
  </sheetPr>
  <dimension ref="B1:S631"/>
  <sheetViews>
    <sheetView showGridLines="0" tabSelected="1" view="pageBreakPreview" topLeftCell="A412" zoomScale="85" zoomScaleNormal="85" zoomScaleSheetLayoutView="85" workbookViewId="0">
      <selection activeCell="K188" sqref="K188"/>
    </sheetView>
  </sheetViews>
  <sheetFormatPr baseColWidth="10" defaultRowHeight="15" x14ac:dyDescent="0.2"/>
  <cols>
    <col min="1" max="1" width="2.140625" style="1" customWidth="1"/>
    <col min="2" max="2" width="27.42578125" style="1" customWidth="1"/>
    <col min="3" max="3" width="11.42578125" style="1" customWidth="1"/>
    <col min="4" max="4" width="14.42578125" style="1" customWidth="1"/>
    <col min="5" max="5" width="10" style="1" customWidth="1"/>
    <col min="6" max="6" width="10.28515625" style="1" customWidth="1"/>
    <col min="7" max="7" width="10" style="1" customWidth="1"/>
    <col min="8" max="8" width="9.42578125" style="1" customWidth="1"/>
    <col min="9" max="9" width="17.140625" style="1" customWidth="1"/>
    <col min="10" max="10" width="14.85546875" style="1" customWidth="1"/>
    <col min="11" max="11" width="14.7109375" style="1" customWidth="1"/>
    <col min="12" max="12" width="15.5703125" style="1" customWidth="1"/>
    <col min="13" max="13" width="14.5703125" style="1" customWidth="1"/>
    <col min="14" max="14" width="16.42578125" style="1" customWidth="1"/>
    <col min="15" max="15" width="11.5703125" style="1" customWidth="1"/>
    <col min="16" max="16" width="14.85546875" style="1" customWidth="1"/>
    <col min="17" max="17" width="13.7109375" style="1" customWidth="1"/>
    <col min="18" max="18" width="10.7109375" style="1" bestFit="1" customWidth="1"/>
    <col min="19" max="19" width="12.85546875" style="1" bestFit="1" customWidth="1"/>
    <col min="20" max="21" width="11.42578125" style="1"/>
    <col min="22" max="22" width="36" style="1" customWidth="1"/>
    <col min="23" max="16384" width="11.42578125" style="1"/>
  </cols>
  <sheetData>
    <row r="1" spans="2:18" ht="6" customHeight="1" x14ac:dyDescent="0.2"/>
    <row r="2" spans="2:18" ht="6" customHeight="1" x14ac:dyDescent="0.2"/>
    <row r="3" spans="2:18" ht="15" customHeight="1" x14ac:dyDescent="0.25">
      <c r="B3" s="989"/>
      <c r="C3" s="989"/>
      <c r="D3" s="989"/>
      <c r="E3" s="989"/>
      <c r="F3" s="989"/>
      <c r="G3" s="989"/>
      <c r="H3" s="989"/>
      <c r="I3" s="989"/>
      <c r="J3" s="989"/>
      <c r="K3" s="989"/>
      <c r="L3" s="989"/>
      <c r="M3" s="989"/>
      <c r="N3" s="989"/>
      <c r="O3" s="989"/>
      <c r="P3" s="989"/>
      <c r="Q3" s="41"/>
    </row>
    <row r="4" spans="2:18" ht="30.75" customHeight="1" x14ac:dyDescent="0.3">
      <c r="B4" s="990" t="s">
        <v>2492</v>
      </c>
      <c r="C4" s="990"/>
      <c r="D4" s="990"/>
      <c r="E4" s="990"/>
      <c r="F4" s="990"/>
      <c r="G4" s="990"/>
      <c r="H4" s="990"/>
      <c r="I4" s="990"/>
      <c r="J4" s="990"/>
      <c r="K4" s="990"/>
      <c r="L4" s="990"/>
      <c r="M4" s="990"/>
      <c r="N4" s="990"/>
      <c r="O4" s="990"/>
      <c r="P4" s="990"/>
      <c r="Q4" s="74"/>
    </row>
    <row r="5" spans="2:18" ht="14.25" customHeight="1" x14ac:dyDescent="0.25">
      <c r="B5" s="991" t="s">
        <v>2339</v>
      </c>
      <c r="C5" s="991"/>
      <c r="D5" s="991"/>
      <c r="E5" s="991"/>
      <c r="F5" s="991"/>
      <c r="G5" s="991"/>
      <c r="H5" s="991"/>
      <c r="I5" s="991"/>
      <c r="J5" s="991"/>
      <c r="K5" s="991"/>
      <c r="L5" s="991"/>
      <c r="M5" s="991"/>
      <c r="N5" s="991"/>
      <c r="O5" s="991"/>
      <c r="P5" s="991"/>
      <c r="Q5" s="74"/>
    </row>
    <row r="6" spans="2:18" ht="16.5" customHeight="1" x14ac:dyDescent="0.25">
      <c r="B6" s="991" t="s">
        <v>12</v>
      </c>
      <c r="C6" s="991"/>
      <c r="D6" s="991"/>
      <c r="E6" s="991"/>
      <c r="F6" s="991"/>
      <c r="G6" s="991"/>
      <c r="H6" s="991"/>
      <c r="I6" s="991"/>
      <c r="J6" s="991"/>
      <c r="K6" s="991"/>
      <c r="L6" s="991"/>
      <c r="M6" s="991"/>
      <c r="N6" s="991"/>
      <c r="O6" s="991"/>
      <c r="P6" s="991"/>
      <c r="Q6" s="74"/>
    </row>
    <row r="7" spans="2:18" ht="16.5" customHeight="1" x14ac:dyDescent="0.25"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74"/>
    </row>
    <row r="8" spans="2:18" ht="19.5" customHeight="1" x14ac:dyDescent="0.25">
      <c r="B8" s="518" t="s">
        <v>2266</v>
      </c>
      <c r="C8" s="519"/>
      <c r="D8" s="519"/>
      <c r="E8" s="519"/>
      <c r="F8" s="519"/>
      <c r="G8" s="519"/>
      <c r="H8" s="519"/>
      <c r="I8" s="519"/>
      <c r="J8" s="519"/>
      <c r="K8" s="519"/>
      <c r="L8" s="519"/>
      <c r="M8" s="519"/>
      <c r="N8" s="519"/>
      <c r="O8" s="519"/>
      <c r="P8" s="519"/>
      <c r="Q8" s="74"/>
    </row>
    <row r="9" spans="2:18" ht="16.5" customHeight="1" x14ac:dyDescent="0.25">
      <c r="B9" s="56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  <c r="N9" s="195"/>
      <c r="O9" s="195"/>
      <c r="P9" s="195"/>
      <c r="Q9" s="74"/>
    </row>
    <row r="10" spans="2:18" ht="16.5" customHeight="1" x14ac:dyDescent="0.25">
      <c r="B10" s="3" t="s">
        <v>2267</v>
      </c>
      <c r="C10" s="169"/>
      <c r="D10" s="169"/>
      <c r="E10" s="169"/>
      <c r="F10" s="169"/>
      <c r="G10" s="169"/>
      <c r="H10" s="169"/>
      <c r="I10" s="169"/>
      <c r="J10" s="169"/>
      <c r="K10" s="169"/>
      <c r="L10" s="169"/>
      <c r="M10" s="169"/>
      <c r="N10" s="169"/>
      <c r="O10" s="169"/>
      <c r="P10" s="169"/>
      <c r="Q10" s="74"/>
    </row>
    <row r="11" spans="2:18" ht="16.5" customHeight="1" x14ac:dyDescent="0.25">
      <c r="B11" s="169"/>
      <c r="C11" s="169"/>
      <c r="D11" s="169"/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74"/>
    </row>
    <row r="12" spans="2:18" ht="16.5" customHeight="1" x14ac:dyDescent="0.25">
      <c r="B12" s="528" t="s">
        <v>2338</v>
      </c>
      <c r="C12" s="174"/>
      <c r="D12" s="174"/>
      <c r="E12" s="174"/>
      <c r="G12" s="169"/>
      <c r="H12" s="1120"/>
      <c r="I12" s="1121"/>
      <c r="J12" s="212"/>
      <c r="K12" s="212"/>
      <c r="L12" s="212"/>
      <c r="M12" s="212"/>
      <c r="N12" s="212"/>
      <c r="O12" s="212"/>
      <c r="P12" s="212"/>
      <c r="Q12" s="74"/>
    </row>
    <row r="13" spans="2:18" ht="16.5" customHeight="1" x14ac:dyDescent="0.25">
      <c r="B13" s="173"/>
      <c r="C13" s="174"/>
      <c r="D13" s="174"/>
      <c r="E13" s="174"/>
      <c r="F13" s="174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74"/>
    </row>
    <row r="14" spans="2:18" ht="16.5" customHeight="1" x14ac:dyDescent="0.25">
      <c r="B14" s="528" t="s">
        <v>2264</v>
      </c>
      <c r="C14" s="174"/>
      <c r="D14" s="174"/>
      <c r="E14" s="174"/>
      <c r="G14" s="169"/>
      <c r="H14" s="1126"/>
      <c r="I14" s="1127"/>
      <c r="J14" s="1127"/>
      <c r="K14" s="1127"/>
      <c r="L14" s="1127"/>
      <c r="M14" s="1127"/>
      <c r="N14" s="1127"/>
      <c r="O14" s="1127"/>
      <c r="P14" s="1128"/>
      <c r="Q14" s="74"/>
    </row>
    <row r="15" spans="2:18" ht="16.5" customHeight="1" x14ac:dyDescent="0.25">
      <c r="B15" s="169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74"/>
    </row>
    <row r="16" spans="2:18" ht="24.75" customHeight="1" x14ac:dyDescent="0.25">
      <c r="B16" s="3" t="s">
        <v>2412</v>
      </c>
      <c r="C16" s="2"/>
      <c r="D16" s="47"/>
      <c r="E16" s="18"/>
      <c r="F16" s="1122" t="s">
        <v>2363</v>
      </c>
      <c r="G16" s="1122"/>
      <c r="H16" s="1122"/>
      <c r="I16" s="1123" t="s">
        <v>2364</v>
      </c>
      <c r="J16" s="1124"/>
      <c r="K16" s="1125"/>
      <c r="L16" s="1123" t="s">
        <v>2365</v>
      </c>
      <c r="M16" s="1124"/>
      <c r="N16" s="1124"/>
      <c r="O16" s="1124"/>
      <c r="P16" s="1125"/>
      <c r="Q16" s="18"/>
      <c r="R16" s="5"/>
    </row>
    <row r="17" spans="2:18" s="216" customFormat="1" ht="23.25" customHeight="1" x14ac:dyDescent="0.2">
      <c r="B17" s="4"/>
      <c r="C17" s="4"/>
      <c r="D17" s="19"/>
      <c r="E17" s="19"/>
      <c r="F17" s="1122"/>
      <c r="G17" s="1122"/>
      <c r="H17" s="1122"/>
      <c r="I17" s="1124"/>
      <c r="J17" s="1124"/>
      <c r="K17" s="1125"/>
      <c r="L17" s="1122"/>
      <c r="M17" s="1122"/>
      <c r="N17" s="1122"/>
      <c r="O17" s="1122"/>
      <c r="P17" s="1122"/>
      <c r="Q17" s="18"/>
      <c r="R17" s="5"/>
    </row>
    <row r="18" spans="2:18" ht="15" customHeight="1" x14ac:dyDescent="0.2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14"/>
      <c r="R18" s="17"/>
    </row>
    <row r="19" spans="2:18" ht="15" customHeight="1" x14ac:dyDescent="0.25">
      <c r="B19" s="152" t="s">
        <v>2262</v>
      </c>
      <c r="C19" s="2"/>
      <c r="D19" s="5"/>
      <c r="E19" s="5"/>
      <c r="F19" s="1132"/>
      <c r="G19" s="1133"/>
      <c r="H19" s="1133"/>
      <c r="I19" s="1133"/>
      <c r="J19" s="1133"/>
      <c r="K19" s="1133"/>
      <c r="L19" s="1133"/>
      <c r="M19" s="1133"/>
      <c r="N19" s="1133"/>
      <c r="O19" s="1133"/>
      <c r="P19" s="1134"/>
      <c r="Q19" s="64"/>
    </row>
    <row r="20" spans="2:18" ht="15" customHeight="1" x14ac:dyDescent="0.25">
      <c r="B20" s="152" t="s">
        <v>2263</v>
      </c>
      <c r="C20" s="2"/>
      <c r="D20" s="2"/>
      <c r="E20" s="17"/>
      <c r="F20" s="835"/>
      <c r="G20" s="836"/>
      <c r="H20" s="836"/>
      <c r="I20" s="836"/>
      <c r="J20" s="836"/>
      <c r="K20" s="836"/>
      <c r="L20" s="836"/>
      <c r="M20" s="836"/>
      <c r="N20" s="836"/>
      <c r="O20" s="836"/>
      <c r="P20" s="837"/>
      <c r="Q20" s="12"/>
      <c r="R20" s="5"/>
    </row>
    <row r="21" spans="2:18" ht="15" customHeight="1" x14ac:dyDescent="0.25">
      <c r="B21" s="119"/>
      <c r="C21" s="119"/>
      <c r="D21" s="119"/>
      <c r="E21" s="17"/>
      <c r="F21" s="17"/>
      <c r="G21" s="17"/>
      <c r="H21" s="17"/>
      <c r="I21" s="17"/>
      <c r="J21" s="17"/>
      <c r="K21" s="114"/>
      <c r="L21" s="114"/>
      <c r="M21" s="114"/>
      <c r="N21" s="17"/>
      <c r="O21" s="17"/>
      <c r="P21" s="17"/>
      <c r="Q21" s="114"/>
      <c r="R21" s="5"/>
    </row>
    <row r="22" spans="2:18" ht="15" customHeight="1" x14ac:dyDescent="0.25">
      <c r="B22" s="3" t="s">
        <v>2413</v>
      </c>
      <c r="C22" s="3"/>
      <c r="D22" s="3"/>
      <c r="E22" s="3"/>
      <c r="F22" s="3"/>
      <c r="G22" s="3"/>
      <c r="H22" s="3"/>
      <c r="I22" s="3"/>
      <c r="J22" s="3"/>
      <c r="R22" s="5"/>
    </row>
    <row r="23" spans="2:18" ht="15" customHeight="1" x14ac:dyDescent="0.2">
      <c r="B23" s="17"/>
      <c r="C23" s="17"/>
      <c r="D23" s="17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R23" s="12"/>
    </row>
    <row r="24" spans="2:18" ht="20.100000000000001" customHeight="1" x14ac:dyDescent="0.2">
      <c r="C24" s="1103" t="s">
        <v>2242</v>
      </c>
      <c r="D24" s="1103"/>
      <c r="E24" s="1103"/>
      <c r="F24" s="838"/>
      <c r="G24" s="998"/>
      <c r="H24" s="998"/>
      <c r="I24" s="998"/>
      <c r="J24" s="998"/>
      <c r="K24" s="998"/>
      <c r="L24" s="998"/>
      <c r="M24" s="998"/>
      <c r="N24" s="998"/>
      <c r="O24" s="998"/>
      <c r="P24" s="839"/>
      <c r="Q24" s="19"/>
      <c r="R24" s="5"/>
    </row>
    <row r="25" spans="2:18" ht="20.100000000000001" customHeight="1" x14ac:dyDescent="0.2">
      <c r="C25" s="1103" t="s">
        <v>18</v>
      </c>
      <c r="D25" s="1103"/>
      <c r="E25" s="1103"/>
      <c r="F25" s="838"/>
      <c r="G25" s="998"/>
      <c r="H25" s="998"/>
      <c r="I25" s="998"/>
      <c r="J25" s="998"/>
      <c r="K25" s="998"/>
      <c r="L25" s="998"/>
      <c r="M25" s="998"/>
      <c r="N25" s="998"/>
      <c r="O25" s="998"/>
      <c r="P25" s="839"/>
      <c r="Q25" s="64"/>
      <c r="R25" s="5"/>
    </row>
    <row r="26" spans="2:18" ht="20.100000000000001" customHeight="1" x14ac:dyDescent="0.2">
      <c r="C26" s="1103" t="s">
        <v>2265</v>
      </c>
      <c r="D26" s="1103"/>
      <c r="E26" s="1103"/>
      <c r="F26" s="838"/>
      <c r="G26" s="998"/>
      <c r="H26" s="998"/>
      <c r="I26" s="998"/>
      <c r="J26" s="998"/>
      <c r="K26" s="998"/>
      <c r="L26" s="998"/>
      <c r="M26" s="998"/>
      <c r="N26" s="998"/>
      <c r="O26" s="998"/>
      <c r="P26" s="839"/>
      <c r="Q26" s="64"/>
      <c r="R26" s="5"/>
    </row>
    <row r="27" spans="2:18" ht="20.100000000000001" customHeight="1" x14ac:dyDescent="0.2">
      <c r="C27" s="1103" t="s">
        <v>2120</v>
      </c>
      <c r="D27" s="1103"/>
      <c r="E27" s="1103"/>
      <c r="F27" s="838"/>
      <c r="G27" s="998"/>
      <c r="H27" s="998"/>
      <c r="I27" s="998"/>
      <c r="J27" s="998"/>
      <c r="K27" s="998"/>
      <c r="L27" s="998"/>
      <c r="M27" s="998"/>
      <c r="N27" s="998"/>
      <c r="O27" s="998"/>
      <c r="P27" s="839"/>
      <c r="Q27" s="64"/>
      <c r="R27" s="5"/>
    </row>
    <row r="28" spans="2:18" ht="20.100000000000001" customHeight="1" x14ac:dyDescent="0.2">
      <c r="C28" s="1103" t="s">
        <v>2241</v>
      </c>
      <c r="D28" s="1103"/>
      <c r="E28" s="1103"/>
      <c r="F28" s="838"/>
      <c r="G28" s="998"/>
      <c r="H28" s="998"/>
      <c r="I28" s="998"/>
      <c r="J28" s="998"/>
      <c r="K28" s="998"/>
      <c r="L28" s="998"/>
      <c r="M28" s="998"/>
      <c r="N28" s="998"/>
      <c r="O28" s="998"/>
      <c r="P28" s="839"/>
      <c r="Q28" s="5"/>
      <c r="R28" s="5"/>
    </row>
    <row r="29" spans="2:18" ht="15" customHeight="1" x14ac:dyDescent="0.2">
      <c r="C29" s="5"/>
      <c r="D29" s="5"/>
      <c r="E29" s="5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5"/>
      <c r="R29" s="5"/>
    </row>
    <row r="30" spans="2:18" ht="15" customHeight="1" x14ac:dyDescent="0.25">
      <c r="B30" s="3" t="s">
        <v>2452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2:18" ht="15" customHeight="1" x14ac:dyDescent="0.25">
      <c r="B31" s="3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2:18" ht="20.100000000000001" customHeight="1" x14ac:dyDescent="0.2">
      <c r="B32" s="179" t="s">
        <v>2416</v>
      </c>
      <c r="C32" s="152"/>
      <c r="D32" s="152"/>
      <c r="F32" s="958"/>
      <c r="G32" s="958"/>
      <c r="H32" s="958"/>
      <c r="I32" s="958"/>
      <c r="J32" s="958"/>
      <c r="K32" s="958"/>
      <c r="L32" s="958"/>
      <c r="M32" s="958"/>
      <c r="N32" s="958"/>
      <c r="O32" s="958"/>
      <c r="P32" s="958"/>
      <c r="Q32" s="5"/>
      <c r="R32" s="5"/>
    </row>
    <row r="33" spans="2:18" ht="20.100000000000001" customHeight="1" x14ac:dyDescent="0.2">
      <c r="B33" s="152"/>
      <c r="C33" s="152"/>
      <c r="D33" s="175"/>
      <c r="E33" s="175"/>
      <c r="F33" s="152"/>
      <c r="G33" s="152"/>
      <c r="H33" s="152"/>
      <c r="I33" s="152"/>
      <c r="J33" s="152"/>
      <c r="K33" s="5"/>
      <c r="L33" s="5"/>
      <c r="M33" s="5"/>
      <c r="N33" s="5"/>
      <c r="O33" s="5"/>
      <c r="P33" s="5"/>
      <c r="Q33" s="5"/>
      <c r="R33" s="5"/>
    </row>
    <row r="34" spans="2:18" ht="20.100000000000001" customHeight="1" x14ac:dyDescent="0.2">
      <c r="B34" s="176" t="s">
        <v>2417</v>
      </c>
      <c r="C34" s="176"/>
      <c r="D34" s="177"/>
      <c r="F34" s="958"/>
      <c r="G34" s="958"/>
      <c r="H34" s="958"/>
      <c r="I34" s="958"/>
      <c r="J34" s="958"/>
      <c r="K34" s="958"/>
      <c r="L34" s="958"/>
      <c r="M34" s="958"/>
      <c r="N34" s="958"/>
      <c r="O34" s="958"/>
      <c r="P34" s="958"/>
      <c r="Q34" s="5"/>
      <c r="R34" s="5"/>
    </row>
    <row r="35" spans="2:18" ht="20.100000000000001" customHeight="1" x14ac:dyDescent="0.2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2:18" s="179" customFormat="1" ht="20.100000000000001" customHeight="1" x14ac:dyDescent="0.2">
      <c r="B36" s="1006" t="s">
        <v>2429</v>
      </c>
      <c r="C36" s="1006"/>
      <c r="D36" s="1006"/>
      <c r="E36" s="1006"/>
      <c r="F36" s="1006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1"/>
    </row>
    <row r="37" spans="2:18" s="179" customFormat="1" ht="18.75" customHeight="1" x14ac:dyDescent="0.2">
      <c r="B37" s="182"/>
      <c r="C37" s="182"/>
      <c r="D37" s="182"/>
      <c r="E37" s="183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1"/>
    </row>
    <row r="38" spans="2:18" s="179" customFormat="1" ht="18.75" customHeight="1" x14ac:dyDescent="0.2">
      <c r="B38" s="1135" t="s">
        <v>253</v>
      </c>
      <c r="C38" s="1135"/>
      <c r="D38" s="502"/>
      <c r="E38" s="183"/>
      <c r="F38" s="1131" t="s">
        <v>254</v>
      </c>
      <c r="G38" s="1131"/>
      <c r="H38" s="1131"/>
      <c r="I38" s="1142"/>
      <c r="J38" s="184"/>
      <c r="K38" s="180"/>
      <c r="L38" s="180"/>
      <c r="M38" s="180"/>
      <c r="N38" s="180"/>
      <c r="O38" s="180"/>
      <c r="P38" s="180"/>
      <c r="Q38" s="180"/>
      <c r="R38" s="181"/>
    </row>
    <row r="39" spans="2:18" s="179" customFormat="1" ht="18.75" customHeight="1" x14ac:dyDescent="0.2">
      <c r="B39" s="182"/>
      <c r="C39" s="182"/>
      <c r="D39" s="182"/>
      <c r="E39" s="183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1"/>
    </row>
    <row r="40" spans="2:18" s="179" customFormat="1" ht="18.75" customHeight="1" x14ac:dyDescent="0.2">
      <c r="B40" s="1006" t="s">
        <v>2494</v>
      </c>
      <c r="C40" s="1006"/>
      <c r="D40" s="1006"/>
      <c r="E40" s="1006"/>
      <c r="F40" s="1006"/>
      <c r="G40" s="1006"/>
      <c r="H40" s="1006"/>
      <c r="I40" s="1006"/>
      <c r="J40" s="1006"/>
      <c r="K40" s="180"/>
      <c r="L40" s="180"/>
      <c r="M40" s="180"/>
      <c r="N40" s="180"/>
      <c r="O40" s="180"/>
      <c r="P40" s="180"/>
      <c r="Q40" s="180"/>
      <c r="R40" s="181"/>
    </row>
    <row r="41" spans="2:18" s="179" customFormat="1" ht="18.75" customHeight="1" x14ac:dyDescent="0.2">
      <c r="B41" s="182"/>
      <c r="C41" s="182"/>
      <c r="D41" s="182"/>
      <c r="E41" s="183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1"/>
    </row>
    <row r="42" spans="2:18" s="179" customFormat="1" ht="18.75" customHeight="1" x14ac:dyDescent="0.2">
      <c r="B42" s="1002" t="s">
        <v>2352</v>
      </c>
      <c r="C42" s="1002"/>
      <c r="D42" s="1002"/>
      <c r="E42" s="1002"/>
      <c r="F42" s="1002"/>
      <c r="G42" s="1002"/>
      <c r="H42" s="1002"/>
      <c r="I42" s="1007"/>
      <c r="J42" s="184"/>
      <c r="K42" s="1130" t="s">
        <v>258</v>
      </c>
      <c r="L42" s="1131"/>
      <c r="M42" s="1131"/>
      <c r="N42" s="934"/>
      <c r="O42" s="946"/>
      <c r="P42" s="935"/>
      <c r="Q42" s="180"/>
      <c r="R42" s="181"/>
    </row>
    <row r="43" spans="2:18" s="179" customFormat="1" ht="18.75" customHeight="1" x14ac:dyDescent="0.2">
      <c r="B43" s="1002" t="s">
        <v>2353</v>
      </c>
      <c r="C43" s="1002"/>
      <c r="D43" s="1002"/>
      <c r="E43" s="1002"/>
      <c r="F43" s="1002"/>
      <c r="G43" s="1002"/>
      <c r="H43" s="1002"/>
      <c r="I43" s="1007"/>
      <c r="J43" s="184"/>
      <c r="K43" s="1130" t="s">
        <v>258</v>
      </c>
      <c r="L43" s="1131"/>
      <c r="M43" s="1131"/>
      <c r="N43" s="934"/>
      <c r="O43" s="946"/>
      <c r="P43" s="935"/>
      <c r="Q43" s="180"/>
      <c r="R43" s="181"/>
    </row>
    <row r="44" spans="2:18" ht="1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2:18" ht="15" customHeight="1" x14ac:dyDescent="0.25">
      <c r="B45" s="3" t="s">
        <v>2453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2:18" ht="15" customHeight="1" x14ac:dyDescent="0.2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2:18" ht="20.100000000000001" customHeight="1" x14ac:dyDescent="0.2">
      <c r="B47" s="152" t="s">
        <v>2418</v>
      </c>
      <c r="C47" s="152"/>
      <c r="D47" s="152"/>
      <c r="F47" s="958"/>
      <c r="G47" s="958"/>
      <c r="H47" s="958"/>
      <c r="I47" s="958"/>
      <c r="J47" s="958"/>
      <c r="K47" s="958"/>
      <c r="L47" s="958"/>
      <c r="M47" s="958"/>
      <c r="N47" s="958"/>
      <c r="O47" s="958"/>
      <c r="P47" s="958"/>
      <c r="Q47" s="5"/>
      <c r="R47" s="5"/>
    </row>
    <row r="48" spans="2:18" ht="20.100000000000001" customHeight="1" x14ac:dyDescent="0.2">
      <c r="B48" s="152"/>
      <c r="C48" s="152"/>
      <c r="D48" s="152"/>
      <c r="E48" s="152"/>
      <c r="F48" s="152"/>
      <c r="G48" s="152"/>
      <c r="H48" s="152"/>
      <c r="I48" s="152"/>
      <c r="J48" s="152"/>
      <c r="K48" s="5"/>
      <c r="L48" s="5"/>
      <c r="M48" s="5"/>
      <c r="N48" s="5"/>
      <c r="O48" s="5"/>
      <c r="P48" s="5"/>
      <c r="Q48" s="5"/>
      <c r="R48" s="5"/>
    </row>
    <row r="49" spans="2:18" ht="20.100000000000001" customHeight="1" x14ac:dyDescent="0.2">
      <c r="B49" s="178" t="s">
        <v>2419</v>
      </c>
      <c r="C49" s="178"/>
      <c r="D49" s="178"/>
      <c r="F49" s="958"/>
      <c r="G49" s="958"/>
      <c r="H49" s="958"/>
      <c r="I49" s="958"/>
      <c r="J49" s="958"/>
      <c r="K49" s="958"/>
      <c r="L49" s="958"/>
      <c r="M49" s="958"/>
      <c r="N49" s="958"/>
      <c r="O49" s="958"/>
      <c r="P49" s="958"/>
      <c r="Q49" s="5"/>
      <c r="R49" s="5"/>
    </row>
    <row r="50" spans="2:18" ht="15" customHeight="1" x14ac:dyDescent="0.2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2:18" ht="15" customHeight="1" x14ac:dyDescent="0.2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2:18" ht="27.75" customHeight="1" x14ac:dyDescent="0.2">
      <c r="B52" s="1002" t="s">
        <v>2445</v>
      </c>
      <c r="C52" s="1002"/>
      <c r="D52" s="1002"/>
      <c r="E52" s="1003"/>
      <c r="F52" s="919"/>
      <c r="G52" s="919"/>
      <c r="H52" s="919"/>
      <c r="I52" s="919"/>
      <c r="J52" s="919"/>
      <c r="K52" s="919"/>
      <c r="L52" s="919"/>
      <c r="M52" s="919"/>
      <c r="N52" s="919"/>
      <c r="O52" s="919"/>
      <c r="P52" s="919"/>
      <c r="Q52" s="43"/>
      <c r="R52" s="5"/>
    </row>
    <row r="53" spans="2:18" s="505" customFormat="1" ht="27.75" customHeight="1" x14ac:dyDescent="0.2">
      <c r="B53" s="506"/>
      <c r="C53" s="506"/>
      <c r="D53" s="506"/>
      <c r="E53" s="507"/>
      <c r="F53" s="919"/>
      <c r="G53" s="919"/>
      <c r="H53" s="919"/>
      <c r="I53" s="919"/>
      <c r="J53" s="919"/>
      <c r="K53" s="919"/>
      <c r="L53" s="919"/>
      <c r="M53" s="919"/>
      <c r="N53" s="919"/>
      <c r="O53" s="919"/>
      <c r="P53" s="919"/>
      <c r="Q53" s="43"/>
      <c r="R53" s="5"/>
    </row>
    <row r="54" spans="2:18" ht="27.75" customHeight="1" x14ac:dyDescent="0.2">
      <c r="B54" s="168"/>
      <c r="C54" s="168"/>
      <c r="D54" s="168"/>
      <c r="E54" s="92"/>
      <c r="F54" s="919"/>
      <c r="G54" s="919"/>
      <c r="H54" s="919"/>
      <c r="I54" s="919"/>
      <c r="J54" s="919"/>
      <c r="K54" s="919"/>
      <c r="L54" s="919"/>
      <c r="M54" s="919"/>
      <c r="N54" s="919"/>
      <c r="O54" s="919"/>
      <c r="P54" s="919"/>
      <c r="Q54" s="43"/>
      <c r="R54" s="5"/>
    </row>
    <row r="55" spans="2:18" ht="18.75" customHeight="1" x14ac:dyDescent="0.2">
      <c r="B55" s="49"/>
      <c r="C55" s="49"/>
      <c r="D55" s="49"/>
      <c r="E55" s="19"/>
      <c r="F55" s="166"/>
      <c r="G55" s="166"/>
      <c r="H55" s="166"/>
      <c r="I55" s="166"/>
      <c r="J55" s="166"/>
      <c r="K55" s="166"/>
      <c r="L55" s="166"/>
      <c r="M55" s="166"/>
      <c r="N55" s="166"/>
      <c r="O55" s="166"/>
      <c r="P55" s="166"/>
      <c r="Q55" s="166"/>
      <c r="R55" s="5"/>
    </row>
    <row r="56" spans="2:18" ht="15" customHeight="1" x14ac:dyDescent="0.25">
      <c r="B56" s="1008" t="s">
        <v>2414</v>
      </c>
      <c r="C56" s="1008"/>
      <c r="D56" s="1008"/>
      <c r="E56" s="1008"/>
      <c r="F56" s="1008"/>
      <c r="G56" s="1008"/>
      <c r="H56" s="1008"/>
      <c r="I56" s="1008"/>
      <c r="J56" s="1008"/>
      <c r="K56" s="1008"/>
      <c r="L56" s="1008"/>
      <c r="M56" s="1008"/>
      <c r="N56" s="1008"/>
      <c r="O56" s="1008"/>
      <c r="P56" s="1008"/>
      <c r="Q56" s="1008"/>
    </row>
    <row r="57" spans="2:18" ht="11.25" customHeight="1" x14ac:dyDescent="0.2">
      <c r="R57" s="5"/>
    </row>
    <row r="58" spans="2:18" ht="15" customHeight="1" x14ac:dyDescent="0.25">
      <c r="B58" s="152" t="s">
        <v>160</v>
      </c>
      <c r="L58" s="2" t="s">
        <v>2356</v>
      </c>
    </row>
    <row r="59" spans="2:18" ht="20.100000000000001" customHeight="1" x14ac:dyDescent="0.2">
      <c r="B59" s="11" t="s">
        <v>4</v>
      </c>
      <c r="C59" s="999"/>
      <c r="D59" s="1000"/>
      <c r="E59" s="1000"/>
      <c r="F59" s="1000"/>
      <c r="G59" s="1000"/>
      <c r="H59" s="1000"/>
      <c r="I59" s="1001"/>
      <c r="L59" s="845" t="s">
        <v>163</v>
      </c>
      <c r="M59" s="846"/>
      <c r="N59" s="1136"/>
      <c r="O59" s="1136"/>
      <c r="P59" s="1136"/>
    </row>
    <row r="60" spans="2:18" ht="20.100000000000001" customHeight="1" x14ac:dyDescent="0.2">
      <c r="B60" s="11" t="s">
        <v>5</v>
      </c>
      <c r="C60" s="999"/>
      <c r="D60" s="1000"/>
      <c r="E60" s="1000"/>
      <c r="F60" s="1000"/>
      <c r="G60" s="1000"/>
      <c r="H60" s="1000"/>
      <c r="I60" s="1001"/>
      <c r="L60" s="843" t="s">
        <v>2244</v>
      </c>
      <c r="M60" s="844"/>
      <c r="N60" s="1129"/>
      <c r="O60" s="1129"/>
      <c r="P60" s="1129"/>
    </row>
    <row r="61" spans="2:18" ht="20.100000000000001" customHeight="1" x14ac:dyDescent="0.2">
      <c r="B61" s="11" t="s">
        <v>6</v>
      </c>
      <c r="C61" s="999"/>
      <c r="D61" s="1000"/>
      <c r="E61" s="1000"/>
      <c r="F61" s="1000"/>
      <c r="G61" s="1000"/>
      <c r="H61" s="1000"/>
      <c r="I61" s="1001"/>
      <c r="L61" s="843" t="s">
        <v>162</v>
      </c>
      <c r="M61" s="844"/>
      <c r="N61" s="958"/>
      <c r="O61" s="958"/>
      <c r="P61" s="958"/>
    </row>
    <row r="62" spans="2:18" ht="20.100000000000001" customHeight="1" x14ac:dyDescent="0.2">
      <c r="B62" s="11" t="s">
        <v>7</v>
      </c>
      <c r="C62" s="995"/>
      <c r="D62" s="996"/>
      <c r="E62" s="996"/>
      <c r="F62" s="996"/>
      <c r="G62" s="996"/>
      <c r="H62" s="996"/>
      <c r="I62" s="997"/>
      <c r="L62" s="843" t="s">
        <v>165</v>
      </c>
      <c r="M62" s="844"/>
      <c r="N62" s="958"/>
      <c r="O62" s="958"/>
      <c r="P62" s="958"/>
    </row>
    <row r="63" spans="2:18" ht="20.100000000000001" customHeight="1" x14ac:dyDescent="0.2">
      <c r="B63" s="215" t="s">
        <v>2341</v>
      </c>
      <c r="C63" s="995"/>
      <c r="D63" s="996"/>
      <c r="E63" s="996"/>
      <c r="F63" s="996"/>
      <c r="G63" s="996"/>
      <c r="H63" s="996"/>
      <c r="I63" s="997"/>
      <c r="L63" s="845" t="s">
        <v>164</v>
      </c>
      <c r="M63" s="846"/>
      <c r="N63" s="851"/>
      <c r="O63" s="851"/>
      <c r="P63" s="851"/>
    </row>
    <row r="64" spans="2:18" ht="29.25" customHeight="1" x14ac:dyDescent="0.2">
      <c r="B64" s="194" t="s">
        <v>65</v>
      </c>
      <c r="C64" s="958"/>
      <c r="D64" s="958"/>
      <c r="E64" s="958"/>
      <c r="F64" s="958"/>
      <c r="G64" s="958"/>
      <c r="H64" s="958"/>
      <c r="I64" s="958"/>
      <c r="L64" s="843" t="s">
        <v>162</v>
      </c>
      <c r="M64" s="844"/>
      <c r="N64" s="958"/>
      <c r="O64" s="958"/>
      <c r="P64" s="958"/>
    </row>
    <row r="65" spans="2:18" ht="20.100000000000001" customHeight="1" x14ac:dyDescent="0.2">
      <c r="C65" s="25"/>
      <c r="D65" s="25"/>
      <c r="E65" s="25"/>
      <c r="F65" s="25"/>
      <c r="G65" s="25"/>
      <c r="H65" s="25"/>
      <c r="I65" s="25"/>
      <c r="L65" s="543" t="s">
        <v>165</v>
      </c>
      <c r="M65" s="574"/>
      <c r="N65" s="958"/>
      <c r="O65" s="958"/>
      <c r="P65" s="958"/>
    </row>
    <row r="66" spans="2:18" ht="15" customHeight="1" x14ac:dyDescent="0.2">
      <c r="C66" s="25"/>
      <c r="D66" s="25"/>
      <c r="E66" s="25"/>
      <c r="F66" s="25"/>
      <c r="G66" s="25"/>
      <c r="H66" s="25"/>
      <c r="I66" s="25"/>
      <c r="L66" s="196"/>
      <c r="M66" s="196"/>
      <c r="N66" s="190"/>
      <c r="O66" s="190"/>
      <c r="P66" s="190"/>
    </row>
    <row r="67" spans="2:18" ht="22.5" customHeight="1" x14ac:dyDescent="0.25">
      <c r="B67" s="518" t="s">
        <v>2268</v>
      </c>
      <c r="C67" s="514"/>
      <c r="D67" s="514"/>
      <c r="E67" s="514"/>
      <c r="F67" s="514"/>
      <c r="G67" s="514"/>
      <c r="H67" s="514"/>
      <c r="I67" s="514"/>
      <c r="J67" s="515"/>
      <c r="K67" s="515"/>
      <c r="L67" s="516"/>
      <c r="M67" s="516"/>
      <c r="N67" s="517"/>
      <c r="O67" s="517"/>
      <c r="P67" s="517"/>
    </row>
    <row r="68" spans="2:18" ht="15" customHeight="1" x14ac:dyDescent="0.2">
      <c r="B68" s="10"/>
      <c r="C68" s="12"/>
      <c r="D68" s="12"/>
      <c r="E68" s="12"/>
      <c r="F68" s="12"/>
      <c r="G68" s="12"/>
      <c r="H68" s="12"/>
      <c r="I68" s="12"/>
    </row>
    <row r="69" spans="2:18" ht="15" customHeight="1" x14ac:dyDescent="0.25">
      <c r="B69" s="50" t="s">
        <v>2269</v>
      </c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</row>
    <row r="70" spans="2:18" ht="15" customHeight="1" x14ac:dyDescent="0.25">
      <c r="B70" s="6"/>
      <c r="R70" s="5"/>
    </row>
    <row r="71" spans="2:18" ht="15" customHeight="1" x14ac:dyDescent="0.2">
      <c r="B71" s="176" t="s">
        <v>2454</v>
      </c>
      <c r="C71" s="48"/>
      <c r="D71" s="48"/>
      <c r="E71" s="48"/>
      <c r="F71" s="48"/>
      <c r="G71" s="48"/>
      <c r="I71" s="48"/>
      <c r="J71" s="124"/>
      <c r="L71" s="48"/>
      <c r="N71" s="123"/>
      <c r="P71" s="48"/>
      <c r="Q71" s="48"/>
      <c r="R71" s="5"/>
    </row>
    <row r="72" spans="2:18" ht="13.5" customHeight="1" x14ac:dyDescent="0.25">
      <c r="B72" s="51"/>
      <c r="C72" s="48"/>
      <c r="D72" s="48"/>
      <c r="E72" s="48"/>
      <c r="F72" s="48"/>
      <c r="G72" s="48"/>
      <c r="H72" s="48"/>
      <c r="I72" s="50"/>
      <c r="J72" s="48"/>
      <c r="K72" s="48"/>
      <c r="M72" s="48"/>
      <c r="N72" s="48"/>
      <c r="O72" s="48"/>
      <c r="P72" s="48"/>
      <c r="Q72" s="48"/>
      <c r="R72" s="5"/>
    </row>
    <row r="73" spans="2:18" ht="20.100000000000001" customHeight="1" x14ac:dyDescent="0.2">
      <c r="B73" s="992" t="s">
        <v>2513</v>
      </c>
      <c r="C73" s="993"/>
      <c r="D73" s="993"/>
      <c r="E73" s="993"/>
      <c r="F73" s="993"/>
      <c r="G73" s="993"/>
      <c r="H73" s="993"/>
      <c r="I73" s="993"/>
      <c r="J73" s="993"/>
      <c r="K73" s="993"/>
      <c r="L73" s="993"/>
      <c r="M73" s="993"/>
      <c r="N73" s="993"/>
      <c r="O73" s="993"/>
      <c r="P73" s="994"/>
      <c r="Q73" s="43"/>
      <c r="R73" s="5"/>
    </row>
    <row r="74" spans="2:18" ht="9" customHeight="1" x14ac:dyDescent="0.2">
      <c r="B74" s="22"/>
      <c r="C74" s="22"/>
      <c r="D74" s="22"/>
      <c r="E74" s="22"/>
      <c r="F74" s="22"/>
      <c r="G74" s="22"/>
      <c r="H74" s="22"/>
      <c r="I74" s="21"/>
      <c r="J74" s="22"/>
      <c r="K74" s="22"/>
      <c r="L74" s="22"/>
      <c r="M74" s="22"/>
      <c r="N74" s="22"/>
      <c r="O74" s="22"/>
      <c r="P74" s="22"/>
      <c r="Q74" s="22"/>
      <c r="R74" s="5"/>
    </row>
    <row r="75" spans="2:18" ht="20.100000000000001" customHeight="1" x14ac:dyDescent="0.2">
      <c r="B75" s="176" t="s">
        <v>2270</v>
      </c>
      <c r="C75" s="48"/>
      <c r="D75" s="48"/>
      <c r="E75" s="48"/>
      <c r="F75" s="48"/>
      <c r="G75" s="48"/>
      <c r="H75" s="48"/>
      <c r="I75" s="153"/>
      <c r="J75" s="48"/>
      <c r="K75" s="48"/>
      <c r="N75" s="123"/>
      <c r="O75" s="48"/>
      <c r="P75" s="48"/>
      <c r="Q75" s="48"/>
      <c r="R75" s="5"/>
    </row>
    <row r="76" spans="2:18" ht="20.100000000000001" customHeight="1" x14ac:dyDescent="0.2">
      <c r="B76" s="48"/>
      <c r="C76" s="48"/>
      <c r="D76" s="48"/>
      <c r="E76" s="48"/>
      <c r="F76" s="48"/>
      <c r="G76" s="48"/>
      <c r="H76" s="48"/>
      <c r="I76" s="126"/>
      <c r="J76" s="48"/>
      <c r="K76" s="48"/>
      <c r="L76" s="48"/>
      <c r="M76" s="48"/>
      <c r="N76" s="48"/>
      <c r="O76" s="48"/>
      <c r="R76" s="5"/>
    </row>
    <row r="77" spans="2:18" ht="20.100000000000001" customHeight="1" x14ac:dyDescent="0.2">
      <c r="B77" s="176" t="s">
        <v>2354</v>
      </c>
      <c r="C77" s="48"/>
      <c r="D77" s="48"/>
      <c r="E77" s="48"/>
      <c r="F77" s="48"/>
      <c r="G77" s="48"/>
      <c r="H77" s="48"/>
      <c r="I77" s="1032"/>
      <c r="J77" s="1033"/>
      <c r="K77" s="48"/>
      <c r="L77" s="48"/>
      <c r="N77" s="123"/>
      <c r="R77" s="5"/>
    </row>
    <row r="78" spans="2:18" ht="20.100000000000001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R78" s="5"/>
    </row>
    <row r="79" spans="2:18" ht="20.100000000000001" customHeight="1" x14ac:dyDescent="0.2">
      <c r="B79" s="48"/>
      <c r="C79" s="48"/>
      <c r="D79" s="48"/>
      <c r="E79" s="48"/>
      <c r="F79" s="48"/>
      <c r="G79" s="48"/>
      <c r="H79" s="48"/>
      <c r="I79" s="1" t="s">
        <v>156</v>
      </c>
      <c r="K79" s="999"/>
      <c r="L79" s="1001"/>
      <c r="P79" s="12"/>
      <c r="Q79" s="12"/>
      <c r="R79" s="5"/>
    </row>
    <row r="80" spans="2:18" ht="20.100000000000001" customHeight="1" x14ac:dyDescent="0.2">
      <c r="B80" s="48"/>
      <c r="C80" s="48"/>
      <c r="D80" s="48"/>
      <c r="E80" s="48"/>
      <c r="F80" s="48"/>
      <c r="G80" s="48"/>
      <c r="H80" s="48"/>
      <c r="J80" s="5"/>
      <c r="K80" s="12"/>
      <c r="L80" s="31"/>
      <c r="M80" s="31"/>
      <c r="P80" s="12"/>
      <c r="Q80" s="12"/>
      <c r="R80" s="5"/>
    </row>
    <row r="81" spans="2:18" ht="20.100000000000001" customHeight="1" x14ac:dyDescent="0.2">
      <c r="B81" s="176" t="s">
        <v>2271</v>
      </c>
      <c r="C81" s="48"/>
      <c r="D81" s="48"/>
      <c r="R81" s="5"/>
    </row>
    <row r="82" spans="2:18" ht="20.100000000000001" customHeight="1" x14ac:dyDescent="0.25">
      <c r="B82" s="6"/>
      <c r="M82" s="4"/>
      <c r="N82" s="4"/>
      <c r="O82" s="4"/>
      <c r="P82" s="4"/>
      <c r="R82" s="5"/>
    </row>
    <row r="83" spans="2:18" ht="20.100000000000001" customHeight="1" x14ac:dyDescent="0.2">
      <c r="B83" s="199" t="s">
        <v>2355</v>
      </c>
      <c r="C83" s="48"/>
      <c r="D83" s="48"/>
      <c r="E83" s="48"/>
      <c r="G83" s="1004"/>
      <c r="H83" s="1004"/>
      <c r="I83" s="48" t="s">
        <v>77</v>
      </c>
      <c r="K83" s="48"/>
      <c r="M83" s="995"/>
      <c r="N83" s="996"/>
      <c r="O83" s="996"/>
      <c r="P83" s="997"/>
      <c r="Q83" s="64"/>
      <c r="R83" s="5"/>
    </row>
    <row r="84" spans="2:18" ht="20.100000000000001" customHeight="1" x14ac:dyDescent="0.25">
      <c r="B84" s="6"/>
      <c r="R84" s="5"/>
    </row>
    <row r="85" spans="2:18" ht="20.100000000000001" customHeight="1" x14ac:dyDescent="0.2">
      <c r="B85" s="176" t="s">
        <v>2272</v>
      </c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5"/>
    </row>
    <row r="86" spans="2:18" ht="4.5" customHeight="1" x14ac:dyDescent="0.2">
      <c r="B86" s="51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5"/>
    </row>
    <row r="87" spans="2:18" ht="110.25" customHeight="1" x14ac:dyDescent="0.2">
      <c r="B87" s="992"/>
      <c r="C87" s="993"/>
      <c r="D87" s="993"/>
      <c r="E87" s="993"/>
      <c r="F87" s="993"/>
      <c r="G87" s="993"/>
      <c r="H87" s="993"/>
      <c r="I87" s="993"/>
      <c r="J87" s="993"/>
      <c r="K87" s="993"/>
      <c r="L87" s="993"/>
      <c r="M87" s="993"/>
      <c r="N87" s="993"/>
      <c r="O87" s="993"/>
      <c r="P87" s="994"/>
      <c r="Q87" s="43"/>
      <c r="R87" s="19"/>
    </row>
    <row r="88" spans="2:18" ht="9" customHeight="1" x14ac:dyDescent="0.2"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19"/>
    </row>
    <row r="89" spans="2:18" ht="15" customHeight="1" x14ac:dyDescent="0.2">
      <c r="B89" s="529" t="s">
        <v>2273</v>
      </c>
      <c r="C89" s="43"/>
      <c r="D89" s="5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2:18" ht="142.5" customHeight="1" x14ac:dyDescent="0.2">
      <c r="B90" s="992"/>
      <c r="C90" s="993"/>
      <c r="D90" s="993"/>
      <c r="E90" s="993"/>
      <c r="F90" s="993"/>
      <c r="G90" s="993"/>
      <c r="H90" s="993"/>
      <c r="I90" s="993"/>
      <c r="J90" s="993"/>
      <c r="K90" s="993"/>
      <c r="L90" s="993"/>
      <c r="M90" s="993"/>
      <c r="N90" s="993"/>
      <c r="O90" s="993"/>
      <c r="P90" s="994"/>
      <c r="Q90" s="65"/>
      <c r="R90" s="19"/>
    </row>
    <row r="91" spans="2:18" ht="9" customHeight="1" x14ac:dyDescent="0.2"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19"/>
    </row>
    <row r="92" spans="2:18" s="9" customFormat="1" ht="15" customHeight="1" x14ac:dyDescent="0.2">
      <c r="B92" s="530" t="s">
        <v>2274</v>
      </c>
      <c r="C92" s="53"/>
      <c r="D92" s="24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2:18" ht="132" customHeight="1" x14ac:dyDescent="0.2">
      <c r="B93" s="992"/>
      <c r="C93" s="993"/>
      <c r="D93" s="993"/>
      <c r="E93" s="993"/>
      <c r="F93" s="993"/>
      <c r="G93" s="993"/>
      <c r="H93" s="993"/>
      <c r="I93" s="993"/>
      <c r="J93" s="993"/>
      <c r="K93" s="993"/>
      <c r="L93" s="993"/>
      <c r="M93" s="993"/>
      <c r="N93" s="993"/>
      <c r="O93" s="993"/>
      <c r="P93" s="994"/>
      <c r="Q93" s="65"/>
      <c r="R93" s="19"/>
    </row>
    <row r="94" spans="2:18" ht="6" customHeight="1" x14ac:dyDescent="0.2">
      <c r="B94" s="26"/>
      <c r="C94" s="27"/>
      <c r="D94" s="27"/>
      <c r="E94" s="20"/>
      <c r="F94" s="20"/>
      <c r="G94" s="20"/>
      <c r="H94" s="20"/>
      <c r="I94" s="20"/>
      <c r="J94" s="20"/>
      <c r="K94" s="20"/>
      <c r="L94" s="20"/>
      <c r="M94" s="20"/>
      <c r="N94" s="28"/>
      <c r="O94" s="28"/>
      <c r="P94" s="28"/>
      <c r="Q94" s="28"/>
      <c r="R94" s="5"/>
    </row>
    <row r="95" spans="2:18" ht="15" customHeight="1" x14ac:dyDescent="0.25">
      <c r="B95" s="1008" t="s">
        <v>2275</v>
      </c>
      <c r="C95" s="1008"/>
      <c r="D95" s="1008"/>
      <c r="E95" s="1008"/>
      <c r="F95" s="1008"/>
      <c r="G95" s="1008"/>
      <c r="H95" s="1008"/>
      <c r="I95" s="1008"/>
      <c r="J95" s="1008"/>
      <c r="K95" s="1008"/>
      <c r="L95" s="1008"/>
      <c r="M95" s="1008"/>
      <c r="N95" s="1008"/>
      <c r="O95" s="1008"/>
      <c r="P95" s="1008"/>
      <c r="Q95" s="1008"/>
      <c r="R95" s="5"/>
    </row>
    <row r="96" spans="2:18" s="9" customFormat="1" ht="15" customHeight="1" x14ac:dyDescent="0.2">
      <c r="B96" s="199" t="s">
        <v>2286</v>
      </c>
    </row>
    <row r="97" spans="2:17" s="9" customFormat="1" ht="53.25" customHeight="1" x14ac:dyDescent="0.25">
      <c r="B97" s="956"/>
      <c r="C97" s="956"/>
      <c r="D97" s="956"/>
      <c r="E97" s="956"/>
      <c r="F97" s="956"/>
      <c r="G97" s="956"/>
      <c r="H97" s="956"/>
      <c r="I97" s="956"/>
      <c r="J97" s="956"/>
      <c r="K97" s="956"/>
      <c r="L97" s="956"/>
      <c r="M97" s="956"/>
      <c r="N97" s="956"/>
      <c r="O97" s="956"/>
      <c r="P97" s="956"/>
    </row>
    <row r="98" spans="2:17" ht="20.100000000000001" customHeight="1" x14ac:dyDescent="0.2">
      <c r="B98" s="847" t="s">
        <v>2245</v>
      </c>
      <c r="C98" s="847"/>
      <c r="D98" s="847"/>
      <c r="E98" s="847"/>
      <c r="F98" s="847"/>
      <c r="G98" s="847"/>
      <c r="H98" s="847"/>
      <c r="I98" s="915" t="s">
        <v>95</v>
      </c>
      <c r="J98" s="915"/>
      <c r="K98" s="915" t="s">
        <v>11</v>
      </c>
      <c r="L98" s="915"/>
      <c r="M98" s="115" t="s">
        <v>204</v>
      </c>
      <c r="N98" s="1005" t="s">
        <v>205</v>
      </c>
      <c r="O98" s="1005"/>
      <c r="P98" s="1005"/>
      <c r="Q98" s="64"/>
    </row>
    <row r="99" spans="2:17" ht="20.100000000000001" customHeight="1" x14ac:dyDescent="0.2">
      <c r="B99" s="850"/>
      <c r="C99" s="850"/>
      <c r="D99" s="850"/>
      <c r="E99" s="850"/>
      <c r="F99" s="850"/>
      <c r="G99" s="850"/>
      <c r="H99" s="850"/>
      <c r="I99" s="851"/>
      <c r="J99" s="851"/>
      <c r="K99" s="838"/>
      <c r="L99" s="839"/>
      <c r="M99" s="591"/>
      <c r="N99" s="838"/>
      <c r="O99" s="998"/>
      <c r="P99" s="998"/>
      <c r="Q99" s="64"/>
    </row>
    <row r="100" spans="2:17" ht="20.100000000000001" customHeight="1" x14ac:dyDescent="0.2">
      <c r="B100" s="850"/>
      <c r="C100" s="850"/>
      <c r="D100" s="850"/>
      <c r="E100" s="850"/>
      <c r="F100" s="850"/>
      <c r="G100" s="850"/>
      <c r="H100" s="850"/>
      <c r="I100" s="851"/>
      <c r="J100" s="851"/>
      <c r="K100" s="838"/>
      <c r="L100" s="839"/>
      <c r="M100" s="592"/>
      <c r="N100" s="838"/>
      <c r="O100" s="998"/>
      <c r="P100" s="998"/>
      <c r="Q100" s="64"/>
    </row>
    <row r="101" spans="2:17" ht="20.100000000000001" customHeight="1" x14ac:dyDescent="0.2">
      <c r="B101" s="850"/>
      <c r="C101" s="850"/>
      <c r="D101" s="850"/>
      <c r="E101" s="850"/>
      <c r="F101" s="850"/>
      <c r="G101" s="850"/>
      <c r="H101" s="850"/>
      <c r="I101" s="851"/>
      <c r="J101" s="851"/>
      <c r="K101" s="838"/>
      <c r="L101" s="839"/>
      <c r="M101" s="592"/>
      <c r="N101" s="838"/>
      <c r="O101" s="998"/>
      <c r="P101" s="998"/>
      <c r="Q101" s="64"/>
    </row>
    <row r="102" spans="2:17" ht="20.100000000000001" customHeight="1" x14ac:dyDescent="0.2">
      <c r="B102" s="847" t="s">
        <v>2246</v>
      </c>
      <c r="C102" s="847"/>
      <c r="D102" s="847"/>
      <c r="E102" s="847"/>
      <c r="F102" s="847"/>
      <c r="G102" s="847"/>
      <c r="H102" s="847"/>
      <c r="I102" s="915" t="s">
        <v>95</v>
      </c>
      <c r="J102" s="915"/>
      <c r="K102" s="915" t="s">
        <v>11</v>
      </c>
      <c r="L102" s="915"/>
      <c r="M102" s="115" t="s">
        <v>204</v>
      </c>
      <c r="N102" s="1005" t="s">
        <v>205</v>
      </c>
      <c r="O102" s="1005"/>
      <c r="P102" s="1005"/>
      <c r="Q102" s="64"/>
    </row>
    <row r="103" spans="2:17" ht="20.100000000000001" customHeight="1" x14ac:dyDescent="0.2">
      <c r="B103" s="850"/>
      <c r="C103" s="850"/>
      <c r="D103" s="850"/>
      <c r="E103" s="850"/>
      <c r="F103" s="850"/>
      <c r="G103" s="850"/>
      <c r="H103" s="850"/>
      <c r="I103" s="838"/>
      <c r="J103" s="839"/>
      <c r="K103" s="838"/>
      <c r="L103" s="839"/>
      <c r="M103" s="591"/>
      <c r="N103" s="838"/>
      <c r="O103" s="998"/>
      <c r="P103" s="839"/>
      <c r="Q103" s="19"/>
    </row>
    <row r="104" spans="2:17" ht="20.100000000000001" customHeight="1" x14ac:dyDescent="0.2">
      <c r="B104" s="850"/>
      <c r="C104" s="850"/>
      <c r="D104" s="850"/>
      <c r="E104" s="850"/>
      <c r="F104" s="850"/>
      <c r="G104" s="850"/>
      <c r="H104" s="850"/>
      <c r="I104" s="838"/>
      <c r="J104" s="839"/>
      <c r="K104" s="838"/>
      <c r="L104" s="839"/>
      <c r="M104" s="591"/>
      <c r="N104" s="838"/>
      <c r="O104" s="998"/>
      <c r="P104" s="839"/>
      <c r="Q104" s="19"/>
    </row>
    <row r="105" spans="2:17" ht="20.100000000000001" customHeight="1" x14ac:dyDescent="0.2">
      <c r="B105" s="850"/>
      <c r="C105" s="850"/>
      <c r="D105" s="850"/>
      <c r="E105" s="850"/>
      <c r="F105" s="850"/>
      <c r="G105" s="850"/>
      <c r="H105" s="850"/>
      <c r="I105" s="838"/>
      <c r="J105" s="839"/>
      <c r="K105" s="838"/>
      <c r="L105" s="839"/>
      <c r="M105" s="591"/>
      <c r="N105" s="838"/>
      <c r="O105" s="998"/>
      <c r="P105" s="839"/>
      <c r="Q105" s="19"/>
    </row>
    <row r="106" spans="2:17" ht="20.100000000000001" customHeight="1" x14ac:dyDescent="0.2">
      <c r="B106" s="57"/>
      <c r="C106" s="57"/>
      <c r="D106" s="57"/>
      <c r="E106" s="57"/>
      <c r="F106" s="57"/>
      <c r="G106" s="57"/>
      <c r="H106" s="57"/>
      <c r="I106" s="31"/>
      <c r="J106" s="31"/>
      <c r="L106" s="57"/>
      <c r="M106" s="57"/>
      <c r="N106" s="57"/>
      <c r="O106" s="57"/>
      <c r="P106" s="57"/>
      <c r="Q106" s="57"/>
    </row>
    <row r="107" spans="2:17" ht="20.100000000000001" customHeight="1" x14ac:dyDescent="0.2">
      <c r="B107" s="847" t="s">
        <v>2247</v>
      </c>
      <c r="C107" s="847"/>
      <c r="D107" s="847"/>
      <c r="E107" s="847"/>
      <c r="F107" s="847"/>
      <c r="G107" s="847"/>
      <c r="H107" s="847"/>
      <c r="I107" s="915" t="s">
        <v>95</v>
      </c>
      <c r="J107" s="915"/>
      <c r="K107" s="916" t="s">
        <v>11</v>
      </c>
      <c r="L107" s="917"/>
      <c r="M107" s="115" t="s">
        <v>204</v>
      </c>
      <c r="N107" s="852" t="s">
        <v>205</v>
      </c>
      <c r="O107" s="853"/>
      <c r="P107" s="854"/>
      <c r="Q107" s="64"/>
    </row>
    <row r="108" spans="2:17" ht="20.100000000000001" customHeight="1" x14ac:dyDescent="0.2">
      <c r="B108" s="850"/>
      <c r="C108" s="850"/>
      <c r="D108" s="850"/>
      <c r="E108" s="850"/>
      <c r="F108" s="850"/>
      <c r="G108" s="850"/>
      <c r="H108" s="850"/>
      <c r="I108" s="1035"/>
      <c r="J108" s="1035"/>
      <c r="K108" s="838"/>
      <c r="L108" s="839"/>
      <c r="M108" s="591"/>
      <c r="N108" s="851"/>
      <c r="O108" s="851"/>
      <c r="P108" s="851"/>
      <c r="Q108" s="64"/>
    </row>
    <row r="109" spans="2:17" ht="20.100000000000001" customHeight="1" x14ac:dyDescent="0.2">
      <c r="B109" s="850"/>
      <c r="C109" s="850"/>
      <c r="D109" s="850"/>
      <c r="E109" s="850"/>
      <c r="F109" s="850"/>
      <c r="G109" s="850"/>
      <c r="H109" s="850"/>
      <c r="I109" s="1034"/>
      <c r="J109" s="1034"/>
      <c r="K109" s="838"/>
      <c r="L109" s="839"/>
      <c r="M109" s="591"/>
      <c r="N109" s="851"/>
      <c r="O109" s="851"/>
      <c r="P109" s="851"/>
      <c r="Q109" s="64"/>
    </row>
    <row r="110" spans="2:17" ht="20.100000000000001" customHeight="1" x14ac:dyDescent="0.2">
      <c r="B110" s="847" t="s">
        <v>2248</v>
      </c>
      <c r="C110" s="847"/>
      <c r="D110" s="847"/>
      <c r="E110" s="847"/>
      <c r="F110" s="847"/>
      <c r="G110" s="847"/>
      <c r="H110" s="847"/>
      <c r="I110" s="915" t="s">
        <v>95</v>
      </c>
      <c r="J110" s="915"/>
      <c r="K110" s="916" t="s">
        <v>11</v>
      </c>
      <c r="L110" s="917"/>
      <c r="M110" s="115" t="s">
        <v>204</v>
      </c>
      <c r="N110" s="852" t="s">
        <v>205</v>
      </c>
      <c r="O110" s="853"/>
      <c r="P110" s="854"/>
      <c r="Q110" s="64"/>
    </row>
    <row r="111" spans="2:17" ht="20.100000000000001" customHeight="1" x14ac:dyDescent="0.2">
      <c r="B111" s="850"/>
      <c r="C111" s="850"/>
      <c r="D111" s="850"/>
      <c r="E111" s="850"/>
      <c r="F111" s="850"/>
      <c r="G111" s="850"/>
      <c r="H111" s="850"/>
      <c r="I111" s="851"/>
      <c r="J111" s="851"/>
      <c r="K111" s="838"/>
      <c r="L111" s="839"/>
      <c r="M111" s="591"/>
      <c r="N111" s="851"/>
      <c r="O111" s="851"/>
      <c r="P111" s="851"/>
      <c r="Q111" s="64"/>
    </row>
    <row r="112" spans="2:17" ht="20.100000000000001" customHeight="1" x14ac:dyDescent="0.2">
      <c r="B112" s="1036"/>
      <c r="C112" s="1037"/>
      <c r="D112" s="1037"/>
      <c r="E112" s="1037"/>
      <c r="F112" s="1037"/>
      <c r="G112" s="1037"/>
      <c r="H112" s="1038"/>
      <c r="I112" s="1034"/>
      <c r="J112" s="1034"/>
      <c r="K112" s="838"/>
      <c r="L112" s="839"/>
      <c r="M112" s="591"/>
      <c r="N112" s="851"/>
      <c r="O112" s="851"/>
      <c r="P112" s="851"/>
      <c r="Q112" s="19"/>
    </row>
    <row r="113" spans="2:17" ht="20.100000000000001" customHeight="1" x14ac:dyDescent="0.2">
      <c r="B113" s="847" t="s">
        <v>2249</v>
      </c>
      <c r="C113" s="847"/>
      <c r="D113" s="847"/>
      <c r="E113" s="847"/>
      <c r="F113" s="847"/>
      <c r="G113" s="847"/>
      <c r="H113" s="847"/>
      <c r="I113" s="915" t="s">
        <v>95</v>
      </c>
      <c r="J113" s="915"/>
      <c r="K113" s="916" t="s">
        <v>11</v>
      </c>
      <c r="L113" s="917"/>
      <c r="M113" s="167" t="s">
        <v>204</v>
      </c>
      <c r="N113" s="852" t="s">
        <v>205</v>
      </c>
      <c r="O113" s="853"/>
      <c r="P113" s="854"/>
      <c r="Q113" s="19"/>
    </row>
    <row r="114" spans="2:17" ht="20.100000000000001" customHeight="1" x14ac:dyDescent="0.2">
      <c r="B114" s="904"/>
      <c r="C114" s="905"/>
      <c r="D114" s="905"/>
      <c r="E114" s="905"/>
      <c r="F114" s="905"/>
      <c r="G114" s="905"/>
      <c r="H114" s="906"/>
      <c r="I114" s="851"/>
      <c r="J114" s="851"/>
      <c r="K114" s="838"/>
      <c r="L114" s="839"/>
      <c r="M114" s="591"/>
      <c r="N114" s="851"/>
      <c r="O114" s="851"/>
      <c r="P114" s="851"/>
      <c r="Q114" s="19"/>
    </row>
    <row r="115" spans="2:17" ht="20.100000000000001" customHeight="1" x14ac:dyDescent="0.2">
      <c r="B115" s="57"/>
      <c r="C115" s="57"/>
      <c r="D115" s="57"/>
      <c r="E115" s="57"/>
      <c r="F115" s="57"/>
      <c r="G115" s="57"/>
      <c r="H115" s="57"/>
      <c r="I115" s="31"/>
      <c r="J115" s="31"/>
      <c r="L115" s="57"/>
      <c r="M115" s="57"/>
      <c r="N115" s="57"/>
      <c r="O115" s="57"/>
      <c r="P115" s="57"/>
      <c r="Q115" s="57"/>
    </row>
    <row r="116" spans="2:17" ht="20.100000000000001" customHeight="1" x14ac:dyDescent="0.25">
      <c r="B116" s="55" t="s">
        <v>2276</v>
      </c>
      <c r="C116" s="57"/>
      <c r="D116" s="57"/>
      <c r="E116" s="57"/>
      <c r="F116" s="57"/>
      <c r="G116" s="57"/>
      <c r="H116" s="57"/>
      <c r="I116" s="31"/>
      <c r="J116" s="31"/>
      <c r="L116" s="57"/>
      <c r="M116" s="57"/>
      <c r="N116" s="57"/>
      <c r="O116" s="57"/>
      <c r="P116" s="57"/>
      <c r="Q116" s="57"/>
    </row>
    <row r="117" spans="2:17" ht="30" customHeight="1" x14ac:dyDescent="0.2">
      <c r="B117" s="847" t="s">
        <v>208</v>
      </c>
      <c r="C117" s="847"/>
      <c r="D117" s="847"/>
      <c r="E117" s="847"/>
      <c r="F117" s="847"/>
      <c r="G117" s="847"/>
      <c r="H117" s="847"/>
      <c r="I117" s="916" t="s">
        <v>209</v>
      </c>
      <c r="J117" s="1026"/>
      <c r="K117" s="1026"/>
      <c r="L117" s="915" t="s">
        <v>210</v>
      </c>
      <c r="M117" s="915"/>
      <c r="N117" s="915"/>
      <c r="O117" s="915" t="s">
        <v>211</v>
      </c>
      <c r="P117" s="915"/>
      <c r="Q117" s="67"/>
    </row>
    <row r="118" spans="2:17" ht="39.950000000000003" customHeight="1" x14ac:dyDescent="0.2">
      <c r="B118" s="904"/>
      <c r="C118" s="905"/>
      <c r="D118" s="905"/>
      <c r="E118" s="905"/>
      <c r="F118" s="905"/>
      <c r="G118" s="905"/>
      <c r="H118" s="906"/>
      <c r="I118" s="851"/>
      <c r="J118" s="851"/>
      <c r="K118" s="851"/>
      <c r="L118" s="964"/>
      <c r="M118" s="965"/>
      <c r="N118" s="966"/>
      <c r="O118" s="848"/>
      <c r="P118" s="848"/>
      <c r="Q118" s="120"/>
    </row>
    <row r="119" spans="2:17" ht="39.950000000000003" customHeight="1" x14ac:dyDescent="0.2">
      <c r="B119" s="904"/>
      <c r="C119" s="905"/>
      <c r="D119" s="905"/>
      <c r="E119" s="905"/>
      <c r="F119" s="905"/>
      <c r="G119" s="905"/>
      <c r="H119" s="906"/>
      <c r="I119" s="851"/>
      <c r="J119" s="851"/>
      <c r="K119" s="851"/>
      <c r="L119" s="967"/>
      <c r="M119" s="967"/>
      <c r="N119" s="967"/>
      <c r="O119" s="848"/>
      <c r="P119" s="848"/>
      <c r="Q119" s="120"/>
    </row>
    <row r="120" spans="2:17" ht="55.5" customHeight="1" x14ac:dyDescent="0.2">
      <c r="B120" s="904"/>
      <c r="C120" s="905"/>
      <c r="D120" s="905"/>
      <c r="E120" s="905"/>
      <c r="F120" s="905"/>
      <c r="G120" s="905"/>
      <c r="H120" s="906"/>
      <c r="I120" s="851"/>
      <c r="J120" s="851"/>
      <c r="K120" s="851"/>
      <c r="L120" s="967"/>
      <c r="M120" s="967"/>
      <c r="N120" s="967"/>
      <c r="O120" s="848"/>
      <c r="P120" s="848"/>
      <c r="Q120" s="120"/>
    </row>
    <row r="121" spans="2:17" ht="39.950000000000003" customHeight="1" x14ac:dyDescent="0.2">
      <c r="B121" s="904"/>
      <c r="C121" s="905"/>
      <c r="D121" s="905"/>
      <c r="E121" s="905"/>
      <c r="F121" s="905"/>
      <c r="G121" s="905"/>
      <c r="H121" s="906"/>
      <c r="I121" s="851"/>
      <c r="J121" s="851"/>
      <c r="K121" s="851"/>
      <c r="L121" s="848"/>
      <c r="M121" s="908"/>
      <c r="N121" s="908"/>
      <c r="O121" s="848"/>
      <c r="P121" s="848"/>
      <c r="Q121" s="120"/>
    </row>
    <row r="122" spans="2:17" ht="39.950000000000003" customHeight="1" x14ac:dyDescent="0.2">
      <c r="B122" s="904"/>
      <c r="C122" s="905"/>
      <c r="D122" s="905"/>
      <c r="E122" s="905"/>
      <c r="F122" s="905"/>
      <c r="G122" s="905"/>
      <c r="H122" s="906"/>
      <c r="I122" s="851"/>
      <c r="J122" s="851"/>
      <c r="K122" s="851"/>
      <c r="L122" s="848"/>
      <c r="M122" s="908"/>
      <c r="N122" s="908"/>
      <c r="O122" s="848"/>
      <c r="P122" s="848"/>
      <c r="Q122" s="120"/>
    </row>
    <row r="123" spans="2:17" ht="39.950000000000003" customHeight="1" x14ac:dyDescent="0.2">
      <c r="B123" s="904"/>
      <c r="C123" s="905"/>
      <c r="D123" s="905"/>
      <c r="E123" s="905"/>
      <c r="F123" s="905"/>
      <c r="G123" s="905"/>
      <c r="H123" s="906"/>
      <c r="I123" s="851"/>
      <c r="J123" s="851"/>
      <c r="K123" s="851"/>
      <c r="L123" s="848"/>
      <c r="M123" s="908"/>
      <c r="N123" s="908"/>
      <c r="O123" s="848"/>
      <c r="P123" s="848"/>
      <c r="Q123" s="120"/>
    </row>
    <row r="124" spans="2:17" ht="39.950000000000003" customHeight="1" x14ac:dyDescent="0.2">
      <c r="B124" s="1104" t="s">
        <v>2529</v>
      </c>
      <c r="C124" s="1105"/>
      <c r="D124" s="1105"/>
      <c r="E124" s="1105"/>
      <c r="F124" s="1105"/>
      <c r="G124" s="1105"/>
      <c r="H124" s="1106"/>
      <c r="I124" s="851"/>
      <c r="J124" s="851"/>
      <c r="K124" s="851"/>
      <c r="L124" s="848"/>
      <c r="M124" s="908"/>
      <c r="N124" s="908"/>
      <c r="O124" s="848"/>
      <c r="P124" s="848"/>
      <c r="Q124" s="57"/>
    </row>
    <row r="125" spans="2:17" s="211" customFormat="1" ht="6.75" customHeight="1" x14ac:dyDescent="0.2">
      <c r="B125" s="57"/>
      <c r="C125" s="57"/>
      <c r="D125" s="57"/>
      <c r="E125" s="57"/>
      <c r="F125" s="57"/>
      <c r="G125" s="57"/>
      <c r="H125" s="57"/>
      <c r="I125" s="210"/>
      <c r="J125" s="210"/>
      <c r="L125" s="57"/>
      <c r="M125" s="57"/>
      <c r="N125" s="57"/>
      <c r="O125" s="57"/>
      <c r="P125" s="57"/>
      <c r="Q125" s="57"/>
    </row>
    <row r="126" spans="2:17" ht="20.100000000000001" customHeight="1" x14ac:dyDescent="0.25">
      <c r="B126" s="55" t="s">
        <v>2277</v>
      </c>
      <c r="C126" s="57"/>
      <c r="D126" s="57"/>
      <c r="E126" s="57"/>
      <c r="F126" s="57"/>
      <c r="G126" s="57"/>
      <c r="H126" s="57"/>
      <c r="I126" s="190"/>
      <c r="J126" s="190"/>
      <c r="L126" s="57"/>
      <c r="M126" s="57"/>
      <c r="N126" s="57"/>
      <c r="O126" s="57"/>
      <c r="P126" s="57"/>
      <c r="Q126" s="57"/>
    </row>
    <row r="127" spans="2:17" ht="7.5" customHeight="1" x14ac:dyDescent="0.2">
      <c r="B127" s="57"/>
      <c r="C127" s="57"/>
      <c r="D127" s="57"/>
      <c r="E127" s="57"/>
      <c r="F127" s="57"/>
      <c r="G127" s="57"/>
      <c r="H127" s="57"/>
      <c r="I127" s="190"/>
      <c r="J127" s="190"/>
      <c r="L127" s="57"/>
      <c r="M127" s="57"/>
      <c r="N127" s="57"/>
      <c r="O127" s="57"/>
      <c r="P127" s="57"/>
      <c r="Q127" s="57"/>
    </row>
    <row r="128" spans="2:17" ht="15" customHeight="1" x14ac:dyDescent="0.25">
      <c r="B128" s="520" t="s">
        <v>2278</v>
      </c>
      <c r="C128" s="57"/>
      <c r="D128" s="57"/>
      <c r="E128" s="57"/>
      <c r="F128" s="57"/>
      <c r="G128" s="57"/>
      <c r="H128" s="57"/>
      <c r="I128" s="190"/>
      <c r="J128" s="190"/>
      <c r="L128" s="57"/>
      <c r="M128" s="57"/>
      <c r="N128" s="57"/>
      <c r="O128" s="57"/>
      <c r="P128" s="57"/>
      <c r="Q128" s="57"/>
    </row>
    <row r="129" spans="2:18" ht="20.100000000000001" customHeight="1" x14ac:dyDescent="0.2">
      <c r="B129" s="57" t="s">
        <v>2279</v>
      </c>
      <c r="C129" s="904"/>
      <c r="D129" s="905"/>
      <c r="E129" s="905"/>
      <c r="F129" s="905"/>
      <c r="G129" s="905"/>
      <c r="H129" s="906"/>
      <c r="I129" s="190"/>
      <c r="J129" s="190"/>
      <c r="L129" s="57"/>
      <c r="M129" s="57"/>
      <c r="N129" s="57"/>
      <c r="O129" s="57"/>
      <c r="P129" s="57"/>
      <c r="Q129" s="57"/>
    </row>
    <row r="130" spans="2:18" ht="20.100000000000001" customHeight="1" x14ac:dyDescent="0.2">
      <c r="B130" s="57" t="s">
        <v>240</v>
      </c>
      <c r="C130" s="934"/>
      <c r="D130" s="946"/>
      <c r="E130" s="946"/>
      <c r="F130" s="946"/>
      <c r="G130" s="946"/>
      <c r="H130" s="935"/>
      <c r="I130" s="190"/>
      <c r="J130" s="190"/>
      <c r="L130" s="57"/>
      <c r="M130" s="57"/>
      <c r="N130" s="57"/>
      <c r="O130" s="57"/>
      <c r="P130" s="57"/>
      <c r="Q130" s="57"/>
    </row>
    <row r="131" spans="2:18" ht="20.100000000000001" customHeight="1" x14ac:dyDescent="0.2">
      <c r="B131" s="57" t="s">
        <v>2280</v>
      </c>
      <c r="C131" s="904"/>
      <c r="D131" s="905"/>
      <c r="E131" s="905"/>
      <c r="F131" s="905"/>
      <c r="G131" s="905"/>
      <c r="H131" s="906"/>
      <c r="I131" s="190"/>
      <c r="J131" s="190"/>
      <c r="L131" s="57"/>
      <c r="M131" s="57"/>
      <c r="N131" s="57"/>
      <c r="O131" s="57"/>
      <c r="P131" s="57"/>
      <c r="Q131" s="57"/>
    </row>
    <row r="132" spans="2:18" ht="9.75" customHeight="1" x14ac:dyDescent="0.2">
      <c r="B132" s="57"/>
      <c r="C132" s="57"/>
      <c r="D132" s="57"/>
      <c r="E132" s="57"/>
      <c r="F132" s="57"/>
      <c r="G132" s="57"/>
      <c r="H132" s="57"/>
      <c r="I132" s="190"/>
      <c r="J132" s="190"/>
      <c r="L132" s="57"/>
      <c r="M132" s="57"/>
      <c r="N132" s="57"/>
      <c r="O132" s="57"/>
      <c r="P132" s="57"/>
      <c r="Q132" s="57"/>
    </row>
    <row r="133" spans="2:18" ht="20.100000000000001" customHeight="1" x14ac:dyDescent="0.25">
      <c r="B133" s="520" t="s">
        <v>2281</v>
      </c>
      <c r="C133" s="57"/>
      <c r="D133" s="57"/>
      <c r="E133" s="57"/>
      <c r="F133" s="57"/>
      <c r="G133" s="57"/>
      <c r="H133" s="57"/>
      <c r="I133" s="190"/>
      <c r="J133" s="190"/>
      <c r="L133" s="57"/>
      <c r="M133" s="57"/>
      <c r="N133" s="57"/>
      <c r="O133" s="57"/>
      <c r="P133" s="57"/>
      <c r="Q133" s="57"/>
    </row>
    <row r="134" spans="2:18" ht="20.100000000000001" customHeight="1" x14ac:dyDescent="0.2">
      <c r="B134" s="57" t="s">
        <v>2279</v>
      </c>
      <c r="C134" s="904"/>
      <c r="D134" s="905"/>
      <c r="E134" s="905"/>
      <c r="F134" s="905"/>
      <c r="G134" s="905"/>
      <c r="H134" s="906"/>
      <c r="I134" s="190"/>
      <c r="J134" s="190"/>
      <c r="L134" s="57"/>
      <c r="M134" s="57"/>
      <c r="N134" s="57"/>
      <c r="O134" s="57"/>
      <c r="P134" s="57"/>
      <c r="Q134" s="57"/>
    </row>
    <row r="135" spans="2:18" ht="20.100000000000001" customHeight="1" x14ac:dyDescent="0.2">
      <c r="B135" s="57" t="s">
        <v>240</v>
      </c>
      <c r="C135" s="934"/>
      <c r="D135" s="946"/>
      <c r="E135" s="946"/>
      <c r="F135" s="946"/>
      <c r="G135" s="946"/>
      <c r="H135" s="935"/>
      <c r="I135" s="190"/>
      <c r="J135" s="190"/>
      <c r="L135" s="57"/>
      <c r="M135" s="57"/>
      <c r="N135" s="57"/>
      <c r="O135" s="57"/>
      <c r="P135" s="57"/>
      <c r="Q135" s="57"/>
    </row>
    <row r="136" spans="2:18" ht="20.100000000000001" customHeight="1" x14ac:dyDescent="0.2">
      <c r="B136" s="57" t="s">
        <v>2280</v>
      </c>
      <c r="C136" s="904"/>
      <c r="D136" s="905"/>
      <c r="E136" s="905"/>
      <c r="F136" s="905"/>
      <c r="G136" s="905"/>
      <c r="H136" s="906"/>
      <c r="I136" s="190"/>
      <c r="J136" s="190"/>
      <c r="L136" s="57"/>
      <c r="M136" s="57"/>
      <c r="N136" s="57"/>
      <c r="O136" s="57"/>
      <c r="P136" s="57"/>
      <c r="Q136" s="57"/>
    </row>
    <row r="137" spans="2:18" ht="9.75" customHeight="1" x14ac:dyDescent="0.2">
      <c r="B137" s="57"/>
      <c r="C137" s="57"/>
      <c r="D137" s="57"/>
      <c r="E137" s="57"/>
      <c r="F137" s="57"/>
      <c r="G137" s="57"/>
      <c r="H137" s="57"/>
      <c r="I137" s="190"/>
      <c r="J137" s="190"/>
      <c r="L137" s="57"/>
      <c r="M137" s="57"/>
      <c r="N137" s="57"/>
      <c r="O137" s="57"/>
      <c r="P137" s="57"/>
      <c r="Q137" s="57"/>
    </row>
    <row r="138" spans="2:18" ht="15.75" customHeight="1" x14ac:dyDescent="0.25">
      <c r="B138" s="521" t="s">
        <v>2282</v>
      </c>
      <c r="C138" s="57"/>
      <c r="D138" s="57"/>
      <c r="E138" s="57"/>
      <c r="F138" s="57"/>
      <c r="G138" s="57"/>
      <c r="H138" s="57"/>
      <c r="I138" s="190"/>
      <c r="J138" s="190"/>
      <c r="L138" s="57"/>
      <c r="M138" s="57"/>
      <c r="N138" s="57"/>
      <c r="O138" s="57"/>
      <c r="P138" s="57"/>
      <c r="Q138" s="57"/>
    </row>
    <row r="139" spans="2:18" ht="6" customHeight="1" x14ac:dyDescent="0.2">
      <c r="B139" s="57"/>
      <c r="C139" s="57"/>
      <c r="D139" s="57"/>
      <c r="E139" s="57"/>
      <c r="F139" s="57"/>
      <c r="G139" s="57"/>
      <c r="H139" s="57"/>
      <c r="I139" s="190"/>
      <c r="J139" s="190"/>
      <c r="L139" s="57"/>
      <c r="M139" s="57"/>
      <c r="N139" s="57"/>
      <c r="O139" s="57"/>
      <c r="P139" s="57"/>
      <c r="Q139" s="57"/>
    </row>
    <row r="140" spans="2:18" ht="20.100000000000001" customHeight="1" x14ac:dyDescent="0.2">
      <c r="B140" s="542" t="s">
        <v>2283</v>
      </c>
      <c r="C140" s="1039" t="s">
        <v>2284</v>
      </c>
      <c r="D140" s="1040"/>
      <c r="E140" s="1041"/>
      <c r="F140" s="1039" t="s">
        <v>2280</v>
      </c>
      <c r="G140" s="1040"/>
      <c r="H140" s="1041"/>
      <c r="I140" s="190"/>
      <c r="J140" s="190"/>
      <c r="L140" s="57"/>
      <c r="M140" s="57"/>
      <c r="N140" s="57"/>
      <c r="O140" s="57"/>
      <c r="P140" s="57"/>
      <c r="Q140" s="57"/>
    </row>
    <row r="141" spans="2:18" ht="26.25" customHeight="1" x14ac:dyDescent="0.2">
      <c r="B141" s="613" t="s">
        <v>2509</v>
      </c>
      <c r="C141" s="919"/>
      <c r="D141" s="919"/>
      <c r="E141" s="919"/>
      <c r="F141" s="1137"/>
      <c r="G141" s="1137"/>
      <c r="H141" s="1137"/>
      <c r="I141" s="190"/>
      <c r="J141" s="190"/>
      <c r="L141" s="57"/>
      <c r="M141" s="57"/>
      <c r="N141" s="57"/>
      <c r="O141" s="57"/>
      <c r="P141" s="57"/>
      <c r="Q141" s="57"/>
    </row>
    <row r="142" spans="2:18" s="545" customFormat="1" ht="25.5" customHeight="1" x14ac:dyDescent="0.2">
      <c r="B142" s="613" t="s">
        <v>2510</v>
      </c>
      <c r="C142" s="919"/>
      <c r="D142" s="919"/>
      <c r="E142" s="919"/>
      <c r="F142" s="1137"/>
      <c r="G142" s="1137"/>
      <c r="H142" s="1137"/>
      <c r="I142" s="544"/>
      <c r="J142" s="544"/>
      <c r="L142" s="57"/>
      <c r="M142" s="57"/>
      <c r="N142" s="57"/>
      <c r="O142" s="57"/>
      <c r="P142" s="57"/>
      <c r="Q142" s="57"/>
    </row>
    <row r="143" spans="2:18" s="545" customFormat="1" ht="25.5" customHeight="1" x14ac:dyDescent="0.2">
      <c r="B143" s="613" t="s">
        <v>2511</v>
      </c>
      <c r="C143" s="919"/>
      <c r="D143" s="919"/>
      <c r="E143" s="919"/>
      <c r="F143" s="1137"/>
      <c r="G143" s="1137"/>
      <c r="H143" s="1137"/>
      <c r="I143" s="544"/>
      <c r="J143" s="544"/>
      <c r="L143" s="57"/>
      <c r="M143" s="57"/>
      <c r="N143" s="57"/>
      <c r="O143" s="57"/>
      <c r="P143" s="57"/>
      <c r="Q143" s="57"/>
    </row>
    <row r="144" spans="2:18" ht="10.5" customHeight="1" x14ac:dyDescent="0.2">
      <c r="B144" s="1091"/>
      <c r="C144" s="1091"/>
      <c r="D144" s="1091"/>
      <c r="E144" s="1091"/>
      <c r="F144" s="1091"/>
      <c r="G144" s="1091"/>
      <c r="H144" s="1091"/>
      <c r="I144" s="918"/>
      <c r="J144" s="918"/>
      <c r="K144" s="30"/>
      <c r="L144" s="30"/>
      <c r="M144" s="30"/>
      <c r="N144" s="30"/>
      <c r="O144" s="30"/>
      <c r="P144" s="30"/>
      <c r="Q144" s="30"/>
      <c r="R144" s="5"/>
    </row>
    <row r="145" spans="2:18" ht="15" customHeight="1" x14ac:dyDescent="0.25">
      <c r="B145" s="55" t="s">
        <v>2285</v>
      </c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5"/>
    </row>
    <row r="146" spans="2:18" ht="15" customHeight="1" x14ac:dyDescent="0.2">
      <c r="B146" s="48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5"/>
    </row>
    <row r="147" spans="2:18" ht="15" customHeight="1" x14ac:dyDescent="0.2">
      <c r="B147" s="48" t="s">
        <v>2287</v>
      </c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5"/>
    </row>
    <row r="148" spans="2:18" ht="31.5" customHeight="1" x14ac:dyDescent="0.25">
      <c r="B148" s="956"/>
      <c r="C148" s="956"/>
      <c r="D148" s="956"/>
      <c r="E148" s="956"/>
      <c r="F148" s="956"/>
      <c r="G148" s="956"/>
      <c r="H148" s="956"/>
      <c r="I148" s="956"/>
      <c r="J148" s="956"/>
      <c r="K148" s="956"/>
      <c r="L148" s="956"/>
      <c r="M148" s="956"/>
      <c r="N148" s="956"/>
      <c r="O148" s="956"/>
      <c r="P148" s="956"/>
      <c r="Q148" s="62"/>
      <c r="R148" s="5"/>
    </row>
    <row r="149" spans="2:18" ht="15" customHeight="1" x14ac:dyDescent="0.2">
      <c r="B149" s="63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30"/>
      <c r="R149" s="5"/>
    </row>
    <row r="150" spans="2:18" ht="20.100000000000001" customHeight="1" x14ac:dyDescent="0.2">
      <c r="B150" s="847" t="s">
        <v>2250</v>
      </c>
      <c r="C150" s="847"/>
      <c r="D150" s="847"/>
      <c r="E150" s="847"/>
      <c r="F150" s="847"/>
      <c r="G150" s="847"/>
      <c r="H150" s="847"/>
      <c r="I150" s="849" t="s">
        <v>95</v>
      </c>
      <c r="J150" s="849"/>
      <c r="K150" s="849" t="s">
        <v>11</v>
      </c>
      <c r="L150" s="849"/>
      <c r="M150" s="68" t="s">
        <v>215</v>
      </c>
      <c r="N150" s="899" t="s">
        <v>216</v>
      </c>
      <c r="O150" s="899"/>
      <c r="P150" s="899"/>
      <c r="Q150" s="19"/>
      <c r="R150" s="5"/>
    </row>
    <row r="151" spans="2:18" ht="20.100000000000001" customHeight="1" x14ac:dyDescent="0.2">
      <c r="B151" s="850"/>
      <c r="C151" s="850"/>
      <c r="D151" s="850"/>
      <c r="E151" s="850"/>
      <c r="F151" s="850"/>
      <c r="G151" s="850"/>
      <c r="H151" s="850"/>
      <c r="I151" s="851"/>
      <c r="J151" s="851"/>
      <c r="K151" s="838"/>
      <c r="L151" s="839"/>
      <c r="M151" s="593"/>
      <c r="N151" s="851"/>
      <c r="O151" s="851"/>
      <c r="P151" s="851"/>
      <c r="Q151" s="19"/>
      <c r="R151" s="5"/>
    </row>
    <row r="152" spans="2:18" ht="20.100000000000001" customHeight="1" x14ac:dyDescent="0.2">
      <c r="B152" s="850"/>
      <c r="C152" s="850"/>
      <c r="D152" s="850"/>
      <c r="E152" s="850"/>
      <c r="F152" s="850"/>
      <c r="G152" s="850"/>
      <c r="H152" s="850"/>
      <c r="I152" s="851"/>
      <c r="J152" s="851"/>
      <c r="K152" s="838"/>
      <c r="L152" s="839"/>
      <c r="M152" s="593"/>
      <c r="N152" s="851"/>
      <c r="O152" s="851"/>
      <c r="P152" s="851"/>
      <c r="Q152" s="19"/>
      <c r="R152" s="5"/>
    </row>
    <row r="153" spans="2:18" ht="20.100000000000001" customHeight="1" x14ac:dyDescent="0.2">
      <c r="B153" s="850"/>
      <c r="C153" s="850"/>
      <c r="D153" s="850"/>
      <c r="E153" s="850"/>
      <c r="F153" s="850"/>
      <c r="G153" s="850"/>
      <c r="H153" s="850"/>
      <c r="I153" s="851"/>
      <c r="J153" s="851"/>
      <c r="K153" s="838"/>
      <c r="L153" s="839"/>
      <c r="M153" s="593"/>
      <c r="N153" s="851"/>
      <c r="O153" s="851"/>
      <c r="P153" s="851"/>
      <c r="Q153" s="19"/>
      <c r="R153" s="5"/>
    </row>
    <row r="154" spans="2:18" ht="20.100000000000001" customHeight="1" x14ac:dyDescent="0.2">
      <c r="B154" s="847" t="s">
        <v>2251</v>
      </c>
      <c r="C154" s="847"/>
      <c r="D154" s="847"/>
      <c r="E154" s="847"/>
      <c r="F154" s="847"/>
      <c r="G154" s="847"/>
      <c r="H154" s="847"/>
      <c r="I154" s="849" t="s">
        <v>95</v>
      </c>
      <c r="J154" s="849"/>
      <c r="K154" s="849" t="s">
        <v>11</v>
      </c>
      <c r="L154" s="849"/>
      <c r="M154" s="68" t="s">
        <v>215</v>
      </c>
      <c r="N154" s="899" t="s">
        <v>216</v>
      </c>
      <c r="O154" s="899"/>
      <c r="P154" s="899"/>
      <c r="Q154" s="19"/>
      <c r="R154" s="5"/>
    </row>
    <row r="155" spans="2:18" ht="20.100000000000001" customHeight="1" x14ac:dyDescent="0.2">
      <c r="B155" s="850"/>
      <c r="C155" s="850"/>
      <c r="D155" s="850"/>
      <c r="E155" s="850"/>
      <c r="F155" s="850"/>
      <c r="G155" s="850"/>
      <c r="H155" s="850"/>
      <c r="I155" s="851"/>
      <c r="J155" s="851"/>
      <c r="K155" s="838"/>
      <c r="L155" s="839"/>
      <c r="M155" s="593"/>
      <c r="N155" s="851"/>
      <c r="O155" s="851"/>
      <c r="P155" s="851"/>
      <c r="Q155" s="19"/>
      <c r="R155" s="5"/>
    </row>
    <row r="156" spans="2:18" ht="20.100000000000001" customHeight="1" x14ac:dyDescent="0.2">
      <c r="B156" s="850"/>
      <c r="C156" s="850"/>
      <c r="D156" s="850"/>
      <c r="E156" s="850"/>
      <c r="F156" s="850"/>
      <c r="G156" s="850"/>
      <c r="H156" s="850"/>
      <c r="I156" s="851"/>
      <c r="J156" s="851"/>
      <c r="K156" s="838"/>
      <c r="L156" s="839"/>
      <c r="M156" s="593"/>
      <c r="N156" s="851"/>
      <c r="O156" s="851"/>
      <c r="P156" s="851"/>
      <c r="Q156" s="19"/>
      <c r="R156" s="5"/>
    </row>
    <row r="157" spans="2:18" ht="20.100000000000001" customHeight="1" x14ac:dyDescent="0.2">
      <c r="B157" s="850"/>
      <c r="C157" s="850"/>
      <c r="D157" s="850"/>
      <c r="E157" s="850"/>
      <c r="F157" s="850"/>
      <c r="G157" s="850"/>
      <c r="H157" s="850"/>
      <c r="I157" s="851"/>
      <c r="J157" s="851"/>
      <c r="K157" s="838"/>
      <c r="L157" s="839"/>
      <c r="M157" s="593"/>
      <c r="N157" s="851"/>
      <c r="O157" s="851"/>
      <c r="P157" s="851"/>
      <c r="Q157" s="19"/>
      <c r="R157" s="5"/>
    </row>
    <row r="158" spans="2:18" ht="20.100000000000001" customHeight="1" x14ac:dyDescent="0.2">
      <c r="B158" s="57"/>
      <c r="C158" s="57"/>
      <c r="D158" s="57"/>
      <c r="E158" s="57"/>
      <c r="F158" s="57"/>
      <c r="G158" s="57"/>
      <c r="H158" s="57"/>
      <c r="I158" s="31"/>
      <c r="J158" s="31"/>
      <c r="K158" s="12"/>
      <c r="L158" s="12"/>
      <c r="M158" s="12"/>
      <c r="N158" s="12"/>
      <c r="O158" s="12"/>
      <c r="P158" s="12"/>
      <c r="Q158" s="12"/>
      <c r="R158" s="5"/>
    </row>
    <row r="159" spans="2:18" ht="20.100000000000001" customHeight="1" x14ac:dyDescent="0.2">
      <c r="B159" s="63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30"/>
      <c r="R159" s="5"/>
    </row>
    <row r="160" spans="2:18" ht="20.100000000000001" customHeight="1" x14ac:dyDescent="0.2">
      <c r="B160" s="847" t="s">
        <v>2252</v>
      </c>
      <c r="C160" s="847"/>
      <c r="D160" s="847"/>
      <c r="E160" s="847"/>
      <c r="F160" s="847"/>
      <c r="G160" s="847"/>
      <c r="H160" s="847"/>
      <c r="I160" s="849" t="s">
        <v>95</v>
      </c>
      <c r="J160" s="849"/>
      <c r="K160" s="849" t="s">
        <v>11</v>
      </c>
      <c r="L160" s="849"/>
      <c r="M160" s="68" t="s">
        <v>215</v>
      </c>
      <c r="N160" s="899" t="s">
        <v>216</v>
      </c>
      <c r="O160" s="899"/>
      <c r="P160" s="899"/>
      <c r="Q160" s="64"/>
      <c r="R160" s="5"/>
    </row>
    <row r="161" spans="2:18" ht="20.100000000000001" customHeight="1" x14ac:dyDescent="0.2">
      <c r="B161" s="850"/>
      <c r="C161" s="850"/>
      <c r="D161" s="850"/>
      <c r="E161" s="850"/>
      <c r="F161" s="850"/>
      <c r="G161" s="850"/>
      <c r="H161" s="850"/>
      <c r="I161" s="851"/>
      <c r="J161" s="851"/>
      <c r="K161" s="838"/>
      <c r="L161" s="839"/>
      <c r="M161" s="593"/>
      <c r="N161" s="851"/>
      <c r="O161" s="851"/>
      <c r="P161" s="851"/>
      <c r="Q161" s="64"/>
      <c r="R161" s="5"/>
    </row>
    <row r="162" spans="2:18" ht="20.100000000000001" customHeight="1" x14ac:dyDescent="0.2">
      <c r="B162" s="850"/>
      <c r="C162" s="850"/>
      <c r="D162" s="850"/>
      <c r="E162" s="850"/>
      <c r="F162" s="850"/>
      <c r="G162" s="850"/>
      <c r="H162" s="850"/>
      <c r="I162" s="851"/>
      <c r="J162" s="851"/>
      <c r="K162" s="838"/>
      <c r="L162" s="839"/>
      <c r="M162" s="593"/>
      <c r="N162" s="851"/>
      <c r="O162" s="851"/>
      <c r="P162" s="851"/>
      <c r="Q162" s="64"/>
      <c r="R162" s="5"/>
    </row>
    <row r="163" spans="2:18" ht="20.100000000000001" customHeight="1" x14ac:dyDescent="0.2">
      <c r="B163" s="847" t="s">
        <v>2253</v>
      </c>
      <c r="C163" s="847"/>
      <c r="D163" s="847"/>
      <c r="E163" s="847"/>
      <c r="F163" s="847"/>
      <c r="G163" s="847"/>
      <c r="H163" s="847"/>
      <c r="I163" s="849" t="s">
        <v>95</v>
      </c>
      <c r="J163" s="849"/>
      <c r="K163" s="849" t="s">
        <v>11</v>
      </c>
      <c r="L163" s="849"/>
      <c r="M163" s="68" t="s">
        <v>215</v>
      </c>
      <c r="N163" s="899" t="s">
        <v>216</v>
      </c>
      <c r="O163" s="899"/>
      <c r="P163" s="899"/>
      <c r="Q163" s="64"/>
      <c r="R163" s="5"/>
    </row>
    <row r="164" spans="2:18" ht="20.100000000000001" customHeight="1" x14ac:dyDescent="0.2">
      <c r="B164" s="850"/>
      <c r="C164" s="850"/>
      <c r="D164" s="850"/>
      <c r="E164" s="850"/>
      <c r="F164" s="850"/>
      <c r="G164" s="850"/>
      <c r="H164" s="850"/>
      <c r="I164" s="851"/>
      <c r="J164" s="851"/>
      <c r="K164" s="838"/>
      <c r="L164" s="839"/>
      <c r="M164" s="593"/>
      <c r="N164" s="851"/>
      <c r="O164" s="851"/>
      <c r="P164" s="851"/>
      <c r="Q164" s="64"/>
      <c r="R164" s="5"/>
    </row>
    <row r="165" spans="2:18" ht="20.100000000000001" customHeight="1" x14ac:dyDescent="0.2">
      <c r="B165" s="850"/>
      <c r="C165" s="850"/>
      <c r="D165" s="850"/>
      <c r="E165" s="850"/>
      <c r="F165" s="850"/>
      <c r="G165" s="850"/>
      <c r="H165" s="850"/>
      <c r="I165" s="851"/>
      <c r="J165" s="851"/>
      <c r="K165" s="838"/>
      <c r="L165" s="839"/>
      <c r="M165" s="593"/>
      <c r="N165" s="851"/>
      <c r="O165" s="851"/>
      <c r="P165" s="851"/>
      <c r="Q165" s="64"/>
      <c r="R165" s="5"/>
    </row>
    <row r="166" spans="2:18" ht="20.100000000000001" customHeight="1" x14ac:dyDescent="0.2">
      <c r="B166" s="847" t="s">
        <v>2254</v>
      </c>
      <c r="C166" s="847"/>
      <c r="D166" s="847"/>
      <c r="E166" s="847"/>
      <c r="F166" s="847"/>
      <c r="G166" s="847"/>
      <c r="H166" s="847"/>
      <c r="I166" s="849" t="s">
        <v>95</v>
      </c>
      <c r="J166" s="849"/>
      <c r="K166" s="849" t="s">
        <v>11</v>
      </c>
      <c r="L166" s="849"/>
      <c r="M166" s="68" t="s">
        <v>215</v>
      </c>
      <c r="N166" s="899" t="s">
        <v>216</v>
      </c>
      <c r="O166" s="899"/>
      <c r="P166" s="899"/>
      <c r="Q166" s="19"/>
      <c r="R166" s="5"/>
    </row>
    <row r="167" spans="2:18" ht="20.100000000000001" customHeight="1" x14ac:dyDescent="0.2">
      <c r="B167" s="850"/>
      <c r="C167" s="850"/>
      <c r="D167" s="850"/>
      <c r="E167" s="850"/>
      <c r="F167" s="850"/>
      <c r="G167" s="850"/>
      <c r="H167" s="850"/>
      <c r="I167" s="851"/>
      <c r="J167" s="851"/>
      <c r="K167" s="838"/>
      <c r="L167" s="839"/>
      <c r="M167" s="593"/>
      <c r="N167" s="851"/>
      <c r="O167" s="851"/>
      <c r="P167" s="851"/>
      <c r="Q167" s="12"/>
      <c r="R167" s="5"/>
    </row>
    <row r="168" spans="2:18" ht="15" customHeight="1" x14ac:dyDescent="0.2">
      <c r="B168" s="57"/>
      <c r="C168" s="57"/>
      <c r="D168" s="57"/>
      <c r="E168" s="57"/>
      <c r="F168" s="57"/>
      <c r="G168" s="57"/>
      <c r="H168" s="57"/>
      <c r="I168" s="121"/>
      <c r="J168" s="121"/>
      <c r="K168" s="114"/>
      <c r="L168" s="114"/>
      <c r="M168" s="114"/>
      <c r="N168" s="114"/>
      <c r="O168" s="114"/>
      <c r="P168" s="114"/>
      <c r="Q168" s="114"/>
      <c r="R168" s="5"/>
    </row>
    <row r="169" spans="2:18" ht="15" customHeight="1" x14ac:dyDescent="0.25">
      <c r="B169" s="56" t="s">
        <v>2446</v>
      </c>
      <c r="C169" s="57"/>
      <c r="D169" s="57"/>
      <c r="E169" s="57"/>
      <c r="F169" s="57"/>
      <c r="G169" s="57"/>
      <c r="H169" s="57"/>
      <c r="I169" s="190"/>
      <c r="J169" s="190"/>
      <c r="K169" s="185"/>
      <c r="L169" s="185"/>
      <c r="M169" s="185"/>
      <c r="N169" s="185"/>
      <c r="O169" s="185"/>
      <c r="P169" s="185"/>
      <c r="Q169" s="185"/>
      <c r="R169" s="5"/>
    </row>
    <row r="170" spans="2:18" ht="15" customHeight="1" x14ac:dyDescent="0.2">
      <c r="B170" s="57"/>
      <c r="C170" s="57"/>
      <c r="D170" s="57"/>
      <c r="E170" s="57"/>
      <c r="F170" s="57"/>
      <c r="G170" s="57"/>
      <c r="H170" s="57"/>
      <c r="I170" s="190"/>
      <c r="J170" s="190"/>
      <c r="K170" s="185"/>
      <c r="L170" s="185"/>
      <c r="M170" s="185"/>
      <c r="N170" s="185"/>
      <c r="O170" s="185"/>
      <c r="P170" s="185"/>
      <c r="Q170" s="185"/>
      <c r="R170" s="5"/>
    </row>
    <row r="171" spans="2:18" ht="15" customHeight="1" x14ac:dyDescent="0.2">
      <c r="B171" s="909" t="s">
        <v>326</v>
      </c>
      <c r="C171" s="909" t="s">
        <v>3</v>
      </c>
      <c r="D171" s="909"/>
      <c r="E171" s="909"/>
      <c r="F171" s="909"/>
      <c r="G171" s="909"/>
      <c r="H171" s="909"/>
      <c r="I171" s="909"/>
      <c r="J171" s="909"/>
      <c r="K171" s="909"/>
      <c r="L171" s="909"/>
      <c r="M171" s="909"/>
      <c r="N171" s="909"/>
      <c r="O171" s="909"/>
      <c r="P171" s="909"/>
      <c r="Q171" s="185"/>
      <c r="R171" s="5"/>
    </row>
    <row r="172" spans="2:18" ht="15" customHeight="1" x14ac:dyDescent="0.2">
      <c r="B172" s="909"/>
      <c r="C172" s="909"/>
      <c r="D172" s="909"/>
      <c r="E172" s="909"/>
      <c r="F172" s="909"/>
      <c r="G172" s="909"/>
      <c r="H172" s="909"/>
      <c r="I172" s="909"/>
      <c r="J172" s="909"/>
      <c r="K172" s="909"/>
      <c r="L172" s="909"/>
      <c r="M172" s="909"/>
      <c r="N172" s="909"/>
      <c r="O172" s="909"/>
      <c r="P172" s="909"/>
      <c r="Q172" s="185"/>
      <c r="R172" s="5"/>
    </row>
    <row r="173" spans="2:18" ht="48" customHeight="1" x14ac:dyDescent="0.2">
      <c r="B173" s="188" t="s">
        <v>328</v>
      </c>
      <c r="C173" s="944"/>
      <c r="D173" s="944"/>
      <c r="E173" s="944"/>
      <c r="F173" s="944"/>
      <c r="G173" s="944"/>
      <c r="H173" s="944"/>
      <c r="I173" s="944"/>
      <c r="J173" s="944"/>
      <c r="K173" s="944"/>
      <c r="L173" s="944"/>
      <c r="M173" s="944"/>
      <c r="N173" s="944"/>
      <c r="O173" s="944"/>
      <c r="P173" s="944"/>
      <c r="Q173" s="185"/>
      <c r="R173" s="5"/>
    </row>
    <row r="174" spans="2:18" ht="15" customHeight="1" x14ac:dyDescent="0.2">
      <c r="B174" s="57"/>
      <c r="C174" s="57"/>
      <c r="D174" s="57"/>
      <c r="E174" s="57"/>
      <c r="F174" s="57"/>
      <c r="G174" s="57"/>
      <c r="H174" s="57"/>
      <c r="I174" s="190"/>
      <c r="J174" s="190"/>
      <c r="K174" s="185"/>
      <c r="L174" s="185"/>
      <c r="M174" s="185"/>
      <c r="N174" s="185"/>
      <c r="O174" s="185"/>
      <c r="P174" s="185"/>
      <c r="Q174" s="185"/>
      <c r="R174" s="5"/>
    </row>
    <row r="175" spans="2:18" ht="15" customHeight="1" x14ac:dyDescent="0.25">
      <c r="B175" s="56" t="s">
        <v>2357</v>
      </c>
      <c r="C175" s="57"/>
      <c r="D175" s="57"/>
      <c r="E175" s="57"/>
      <c r="F175" s="57"/>
      <c r="G175" s="57"/>
      <c r="H175" s="57"/>
      <c r="I175" s="190"/>
      <c r="J175" s="190"/>
      <c r="K175" s="185"/>
      <c r="L175" s="185"/>
      <c r="M175" s="185"/>
      <c r="N175" s="185"/>
      <c r="O175" s="185"/>
      <c r="P175" s="185"/>
      <c r="Q175" s="185"/>
      <c r="R175" s="5"/>
    </row>
    <row r="176" spans="2:18" ht="15" customHeight="1" x14ac:dyDescent="0.2">
      <c r="B176" s="57"/>
      <c r="C176" s="57"/>
      <c r="D176" s="57"/>
      <c r="E176" s="57"/>
      <c r="F176" s="57"/>
      <c r="G176" s="57"/>
      <c r="H176" s="57"/>
      <c r="I176" s="190"/>
      <c r="J176" s="190"/>
      <c r="K176" s="185"/>
      <c r="L176" s="185"/>
      <c r="M176" s="185"/>
      <c r="N176" s="185"/>
      <c r="O176" s="185"/>
      <c r="P176" s="185"/>
      <c r="Q176" s="185"/>
      <c r="R176" s="5"/>
    </row>
    <row r="177" spans="2:18" ht="15" customHeight="1" x14ac:dyDescent="0.2">
      <c r="B177" s="947"/>
      <c r="C177" s="948"/>
      <c r="D177" s="948"/>
      <c r="E177" s="948"/>
      <c r="F177" s="948"/>
      <c r="G177" s="948"/>
      <c r="H177" s="948"/>
      <c r="I177" s="948"/>
      <c r="J177" s="948"/>
      <c r="K177" s="948"/>
      <c r="L177" s="948"/>
      <c r="M177" s="948"/>
      <c r="N177" s="948"/>
      <c r="O177" s="948"/>
      <c r="P177" s="949"/>
      <c r="Q177" s="185"/>
      <c r="R177" s="5"/>
    </row>
    <row r="178" spans="2:18" ht="15" customHeight="1" x14ac:dyDescent="0.2">
      <c r="B178" s="950"/>
      <c r="C178" s="951"/>
      <c r="D178" s="951"/>
      <c r="E178" s="951"/>
      <c r="F178" s="951"/>
      <c r="G178" s="951"/>
      <c r="H178" s="951"/>
      <c r="I178" s="951"/>
      <c r="J178" s="951"/>
      <c r="K178" s="951"/>
      <c r="L178" s="951"/>
      <c r="M178" s="951"/>
      <c r="N178" s="951"/>
      <c r="O178" s="951"/>
      <c r="P178" s="952"/>
      <c r="Q178" s="185"/>
      <c r="R178" s="5"/>
    </row>
    <row r="179" spans="2:18" s="505" customFormat="1" ht="15" customHeight="1" x14ac:dyDescent="0.2">
      <c r="B179" s="950"/>
      <c r="C179" s="951"/>
      <c r="D179" s="951"/>
      <c r="E179" s="951"/>
      <c r="F179" s="951"/>
      <c r="G179" s="951"/>
      <c r="H179" s="951"/>
      <c r="I179" s="951"/>
      <c r="J179" s="951"/>
      <c r="K179" s="951"/>
      <c r="L179" s="951"/>
      <c r="M179" s="951"/>
      <c r="N179" s="951"/>
      <c r="O179" s="951"/>
      <c r="P179" s="952"/>
      <c r="Q179" s="185"/>
      <c r="R179" s="5"/>
    </row>
    <row r="180" spans="2:18" s="505" customFormat="1" ht="15" customHeight="1" x14ac:dyDescent="0.2">
      <c r="B180" s="950"/>
      <c r="C180" s="951"/>
      <c r="D180" s="951"/>
      <c r="E180" s="951"/>
      <c r="F180" s="951"/>
      <c r="G180" s="951"/>
      <c r="H180" s="951"/>
      <c r="I180" s="951"/>
      <c r="J180" s="951"/>
      <c r="K180" s="951"/>
      <c r="L180" s="951"/>
      <c r="M180" s="951"/>
      <c r="N180" s="951"/>
      <c r="O180" s="951"/>
      <c r="P180" s="952"/>
      <c r="Q180" s="185"/>
      <c r="R180" s="5"/>
    </row>
    <row r="181" spans="2:18" ht="15" customHeight="1" x14ac:dyDescent="0.2">
      <c r="B181" s="950"/>
      <c r="C181" s="951"/>
      <c r="D181" s="951"/>
      <c r="E181" s="951"/>
      <c r="F181" s="951"/>
      <c r="G181" s="951"/>
      <c r="H181" s="951"/>
      <c r="I181" s="951"/>
      <c r="J181" s="951"/>
      <c r="K181" s="951"/>
      <c r="L181" s="951"/>
      <c r="M181" s="951"/>
      <c r="N181" s="951"/>
      <c r="O181" s="951"/>
      <c r="P181" s="952"/>
      <c r="Q181" s="185"/>
      <c r="R181" s="5"/>
    </row>
    <row r="182" spans="2:18" ht="15" customHeight="1" x14ac:dyDescent="0.2">
      <c r="B182" s="950"/>
      <c r="C182" s="951"/>
      <c r="D182" s="951"/>
      <c r="E182" s="951"/>
      <c r="F182" s="951"/>
      <c r="G182" s="951"/>
      <c r="H182" s="951"/>
      <c r="I182" s="951"/>
      <c r="J182" s="951"/>
      <c r="K182" s="951"/>
      <c r="L182" s="951"/>
      <c r="M182" s="951"/>
      <c r="N182" s="951"/>
      <c r="O182" s="951"/>
      <c r="P182" s="952"/>
      <c r="Q182" s="185"/>
      <c r="R182" s="5"/>
    </row>
    <row r="183" spans="2:18" ht="15" customHeight="1" x14ac:dyDescent="0.2">
      <c r="B183" s="953"/>
      <c r="C183" s="954"/>
      <c r="D183" s="954"/>
      <c r="E183" s="954"/>
      <c r="F183" s="954"/>
      <c r="G183" s="954"/>
      <c r="H183" s="954"/>
      <c r="I183" s="954"/>
      <c r="J183" s="954"/>
      <c r="K183" s="954"/>
      <c r="L183" s="954"/>
      <c r="M183" s="954"/>
      <c r="N183" s="954"/>
      <c r="O183" s="954"/>
      <c r="P183" s="955"/>
      <c r="Q183" s="185"/>
      <c r="R183" s="5"/>
    </row>
    <row r="184" spans="2:18" ht="15" customHeight="1" x14ac:dyDescent="0.2">
      <c r="B184" s="57"/>
      <c r="C184" s="57"/>
      <c r="D184" s="57"/>
      <c r="E184" s="57"/>
      <c r="F184" s="57"/>
      <c r="G184" s="57"/>
      <c r="H184" s="57"/>
      <c r="I184" s="190"/>
      <c r="J184" s="190"/>
      <c r="K184" s="185"/>
      <c r="L184" s="185"/>
      <c r="M184" s="185"/>
      <c r="N184" s="185"/>
      <c r="O184" s="185"/>
      <c r="P184" s="185"/>
      <c r="Q184" s="185"/>
      <c r="R184" s="5"/>
    </row>
    <row r="185" spans="2:18" ht="15" customHeight="1" x14ac:dyDescent="0.2">
      <c r="B185" s="57"/>
      <c r="C185" s="57"/>
      <c r="D185" s="57"/>
      <c r="E185" s="57"/>
      <c r="F185" s="57"/>
      <c r="G185" s="57"/>
      <c r="H185" s="57"/>
      <c r="I185" s="190"/>
      <c r="J185" s="190"/>
      <c r="K185" s="185"/>
      <c r="L185" s="185"/>
      <c r="M185" s="185"/>
      <c r="N185" s="185"/>
      <c r="O185" s="185"/>
      <c r="P185" s="185"/>
      <c r="Q185" s="185"/>
      <c r="R185" s="5"/>
    </row>
    <row r="186" spans="2:18" ht="22.5" customHeight="1" x14ac:dyDescent="0.25">
      <c r="B186" s="518" t="s">
        <v>2288</v>
      </c>
      <c r="C186" s="522"/>
      <c r="D186" s="522"/>
      <c r="E186" s="522"/>
      <c r="F186" s="522"/>
      <c r="G186" s="522"/>
      <c r="H186" s="522"/>
      <c r="I186" s="523"/>
      <c r="J186" s="523"/>
      <c r="K186" s="523"/>
      <c r="L186" s="523"/>
      <c r="M186" s="523"/>
      <c r="N186" s="523"/>
      <c r="O186" s="523"/>
      <c r="P186" s="523"/>
      <c r="Q186" s="185"/>
      <c r="R186" s="5"/>
    </row>
    <row r="187" spans="2:18" ht="15" customHeight="1" x14ac:dyDescent="0.2">
      <c r="B187" s="57"/>
      <c r="C187" s="57"/>
      <c r="D187" s="57"/>
      <c r="E187" s="57"/>
      <c r="F187" s="57"/>
      <c r="G187" s="57"/>
      <c r="H187" s="57"/>
      <c r="I187" s="190"/>
      <c r="J187" s="190"/>
      <c r="K187" s="185"/>
      <c r="L187" s="185"/>
      <c r="M187" s="185"/>
      <c r="N187" s="185"/>
      <c r="O187" s="185"/>
      <c r="P187" s="185"/>
      <c r="Q187" s="185"/>
      <c r="R187" s="5"/>
    </row>
    <row r="188" spans="2:18" ht="15" customHeight="1" x14ac:dyDescent="0.25">
      <c r="B188" s="56" t="s">
        <v>2447</v>
      </c>
      <c r="C188" s="57"/>
      <c r="D188" s="57"/>
      <c r="E188" s="57"/>
      <c r="F188" s="57"/>
      <c r="G188" s="57"/>
      <c r="H188" s="57"/>
      <c r="I188" s="190"/>
      <c r="J188" s="190"/>
      <c r="K188" s="185"/>
      <c r="L188" s="185"/>
      <c r="M188" s="185"/>
      <c r="N188" s="185"/>
      <c r="O188" s="185"/>
      <c r="P188" s="185"/>
      <c r="Q188" s="185"/>
      <c r="R188" s="5"/>
    </row>
    <row r="189" spans="2:18" ht="15" customHeight="1" x14ac:dyDescent="0.2">
      <c r="B189" s="57"/>
      <c r="C189" s="57"/>
      <c r="D189" s="57"/>
      <c r="E189" s="57"/>
      <c r="F189" s="57"/>
      <c r="G189" s="57"/>
      <c r="H189" s="57"/>
      <c r="I189" s="190"/>
      <c r="J189" s="190"/>
      <c r="K189" s="185"/>
      <c r="L189" s="185"/>
      <c r="M189" s="185"/>
      <c r="N189" s="185"/>
      <c r="O189" s="185"/>
      <c r="P189" s="185"/>
      <c r="Q189" s="185"/>
      <c r="R189" s="5"/>
    </row>
    <row r="190" spans="2:18" ht="15" customHeight="1" x14ac:dyDescent="0.2">
      <c r="B190" s="30" t="s">
        <v>2289</v>
      </c>
      <c r="C190" s="57"/>
      <c r="D190" s="57"/>
      <c r="E190" s="57"/>
      <c r="F190" s="125"/>
      <c r="G190" s="57"/>
      <c r="H190" s="57"/>
      <c r="I190" s="190"/>
      <c r="J190" s="190"/>
      <c r="K190" s="185"/>
      <c r="L190" s="185"/>
      <c r="M190" s="185"/>
      <c r="N190" s="185"/>
      <c r="O190" s="185"/>
      <c r="P190" s="185"/>
      <c r="Q190" s="185"/>
      <c r="R190" s="5"/>
    </row>
    <row r="191" spans="2:18" ht="15" customHeight="1" x14ac:dyDescent="0.2">
      <c r="B191" s="57"/>
      <c r="C191" s="57"/>
      <c r="D191" s="57"/>
      <c r="E191" s="57"/>
      <c r="F191" s="57"/>
      <c r="G191" s="57"/>
      <c r="H191" s="57"/>
      <c r="I191" s="190"/>
      <c r="J191" s="190"/>
      <c r="K191" s="185"/>
      <c r="L191" s="185"/>
      <c r="M191" s="185"/>
      <c r="N191" s="185"/>
      <c r="O191" s="185"/>
      <c r="P191" s="185"/>
      <c r="Q191" s="185"/>
      <c r="R191" s="5"/>
    </row>
    <row r="192" spans="2:18" ht="15" customHeight="1" x14ac:dyDescent="0.25">
      <c r="B192" s="56" t="s">
        <v>2290</v>
      </c>
      <c r="C192" s="57"/>
      <c r="D192" s="57"/>
      <c r="E192" s="57"/>
      <c r="F192" s="57"/>
      <c r="G192" s="57"/>
      <c r="H192" s="57"/>
      <c r="I192" s="190"/>
      <c r="J192" s="190"/>
      <c r="K192" s="185"/>
      <c r="L192" s="185"/>
      <c r="M192" s="185"/>
      <c r="N192" s="185"/>
      <c r="O192" s="185"/>
      <c r="P192" s="185"/>
      <c r="Q192" s="185"/>
      <c r="R192" s="5"/>
    </row>
    <row r="193" spans="2:19" ht="15" customHeight="1" x14ac:dyDescent="0.2">
      <c r="B193" s="57"/>
      <c r="C193" s="57"/>
      <c r="D193" s="57"/>
      <c r="E193" s="57"/>
      <c r="F193" s="57"/>
      <c r="G193" s="57"/>
      <c r="H193" s="57"/>
      <c r="I193" s="190"/>
      <c r="J193" s="190"/>
      <c r="K193" s="185"/>
      <c r="L193" s="185"/>
      <c r="M193" s="185"/>
      <c r="N193" s="185"/>
      <c r="O193" s="185"/>
      <c r="P193" s="185"/>
      <c r="Q193" s="185"/>
      <c r="R193" s="5"/>
    </row>
    <row r="194" spans="2:19" ht="15" customHeight="1" x14ac:dyDescent="0.2">
      <c r="B194" s="527" t="s">
        <v>2420</v>
      </c>
      <c r="C194" s="57"/>
      <c r="D194" s="57"/>
      <c r="E194" s="57"/>
      <c r="F194" s="57"/>
      <c r="G194" s="57"/>
      <c r="H194" s="57"/>
      <c r="I194" s="190"/>
      <c r="J194" s="190"/>
      <c r="K194" s="185"/>
      <c r="L194" s="185"/>
      <c r="M194" s="185"/>
      <c r="N194" s="185"/>
      <c r="O194" s="185"/>
      <c r="P194" s="185"/>
      <c r="Q194" s="185"/>
      <c r="R194" s="5"/>
    </row>
    <row r="195" spans="2:19" ht="15" customHeight="1" x14ac:dyDescent="0.2">
      <c r="B195" s="57"/>
      <c r="C195" s="57"/>
      <c r="D195" s="57"/>
      <c r="E195" s="57"/>
      <c r="F195" s="57"/>
      <c r="G195" s="57"/>
      <c r="H195" s="57"/>
      <c r="I195" s="190"/>
      <c r="J195" s="190"/>
      <c r="K195" s="185"/>
      <c r="L195" s="185"/>
      <c r="M195" s="185"/>
      <c r="N195" s="185"/>
      <c r="O195" s="185"/>
      <c r="P195" s="185"/>
      <c r="Q195" s="185"/>
      <c r="R195" s="5"/>
    </row>
    <row r="196" spans="2:19" ht="15" customHeight="1" x14ac:dyDescent="0.2">
      <c r="B196" s="947"/>
      <c r="C196" s="948"/>
      <c r="D196" s="948"/>
      <c r="E196" s="948"/>
      <c r="F196" s="948"/>
      <c r="G196" s="948"/>
      <c r="H196" s="948"/>
      <c r="I196" s="948"/>
      <c r="J196" s="948"/>
      <c r="K196" s="948"/>
      <c r="L196" s="948"/>
      <c r="M196" s="948"/>
      <c r="N196" s="948"/>
      <c r="O196" s="948"/>
      <c r="P196" s="949"/>
      <c r="Q196" s="185"/>
      <c r="R196" s="5"/>
    </row>
    <row r="197" spans="2:19" ht="15" customHeight="1" x14ac:dyDescent="0.2">
      <c r="B197" s="950"/>
      <c r="C197" s="951"/>
      <c r="D197" s="951"/>
      <c r="E197" s="951"/>
      <c r="F197" s="951"/>
      <c r="G197" s="951"/>
      <c r="H197" s="951"/>
      <c r="I197" s="951"/>
      <c r="J197" s="951"/>
      <c r="K197" s="951"/>
      <c r="L197" s="951"/>
      <c r="M197" s="951"/>
      <c r="N197" s="951"/>
      <c r="O197" s="951"/>
      <c r="P197" s="952"/>
      <c r="Q197" s="185"/>
      <c r="R197" s="5"/>
    </row>
    <row r="198" spans="2:19" ht="15" customHeight="1" x14ac:dyDescent="0.2">
      <c r="B198" s="950"/>
      <c r="C198" s="951"/>
      <c r="D198" s="951"/>
      <c r="E198" s="951"/>
      <c r="F198" s="951"/>
      <c r="G198" s="951"/>
      <c r="H198" s="951"/>
      <c r="I198" s="951"/>
      <c r="J198" s="951"/>
      <c r="K198" s="951"/>
      <c r="L198" s="951"/>
      <c r="M198" s="951"/>
      <c r="N198" s="951"/>
      <c r="O198" s="951"/>
      <c r="P198" s="952"/>
      <c r="Q198" s="185"/>
      <c r="R198" s="5"/>
    </row>
    <row r="199" spans="2:19" ht="15" customHeight="1" x14ac:dyDescent="0.2">
      <c r="B199" s="953"/>
      <c r="C199" s="954"/>
      <c r="D199" s="954"/>
      <c r="E199" s="954"/>
      <c r="F199" s="954"/>
      <c r="G199" s="954"/>
      <c r="H199" s="954"/>
      <c r="I199" s="954"/>
      <c r="J199" s="954"/>
      <c r="K199" s="954"/>
      <c r="L199" s="954"/>
      <c r="M199" s="954"/>
      <c r="N199" s="954"/>
      <c r="O199" s="954"/>
      <c r="P199" s="955"/>
      <c r="Q199" s="185"/>
      <c r="R199" s="5"/>
    </row>
    <row r="200" spans="2:19" ht="15" customHeight="1" x14ac:dyDescent="0.2">
      <c r="B200" s="57"/>
      <c r="C200" s="57"/>
      <c r="D200" s="57"/>
      <c r="E200" s="57"/>
      <c r="F200" s="57"/>
      <c r="G200" s="57"/>
      <c r="H200" s="57"/>
      <c r="I200" s="190"/>
      <c r="J200" s="190"/>
      <c r="K200" s="185"/>
      <c r="L200" s="185"/>
      <c r="M200" s="185"/>
      <c r="N200" s="185"/>
      <c r="O200" s="185"/>
      <c r="P200" s="185"/>
      <c r="Q200" s="185"/>
      <c r="R200" s="5"/>
    </row>
    <row r="201" spans="2:19" ht="15" customHeight="1" x14ac:dyDescent="0.2">
      <c r="B201" s="907" t="s">
        <v>2421</v>
      </c>
      <c r="C201" s="907"/>
      <c r="D201" s="907"/>
      <c r="E201" s="907"/>
      <c r="F201" s="907"/>
      <c r="G201" s="907"/>
      <c r="H201" s="907"/>
      <c r="I201" s="907"/>
      <c r="J201" s="907"/>
      <c r="K201" s="907"/>
      <c r="L201" s="907"/>
      <c r="M201" s="907"/>
      <c r="N201" s="907"/>
      <c r="O201" s="907"/>
      <c r="P201" s="907"/>
      <c r="Q201" s="907"/>
      <c r="R201" s="5"/>
    </row>
    <row r="202" spans="2:19" ht="15" customHeight="1" x14ac:dyDescent="0.2">
      <c r="B202" s="48"/>
      <c r="C202" s="32"/>
      <c r="D202" s="32"/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5"/>
      <c r="S202" s="5"/>
    </row>
    <row r="203" spans="2:19" ht="23.25" customHeight="1" x14ac:dyDescent="0.2">
      <c r="B203" s="152" t="s">
        <v>2291</v>
      </c>
      <c r="C203" s="32"/>
      <c r="D203" s="32"/>
      <c r="E203" s="32"/>
      <c r="F203" s="32"/>
      <c r="G203" s="32"/>
      <c r="R203" s="87"/>
      <c r="S203" s="87"/>
    </row>
    <row r="204" spans="2:19" ht="19.5" customHeight="1" x14ac:dyDescent="0.25">
      <c r="B204" s="54"/>
      <c r="C204" s="32"/>
      <c r="G204" s="32"/>
      <c r="H204" s="1062" t="s">
        <v>95</v>
      </c>
      <c r="I204" s="1062"/>
      <c r="R204" s="134"/>
      <c r="S204" s="134"/>
    </row>
    <row r="205" spans="2:19" ht="16.5" customHeight="1" x14ac:dyDescent="0.2">
      <c r="B205" s="199" t="s">
        <v>168</v>
      </c>
      <c r="C205" s="32"/>
      <c r="G205" s="32"/>
      <c r="H205" s="934"/>
      <c r="I205" s="935"/>
      <c r="J205" s="82" t="s">
        <v>266</v>
      </c>
      <c r="R205" s="134"/>
      <c r="S205" s="134"/>
    </row>
    <row r="206" spans="2:19" ht="15" customHeight="1" x14ac:dyDescent="0.2">
      <c r="B206" s="199" t="s">
        <v>169</v>
      </c>
      <c r="C206" s="32"/>
      <c r="G206" s="32"/>
      <c r="H206" s="934"/>
      <c r="I206" s="935"/>
      <c r="J206" s="82" t="s">
        <v>266</v>
      </c>
      <c r="R206" s="134"/>
      <c r="S206" s="134"/>
    </row>
    <row r="207" spans="2:19" ht="15" customHeight="1" x14ac:dyDescent="0.2">
      <c r="B207" s="199" t="s">
        <v>2255</v>
      </c>
      <c r="C207" s="32"/>
      <c r="G207" s="32"/>
      <c r="H207" s="925"/>
      <c r="I207" s="925"/>
      <c r="J207" s="82" t="s">
        <v>267</v>
      </c>
      <c r="O207" s="133"/>
      <c r="R207" s="5"/>
      <c r="S207" s="5"/>
    </row>
    <row r="208" spans="2:19" ht="15" customHeight="1" x14ac:dyDescent="0.2">
      <c r="B208" s="48"/>
      <c r="C208" s="32"/>
      <c r="G208" s="32"/>
      <c r="H208" s="79"/>
      <c r="I208" s="77"/>
      <c r="R208" s="5"/>
      <c r="S208" s="5"/>
    </row>
    <row r="209" spans="2:19" ht="15" customHeight="1" x14ac:dyDescent="0.2">
      <c r="B209" s="199" t="s">
        <v>99</v>
      </c>
      <c r="C209" s="32"/>
      <c r="G209" s="936"/>
      <c r="H209" s="940"/>
      <c r="I209" s="644"/>
      <c r="K209" s="936"/>
      <c r="L209" s="936"/>
      <c r="M209" s="53"/>
      <c r="R209" s="5"/>
      <c r="S209" s="5"/>
    </row>
    <row r="210" spans="2:19" ht="15" customHeight="1" x14ac:dyDescent="0.2">
      <c r="B210" s="48"/>
      <c r="C210" s="32"/>
      <c r="D210" s="32"/>
      <c r="E210" s="32"/>
      <c r="F210" s="32"/>
      <c r="G210" s="32"/>
      <c r="R210" s="5"/>
      <c r="S210" s="5"/>
    </row>
    <row r="211" spans="2:19" ht="15" customHeight="1" x14ac:dyDescent="0.2">
      <c r="B211" s="32"/>
      <c r="C211" s="32"/>
      <c r="D211" s="32"/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5"/>
    </row>
    <row r="212" spans="2:19" ht="20.100000000000001" customHeight="1" x14ac:dyDescent="0.2">
      <c r="B212" s="171" t="s">
        <v>53</v>
      </c>
      <c r="C212" s="118">
        <v>0</v>
      </c>
      <c r="D212" s="118">
        <v>1</v>
      </c>
      <c r="E212" s="118">
        <v>2</v>
      </c>
      <c r="F212" s="118">
        <v>3</v>
      </c>
      <c r="G212" s="118">
        <v>4</v>
      </c>
      <c r="H212" s="118">
        <v>5</v>
      </c>
      <c r="I212" s="118">
        <v>6</v>
      </c>
      <c r="J212" s="118">
        <v>7</v>
      </c>
      <c r="K212" s="118">
        <v>8</v>
      </c>
      <c r="L212" s="118">
        <v>9</v>
      </c>
      <c r="M212" s="118">
        <v>10</v>
      </c>
      <c r="N212" s="524" t="s">
        <v>0</v>
      </c>
      <c r="O212" s="32"/>
      <c r="P212" s="32"/>
      <c r="Q212" s="32"/>
      <c r="R212" s="5"/>
    </row>
    <row r="213" spans="2:19" ht="20.100000000000001" customHeight="1" x14ac:dyDescent="0.2">
      <c r="B213" s="34" t="s">
        <v>50</v>
      </c>
      <c r="C213" s="645">
        <f>((C214*base1!U178/base1!U177)*base1!U179)+C214</f>
        <v>0</v>
      </c>
      <c r="D213" s="645">
        <f>$C$213*(1+$H$207)^(D212-$C$212)</f>
        <v>0</v>
      </c>
      <c r="E213" s="645">
        <f t="shared" ref="E213:M213" si="0">$C$213*(1+$H$207)^(E212-$C$212)</f>
        <v>0</v>
      </c>
      <c r="F213" s="645">
        <f t="shared" si="0"/>
        <v>0</v>
      </c>
      <c r="G213" s="645">
        <f t="shared" si="0"/>
        <v>0</v>
      </c>
      <c r="H213" s="645">
        <f t="shared" si="0"/>
        <v>0</v>
      </c>
      <c r="I213" s="645">
        <f t="shared" si="0"/>
        <v>0</v>
      </c>
      <c r="J213" s="645">
        <f t="shared" si="0"/>
        <v>0</v>
      </c>
      <c r="K213" s="645">
        <f t="shared" si="0"/>
        <v>0</v>
      </c>
      <c r="L213" s="645">
        <f t="shared" si="0"/>
        <v>0</v>
      </c>
      <c r="M213" s="645">
        <f t="shared" si="0"/>
        <v>0</v>
      </c>
      <c r="N213" s="646">
        <f>+SUM(D213:M213)</f>
        <v>0</v>
      </c>
      <c r="O213" s="32"/>
      <c r="P213" s="32"/>
      <c r="Q213" s="32"/>
      <c r="R213" s="5"/>
    </row>
    <row r="214" spans="2:19" ht="20.100000000000001" customHeight="1" x14ac:dyDescent="0.2">
      <c r="B214" s="34" t="s">
        <v>51</v>
      </c>
      <c r="C214" s="645">
        <f>H205+H206</f>
        <v>0</v>
      </c>
      <c r="D214" s="645">
        <f>+C214</f>
        <v>0</v>
      </c>
      <c r="E214" s="645">
        <f t="shared" ref="E214:M214" si="1">+D214</f>
        <v>0</v>
      </c>
      <c r="F214" s="645">
        <f t="shared" si="1"/>
        <v>0</v>
      </c>
      <c r="G214" s="645">
        <f t="shared" si="1"/>
        <v>0</v>
      </c>
      <c r="H214" s="645">
        <f t="shared" si="1"/>
        <v>0</v>
      </c>
      <c r="I214" s="645">
        <f t="shared" si="1"/>
        <v>0</v>
      </c>
      <c r="J214" s="645">
        <f t="shared" si="1"/>
        <v>0</v>
      </c>
      <c r="K214" s="645">
        <f t="shared" si="1"/>
        <v>0</v>
      </c>
      <c r="L214" s="645">
        <f t="shared" si="1"/>
        <v>0</v>
      </c>
      <c r="M214" s="645">
        <f t="shared" si="1"/>
        <v>0</v>
      </c>
      <c r="N214" s="646">
        <f t="shared" ref="N214" si="2">+SUM(D214:M214)</f>
        <v>0</v>
      </c>
      <c r="O214" s="32"/>
      <c r="P214" s="32"/>
      <c r="Q214" s="32"/>
      <c r="R214" s="5"/>
    </row>
    <row r="215" spans="2:19" ht="15" customHeight="1" x14ac:dyDescent="0.2">
      <c r="B215" s="32"/>
      <c r="C215" s="32"/>
      <c r="D215" s="32"/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5"/>
    </row>
    <row r="216" spans="2:19" ht="15" customHeight="1" x14ac:dyDescent="0.2">
      <c r="B216" s="32"/>
      <c r="C216" s="1059" t="s">
        <v>2455</v>
      </c>
      <c r="D216" s="1060"/>
      <c r="E216" s="1060"/>
      <c r="F216" s="1060"/>
      <c r="G216" s="1060"/>
      <c r="H216" s="1061"/>
      <c r="I216" s="135">
        <f>ROUNDUP((H213/365),0)*3</f>
        <v>0</v>
      </c>
      <c r="J216" s="32"/>
      <c r="K216" s="32"/>
      <c r="L216" s="32"/>
      <c r="M216" s="32"/>
      <c r="N216" s="32"/>
      <c r="O216" s="32"/>
      <c r="P216" s="32"/>
      <c r="Q216" s="32"/>
      <c r="R216" s="5"/>
    </row>
    <row r="217" spans="2:19" ht="15" customHeight="1" x14ac:dyDescent="0.2">
      <c r="B217" s="32"/>
      <c r="C217" s="32"/>
      <c r="D217" s="32"/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5"/>
    </row>
    <row r="218" spans="2:19" ht="15" customHeight="1" x14ac:dyDescent="0.2">
      <c r="B218" s="546" t="s">
        <v>2292</v>
      </c>
      <c r="Q218" s="32"/>
      <c r="R218" s="5"/>
      <c r="S218" s="5"/>
    </row>
    <row r="219" spans="2:19" ht="39" customHeight="1" x14ac:dyDescent="0.2">
      <c r="B219" s="903" t="s">
        <v>45</v>
      </c>
      <c r="C219" s="903"/>
      <c r="D219" s="921" t="s">
        <v>224</v>
      </c>
      <c r="E219" s="922"/>
      <c r="F219" s="921" t="s">
        <v>103</v>
      </c>
      <c r="G219" s="922"/>
      <c r="H219" s="926" t="s">
        <v>2227</v>
      </c>
      <c r="I219" s="926" t="s">
        <v>2130</v>
      </c>
      <c r="J219" s="930" t="s">
        <v>2131</v>
      </c>
      <c r="K219" s="920" t="s">
        <v>2132</v>
      </c>
      <c r="L219" s="930" t="s">
        <v>2133</v>
      </c>
      <c r="M219" s="920" t="s">
        <v>2134</v>
      </c>
      <c r="N219" s="903" t="s">
        <v>2135</v>
      </c>
      <c r="O219" s="932" t="s">
        <v>2136</v>
      </c>
      <c r="P219" s="933"/>
    </row>
    <row r="220" spans="2:19" ht="48" customHeight="1" x14ac:dyDescent="0.2">
      <c r="B220" s="903"/>
      <c r="C220" s="903"/>
      <c r="D220" s="923"/>
      <c r="E220" s="924"/>
      <c r="F220" s="923"/>
      <c r="G220" s="924"/>
      <c r="H220" s="927"/>
      <c r="I220" s="927"/>
      <c r="J220" s="931"/>
      <c r="K220" s="920"/>
      <c r="L220" s="931"/>
      <c r="M220" s="920"/>
      <c r="N220" s="903"/>
      <c r="O220" s="158" t="s">
        <v>225</v>
      </c>
      <c r="P220" s="158" t="s">
        <v>226</v>
      </c>
    </row>
    <row r="221" spans="2:19" ht="26.25" customHeight="1" x14ac:dyDescent="0.2">
      <c r="B221" s="957" t="s">
        <v>100</v>
      </c>
      <c r="C221" s="957"/>
      <c r="D221" s="928"/>
      <c r="E221" s="929"/>
      <c r="F221" s="919"/>
      <c r="G221" s="919"/>
      <c r="H221" s="590"/>
      <c r="I221" s="125"/>
      <c r="J221" s="129" t="str">
        <f>IF(I221=0,"",H221/I221)</f>
        <v/>
      </c>
      <c r="K221" s="130"/>
      <c r="L221" s="129" t="str">
        <f>IF(K221=0,"",J221/K221*1)</f>
        <v/>
      </c>
      <c r="M221" s="125"/>
      <c r="N221" s="131" t="str">
        <f>IF(K221=0,"",ROUNDUP((M221/L221),0))</f>
        <v/>
      </c>
      <c r="O221" s="132">
        <f>+IF(D221="URBANO",IF(K221=0,"",N221*H221),0)</f>
        <v>0</v>
      </c>
      <c r="P221" s="132">
        <f>+IF(D221="RURAL",IF(K221=0,"",N221*H221),0)</f>
        <v>0</v>
      </c>
    </row>
    <row r="222" spans="2:19" ht="26.25" customHeight="1" x14ac:dyDescent="0.2">
      <c r="B222" s="957" t="s">
        <v>101</v>
      </c>
      <c r="C222" s="957"/>
      <c r="D222" s="928"/>
      <c r="E222" s="929"/>
      <c r="F222" s="912"/>
      <c r="G222" s="912"/>
      <c r="H222" s="590"/>
      <c r="I222" s="125"/>
      <c r="J222" s="129" t="str">
        <f>IF(I222=0,"",H222/I222)</f>
        <v/>
      </c>
      <c r="K222" s="130"/>
      <c r="L222" s="129" t="str">
        <f t="shared" ref="L222:L225" si="3">IF(K222=0,"",J222/K222*1)</f>
        <v/>
      </c>
      <c r="M222" s="125"/>
      <c r="N222" s="131" t="str">
        <f t="shared" ref="N222:N225" si="4">IF(K222=0,"",ROUNDUP((M222/L222),0))</f>
        <v/>
      </c>
      <c r="O222" s="132">
        <f t="shared" ref="O222:O225" si="5">+IF(D222="URBANO",IF(K222=0,"",N222*H222),0)</f>
        <v>0</v>
      </c>
      <c r="P222" s="132">
        <f>+IF(D222="RURAL",IF(K222=0,"",N222*H222),0)</f>
        <v>0</v>
      </c>
    </row>
    <row r="223" spans="2:19" ht="23.25" customHeight="1" x14ac:dyDescent="0.2">
      <c r="B223" s="982" t="s">
        <v>102</v>
      </c>
      <c r="C223" s="983"/>
      <c r="D223" s="928"/>
      <c r="E223" s="929"/>
      <c r="F223" s="912"/>
      <c r="G223" s="912"/>
      <c r="H223" s="590"/>
      <c r="I223" s="125"/>
      <c r="J223" s="129" t="str">
        <f t="shared" ref="J223:J224" si="6">IF(I223=0,"",H223/I223)</f>
        <v/>
      </c>
      <c r="K223" s="130"/>
      <c r="L223" s="129" t="str">
        <f t="shared" si="3"/>
        <v/>
      </c>
      <c r="M223" s="125"/>
      <c r="N223" s="131" t="str">
        <f t="shared" si="4"/>
        <v/>
      </c>
      <c r="O223" s="132">
        <f t="shared" si="5"/>
        <v>0</v>
      </c>
      <c r="P223" s="132">
        <f t="shared" ref="P223:P225" si="7">+IF(D223="RURAL",IF(K223=0,"",N223*H223),0)</f>
        <v>0</v>
      </c>
    </row>
    <row r="224" spans="2:19" ht="23.25" customHeight="1" x14ac:dyDescent="0.2">
      <c r="B224" s="982" t="s">
        <v>227</v>
      </c>
      <c r="C224" s="983"/>
      <c r="D224" s="928"/>
      <c r="E224" s="929"/>
      <c r="F224" s="912"/>
      <c r="G224" s="912"/>
      <c r="H224" s="590"/>
      <c r="I224" s="125"/>
      <c r="J224" s="129" t="str">
        <f t="shared" si="6"/>
        <v/>
      </c>
      <c r="K224" s="130"/>
      <c r="L224" s="129" t="str">
        <f t="shared" si="3"/>
        <v/>
      </c>
      <c r="M224" s="125"/>
      <c r="N224" s="131" t="str">
        <f t="shared" si="4"/>
        <v/>
      </c>
      <c r="O224" s="132">
        <f t="shared" si="5"/>
        <v>0</v>
      </c>
      <c r="P224" s="132">
        <f t="shared" si="7"/>
        <v>0</v>
      </c>
    </row>
    <row r="225" spans="2:19" ht="23.25" customHeight="1" x14ac:dyDescent="0.2">
      <c r="B225" s="982" t="s">
        <v>228</v>
      </c>
      <c r="C225" s="983"/>
      <c r="D225" s="928"/>
      <c r="E225" s="929"/>
      <c r="F225" s="912"/>
      <c r="G225" s="912"/>
      <c r="H225" s="590"/>
      <c r="I225" s="125"/>
      <c r="J225" s="129" t="str">
        <f>IF(I225=0,"",H225/I225)</f>
        <v/>
      </c>
      <c r="K225" s="130"/>
      <c r="L225" s="129" t="str">
        <f t="shared" si="3"/>
        <v/>
      </c>
      <c r="M225" s="125"/>
      <c r="N225" s="131" t="str">
        <f t="shared" si="4"/>
        <v/>
      </c>
      <c r="O225" s="132">
        <f t="shared" si="5"/>
        <v>0</v>
      </c>
      <c r="P225" s="132">
        <f t="shared" si="7"/>
        <v>0</v>
      </c>
    </row>
    <row r="226" spans="2:19" s="624" customFormat="1" ht="23.25" customHeight="1" x14ac:dyDescent="0.2">
      <c r="B226" s="913" t="s">
        <v>2527</v>
      </c>
      <c r="C226" s="914"/>
      <c r="D226" s="910"/>
      <c r="E226" s="911"/>
      <c r="F226" s="912"/>
      <c r="G226" s="912"/>
      <c r="H226" s="618"/>
      <c r="I226" s="619"/>
      <c r="J226" s="620" t="str">
        <f t="shared" ref="J226:J227" si="8">IF(I226=0,"",H226/I226)</f>
        <v/>
      </c>
      <c r="K226" s="621"/>
      <c r="L226" s="620" t="str">
        <f t="shared" ref="L226:L228" si="9">IF(K226=0,"",J226/K226*1)</f>
        <v/>
      </c>
      <c r="M226" s="619"/>
      <c r="N226" s="622" t="str">
        <f t="shared" ref="N226:N228" si="10">IF(K226=0,"",ROUNDUP((M226/L226),0))</f>
        <v/>
      </c>
      <c r="O226" s="623">
        <f t="shared" ref="O226:O228" si="11">+IF(D226="URBANO",IF(K226=0,"",N226*H226),0)</f>
        <v>0</v>
      </c>
      <c r="P226" s="623">
        <f t="shared" ref="P226:P228" si="12">+IF(D226="RURAL",IF(K226=0,"",N226*H226),0)</f>
        <v>0</v>
      </c>
    </row>
    <row r="227" spans="2:19" s="624" customFormat="1" ht="26.25" customHeight="1" x14ac:dyDescent="0.2">
      <c r="B227" s="913" t="s">
        <v>2526</v>
      </c>
      <c r="C227" s="914"/>
      <c r="D227" s="910"/>
      <c r="E227" s="911"/>
      <c r="F227" s="912"/>
      <c r="G227" s="912"/>
      <c r="H227" s="618"/>
      <c r="I227" s="619"/>
      <c r="J227" s="620" t="str">
        <f t="shared" si="8"/>
        <v/>
      </c>
      <c r="K227" s="621"/>
      <c r="L227" s="620" t="str">
        <f t="shared" si="9"/>
        <v/>
      </c>
      <c r="M227" s="619"/>
      <c r="N227" s="622" t="str">
        <f t="shared" si="10"/>
        <v/>
      </c>
      <c r="O227" s="623">
        <f t="shared" si="11"/>
        <v>0</v>
      </c>
      <c r="P227" s="623">
        <f t="shared" si="12"/>
        <v>0</v>
      </c>
    </row>
    <row r="228" spans="2:19" s="624" customFormat="1" ht="20.100000000000001" customHeight="1" x14ac:dyDescent="0.2">
      <c r="B228" s="913" t="s">
        <v>2528</v>
      </c>
      <c r="C228" s="914"/>
      <c r="D228" s="910"/>
      <c r="E228" s="911"/>
      <c r="F228" s="912"/>
      <c r="G228" s="912"/>
      <c r="H228" s="618"/>
      <c r="I228" s="619"/>
      <c r="J228" s="620" t="str">
        <f>IF(I228=0,"",H228/I228)</f>
        <v/>
      </c>
      <c r="K228" s="621"/>
      <c r="L228" s="620" t="str">
        <f t="shared" si="9"/>
        <v/>
      </c>
      <c r="M228" s="619"/>
      <c r="N228" s="622" t="str">
        <f t="shared" si="10"/>
        <v/>
      </c>
      <c r="O228" s="623">
        <f t="shared" si="11"/>
        <v>0</v>
      </c>
      <c r="P228" s="623">
        <f t="shared" si="12"/>
        <v>0</v>
      </c>
    </row>
    <row r="229" spans="2:19" ht="20.100000000000001" customHeight="1" x14ac:dyDescent="0.2">
      <c r="B229" s="531" t="s">
        <v>0</v>
      </c>
      <c r="C229" s="532"/>
      <c r="D229" s="80"/>
      <c r="E229" s="80"/>
      <c r="F229" s="80"/>
      <c r="G229" s="78"/>
      <c r="H229" s="33"/>
      <c r="I229" s="33"/>
      <c r="J229" s="23"/>
      <c r="K229" s="33"/>
      <c r="M229" s="118"/>
      <c r="N229" s="671" t="str">
        <f>IF(SUM(N221:N228)=0,"",SUM(N221:N228))</f>
        <v/>
      </c>
      <c r="O229" s="136" t="str">
        <f>IF(SUM(O221:O228)=0,"",O221+O222+O223+O224+O225+O226+O227+O228)</f>
        <v/>
      </c>
      <c r="P229" s="136" t="str">
        <f>IF(SUM(P221:P228)=0,"",P221+P222+P223+P224+P225+P226+P227+P228)</f>
        <v/>
      </c>
    </row>
    <row r="230" spans="2:19" ht="20.100000000000001" customHeight="1" x14ac:dyDescent="0.25">
      <c r="B230" s="48"/>
      <c r="C230" s="32"/>
      <c r="F230" s="32"/>
      <c r="G230" s="32"/>
      <c r="H230" s="35"/>
      <c r="I230" s="35"/>
      <c r="J230" s="35"/>
      <c r="K230" s="35"/>
      <c r="L230" s="32"/>
      <c r="M230" s="35"/>
      <c r="N230" s="81" t="s">
        <v>229</v>
      </c>
      <c r="O230" s="1030">
        <f>IF(O229:P229=0,"",SUM(O229:P229))</f>
        <v>0</v>
      </c>
      <c r="P230" s="1031"/>
    </row>
    <row r="231" spans="2:19" ht="15" customHeight="1" x14ac:dyDescent="0.2">
      <c r="B231" s="907" t="s">
        <v>2422</v>
      </c>
      <c r="C231" s="907"/>
      <c r="D231" s="907"/>
      <c r="E231" s="907"/>
      <c r="F231" s="907"/>
      <c r="G231" s="907"/>
      <c r="H231" s="907"/>
      <c r="I231" s="907"/>
      <c r="J231" s="907"/>
      <c r="K231" s="907"/>
      <c r="L231" s="907"/>
      <c r="M231" s="907"/>
      <c r="N231" s="907"/>
      <c r="O231" s="907"/>
      <c r="P231" s="907"/>
      <c r="Q231" s="907"/>
    </row>
    <row r="232" spans="2:19" ht="15" customHeight="1" x14ac:dyDescent="0.25">
      <c r="B232" s="48"/>
      <c r="C232" s="32"/>
      <c r="F232" s="32"/>
      <c r="G232" s="32"/>
      <c r="H232" s="35"/>
      <c r="I232" s="35"/>
      <c r="J232" s="35"/>
      <c r="K232" s="35"/>
      <c r="L232" s="32"/>
      <c r="M232" s="35"/>
      <c r="N232" s="187"/>
      <c r="O232" s="198"/>
      <c r="P232" s="41"/>
    </row>
    <row r="233" spans="2:19" ht="15" customHeight="1" x14ac:dyDescent="0.2">
      <c r="B233" s="943" t="s">
        <v>237</v>
      </c>
      <c r="C233" s="943"/>
      <c r="D233" s="943"/>
      <c r="E233" s="943"/>
      <c r="F233" s="943"/>
      <c r="G233" s="32"/>
      <c r="H233" s="32"/>
      <c r="I233" s="32"/>
      <c r="J233" s="32"/>
      <c r="K233" s="32"/>
      <c r="L233" s="32"/>
      <c r="M233" s="32"/>
      <c r="O233" s="35"/>
      <c r="P233" s="35"/>
      <c r="Q233" s="32"/>
      <c r="R233" s="5"/>
      <c r="S233" s="5"/>
    </row>
    <row r="234" spans="2:19" ht="15" customHeight="1" x14ac:dyDescent="0.2">
      <c r="B234" s="32"/>
      <c r="C234" s="32"/>
      <c r="D234" s="32"/>
      <c r="E234" s="82"/>
      <c r="K234" s="83"/>
      <c r="O234" s="35"/>
      <c r="P234" s="35"/>
      <c r="Q234" s="32"/>
      <c r="R234" s="5"/>
      <c r="S234" s="5"/>
    </row>
    <row r="235" spans="2:19" ht="15" customHeight="1" x14ac:dyDescent="0.2">
      <c r="B235" s="533" t="s">
        <v>239</v>
      </c>
      <c r="C235" s="984"/>
      <c r="D235" s="984"/>
      <c r="E235" s="82"/>
      <c r="K235" s="83"/>
      <c r="O235" s="35"/>
      <c r="P235" s="35"/>
      <c r="Q235" s="32"/>
      <c r="R235" s="5"/>
      <c r="S235" s="5"/>
    </row>
    <row r="236" spans="2:19" ht="27.75" customHeight="1" x14ac:dyDescent="0.2">
      <c r="B236" s="84"/>
      <c r="C236" s="116" t="s">
        <v>225</v>
      </c>
      <c r="D236" s="116" t="s">
        <v>226</v>
      </c>
      <c r="E236" s="116" t="s">
        <v>225</v>
      </c>
      <c r="F236" s="116" t="s">
        <v>226</v>
      </c>
      <c r="G236" s="160" t="s">
        <v>242</v>
      </c>
      <c r="H236" s="32"/>
      <c r="I236" s="32"/>
      <c r="J236" s="32"/>
      <c r="K236" s="32"/>
      <c r="L236" s="32"/>
      <c r="M236" s="32"/>
      <c r="O236" s="35"/>
      <c r="P236" s="35"/>
      <c r="Q236" s="32"/>
      <c r="R236" s="5"/>
      <c r="S236" s="5"/>
    </row>
    <row r="237" spans="2:19" ht="20.100000000000001" customHeight="1" x14ac:dyDescent="0.2">
      <c r="B237" s="76" t="s">
        <v>243</v>
      </c>
      <c r="C237" s="655"/>
      <c r="D237" s="594"/>
      <c r="E237" s="647">
        <f>+C237*base1!S194</f>
        <v>0</v>
      </c>
      <c r="F237" s="647">
        <f>D237*base1!S195</f>
        <v>0</v>
      </c>
      <c r="G237" s="648">
        <f>(C237+D237)*2</f>
        <v>0</v>
      </c>
      <c r="I237" s="82"/>
      <c r="O237" s="35"/>
      <c r="P237" s="35"/>
      <c r="Q237" s="32"/>
      <c r="R237" s="5"/>
      <c r="S237" s="5"/>
    </row>
    <row r="238" spans="2:19" ht="20.100000000000001" customHeight="1" x14ac:dyDescent="0.2">
      <c r="B238" s="76" t="s">
        <v>245</v>
      </c>
      <c r="C238" s="655"/>
      <c r="D238" s="654"/>
      <c r="E238" s="649">
        <f>C238*base1!T194</f>
        <v>0</v>
      </c>
      <c r="F238" s="647">
        <f>D238*base1!T195</f>
        <v>0</v>
      </c>
      <c r="G238" s="648">
        <f>(C238+D238)*1</f>
        <v>0</v>
      </c>
      <c r="I238" s="82"/>
      <c r="O238" s="35"/>
      <c r="P238" s="35"/>
      <c r="Q238" s="32"/>
      <c r="R238" s="5"/>
      <c r="S238" s="5"/>
    </row>
    <row r="239" spans="2:19" ht="20.100000000000001" customHeight="1" x14ac:dyDescent="0.2">
      <c r="B239" s="76" t="s">
        <v>234</v>
      </c>
      <c r="C239" s="655"/>
      <c r="D239" s="594"/>
      <c r="E239" s="649">
        <f>C239*base1!U194</f>
        <v>0</v>
      </c>
      <c r="F239" s="647"/>
      <c r="G239" s="648">
        <f>C239*2</f>
        <v>0</v>
      </c>
      <c r="I239" s="82"/>
      <c r="O239" s="35"/>
      <c r="P239" s="35"/>
      <c r="Q239" s="32"/>
      <c r="R239" s="5"/>
      <c r="S239" s="5"/>
    </row>
    <row r="240" spans="2:19" ht="20.100000000000001" customHeight="1" x14ac:dyDescent="0.2">
      <c r="B240" s="34" t="s">
        <v>229</v>
      </c>
      <c r="C240" s="595"/>
      <c r="D240" s="595"/>
      <c r="E240" s="650">
        <f>E237+E238+E239</f>
        <v>0</v>
      </c>
      <c r="F240" s="651">
        <f>F237+F238</f>
        <v>0</v>
      </c>
      <c r="G240" s="652">
        <f>G237+G238+G239</f>
        <v>0</v>
      </c>
      <c r="I240" s="32"/>
      <c r="J240" s="32"/>
      <c r="K240" s="32"/>
      <c r="L240" s="32"/>
      <c r="M240" s="32"/>
      <c r="N240" s="32"/>
      <c r="O240" s="35"/>
      <c r="P240" s="35"/>
      <c r="Q240" s="32"/>
      <c r="R240" s="5"/>
      <c r="S240" s="5"/>
    </row>
    <row r="241" spans="2:19" ht="20.100000000000001" customHeight="1" x14ac:dyDescent="0.2">
      <c r="B241" s="84" t="s">
        <v>248</v>
      </c>
      <c r="C241" s="596"/>
      <c r="D241" s="596"/>
      <c r="E241" s="151" t="str">
        <f>IF(O229="","",E240/O229)</f>
        <v/>
      </c>
      <c r="F241" s="151" t="str">
        <f>IF(P229="","",F240/P229)</f>
        <v/>
      </c>
      <c r="G241" s="653"/>
      <c r="I241" s="32"/>
      <c r="J241" s="32"/>
      <c r="K241" s="32"/>
      <c r="O241" s="35"/>
      <c r="P241" s="35"/>
      <c r="Q241" s="32"/>
      <c r="R241" s="5"/>
      <c r="S241" s="5"/>
    </row>
    <row r="242" spans="2:19" ht="20.100000000000001" customHeight="1" x14ac:dyDescent="0.2">
      <c r="B242" s="32"/>
      <c r="C242" s="86"/>
      <c r="D242" s="86"/>
      <c r="E242" s="1063" t="str">
        <f>IF(E241="","",AVERAGE(E241:F241))</f>
        <v/>
      </c>
      <c r="F242" s="1064"/>
      <c r="G242" s="85"/>
      <c r="O242" s="35"/>
      <c r="P242" s="35"/>
      <c r="Q242" s="32"/>
      <c r="R242" s="5"/>
      <c r="S242" s="5"/>
    </row>
    <row r="243" spans="2:19" ht="15" customHeight="1" x14ac:dyDescent="0.2">
      <c r="B243" s="32"/>
      <c r="C243" s="32"/>
      <c r="D243" s="32"/>
      <c r="E243" s="82" t="s">
        <v>249</v>
      </c>
      <c r="J243" s="32"/>
      <c r="K243" s="32"/>
      <c r="O243" s="35"/>
      <c r="P243" s="35"/>
      <c r="Q243" s="32"/>
      <c r="R243" s="5"/>
      <c r="S243" s="5"/>
    </row>
    <row r="244" spans="2:19" ht="15" customHeight="1" x14ac:dyDescent="0.2">
      <c r="B244" s="152" t="s">
        <v>250</v>
      </c>
      <c r="C244" s="32"/>
      <c r="D244" s="32"/>
      <c r="F244" s="32"/>
      <c r="G244" s="32"/>
      <c r="H244" s="32"/>
      <c r="I244" s="32"/>
      <c r="J244" s="32"/>
      <c r="K244" s="32"/>
      <c r="O244" s="35"/>
      <c r="P244" s="35"/>
      <c r="Q244" s="32"/>
      <c r="R244" s="5"/>
      <c r="S244" s="5"/>
    </row>
    <row r="245" spans="2:19" ht="15" customHeight="1" x14ac:dyDescent="0.2"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O245" s="35"/>
      <c r="P245" s="35"/>
      <c r="Q245" s="32"/>
      <c r="R245" s="5"/>
      <c r="S245" s="5"/>
    </row>
    <row r="246" spans="2:19" ht="24.95" customHeight="1" x14ac:dyDescent="0.2">
      <c r="B246" s="84"/>
      <c r="C246" s="213" t="s">
        <v>240</v>
      </c>
      <c r="D246" s="214" t="s">
        <v>231</v>
      </c>
      <c r="E246" s="214" t="s">
        <v>229</v>
      </c>
      <c r="F246" s="32"/>
      <c r="G246" s="32"/>
      <c r="H246" s="32"/>
      <c r="I246" s="32"/>
      <c r="O246" s="35"/>
      <c r="P246" s="35"/>
      <c r="Q246" s="32"/>
      <c r="R246" s="5"/>
      <c r="S246" s="5"/>
    </row>
    <row r="247" spans="2:19" ht="24.95" customHeight="1" x14ac:dyDescent="0.2">
      <c r="B247" s="589" t="s">
        <v>243</v>
      </c>
      <c r="C247" s="597"/>
      <c r="D247" s="599"/>
      <c r="E247" s="600">
        <f>D247*C247</f>
        <v>0</v>
      </c>
      <c r="F247" s="32"/>
      <c r="G247" s="32"/>
      <c r="H247" s="32"/>
      <c r="I247" s="32"/>
      <c r="O247" s="35"/>
      <c r="P247" s="35"/>
      <c r="Q247" s="32"/>
      <c r="R247" s="5"/>
      <c r="S247" s="5"/>
    </row>
    <row r="248" spans="2:19" ht="24.95" customHeight="1" x14ac:dyDescent="0.2">
      <c r="B248" s="589" t="s">
        <v>245</v>
      </c>
      <c r="C248" s="656"/>
      <c r="D248" s="599"/>
      <c r="E248" s="600">
        <f>D248*C248</f>
        <v>0</v>
      </c>
      <c r="F248" s="32"/>
      <c r="G248" s="32"/>
      <c r="H248" s="32"/>
      <c r="I248" s="32"/>
      <c r="O248" s="35"/>
      <c r="P248" s="35"/>
      <c r="Q248" s="32"/>
      <c r="R248" s="5"/>
      <c r="S248" s="5"/>
    </row>
    <row r="249" spans="2:19" ht="24.95" customHeight="1" x14ac:dyDescent="0.2">
      <c r="B249" s="589" t="s">
        <v>234</v>
      </c>
      <c r="C249" s="656"/>
      <c r="D249" s="599"/>
      <c r="E249" s="600">
        <f>D249*C249</f>
        <v>0</v>
      </c>
      <c r="F249" s="32"/>
      <c r="G249" s="32"/>
      <c r="H249" s="32"/>
      <c r="I249" s="32"/>
      <c r="O249" s="35"/>
      <c r="P249" s="35"/>
      <c r="Q249" s="32"/>
      <c r="R249" s="5"/>
      <c r="S249" s="5"/>
    </row>
    <row r="250" spans="2:19" ht="24.95" customHeight="1" x14ac:dyDescent="0.2">
      <c r="B250" s="601" t="s">
        <v>229</v>
      </c>
      <c r="C250" s="602"/>
      <c r="D250" s="603">
        <f>D247+D248+D249</f>
        <v>0</v>
      </c>
      <c r="E250" s="603">
        <f>E247+E248+E249</f>
        <v>0</v>
      </c>
      <c r="F250" s="32"/>
      <c r="G250" s="32"/>
      <c r="H250" s="32"/>
      <c r="I250" s="32"/>
      <c r="O250" s="35"/>
      <c r="P250" s="35"/>
      <c r="Q250" s="32"/>
      <c r="R250" s="5"/>
      <c r="S250" s="5"/>
    </row>
    <row r="251" spans="2:19" ht="24.95" customHeight="1" x14ac:dyDescent="0.2">
      <c r="B251" s="938" t="s">
        <v>248</v>
      </c>
      <c r="C251" s="939"/>
      <c r="D251" s="945" t="str">
        <f>IF(E250=0,"",E250/O230)</f>
        <v/>
      </c>
      <c r="E251" s="945"/>
      <c r="G251" s="32"/>
      <c r="H251" s="32"/>
      <c r="I251" s="32"/>
      <c r="J251" s="32"/>
      <c r="O251" s="35"/>
      <c r="P251" s="35"/>
      <c r="Q251" s="32"/>
      <c r="R251" s="5"/>
      <c r="S251" s="5"/>
    </row>
    <row r="252" spans="2:19" ht="15" customHeight="1" x14ac:dyDescent="0.2">
      <c r="B252" s="32"/>
      <c r="C252" s="32"/>
      <c r="D252" s="32"/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5"/>
    </row>
    <row r="253" spans="2:19" ht="24.95" customHeight="1" x14ac:dyDescent="0.2">
      <c r="B253" s="159" t="s">
        <v>2240</v>
      </c>
      <c r="C253" s="160">
        <v>0</v>
      </c>
      <c r="D253" s="160">
        <v>1</v>
      </c>
      <c r="E253" s="160">
        <v>2</v>
      </c>
      <c r="F253" s="160">
        <v>3</v>
      </c>
      <c r="G253" s="160">
        <v>4</v>
      </c>
      <c r="H253" s="160">
        <v>5</v>
      </c>
      <c r="I253" s="160">
        <v>6</v>
      </c>
      <c r="J253" s="160">
        <v>7</v>
      </c>
      <c r="K253" s="160">
        <v>8</v>
      </c>
      <c r="L253" s="160">
        <v>9</v>
      </c>
      <c r="M253" s="160">
        <v>10</v>
      </c>
      <c r="N253" s="170" t="s">
        <v>0</v>
      </c>
      <c r="O253" s="32"/>
      <c r="P253" s="32"/>
      <c r="Q253" s="32"/>
      <c r="R253" s="5"/>
    </row>
    <row r="254" spans="2:19" ht="31.5" customHeight="1" x14ac:dyDescent="0.2">
      <c r="B254" s="170" t="s">
        <v>105</v>
      </c>
      <c r="C254" s="657" t="str">
        <f>+IF(N229="","",N229*365)</f>
        <v/>
      </c>
      <c r="D254" s="657" t="str">
        <f>+C254</f>
        <v/>
      </c>
      <c r="E254" s="657" t="str">
        <f t="shared" ref="E254:M254" si="13">+D254</f>
        <v/>
      </c>
      <c r="F254" s="657" t="str">
        <f t="shared" si="13"/>
        <v/>
      </c>
      <c r="G254" s="657" t="str">
        <f t="shared" si="13"/>
        <v/>
      </c>
      <c r="H254" s="657" t="str">
        <f t="shared" si="13"/>
        <v/>
      </c>
      <c r="I254" s="657" t="str">
        <f t="shared" si="13"/>
        <v/>
      </c>
      <c r="J254" s="657" t="str">
        <f t="shared" si="13"/>
        <v/>
      </c>
      <c r="K254" s="657" t="str">
        <f t="shared" si="13"/>
        <v/>
      </c>
      <c r="L254" s="657" t="str">
        <f t="shared" si="13"/>
        <v/>
      </c>
      <c r="M254" s="657" t="str">
        <f t="shared" si="13"/>
        <v/>
      </c>
      <c r="N254" s="659">
        <f>+SUM(D254:M254)</f>
        <v>0</v>
      </c>
      <c r="O254" s="525"/>
      <c r="P254" s="32"/>
      <c r="Q254" s="32"/>
      <c r="R254" s="5"/>
    </row>
    <row r="255" spans="2:19" ht="24.95" customHeight="1" x14ac:dyDescent="0.2">
      <c r="B255" s="170" t="s">
        <v>106</v>
      </c>
      <c r="C255" s="657" t="str">
        <f>IF(D251="","",C254*D251)</f>
        <v/>
      </c>
      <c r="D255" s="657" t="str">
        <f>+C255</f>
        <v/>
      </c>
      <c r="E255" s="657" t="str">
        <f t="shared" ref="E255:M255" si="14">+D255</f>
        <v/>
      </c>
      <c r="F255" s="657" t="str">
        <f t="shared" si="14"/>
        <v/>
      </c>
      <c r="G255" s="657" t="str">
        <f t="shared" si="14"/>
        <v/>
      </c>
      <c r="H255" s="657" t="str">
        <f t="shared" si="14"/>
        <v/>
      </c>
      <c r="I255" s="657" t="str">
        <f t="shared" si="14"/>
        <v/>
      </c>
      <c r="J255" s="657" t="str">
        <f t="shared" si="14"/>
        <v/>
      </c>
      <c r="K255" s="657" t="str">
        <f t="shared" si="14"/>
        <v/>
      </c>
      <c r="L255" s="657" t="str">
        <f t="shared" si="14"/>
        <v/>
      </c>
      <c r="M255" s="657" t="str">
        <f t="shared" si="14"/>
        <v/>
      </c>
      <c r="N255" s="658"/>
      <c r="O255" s="32"/>
      <c r="P255" s="32"/>
      <c r="Q255" s="32"/>
      <c r="R255" s="5"/>
    </row>
    <row r="256" spans="2:19" ht="6" customHeight="1" x14ac:dyDescent="0.2">
      <c r="B256" s="32"/>
      <c r="C256" s="32"/>
      <c r="D256" s="32"/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19"/>
    </row>
    <row r="257" spans="2:19" ht="15" customHeight="1" x14ac:dyDescent="0.2">
      <c r="B257" s="199" t="s">
        <v>2293</v>
      </c>
      <c r="C257" s="36"/>
      <c r="D257" s="36"/>
      <c r="E257" s="36"/>
      <c r="F257" s="36"/>
      <c r="G257" s="36"/>
      <c r="H257" s="172"/>
      <c r="I257" s="172"/>
      <c r="J257" s="172"/>
      <c r="K257" s="172"/>
      <c r="L257" s="172"/>
      <c r="M257" s="172"/>
      <c r="N257" s="1146"/>
      <c r="O257" s="1146"/>
      <c r="P257" s="1146"/>
      <c r="S257" s="19"/>
    </row>
    <row r="258" spans="2:19" ht="15" customHeight="1" x14ac:dyDescent="0.2">
      <c r="B258" s="48"/>
      <c r="C258" s="88" t="s">
        <v>268</v>
      </c>
      <c r="D258" s="36"/>
      <c r="E258" s="36"/>
      <c r="F258" s="88" t="s">
        <v>2243</v>
      </c>
      <c r="G258" s="36"/>
      <c r="H258" s="36"/>
      <c r="I258" s="37"/>
      <c r="J258" s="37"/>
      <c r="K258" s="37"/>
      <c r="L258" s="37"/>
      <c r="M258" s="37"/>
      <c r="O258" s="37"/>
      <c r="P258" s="37"/>
      <c r="S258" s="19"/>
    </row>
    <row r="259" spans="2:19" ht="20.100000000000001" customHeight="1" x14ac:dyDescent="0.2">
      <c r="B259" s="52" t="s">
        <v>270</v>
      </c>
      <c r="C259" s="884" t="s">
        <v>2448</v>
      </c>
      <c r="D259" s="884"/>
      <c r="E259" s="884"/>
      <c r="F259" s="884"/>
      <c r="G259" s="884" t="s">
        <v>2449</v>
      </c>
      <c r="H259" s="884"/>
      <c r="I259" s="884"/>
      <c r="J259" s="37"/>
      <c r="K259" s="37"/>
      <c r="L259" s="37"/>
      <c r="M259" s="37"/>
      <c r="N259" s="37"/>
      <c r="O259" s="37"/>
      <c r="P259" s="37"/>
      <c r="S259" s="19"/>
    </row>
    <row r="260" spans="2:19" ht="20.100000000000001" customHeight="1" x14ac:dyDescent="0.2">
      <c r="B260" s="52"/>
      <c r="C260" s="882" t="s">
        <v>2490</v>
      </c>
      <c r="D260" s="883"/>
      <c r="E260" s="884" t="s">
        <v>271</v>
      </c>
      <c r="F260" s="884"/>
      <c r="G260" s="884" t="s">
        <v>272</v>
      </c>
      <c r="H260" s="884"/>
      <c r="I260" s="40" t="s">
        <v>271</v>
      </c>
      <c r="J260" s="37"/>
      <c r="K260" s="37"/>
      <c r="L260" s="37"/>
      <c r="M260" s="37"/>
      <c r="N260" s="37"/>
      <c r="O260" s="37"/>
      <c r="P260" s="37"/>
      <c r="S260" s="19"/>
    </row>
    <row r="261" spans="2:19" ht="20.100000000000001" customHeight="1" x14ac:dyDescent="0.2">
      <c r="B261" s="604" t="s">
        <v>273</v>
      </c>
      <c r="C261" s="941"/>
      <c r="D261" s="942"/>
      <c r="E261" s="889"/>
      <c r="F261" s="889"/>
      <c r="G261" s="886">
        <f>I216</f>
        <v>0</v>
      </c>
      <c r="H261" s="887"/>
      <c r="I261" s="660">
        <f>G261</f>
        <v>0</v>
      </c>
      <c r="J261" s="90" t="s">
        <v>274</v>
      </c>
      <c r="K261" s="89"/>
      <c r="L261" s="37"/>
      <c r="M261" s="37"/>
      <c r="N261" s="37"/>
      <c r="O261" s="37"/>
      <c r="P261" s="37"/>
      <c r="S261" s="19"/>
    </row>
    <row r="262" spans="2:19" ht="20.100000000000001" customHeight="1" x14ac:dyDescent="0.2">
      <c r="B262" s="604" t="s">
        <v>275</v>
      </c>
      <c r="C262" s="941"/>
      <c r="D262" s="942"/>
      <c r="E262" s="885"/>
      <c r="F262" s="885"/>
      <c r="G262" s="886">
        <f>G240</f>
        <v>0</v>
      </c>
      <c r="H262" s="887"/>
      <c r="I262" s="660">
        <f>G262*2</f>
        <v>0</v>
      </c>
      <c r="J262" s="500" t="s">
        <v>276</v>
      </c>
      <c r="K262" s="501"/>
      <c r="L262" s="37"/>
      <c r="M262" s="37"/>
      <c r="N262" s="37"/>
      <c r="O262" s="37"/>
      <c r="P262" s="37"/>
      <c r="S262" s="19"/>
    </row>
    <row r="263" spans="2:19" ht="20.100000000000001" customHeight="1" x14ac:dyDescent="0.2">
      <c r="B263" s="604" t="s">
        <v>2143</v>
      </c>
      <c r="C263" s="941"/>
      <c r="D263" s="942"/>
      <c r="E263" s="889"/>
      <c r="F263" s="889"/>
      <c r="G263" s="941"/>
      <c r="H263" s="942"/>
      <c r="I263" s="598"/>
      <c r="J263" s="937" t="s">
        <v>2340</v>
      </c>
      <c r="K263" s="937"/>
      <c r="L263" s="937"/>
      <c r="M263" s="37"/>
      <c r="N263" s="37"/>
      <c r="O263" s="37"/>
      <c r="P263" s="37"/>
      <c r="S263" s="19"/>
    </row>
    <row r="264" spans="2:19" ht="20.100000000000001" customHeight="1" x14ac:dyDescent="0.2">
      <c r="B264" s="604" t="s">
        <v>279</v>
      </c>
      <c r="C264" s="941"/>
      <c r="D264" s="942"/>
      <c r="E264" s="941"/>
      <c r="F264" s="942"/>
      <c r="G264" s="941"/>
      <c r="H264" s="942"/>
      <c r="I264" s="598"/>
      <c r="J264" s="937"/>
      <c r="K264" s="937"/>
      <c r="L264" s="937"/>
      <c r="M264" s="37"/>
      <c r="N264" s="37"/>
      <c r="O264" s="37"/>
      <c r="P264" s="37"/>
      <c r="S264" s="19"/>
    </row>
    <row r="265" spans="2:19" ht="20.100000000000001" customHeight="1" x14ac:dyDescent="0.2">
      <c r="B265" s="604" t="s">
        <v>280</v>
      </c>
      <c r="C265" s="941"/>
      <c r="D265" s="942"/>
      <c r="E265" s="889"/>
      <c r="F265" s="889"/>
      <c r="G265" s="941"/>
      <c r="H265" s="942"/>
      <c r="I265" s="598"/>
      <c r="J265" s="937"/>
      <c r="K265" s="937"/>
      <c r="L265" s="937"/>
      <c r="M265" s="37"/>
      <c r="N265" s="37"/>
      <c r="O265" s="37"/>
      <c r="P265" s="37"/>
      <c r="Q265" s="38"/>
      <c r="S265" s="19"/>
    </row>
    <row r="266" spans="2:19" ht="20.100000000000001" customHeight="1" x14ac:dyDescent="0.2">
      <c r="B266" s="605" t="s">
        <v>229</v>
      </c>
      <c r="C266" s="886">
        <f>C261+C262+C263+C265+C264</f>
        <v>0</v>
      </c>
      <c r="D266" s="887"/>
      <c r="E266" s="886">
        <f>E261+E262+E263+E265+E264</f>
        <v>0</v>
      </c>
      <c r="F266" s="887"/>
      <c r="G266" s="886">
        <f>G261+G262+G263+G265+G264</f>
        <v>0</v>
      </c>
      <c r="H266" s="887"/>
      <c r="I266" s="660">
        <f>+I261+I262+I263+I264+I265</f>
        <v>0</v>
      </c>
      <c r="J266" s="36"/>
      <c r="K266" s="37"/>
      <c r="L266" s="37"/>
      <c r="R266" s="5"/>
    </row>
    <row r="267" spans="2:19" ht="6" customHeight="1" x14ac:dyDescent="0.25">
      <c r="B267" s="2"/>
      <c r="C267" s="2"/>
      <c r="D267" s="2"/>
      <c r="E267" s="2"/>
      <c r="F267" s="2"/>
      <c r="G267" s="2"/>
      <c r="H267" s="2"/>
      <c r="I267" s="2"/>
      <c r="J267" s="2"/>
      <c r="R267" s="5"/>
    </row>
    <row r="268" spans="2:19" s="540" customFormat="1" ht="15" customHeight="1" x14ac:dyDescent="0.2">
      <c r="B268" s="907" t="s">
        <v>2459</v>
      </c>
      <c r="C268" s="907"/>
      <c r="D268" s="907"/>
      <c r="E268" s="907"/>
      <c r="F268" s="907"/>
      <c r="G268" s="907"/>
      <c r="H268" s="907"/>
      <c r="I268" s="907"/>
      <c r="J268" s="907"/>
      <c r="K268" s="907"/>
      <c r="L268" s="907"/>
      <c r="M268" s="907"/>
      <c r="N268" s="907"/>
      <c r="O268" s="907"/>
      <c r="P268" s="907"/>
      <c r="Q268" s="907"/>
      <c r="R268" s="5"/>
    </row>
    <row r="269" spans="2:19" s="540" customFormat="1" ht="6.75" customHeight="1" x14ac:dyDescent="0.25">
      <c r="B269" s="541"/>
      <c r="C269" s="541"/>
      <c r="D269" s="541"/>
      <c r="E269" s="541"/>
      <c r="F269" s="541"/>
      <c r="G269" s="541"/>
      <c r="H269" s="541"/>
      <c r="I269" s="541"/>
      <c r="J269" s="541"/>
      <c r="R269" s="5"/>
    </row>
    <row r="270" spans="2:19" s="540" customFormat="1" ht="30" customHeight="1" x14ac:dyDescent="0.2">
      <c r="B270" s="547" t="s">
        <v>2460</v>
      </c>
      <c r="C270" s="897" t="s">
        <v>2301</v>
      </c>
      <c r="D270" s="898"/>
      <c r="E270" s="160" t="s">
        <v>2461</v>
      </c>
      <c r="F270" s="160" t="s">
        <v>2462</v>
      </c>
      <c r="G270" s="160" t="s">
        <v>2463</v>
      </c>
      <c r="H270" s="160" t="s">
        <v>2467</v>
      </c>
      <c r="I270" s="160" t="s">
        <v>2468</v>
      </c>
      <c r="J270" s="160" t="s">
        <v>2469</v>
      </c>
      <c r="K270" s="160" t="s">
        <v>2470</v>
      </c>
      <c r="L270" s="160" t="s">
        <v>2471</v>
      </c>
      <c r="M270" s="160" t="s">
        <v>2472</v>
      </c>
      <c r="N270" s="160" t="s">
        <v>2464</v>
      </c>
      <c r="R270" s="5"/>
    </row>
    <row r="271" spans="2:19" s="540" customFormat="1" ht="30" customHeight="1" x14ac:dyDescent="0.2">
      <c r="B271" s="604" t="s">
        <v>2466</v>
      </c>
      <c r="C271" s="900" t="s">
        <v>2473</v>
      </c>
      <c r="D271" s="901"/>
      <c r="E271" s="161" t="str">
        <f t="shared" ref="E271:N271" si="15">IF(D255="","",D254-D255)</f>
        <v/>
      </c>
      <c r="F271" s="161" t="str">
        <f t="shared" si="15"/>
        <v/>
      </c>
      <c r="G271" s="161" t="str">
        <f t="shared" si="15"/>
        <v/>
      </c>
      <c r="H271" s="161" t="str">
        <f t="shared" si="15"/>
        <v/>
      </c>
      <c r="I271" s="161" t="str">
        <f t="shared" si="15"/>
        <v/>
      </c>
      <c r="J271" s="161" t="str">
        <f t="shared" si="15"/>
        <v/>
      </c>
      <c r="K271" s="161" t="str">
        <f t="shared" si="15"/>
        <v/>
      </c>
      <c r="L271" s="161" t="str">
        <f t="shared" si="15"/>
        <v/>
      </c>
      <c r="M271" s="161" t="str">
        <f t="shared" si="15"/>
        <v/>
      </c>
      <c r="N271" s="161" t="str">
        <f t="shared" si="15"/>
        <v/>
      </c>
      <c r="R271" s="5"/>
    </row>
    <row r="272" spans="2:19" s="540" customFormat="1" ht="30" customHeight="1" x14ac:dyDescent="0.2">
      <c r="B272" s="145" t="s">
        <v>2465</v>
      </c>
      <c r="C272" s="895" t="s">
        <v>2474</v>
      </c>
      <c r="D272" s="896"/>
      <c r="E272" s="548">
        <f>+$D$213-$D$214</f>
        <v>0</v>
      </c>
      <c r="F272" s="548">
        <f t="shared" ref="F272:N272" si="16">+E213-E214</f>
        <v>0</v>
      </c>
      <c r="G272" s="548">
        <f t="shared" si="16"/>
        <v>0</v>
      </c>
      <c r="H272" s="548">
        <f t="shared" si="16"/>
        <v>0</v>
      </c>
      <c r="I272" s="548">
        <f t="shared" si="16"/>
        <v>0</v>
      </c>
      <c r="J272" s="548">
        <f t="shared" si="16"/>
        <v>0</v>
      </c>
      <c r="K272" s="548">
        <f t="shared" si="16"/>
        <v>0</v>
      </c>
      <c r="L272" s="548">
        <f t="shared" si="16"/>
        <v>0</v>
      </c>
      <c r="M272" s="548">
        <f t="shared" si="16"/>
        <v>0</v>
      </c>
      <c r="N272" s="548">
        <f t="shared" si="16"/>
        <v>0</v>
      </c>
      <c r="R272" s="5"/>
    </row>
    <row r="273" spans="2:18" s="540" customFormat="1" ht="15" customHeight="1" x14ac:dyDescent="0.25">
      <c r="B273" s="541"/>
      <c r="C273" s="541"/>
      <c r="D273" s="541"/>
      <c r="E273" s="541"/>
      <c r="F273" s="541"/>
      <c r="G273" s="541"/>
      <c r="H273" s="541"/>
      <c r="I273" s="541"/>
      <c r="J273" s="541"/>
      <c r="R273" s="5"/>
    </row>
    <row r="274" spans="2:18" ht="15" customHeight="1" x14ac:dyDescent="0.25">
      <c r="B274" s="55" t="s">
        <v>2294</v>
      </c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</row>
    <row r="275" spans="2:18" ht="15" customHeight="1" x14ac:dyDescent="0.2">
      <c r="B275" s="909" t="s">
        <v>326</v>
      </c>
      <c r="C275" s="909" t="s">
        <v>3</v>
      </c>
      <c r="D275" s="909"/>
      <c r="E275" s="909"/>
      <c r="F275" s="909"/>
      <c r="G275" s="909"/>
      <c r="H275" s="909"/>
      <c r="I275" s="909"/>
      <c r="J275" s="909"/>
      <c r="K275" s="909"/>
      <c r="L275" s="909"/>
      <c r="M275" s="1093" t="s">
        <v>25</v>
      </c>
      <c r="N275" s="1093"/>
      <c r="O275" s="881" t="s">
        <v>20</v>
      </c>
      <c r="P275" s="881" t="s">
        <v>107</v>
      </c>
    </row>
    <row r="276" spans="2:18" ht="26.25" customHeight="1" x14ac:dyDescent="0.2">
      <c r="B276" s="909"/>
      <c r="C276" s="909"/>
      <c r="D276" s="909"/>
      <c r="E276" s="909"/>
      <c r="F276" s="909"/>
      <c r="G276" s="909"/>
      <c r="H276" s="909"/>
      <c r="I276" s="909"/>
      <c r="J276" s="909"/>
      <c r="K276" s="909"/>
      <c r="L276" s="909"/>
      <c r="M276" s="1093"/>
      <c r="N276" s="1093"/>
      <c r="O276" s="881"/>
      <c r="P276" s="881"/>
    </row>
    <row r="277" spans="2:18" ht="93.75" customHeight="1" x14ac:dyDescent="0.2">
      <c r="B277" s="7" t="s">
        <v>328</v>
      </c>
      <c r="C277" s="1043"/>
      <c r="D277" s="1044"/>
      <c r="E277" s="1044"/>
      <c r="F277" s="1044"/>
      <c r="G277" s="1044"/>
      <c r="H277" s="1044"/>
      <c r="I277" s="1044"/>
      <c r="J277" s="1044"/>
      <c r="K277" s="1044"/>
      <c r="L277" s="1045"/>
      <c r="M277" s="1094" t="str">
        <f>+O379</f>
        <v/>
      </c>
      <c r="N277" s="1095"/>
      <c r="O277" s="606"/>
      <c r="P277" s="1176">
        <f>+I209</f>
        <v>0</v>
      </c>
      <c r="Q277" s="117"/>
    </row>
    <row r="278" spans="2:18" s="9" customFormat="1" ht="4.5" customHeight="1" x14ac:dyDescent="0.2">
      <c r="B278" s="509"/>
      <c r="C278" s="509"/>
      <c r="D278" s="509"/>
      <c r="E278" s="509"/>
      <c r="F278" s="509"/>
      <c r="G278" s="509"/>
      <c r="H278" s="509"/>
      <c r="I278" s="509"/>
      <c r="J278" s="509"/>
      <c r="K278" s="509"/>
      <c r="L278" s="509"/>
      <c r="M278" s="509"/>
      <c r="N278" s="509"/>
      <c r="O278" s="509"/>
      <c r="P278" s="509"/>
      <c r="Q278" s="510"/>
    </row>
    <row r="279" spans="2:18" s="9" customFormat="1" ht="21" customHeight="1" x14ac:dyDescent="0.2">
      <c r="B279" s="526" t="s">
        <v>2456</v>
      </c>
      <c r="C279" s="512"/>
      <c r="D279" s="512"/>
      <c r="E279" s="511"/>
      <c r="F279" s="511"/>
      <c r="G279" s="511"/>
      <c r="H279" s="511"/>
      <c r="I279" s="175"/>
      <c r="J279" s="175"/>
      <c r="K279" s="509"/>
      <c r="L279" s="509"/>
      <c r="M279" s="509"/>
      <c r="N279" s="509"/>
      <c r="O279" s="509"/>
      <c r="P279" s="509"/>
      <c r="Q279" s="510"/>
    </row>
    <row r="280" spans="2:18" s="9" customFormat="1" ht="9" customHeight="1" x14ac:dyDescent="0.2">
      <c r="B280" s="511"/>
      <c r="C280" s="512"/>
      <c r="D280" s="512"/>
      <c r="E280" s="511"/>
      <c r="F280" s="511"/>
      <c r="G280" s="511"/>
      <c r="H280" s="511"/>
      <c r="I280" s="175"/>
      <c r="J280" s="175"/>
      <c r="K280" s="509"/>
      <c r="L280" s="509"/>
      <c r="M280" s="509"/>
      <c r="N280" s="509"/>
      <c r="O280" s="509"/>
      <c r="P280" s="509"/>
      <c r="Q280" s="510"/>
    </row>
    <row r="281" spans="2:18" s="9" customFormat="1" ht="21" customHeight="1" x14ac:dyDescent="0.2">
      <c r="B281" s="1090"/>
      <c r="C281" s="1090"/>
      <c r="D281" s="1090"/>
      <c r="E281" s="1090"/>
      <c r="F281" s="1090"/>
      <c r="G281" s="1090"/>
      <c r="H281" s="1090"/>
      <c r="I281" s="1090"/>
      <c r="J281" s="1090"/>
      <c r="K281" s="1090"/>
      <c r="L281" s="1090"/>
      <c r="M281" s="509"/>
      <c r="N281" s="509"/>
      <c r="O281" s="509"/>
      <c r="P281" s="509"/>
      <c r="Q281" s="510"/>
    </row>
    <row r="282" spans="2:18" s="9" customFormat="1" ht="21" customHeight="1" x14ac:dyDescent="0.2">
      <c r="B282" s="1090"/>
      <c r="C282" s="1090"/>
      <c r="D282" s="1090"/>
      <c r="E282" s="1090"/>
      <c r="F282" s="1090"/>
      <c r="G282" s="1090"/>
      <c r="H282" s="1090"/>
      <c r="I282" s="1090"/>
      <c r="J282" s="1090"/>
      <c r="K282" s="1090"/>
      <c r="L282" s="1090"/>
      <c r="M282" s="509"/>
      <c r="N282" s="509"/>
      <c r="O282" s="509"/>
      <c r="P282" s="509"/>
      <c r="Q282" s="510"/>
    </row>
    <row r="283" spans="2:18" s="9" customFormat="1" ht="21" customHeight="1" x14ac:dyDescent="0.2">
      <c r="B283" s="1090"/>
      <c r="C283" s="1090"/>
      <c r="D283" s="1090"/>
      <c r="E283" s="1090"/>
      <c r="F283" s="1090"/>
      <c r="G283" s="1090"/>
      <c r="H283" s="1090"/>
      <c r="I283" s="1090"/>
      <c r="J283" s="1090"/>
      <c r="K283" s="1090"/>
      <c r="L283" s="1090"/>
      <c r="M283" s="509"/>
      <c r="N283" s="509"/>
      <c r="O283" s="509"/>
      <c r="P283" s="509"/>
      <c r="Q283" s="510"/>
    </row>
    <row r="284" spans="2:18" s="9" customFormat="1" ht="21" customHeight="1" x14ac:dyDescent="0.2">
      <c r="B284" s="1102" t="s">
        <v>2457</v>
      </c>
      <c r="C284" s="1102"/>
      <c r="D284" s="512"/>
      <c r="E284" s="511"/>
      <c r="F284" s="511"/>
      <c r="G284" s="511"/>
      <c r="H284" s="511"/>
      <c r="I284" s="175"/>
      <c r="J284" s="175"/>
      <c r="K284" s="509"/>
      <c r="L284" s="509"/>
      <c r="M284" s="509"/>
      <c r="N284" s="509"/>
      <c r="O284" s="509"/>
      <c r="P284" s="509"/>
      <c r="Q284" s="510"/>
    </row>
    <row r="285" spans="2:18" s="9" customFormat="1" ht="21" customHeight="1" x14ac:dyDescent="0.2">
      <c r="B285" s="947"/>
      <c r="C285" s="948"/>
      <c r="D285" s="948"/>
      <c r="E285" s="948"/>
      <c r="F285" s="948"/>
      <c r="G285" s="948"/>
      <c r="H285" s="948"/>
      <c r="I285" s="948"/>
      <c r="J285" s="948"/>
      <c r="K285" s="948"/>
      <c r="L285" s="949"/>
      <c r="M285" s="509"/>
      <c r="N285" s="509"/>
      <c r="O285" s="509"/>
      <c r="P285" s="509"/>
      <c r="Q285" s="510"/>
    </row>
    <row r="286" spans="2:18" s="9" customFormat="1" ht="21" customHeight="1" x14ac:dyDescent="0.2">
      <c r="B286" s="950"/>
      <c r="C286" s="951"/>
      <c r="D286" s="951"/>
      <c r="E286" s="951"/>
      <c r="F286" s="951"/>
      <c r="G286" s="951"/>
      <c r="H286" s="951"/>
      <c r="I286" s="951"/>
      <c r="J286" s="951"/>
      <c r="K286" s="951"/>
      <c r="L286" s="952"/>
      <c r="M286" s="509"/>
      <c r="N286" s="509"/>
      <c r="O286" s="509"/>
      <c r="P286" s="509"/>
      <c r="Q286" s="510"/>
    </row>
    <row r="287" spans="2:18" s="9" customFormat="1" ht="21" customHeight="1" x14ac:dyDescent="0.2">
      <c r="B287" s="950"/>
      <c r="C287" s="951"/>
      <c r="D287" s="951"/>
      <c r="E287" s="951"/>
      <c r="F287" s="951"/>
      <c r="G287" s="951"/>
      <c r="H287" s="951"/>
      <c r="I287" s="951"/>
      <c r="J287" s="951"/>
      <c r="K287" s="951"/>
      <c r="L287" s="952"/>
      <c r="M287" s="509"/>
      <c r="N287" s="509"/>
      <c r="O287" s="509"/>
      <c r="P287" s="509"/>
      <c r="Q287" s="510"/>
    </row>
    <row r="288" spans="2:18" s="9" customFormat="1" ht="21" customHeight="1" x14ac:dyDescent="0.2">
      <c r="B288" s="950"/>
      <c r="C288" s="951"/>
      <c r="D288" s="951"/>
      <c r="E288" s="951"/>
      <c r="F288" s="951"/>
      <c r="G288" s="951"/>
      <c r="H288" s="951"/>
      <c r="I288" s="951"/>
      <c r="J288" s="951"/>
      <c r="K288" s="951"/>
      <c r="L288" s="952"/>
      <c r="M288" s="509"/>
      <c r="N288" s="509"/>
      <c r="O288" s="509"/>
      <c r="P288" s="509"/>
      <c r="Q288" s="510"/>
    </row>
    <row r="289" spans="2:18" s="9" customFormat="1" ht="21" customHeight="1" x14ac:dyDescent="0.2">
      <c r="B289" s="950"/>
      <c r="C289" s="951"/>
      <c r="D289" s="951"/>
      <c r="E289" s="951"/>
      <c r="F289" s="951"/>
      <c r="G289" s="951"/>
      <c r="H289" s="951"/>
      <c r="I289" s="951"/>
      <c r="J289" s="951"/>
      <c r="K289" s="951"/>
      <c r="L289" s="952"/>
      <c r="M289" s="509"/>
      <c r="N289" s="509"/>
      <c r="O289" s="509"/>
      <c r="P289" s="509"/>
      <c r="Q289" s="510"/>
    </row>
    <row r="290" spans="2:18" s="9" customFormat="1" ht="21" customHeight="1" x14ac:dyDescent="0.2">
      <c r="B290" s="953"/>
      <c r="C290" s="954"/>
      <c r="D290" s="954"/>
      <c r="E290" s="954"/>
      <c r="F290" s="954"/>
      <c r="G290" s="954"/>
      <c r="H290" s="954"/>
      <c r="I290" s="954"/>
      <c r="J290" s="954"/>
      <c r="K290" s="954"/>
      <c r="L290" s="955"/>
      <c r="M290" s="509"/>
      <c r="N290" s="509"/>
      <c r="O290" s="509"/>
      <c r="P290" s="509"/>
      <c r="Q290" s="510"/>
    </row>
    <row r="291" spans="2:18" s="9" customFormat="1" ht="9.75" customHeight="1" x14ac:dyDescent="0.2">
      <c r="B291" s="669"/>
      <c r="C291" s="512"/>
      <c r="D291" s="512"/>
      <c r="E291" s="511"/>
      <c r="F291" s="511"/>
      <c r="G291" s="511"/>
      <c r="H291" s="511"/>
      <c r="I291" s="175"/>
      <c r="J291" s="175"/>
      <c r="K291" s="509"/>
      <c r="L291" s="509"/>
      <c r="M291" s="509"/>
      <c r="N291" s="509"/>
      <c r="O291" s="509"/>
      <c r="P291" s="509"/>
      <c r="Q291" s="510"/>
    </row>
    <row r="292" spans="2:18" s="9" customFormat="1" ht="20.25" customHeight="1" x14ac:dyDescent="0.2">
      <c r="B292" s="1102" t="s">
        <v>2458</v>
      </c>
      <c r="C292" s="1102"/>
      <c r="D292" s="512"/>
      <c r="E292" s="511"/>
      <c r="F292" s="511"/>
      <c r="G292" s="511"/>
      <c r="H292" s="511"/>
      <c r="I292" s="175"/>
      <c r="J292" s="175"/>
      <c r="K292" s="509"/>
      <c r="L292" s="509"/>
      <c r="M292" s="509"/>
      <c r="N292" s="509"/>
      <c r="O292" s="509"/>
      <c r="P292" s="509"/>
      <c r="Q292" s="510"/>
    </row>
    <row r="293" spans="2:18" s="9" customFormat="1" ht="20.25" customHeight="1" x14ac:dyDescent="0.2">
      <c r="B293" s="947"/>
      <c r="C293" s="948"/>
      <c r="D293" s="948"/>
      <c r="E293" s="948"/>
      <c r="F293" s="948"/>
      <c r="G293" s="948"/>
      <c r="H293" s="948"/>
      <c r="I293" s="948"/>
      <c r="J293" s="948"/>
      <c r="K293" s="948"/>
      <c r="L293" s="949"/>
      <c r="M293" s="509"/>
      <c r="N293" s="509"/>
      <c r="O293" s="509"/>
      <c r="P293" s="509"/>
      <c r="Q293" s="510"/>
    </row>
    <row r="294" spans="2:18" s="9" customFormat="1" ht="20.25" customHeight="1" x14ac:dyDescent="0.2">
      <c r="B294" s="950"/>
      <c r="C294" s="951"/>
      <c r="D294" s="951"/>
      <c r="E294" s="951"/>
      <c r="F294" s="951"/>
      <c r="G294" s="951"/>
      <c r="H294" s="951"/>
      <c r="I294" s="951"/>
      <c r="J294" s="951"/>
      <c r="K294" s="951"/>
      <c r="L294" s="952"/>
      <c r="M294" s="509"/>
      <c r="N294" s="509"/>
      <c r="O294" s="509"/>
      <c r="P294" s="509"/>
      <c r="Q294" s="510"/>
    </row>
    <row r="295" spans="2:18" s="9" customFormat="1" ht="20.25" customHeight="1" x14ac:dyDescent="0.2">
      <c r="B295" s="950"/>
      <c r="C295" s="951"/>
      <c r="D295" s="951"/>
      <c r="E295" s="951"/>
      <c r="F295" s="951"/>
      <c r="G295" s="951"/>
      <c r="H295" s="951"/>
      <c r="I295" s="951"/>
      <c r="J295" s="951"/>
      <c r="K295" s="951"/>
      <c r="L295" s="952"/>
      <c r="M295" s="509"/>
      <c r="N295" s="509"/>
      <c r="O295" s="509"/>
      <c r="P295" s="509"/>
      <c r="Q295" s="510"/>
    </row>
    <row r="296" spans="2:18" s="9" customFormat="1" ht="20.25" customHeight="1" x14ac:dyDescent="0.2">
      <c r="B296" s="950"/>
      <c r="C296" s="951"/>
      <c r="D296" s="951"/>
      <c r="E296" s="951"/>
      <c r="F296" s="951"/>
      <c r="G296" s="951"/>
      <c r="H296" s="951"/>
      <c r="I296" s="951"/>
      <c r="J296" s="951"/>
      <c r="K296" s="951"/>
      <c r="L296" s="952"/>
      <c r="M296" s="509"/>
      <c r="N296" s="509"/>
      <c r="O296" s="509"/>
      <c r="P296" s="509"/>
      <c r="Q296" s="510"/>
    </row>
    <row r="297" spans="2:18" s="9" customFormat="1" ht="20.25" customHeight="1" x14ac:dyDescent="0.2">
      <c r="B297" s="950"/>
      <c r="C297" s="951"/>
      <c r="D297" s="951"/>
      <c r="E297" s="951"/>
      <c r="F297" s="951"/>
      <c r="G297" s="951"/>
      <c r="H297" s="951"/>
      <c r="I297" s="951"/>
      <c r="J297" s="951"/>
      <c r="K297" s="951"/>
      <c r="L297" s="952"/>
      <c r="M297" s="509"/>
      <c r="N297" s="509"/>
      <c r="O297" s="509"/>
      <c r="P297" s="509"/>
      <c r="Q297" s="510"/>
    </row>
    <row r="298" spans="2:18" s="9" customFormat="1" ht="20.25" customHeight="1" x14ac:dyDescent="0.2">
      <c r="B298" s="950"/>
      <c r="C298" s="951"/>
      <c r="D298" s="951"/>
      <c r="E298" s="951"/>
      <c r="F298" s="951"/>
      <c r="G298" s="951"/>
      <c r="H298" s="951"/>
      <c r="I298" s="951"/>
      <c r="J298" s="951"/>
      <c r="K298" s="951"/>
      <c r="L298" s="952"/>
      <c r="M298" s="509"/>
      <c r="N298" s="509"/>
      <c r="O298" s="509"/>
      <c r="P298" s="509"/>
      <c r="Q298" s="510"/>
    </row>
    <row r="299" spans="2:18" s="9" customFormat="1" ht="20.25" customHeight="1" x14ac:dyDescent="0.2">
      <c r="B299" s="950"/>
      <c r="C299" s="951"/>
      <c r="D299" s="951"/>
      <c r="E299" s="951"/>
      <c r="F299" s="951"/>
      <c r="G299" s="951"/>
      <c r="H299" s="951"/>
      <c r="I299" s="951"/>
      <c r="J299" s="951"/>
      <c r="K299" s="951"/>
      <c r="L299" s="952"/>
      <c r="M299" s="509"/>
      <c r="N299" s="509"/>
      <c r="O299" s="509"/>
      <c r="P299" s="509"/>
      <c r="Q299" s="510"/>
    </row>
    <row r="300" spans="2:18" s="9" customFormat="1" ht="20.25" customHeight="1" x14ac:dyDescent="0.2">
      <c r="B300" s="950"/>
      <c r="C300" s="951"/>
      <c r="D300" s="951"/>
      <c r="E300" s="951"/>
      <c r="F300" s="951"/>
      <c r="G300" s="951"/>
      <c r="H300" s="951"/>
      <c r="I300" s="951"/>
      <c r="J300" s="951"/>
      <c r="K300" s="951"/>
      <c r="L300" s="952"/>
      <c r="M300" s="509"/>
      <c r="N300" s="509"/>
      <c r="O300" s="509"/>
      <c r="P300" s="509"/>
      <c r="Q300" s="510"/>
    </row>
    <row r="301" spans="2:18" s="9" customFormat="1" ht="20.25" customHeight="1" x14ac:dyDescent="0.2">
      <c r="B301" s="950"/>
      <c r="C301" s="951"/>
      <c r="D301" s="951"/>
      <c r="E301" s="951"/>
      <c r="F301" s="951"/>
      <c r="G301" s="951"/>
      <c r="H301" s="951"/>
      <c r="I301" s="951"/>
      <c r="J301" s="951"/>
      <c r="K301" s="951"/>
      <c r="L301" s="952"/>
      <c r="M301" s="509"/>
      <c r="N301" s="509"/>
      <c r="O301" s="509"/>
      <c r="P301" s="509"/>
      <c r="Q301" s="510"/>
    </row>
    <row r="302" spans="2:18" s="9" customFormat="1" ht="20.25" customHeight="1" x14ac:dyDescent="0.2">
      <c r="B302" s="953"/>
      <c r="C302" s="954"/>
      <c r="D302" s="954"/>
      <c r="E302" s="954"/>
      <c r="F302" s="954"/>
      <c r="G302" s="954"/>
      <c r="H302" s="954"/>
      <c r="I302" s="954"/>
      <c r="J302" s="954"/>
      <c r="K302" s="954"/>
      <c r="L302" s="955"/>
      <c r="M302" s="509"/>
      <c r="N302" s="509"/>
      <c r="O302" s="509"/>
      <c r="P302" s="509"/>
      <c r="Q302" s="510"/>
    </row>
    <row r="303" spans="2:18" s="9" customFormat="1" ht="15" customHeight="1" x14ac:dyDescent="0.2">
      <c r="B303" s="32"/>
      <c r="C303" s="32"/>
      <c r="D303" s="32"/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24"/>
    </row>
    <row r="304" spans="2:18" s="9" customFormat="1" ht="15" customHeight="1" x14ac:dyDescent="0.2">
      <c r="B304" s="1112" t="s">
        <v>2297</v>
      </c>
      <c r="C304" s="1112"/>
      <c r="D304" s="32"/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24"/>
    </row>
    <row r="305" spans="2:19" s="9" customFormat="1" ht="4.5" customHeight="1" x14ac:dyDescent="0.2">
      <c r="B305" s="32"/>
      <c r="C305" s="32"/>
      <c r="D305" s="32"/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24"/>
    </row>
    <row r="306" spans="2:19" s="9" customFormat="1" ht="16.5" customHeight="1" x14ac:dyDescent="0.2">
      <c r="B306" s="4" t="s">
        <v>2423</v>
      </c>
      <c r="C306" s="32"/>
      <c r="D306" s="32"/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24"/>
    </row>
    <row r="307" spans="2:19" s="9" customFormat="1" ht="8.25" customHeight="1" x14ac:dyDescent="0.25">
      <c r="B307" s="503"/>
      <c r="C307" s="32"/>
      <c r="D307" s="32"/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24"/>
    </row>
    <row r="308" spans="2:19" ht="22.5" customHeight="1" x14ac:dyDescent="0.2">
      <c r="B308" s="199" t="s">
        <v>2295</v>
      </c>
      <c r="C308" s="36"/>
      <c r="D308" s="36"/>
      <c r="E308" s="36"/>
      <c r="F308" s="36"/>
      <c r="G308" s="36"/>
      <c r="H308" s="36"/>
      <c r="I308" s="36"/>
      <c r="J308" s="36"/>
      <c r="K308" s="1096" t="str">
        <f>+IF(F318=0,"",F318/E318)</f>
        <v/>
      </c>
      <c r="L308" s="1097"/>
      <c r="M308" s="1098"/>
      <c r="N308" s="19"/>
      <c r="O308" s="19"/>
      <c r="P308" s="19"/>
      <c r="Q308" s="19"/>
      <c r="S308" s="19"/>
    </row>
    <row r="309" spans="2:19" ht="9.75" customHeight="1" x14ac:dyDescent="0.2">
      <c r="B309" s="48"/>
      <c r="C309" s="36"/>
      <c r="D309" s="36"/>
      <c r="E309" s="36"/>
      <c r="F309" s="36"/>
      <c r="G309" s="36"/>
      <c r="H309" s="36"/>
      <c r="I309" s="36"/>
      <c r="J309" s="36"/>
      <c r="O309" s="19"/>
      <c r="P309" s="19"/>
      <c r="Q309" s="19"/>
      <c r="S309" s="19"/>
    </row>
    <row r="310" spans="2:19" ht="23.25" customHeight="1" x14ac:dyDescent="0.2">
      <c r="B310" s="199" t="s">
        <v>2296</v>
      </c>
      <c r="C310" s="36"/>
      <c r="D310" s="36"/>
      <c r="E310" s="36"/>
      <c r="F310" s="36"/>
      <c r="G310" s="36"/>
      <c r="H310" s="36"/>
      <c r="I310" s="36"/>
      <c r="J310" s="36"/>
      <c r="K310" s="1096" t="str">
        <f>+IF(F319=0,"",F319/E319)</f>
        <v/>
      </c>
      <c r="L310" s="1097"/>
      <c r="M310" s="1098"/>
      <c r="N310" s="19"/>
      <c r="O310" s="19"/>
      <c r="P310" s="19"/>
      <c r="Q310" s="19"/>
      <c r="S310" s="19"/>
    </row>
    <row r="311" spans="2:19" s="9" customFormat="1" ht="24.95" customHeight="1" x14ac:dyDescent="0.2">
      <c r="B311" s="48"/>
      <c r="C311" s="32"/>
      <c r="D311" s="32"/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24"/>
    </row>
    <row r="312" spans="2:19" s="9" customFormat="1" ht="35.25" customHeight="1" x14ac:dyDescent="0.2">
      <c r="B312"/>
      <c r="C312"/>
      <c r="D312"/>
      <c r="E312"/>
      <c r="F312"/>
      <c r="G312"/>
      <c r="H312"/>
      <c r="I312"/>
      <c r="J312"/>
      <c r="K312"/>
      <c r="L312" s="842" t="s">
        <v>2475</v>
      </c>
      <c r="M312" s="842"/>
      <c r="N312" s="842" t="s">
        <v>2476</v>
      </c>
      <c r="O312" s="842"/>
      <c r="P312" s="550"/>
      <c r="Q312" s="32"/>
      <c r="R312" s="24"/>
    </row>
    <row r="313" spans="2:19" s="9" customFormat="1" ht="15" customHeight="1" x14ac:dyDescent="0.2">
      <c r="B313" s="1047" t="s">
        <v>2138</v>
      </c>
      <c r="C313" s="1048"/>
      <c r="D313" s="1048"/>
      <c r="E313" s="1048"/>
      <c r="F313" s="1048"/>
      <c r="G313" s="1048"/>
      <c r="H313" s="1119"/>
      <c r="I313" s="1047" t="s">
        <v>2137</v>
      </c>
      <c r="J313" s="1048"/>
      <c r="K313" s="1048"/>
      <c r="L313" s="539" t="s">
        <v>2140</v>
      </c>
      <c r="M313" s="539" t="s">
        <v>2141</v>
      </c>
      <c r="N313" s="539" t="s">
        <v>2140</v>
      </c>
      <c r="O313" s="539" t="s">
        <v>2141</v>
      </c>
      <c r="P313" s="550" t="s">
        <v>2477</v>
      </c>
      <c r="Q313" s="32"/>
      <c r="R313" s="24"/>
    </row>
    <row r="314" spans="2:19" s="9" customFormat="1" ht="15" customHeight="1" x14ac:dyDescent="0.2">
      <c r="B314" s="1046" t="s">
        <v>2499</v>
      </c>
      <c r="C314" s="1046"/>
      <c r="D314" s="1046"/>
      <c r="E314" s="160" t="s">
        <v>240</v>
      </c>
      <c r="F314" s="539" t="s">
        <v>2142</v>
      </c>
      <c r="G314" s="160" t="s">
        <v>2138</v>
      </c>
      <c r="H314" s="538" t="s">
        <v>2142</v>
      </c>
      <c r="I314" s="1047" t="s">
        <v>2139</v>
      </c>
      <c r="J314" s="1048"/>
      <c r="K314" s="1048"/>
      <c r="L314" s="539"/>
      <c r="M314" s="539"/>
      <c r="N314" s="539"/>
      <c r="O314" s="539"/>
      <c r="P314" s="539"/>
      <c r="Q314" s="32"/>
      <c r="R314" s="24"/>
    </row>
    <row r="315" spans="2:19" s="9" customFormat="1" ht="22.5" customHeight="1" x14ac:dyDescent="0.2">
      <c r="B315" s="1049" t="s">
        <v>2210</v>
      </c>
      <c r="C315" s="1049"/>
      <c r="D315" s="1049"/>
      <c r="E315" s="1050"/>
      <c r="F315" s="552">
        <f>+SUM(F316:F320)</f>
        <v>0</v>
      </c>
      <c r="G315" s="1051" t="s">
        <v>2211</v>
      </c>
      <c r="H315" s="1053" t="str">
        <f>IF(F315+F321=0,"",F315+F321)</f>
        <v/>
      </c>
      <c r="I315" s="864" t="s">
        <v>2144</v>
      </c>
      <c r="J315" s="864"/>
      <c r="K315" s="865"/>
      <c r="L315" s="890"/>
      <c r="M315" s="864"/>
      <c r="N315" s="864"/>
      <c r="O315" s="864"/>
      <c r="P315" s="865"/>
      <c r="Q315" s="32"/>
      <c r="R315" s="24"/>
    </row>
    <row r="316" spans="2:19" s="9" customFormat="1" ht="23.25" customHeight="1" x14ac:dyDescent="0.2">
      <c r="B316" s="902" t="s">
        <v>2212</v>
      </c>
      <c r="C316" s="902"/>
      <c r="D316" s="892"/>
      <c r="E316" s="642" t="str">
        <f>+IF(O316=0,"",O316)</f>
        <v/>
      </c>
      <c r="F316" s="552" t="str">
        <f>+IF(P316=0,"",P316)</f>
        <v/>
      </c>
      <c r="G316" s="1052"/>
      <c r="H316" s="1054"/>
      <c r="I316" s="866" t="s">
        <v>2145</v>
      </c>
      <c r="J316" s="867"/>
      <c r="K316" s="868"/>
      <c r="L316" s="139" t="s">
        <v>2146</v>
      </c>
      <c r="M316" s="146"/>
      <c r="N316" s="139" t="s">
        <v>2146</v>
      </c>
      <c r="O316" s="146"/>
      <c r="P316" s="143"/>
      <c r="Q316" s="32"/>
      <c r="R316" s="24"/>
    </row>
    <row r="317" spans="2:19" s="9" customFormat="1" ht="21.75" customHeight="1" x14ac:dyDescent="0.2">
      <c r="B317" s="902" t="s">
        <v>2213</v>
      </c>
      <c r="C317" s="902"/>
      <c r="D317" s="892"/>
      <c r="E317" s="642" t="str">
        <f>+IF(O319=0,"",O319)</f>
        <v/>
      </c>
      <c r="F317" s="552" t="str">
        <f>+IF(P319=0,"",P319)</f>
        <v/>
      </c>
      <c r="G317" s="1052"/>
      <c r="H317" s="1054"/>
      <c r="I317" s="866" t="s">
        <v>2147</v>
      </c>
      <c r="J317" s="867"/>
      <c r="K317" s="868"/>
      <c r="L317" s="139" t="s">
        <v>2146</v>
      </c>
      <c r="M317" s="146"/>
      <c r="N317" s="139" t="s">
        <v>2146</v>
      </c>
      <c r="O317" s="146"/>
      <c r="P317" s="143"/>
      <c r="Q317" s="32"/>
      <c r="R317" s="24"/>
    </row>
    <row r="318" spans="2:19" s="9" customFormat="1" ht="23.25" customHeight="1" x14ac:dyDescent="0.2">
      <c r="B318" s="902" t="s">
        <v>2214</v>
      </c>
      <c r="C318" s="902"/>
      <c r="D318" s="892"/>
      <c r="E318" s="642" t="str">
        <f>+IF(O320=0,"",O320)</f>
        <v/>
      </c>
      <c r="F318" s="552">
        <f>+P320</f>
        <v>0</v>
      </c>
      <c r="G318" s="1052"/>
      <c r="H318" s="1054"/>
      <c r="I318" s="864" t="s">
        <v>2148</v>
      </c>
      <c r="J318" s="864"/>
      <c r="K318" s="865"/>
      <c r="L318" s="890"/>
      <c r="M318" s="864"/>
      <c r="N318" s="864"/>
      <c r="O318" s="864"/>
      <c r="P318" s="865"/>
      <c r="Q318" s="32"/>
      <c r="R318" s="24"/>
    </row>
    <row r="319" spans="2:19" s="9" customFormat="1" ht="22.5" x14ac:dyDescent="0.2">
      <c r="B319" s="902" t="s">
        <v>2215</v>
      </c>
      <c r="C319" s="902"/>
      <c r="D319" s="892"/>
      <c r="E319" s="642" t="str">
        <f>+IF(O329=0,"",O329)</f>
        <v/>
      </c>
      <c r="F319" s="552">
        <f>+P329</f>
        <v>0</v>
      </c>
      <c r="G319" s="1052"/>
      <c r="H319" s="1054"/>
      <c r="I319" s="1056" t="s">
        <v>2149</v>
      </c>
      <c r="J319" s="1057"/>
      <c r="K319" s="1058"/>
      <c r="L319" s="139" t="s">
        <v>2479</v>
      </c>
      <c r="M319" s="147"/>
      <c r="N319" s="138" t="s">
        <v>2150</v>
      </c>
      <c r="O319" s="147"/>
      <c r="P319" s="144"/>
      <c r="Q319" s="32"/>
      <c r="R319" s="24"/>
    </row>
    <row r="320" spans="2:19" s="9" customFormat="1" ht="22.5" customHeight="1" x14ac:dyDescent="0.2">
      <c r="B320" s="902" t="s">
        <v>2216</v>
      </c>
      <c r="C320" s="902"/>
      <c r="D320" s="892"/>
      <c r="E320" s="513" t="str">
        <f>+IF(O330=0,"",O330)</f>
        <v/>
      </c>
      <c r="F320" s="552" t="str">
        <f>+IF(P330=0,"",P330)</f>
        <v/>
      </c>
      <c r="G320" s="1052"/>
      <c r="H320" s="1054"/>
      <c r="I320" s="1056" t="s">
        <v>2151</v>
      </c>
      <c r="J320" s="1057"/>
      <c r="K320" s="1058"/>
      <c r="L320" s="139" t="s">
        <v>302</v>
      </c>
      <c r="M320" s="568">
        <f>+SUM(M321:M328)</f>
        <v>0</v>
      </c>
      <c r="N320" s="138"/>
      <c r="O320" s="568">
        <f>+SUM(O321:O328)</f>
        <v>0</v>
      </c>
      <c r="P320" s="568">
        <f>+SUM(P321:P328)</f>
        <v>0</v>
      </c>
      <c r="Q320" s="32"/>
      <c r="R320" s="24"/>
    </row>
    <row r="321" spans="2:18" s="9" customFormat="1" ht="26.25" customHeight="1" x14ac:dyDescent="0.2">
      <c r="B321" s="1099" t="s">
        <v>2217</v>
      </c>
      <c r="C321" s="1100"/>
      <c r="D321" s="1100"/>
      <c r="E321" s="1101"/>
      <c r="F321" s="551">
        <f>+SUM(F322:F327)</f>
        <v>0</v>
      </c>
      <c r="G321" s="1052"/>
      <c r="H321" s="1054"/>
      <c r="I321" s="855" t="s">
        <v>2152</v>
      </c>
      <c r="J321" s="856"/>
      <c r="K321" s="857"/>
      <c r="L321" s="139" t="s">
        <v>302</v>
      </c>
      <c r="M321" s="146"/>
      <c r="N321" s="139" t="s">
        <v>2150</v>
      </c>
      <c r="O321" s="146"/>
      <c r="P321" s="143"/>
      <c r="Q321" s="32"/>
      <c r="R321" s="24"/>
    </row>
    <row r="322" spans="2:18" s="9" customFormat="1" ht="27" customHeight="1" x14ac:dyDescent="0.2">
      <c r="B322" s="1083" t="s">
        <v>2218</v>
      </c>
      <c r="C322" s="1084"/>
      <c r="D322" s="1085"/>
      <c r="E322" s="642" t="str">
        <f>+IF(O317=0,"",O317)</f>
        <v/>
      </c>
      <c r="F322" s="551" t="str">
        <f>+IF(P317=0,"",P317)</f>
        <v/>
      </c>
      <c r="G322" s="1052"/>
      <c r="H322" s="1054"/>
      <c r="I322" s="855" t="s">
        <v>2153</v>
      </c>
      <c r="J322" s="856"/>
      <c r="K322" s="857"/>
      <c r="L322" s="139" t="s">
        <v>302</v>
      </c>
      <c r="M322" s="146"/>
      <c r="N322" s="139" t="s">
        <v>2150</v>
      </c>
      <c r="O322" s="146"/>
      <c r="P322" s="143"/>
      <c r="Q322" s="32"/>
      <c r="R322" s="24"/>
    </row>
    <row r="323" spans="2:18" s="9" customFormat="1" ht="26.25" customHeight="1" x14ac:dyDescent="0.2">
      <c r="B323" s="892" t="s">
        <v>2500</v>
      </c>
      <c r="C323" s="893"/>
      <c r="D323" s="894"/>
      <c r="E323" s="582" t="str">
        <f>+O332</f>
        <v/>
      </c>
      <c r="F323" s="551" t="str">
        <f>+IF(P332=0,"",P332)</f>
        <v/>
      </c>
      <c r="G323" s="1052"/>
      <c r="H323" s="1054"/>
      <c r="I323" s="855" t="s">
        <v>2154</v>
      </c>
      <c r="J323" s="856"/>
      <c r="K323" s="857"/>
      <c r="L323" s="139" t="s">
        <v>302</v>
      </c>
      <c r="M323" s="146"/>
      <c r="N323" s="139" t="s">
        <v>2150</v>
      </c>
      <c r="O323" s="146"/>
      <c r="P323" s="143"/>
      <c r="Q323" s="32"/>
      <c r="R323" s="24"/>
    </row>
    <row r="324" spans="2:18" s="9" customFormat="1" ht="21" customHeight="1" x14ac:dyDescent="0.2">
      <c r="B324" s="892" t="s">
        <v>2501</v>
      </c>
      <c r="C324" s="893"/>
      <c r="D324" s="894"/>
      <c r="E324" s="670" t="str">
        <f>+O349</f>
        <v/>
      </c>
      <c r="F324" s="553" t="str">
        <f>+IF(P349=0,"",P349)</f>
        <v/>
      </c>
      <c r="G324" s="1052"/>
      <c r="H324" s="1054"/>
      <c r="I324" s="855" t="s">
        <v>2155</v>
      </c>
      <c r="J324" s="856"/>
      <c r="K324" s="857"/>
      <c r="L324" s="139" t="s">
        <v>302</v>
      </c>
      <c r="M324" s="146"/>
      <c r="N324" s="139" t="s">
        <v>2150</v>
      </c>
      <c r="O324" s="146"/>
      <c r="P324" s="143"/>
      <c r="Q324" s="32"/>
      <c r="R324" s="24"/>
    </row>
    <row r="325" spans="2:18" s="9" customFormat="1" ht="22.5" customHeight="1" x14ac:dyDescent="0.2">
      <c r="B325" s="892" t="s">
        <v>2502</v>
      </c>
      <c r="C325" s="893"/>
      <c r="D325" s="894"/>
      <c r="E325" s="643" t="str">
        <f>+O360</f>
        <v/>
      </c>
      <c r="F325" s="551" t="str">
        <f>+IF(P360=0,"",P360)</f>
        <v/>
      </c>
      <c r="G325" s="1052"/>
      <c r="H325" s="1054"/>
      <c r="I325" s="855" t="s">
        <v>2156</v>
      </c>
      <c r="J325" s="856"/>
      <c r="K325" s="857"/>
      <c r="L325" s="139" t="s">
        <v>302</v>
      </c>
      <c r="M325" s="146"/>
      <c r="N325" s="139" t="s">
        <v>2150</v>
      </c>
      <c r="O325" s="146"/>
      <c r="P325" s="143"/>
      <c r="Q325" s="32"/>
      <c r="R325" s="24"/>
    </row>
    <row r="326" spans="2:18" s="9" customFormat="1" ht="24.75" customHeight="1" x14ac:dyDescent="0.2">
      <c r="B326" s="892" t="s">
        <v>2503</v>
      </c>
      <c r="C326" s="893"/>
      <c r="D326" s="894"/>
      <c r="E326" s="643" t="str">
        <f>+O365</f>
        <v/>
      </c>
      <c r="F326" s="551" t="str">
        <f>+IF(P365=0,"",P365)</f>
        <v/>
      </c>
      <c r="G326" s="1052"/>
      <c r="H326" s="1054"/>
      <c r="I326" s="855" t="s">
        <v>2157</v>
      </c>
      <c r="J326" s="856"/>
      <c r="K326" s="857"/>
      <c r="L326" s="139" t="s">
        <v>302</v>
      </c>
      <c r="M326" s="146"/>
      <c r="N326" s="139" t="s">
        <v>2150</v>
      </c>
      <c r="O326" s="146"/>
      <c r="P326" s="143"/>
      <c r="Q326" s="32"/>
      <c r="R326" s="24"/>
    </row>
    <row r="327" spans="2:18" s="9" customFormat="1" ht="23.25" customHeight="1" x14ac:dyDescent="0.2">
      <c r="B327" s="892" t="s">
        <v>2504</v>
      </c>
      <c r="C327" s="893"/>
      <c r="D327" s="894"/>
      <c r="E327" s="142" t="str">
        <f>+O369</f>
        <v/>
      </c>
      <c r="F327" s="551" t="str">
        <f>IF(P369=0,"",P369)</f>
        <v/>
      </c>
      <c r="G327" s="1052"/>
      <c r="H327" s="1054"/>
      <c r="I327" s="855" t="s">
        <v>2158</v>
      </c>
      <c r="J327" s="856"/>
      <c r="K327" s="857"/>
      <c r="L327" s="139" t="s">
        <v>302</v>
      </c>
      <c r="M327" s="146"/>
      <c r="N327" s="139" t="s">
        <v>2150</v>
      </c>
      <c r="O327" s="146"/>
      <c r="P327" s="143"/>
      <c r="Q327" s="32"/>
      <c r="R327" s="24"/>
    </row>
    <row r="328" spans="2:18" s="9" customFormat="1" ht="27" customHeight="1" x14ac:dyDescent="0.2">
      <c r="B328" s="1042" t="s">
        <v>2219</v>
      </c>
      <c r="C328" s="1042"/>
      <c r="D328" s="1042"/>
      <c r="E328" s="643" t="str">
        <f>IF(O376=0,"",O376)</f>
        <v/>
      </c>
      <c r="F328" s="551"/>
      <c r="G328" s="1052"/>
      <c r="H328" s="1055"/>
      <c r="I328" s="855" t="s">
        <v>2159</v>
      </c>
      <c r="J328" s="856"/>
      <c r="K328" s="857"/>
      <c r="L328" s="139" t="s">
        <v>302</v>
      </c>
      <c r="M328" s="146"/>
      <c r="N328" s="139" t="s">
        <v>2150</v>
      </c>
      <c r="O328" s="146"/>
      <c r="P328" s="143"/>
      <c r="Q328" s="32"/>
      <c r="R328" s="24"/>
    </row>
    <row r="329" spans="2:18" s="9" customFormat="1" ht="33.75" customHeight="1" x14ac:dyDescent="0.2">
      <c r="B329" s="554"/>
      <c r="C329" s="555"/>
      <c r="D329" s="555"/>
      <c r="E329" s="556"/>
      <c r="F329" s="557"/>
      <c r="G329" s="558"/>
      <c r="H329" s="559"/>
      <c r="I329" s="1057" t="s">
        <v>2160</v>
      </c>
      <c r="J329" s="1057"/>
      <c r="K329" s="1057"/>
      <c r="L329" s="138" t="s">
        <v>2480</v>
      </c>
      <c r="M329" s="147"/>
      <c r="N329" s="138" t="s">
        <v>2150</v>
      </c>
      <c r="O329" s="147"/>
      <c r="P329" s="144"/>
      <c r="Q329" s="32"/>
      <c r="R329" s="24"/>
    </row>
    <row r="330" spans="2:18" s="9" customFormat="1" ht="47.25" customHeight="1" x14ac:dyDescent="0.2">
      <c r="B330" s="560"/>
      <c r="C330" s="561"/>
      <c r="D330" s="561"/>
      <c r="E330" s="562"/>
      <c r="F330" s="563"/>
      <c r="G330" s="564"/>
      <c r="H330" s="565"/>
      <c r="I330" s="1057" t="s">
        <v>2161</v>
      </c>
      <c r="J330" s="1057"/>
      <c r="K330" s="1057"/>
      <c r="L330" s="138" t="s">
        <v>2481</v>
      </c>
      <c r="M330" s="147"/>
      <c r="N330" s="138" t="s">
        <v>2150</v>
      </c>
      <c r="O330" s="147"/>
      <c r="P330" s="144"/>
      <c r="Q330" s="32"/>
      <c r="R330" s="24"/>
    </row>
    <row r="331" spans="2:18" s="9" customFormat="1" ht="22.5" customHeight="1" x14ac:dyDescent="0.2">
      <c r="B331" s="137"/>
      <c r="C331" s="39"/>
      <c r="D331" s="5"/>
      <c r="E331" s="39"/>
      <c r="F331" s="39"/>
      <c r="G331" s="32"/>
      <c r="H331" s="32"/>
      <c r="I331" s="840" t="s">
        <v>2162</v>
      </c>
      <c r="J331" s="840"/>
      <c r="K331" s="840"/>
      <c r="L331" s="890"/>
      <c r="M331" s="864"/>
      <c r="N331" s="864"/>
      <c r="O331" s="864"/>
      <c r="P331" s="865"/>
      <c r="Q331" s="32"/>
      <c r="R331" s="24"/>
    </row>
    <row r="332" spans="2:18" s="9" customFormat="1" ht="22.5" customHeight="1" x14ac:dyDescent="0.2">
      <c r="B332" s="137"/>
      <c r="C332" s="39"/>
      <c r="D332" s="5"/>
      <c r="E332" s="39"/>
      <c r="F332" s="39"/>
      <c r="G332" s="32"/>
      <c r="H332" s="32"/>
      <c r="I332" s="891" t="s">
        <v>2163</v>
      </c>
      <c r="J332" s="891"/>
      <c r="K332" s="891"/>
      <c r="L332" s="139"/>
      <c r="M332" s="661" t="str">
        <f>+IF(SUM(M333,M342,M346)=0,"",SUM(M333,M342,M346))</f>
        <v/>
      </c>
      <c r="N332" s="140"/>
      <c r="O332" s="141" t="str">
        <f>+IF(SUM(O333,O342,O346)=0,"",SUM(O333,O342,O346))</f>
        <v/>
      </c>
      <c r="P332" s="663" t="str">
        <f>+IF(SUM(P333,P342,P346)=0,"",SUM(P333,P342,P346))</f>
        <v/>
      </c>
      <c r="Q332" s="32"/>
      <c r="R332" s="24"/>
    </row>
    <row r="333" spans="2:18" s="9" customFormat="1" ht="22.5" customHeight="1" x14ac:dyDescent="0.2">
      <c r="B333" s="137"/>
      <c r="C333" s="39"/>
      <c r="D333" s="5"/>
      <c r="E333" s="39"/>
      <c r="F333" s="39"/>
      <c r="G333" s="32"/>
      <c r="H333" s="32"/>
      <c r="I333" s="888" t="s">
        <v>2164</v>
      </c>
      <c r="J333" s="888"/>
      <c r="K333" s="888"/>
      <c r="L333" s="139"/>
      <c r="M333" s="141" t="str">
        <f>+IF(SUM(M334:M341)=0,"",SUM(M334:M341))</f>
        <v/>
      </c>
      <c r="N333" s="140"/>
      <c r="O333" s="141" t="str">
        <f>+IF(SUM(O334:O341)=0,"",SUM(O334:O341))</f>
        <v/>
      </c>
      <c r="P333" s="663" t="str">
        <f>+IF(SUM(P334:P341)=0,"",SUM(P334:P341))</f>
        <v/>
      </c>
      <c r="Q333" s="32"/>
      <c r="R333" s="24"/>
    </row>
    <row r="334" spans="2:18" s="9" customFormat="1" ht="22.5" customHeight="1" x14ac:dyDescent="0.2">
      <c r="B334" s="137"/>
      <c r="C334" s="39"/>
      <c r="D334" s="5"/>
      <c r="E334" s="39"/>
      <c r="F334" s="39"/>
      <c r="G334" s="32"/>
      <c r="H334" s="32"/>
      <c r="I334" s="869" t="s">
        <v>2165</v>
      </c>
      <c r="J334" s="869"/>
      <c r="K334" s="869"/>
      <c r="L334" s="139" t="s">
        <v>2166</v>
      </c>
      <c r="M334" s="148"/>
      <c r="N334" s="139" t="s">
        <v>2166</v>
      </c>
      <c r="O334" s="148"/>
      <c r="P334" s="143"/>
      <c r="Q334" s="32"/>
      <c r="R334" s="24"/>
    </row>
    <row r="335" spans="2:18" s="9" customFormat="1" ht="22.5" customHeight="1" x14ac:dyDescent="0.2">
      <c r="B335" s="137"/>
      <c r="C335" s="39"/>
      <c r="D335" s="5"/>
      <c r="E335" s="39"/>
      <c r="F335" s="39"/>
      <c r="G335" s="32"/>
      <c r="H335" s="32"/>
      <c r="I335" s="869" t="s">
        <v>2167</v>
      </c>
      <c r="J335" s="869"/>
      <c r="K335" s="869"/>
      <c r="L335" s="139" t="s">
        <v>2166</v>
      </c>
      <c r="M335" s="148"/>
      <c r="N335" s="139" t="s">
        <v>2166</v>
      </c>
      <c r="O335" s="148"/>
      <c r="P335" s="143"/>
      <c r="Q335" s="32"/>
      <c r="R335" s="24"/>
    </row>
    <row r="336" spans="2:18" s="9" customFormat="1" ht="22.5" customHeight="1" x14ac:dyDescent="0.2">
      <c r="B336" s="137"/>
      <c r="C336" s="39"/>
      <c r="D336" s="5"/>
      <c r="E336" s="39"/>
      <c r="F336" s="39"/>
      <c r="G336" s="32"/>
      <c r="H336" s="32"/>
      <c r="I336" s="869" t="s">
        <v>2168</v>
      </c>
      <c r="J336" s="869"/>
      <c r="K336" s="869"/>
      <c r="L336" s="139" t="s">
        <v>2166</v>
      </c>
      <c r="M336" s="148"/>
      <c r="N336" s="139" t="s">
        <v>2166</v>
      </c>
      <c r="O336" s="148"/>
      <c r="P336" s="143"/>
      <c r="Q336" s="32"/>
      <c r="R336" s="24"/>
    </row>
    <row r="337" spans="2:18" s="9" customFormat="1" ht="22.5" customHeight="1" x14ac:dyDescent="0.2">
      <c r="B337" s="137"/>
      <c r="C337" s="39"/>
      <c r="D337" s="5"/>
      <c r="E337" s="39"/>
      <c r="F337" s="39"/>
      <c r="G337" s="32"/>
      <c r="H337" s="32"/>
      <c r="I337" s="869" t="s">
        <v>2169</v>
      </c>
      <c r="J337" s="869"/>
      <c r="K337" s="869"/>
      <c r="L337" s="139" t="s">
        <v>2166</v>
      </c>
      <c r="M337" s="148"/>
      <c r="N337" s="139" t="s">
        <v>2166</v>
      </c>
      <c r="O337" s="148"/>
      <c r="P337" s="143"/>
      <c r="Q337" s="32"/>
      <c r="R337" s="24"/>
    </row>
    <row r="338" spans="2:18" s="9" customFormat="1" ht="22.5" customHeight="1" x14ac:dyDescent="0.2">
      <c r="B338" s="137"/>
      <c r="C338" s="39"/>
      <c r="D338" s="5"/>
      <c r="E338" s="39"/>
      <c r="F338" s="39"/>
      <c r="G338" s="32"/>
      <c r="H338" s="32"/>
      <c r="I338" s="869" t="s">
        <v>2170</v>
      </c>
      <c r="J338" s="869"/>
      <c r="K338" s="869"/>
      <c r="L338" s="139" t="s">
        <v>2166</v>
      </c>
      <c r="M338" s="148"/>
      <c r="N338" s="139" t="s">
        <v>2166</v>
      </c>
      <c r="O338" s="148"/>
      <c r="P338" s="143"/>
      <c r="Q338" s="32"/>
      <c r="R338" s="24"/>
    </row>
    <row r="339" spans="2:18" s="9" customFormat="1" ht="22.5" customHeight="1" x14ac:dyDescent="0.2">
      <c r="B339" s="137"/>
      <c r="C339" s="39"/>
      <c r="D339" s="5"/>
      <c r="E339" s="39"/>
      <c r="F339" s="39"/>
      <c r="G339" s="32"/>
      <c r="H339" s="32"/>
      <c r="I339" s="869" t="s">
        <v>2171</v>
      </c>
      <c r="J339" s="869"/>
      <c r="K339" s="869"/>
      <c r="L339" s="139" t="s">
        <v>2166</v>
      </c>
      <c r="M339" s="148"/>
      <c r="N339" s="139" t="s">
        <v>2166</v>
      </c>
      <c r="O339" s="148"/>
      <c r="P339" s="143"/>
      <c r="Q339" s="32"/>
      <c r="R339" s="24"/>
    </row>
    <row r="340" spans="2:18" s="9" customFormat="1" ht="22.5" customHeight="1" x14ac:dyDescent="0.2">
      <c r="B340" s="137"/>
      <c r="C340" s="39"/>
      <c r="D340" s="5"/>
      <c r="E340" s="39"/>
      <c r="F340" s="39"/>
      <c r="G340" s="32"/>
      <c r="H340" s="32"/>
      <c r="I340" s="869" t="s">
        <v>2172</v>
      </c>
      <c r="J340" s="869"/>
      <c r="K340" s="869"/>
      <c r="L340" s="139" t="s">
        <v>2166</v>
      </c>
      <c r="M340" s="148"/>
      <c r="N340" s="139" t="s">
        <v>2166</v>
      </c>
      <c r="O340" s="148"/>
      <c r="P340" s="143"/>
      <c r="Q340" s="32"/>
      <c r="R340" s="24"/>
    </row>
    <row r="341" spans="2:18" s="9" customFormat="1" ht="22.5" customHeight="1" x14ac:dyDescent="0.2">
      <c r="B341" s="137"/>
      <c r="C341" s="39"/>
      <c r="D341" s="5"/>
      <c r="E341" s="39"/>
      <c r="F341" s="39"/>
      <c r="G341" s="32"/>
      <c r="H341" s="32"/>
      <c r="I341" s="869" t="s">
        <v>2173</v>
      </c>
      <c r="J341" s="869"/>
      <c r="K341" s="869"/>
      <c r="L341" s="139" t="s">
        <v>2166</v>
      </c>
      <c r="M341" s="148"/>
      <c r="N341" s="139" t="s">
        <v>2166</v>
      </c>
      <c r="O341" s="148"/>
      <c r="P341" s="143"/>
      <c r="Q341" s="32"/>
      <c r="R341" s="24"/>
    </row>
    <row r="342" spans="2:18" s="9" customFormat="1" ht="22.5" customHeight="1" x14ac:dyDescent="0.2">
      <c r="B342" s="137"/>
      <c r="C342" s="39"/>
      <c r="D342" s="5"/>
      <c r="E342" s="39"/>
      <c r="F342" s="39"/>
      <c r="G342" s="32"/>
      <c r="H342" s="32"/>
      <c r="I342" s="888" t="s">
        <v>2174</v>
      </c>
      <c r="J342" s="888"/>
      <c r="K342" s="888"/>
      <c r="L342" s="140"/>
      <c r="M342" s="141" t="str">
        <f>+IF(SUM(M343:M345)=0,"",SUM(M343:M345))</f>
        <v/>
      </c>
      <c r="N342" s="140"/>
      <c r="O342" s="141" t="str">
        <f>+IF(SUM(O343:O345)=0,"",SUM(O343:O345))</f>
        <v/>
      </c>
      <c r="P342" s="662" t="str">
        <f>+IF(SUM(P343:P345)=0,"",SUM(P343:P345))</f>
        <v/>
      </c>
      <c r="Q342" s="32"/>
      <c r="R342" s="24"/>
    </row>
    <row r="343" spans="2:18" s="9" customFormat="1" ht="22.5" customHeight="1" x14ac:dyDescent="0.2">
      <c r="B343" s="137"/>
      <c r="C343" s="39"/>
      <c r="D343" s="5"/>
      <c r="E343" s="39"/>
      <c r="F343" s="39"/>
      <c r="G343" s="32"/>
      <c r="H343" s="32"/>
      <c r="I343" s="869" t="s">
        <v>2175</v>
      </c>
      <c r="J343" s="869"/>
      <c r="K343" s="869"/>
      <c r="L343" s="139" t="s">
        <v>2166</v>
      </c>
      <c r="M343" s="148"/>
      <c r="N343" s="139" t="s">
        <v>2166</v>
      </c>
      <c r="O343" s="148"/>
      <c r="P343" s="143"/>
      <c r="Q343" s="32"/>
      <c r="R343" s="24"/>
    </row>
    <row r="344" spans="2:18" s="9" customFormat="1" ht="22.5" customHeight="1" x14ac:dyDescent="0.2">
      <c r="B344" s="137"/>
      <c r="C344" s="39"/>
      <c r="D344" s="5"/>
      <c r="E344" s="39"/>
      <c r="F344" s="39"/>
      <c r="G344" s="32"/>
      <c r="H344" s="32"/>
      <c r="I344" s="869" t="s">
        <v>2176</v>
      </c>
      <c r="J344" s="869"/>
      <c r="K344" s="869"/>
      <c r="L344" s="139" t="s">
        <v>2166</v>
      </c>
      <c r="M344" s="148"/>
      <c r="N344" s="139" t="s">
        <v>2166</v>
      </c>
      <c r="O344" s="148"/>
      <c r="P344" s="143"/>
      <c r="Q344" s="32"/>
      <c r="R344" s="24"/>
    </row>
    <row r="345" spans="2:18" s="9" customFormat="1" ht="22.5" customHeight="1" x14ac:dyDescent="0.2">
      <c r="B345" s="137"/>
      <c r="C345" s="39"/>
      <c r="D345" s="5"/>
      <c r="E345" s="39"/>
      <c r="F345" s="39"/>
      <c r="G345" s="32"/>
      <c r="H345" s="32"/>
      <c r="I345" s="869" t="s">
        <v>2177</v>
      </c>
      <c r="J345" s="869"/>
      <c r="K345" s="869"/>
      <c r="L345" s="139" t="s">
        <v>2166</v>
      </c>
      <c r="M345" s="148"/>
      <c r="N345" s="139" t="s">
        <v>2166</v>
      </c>
      <c r="O345" s="148"/>
      <c r="P345" s="143"/>
      <c r="Q345" s="32"/>
      <c r="R345" s="24"/>
    </row>
    <row r="346" spans="2:18" s="9" customFormat="1" ht="22.5" customHeight="1" x14ac:dyDescent="0.2">
      <c r="B346" s="137"/>
      <c r="C346" s="39"/>
      <c r="D346" s="5"/>
      <c r="E346" s="39"/>
      <c r="F346" s="39"/>
      <c r="G346" s="32"/>
      <c r="H346" s="32"/>
      <c r="I346" s="888" t="s">
        <v>2178</v>
      </c>
      <c r="J346" s="888"/>
      <c r="K346" s="888"/>
      <c r="L346" s="140"/>
      <c r="M346" s="141" t="str">
        <f>+IF(SUM(M347:M348)=0,"",SUM(M347:M348))</f>
        <v/>
      </c>
      <c r="N346" s="140"/>
      <c r="O346" s="141" t="str">
        <f>+IF(SUM(O347:O348)=0,"",SUM(O347:O348))</f>
        <v/>
      </c>
      <c r="P346" s="662" t="str">
        <f>+IF(SUM(P347:P348)=0,"",SUM(P347:P348))</f>
        <v/>
      </c>
      <c r="Q346" s="32"/>
      <c r="R346" s="24"/>
    </row>
    <row r="347" spans="2:18" s="9" customFormat="1" ht="22.5" customHeight="1" x14ac:dyDescent="0.2">
      <c r="B347" s="137"/>
      <c r="C347" s="39"/>
      <c r="D347" s="5"/>
      <c r="E347" s="39"/>
      <c r="F347" s="39"/>
      <c r="G347" s="32"/>
      <c r="H347" s="32"/>
      <c r="I347" s="869" t="s">
        <v>2179</v>
      </c>
      <c r="J347" s="869"/>
      <c r="K347" s="869"/>
      <c r="L347" s="139" t="s">
        <v>2166</v>
      </c>
      <c r="M347" s="148"/>
      <c r="N347" s="139" t="s">
        <v>2166</v>
      </c>
      <c r="O347" s="148"/>
      <c r="P347" s="143"/>
      <c r="Q347" s="32"/>
      <c r="R347" s="24"/>
    </row>
    <row r="348" spans="2:18" s="9" customFormat="1" ht="22.5" customHeight="1" x14ac:dyDescent="0.2">
      <c r="B348" s="137"/>
      <c r="C348" s="39"/>
      <c r="D348" s="5"/>
      <c r="E348" s="39"/>
      <c r="F348" s="39"/>
      <c r="G348" s="32"/>
      <c r="H348" s="32"/>
      <c r="I348" s="869" t="s">
        <v>2180</v>
      </c>
      <c r="J348" s="869"/>
      <c r="K348" s="869"/>
      <c r="L348" s="139" t="s">
        <v>2166</v>
      </c>
      <c r="M348" s="148"/>
      <c r="N348" s="139" t="s">
        <v>2166</v>
      </c>
      <c r="O348" s="148"/>
      <c r="P348" s="143"/>
      <c r="Q348" s="32"/>
      <c r="R348" s="24"/>
    </row>
    <row r="349" spans="2:18" s="9" customFormat="1" ht="26.25" customHeight="1" x14ac:dyDescent="0.2">
      <c r="B349" s="137"/>
      <c r="C349" s="39"/>
      <c r="D349" s="5"/>
      <c r="E349" s="39"/>
      <c r="F349" s="39"/>
      <c r="G349" s="32"/>
      <c r="H349" s="32"/>
      <c r="I349" s="891" t="s">
        <v>2181</v>
      </c>
      <c r="J349" s="891"/>
      <c r="K349" s="891"/>
      <c r="L349" s="140"/>
      <c r="M349" s="141"/>
      <c r="N349" s="140"/>
      <c r="O349" s="141" t="str">
        <f>+IF(SUM(O350,O358)=0,"",SUM(O350,O358))</f>
        <v/>
      </c>
      <c r="P349" s="582" t="str">
        <f>+IF(SUM(P350,P358)=0,"",SUM(P350,P358))</f>
        <v/>
      </c>
      <c r="Q349" s="32"/>
      <c r="R349" s="24"/>
    </row>
    <row r="350" spans="2:18" s="9" customFormat="1" ht="22.5" customHeight="1" x14ac:dyDescent="0.2">
      <c r="B350" s="137"/>
      <c r="C350" s="39"/>
      <c r="D350" s="5"/>
      <c r="E350" s="39"/>
      <c r="F350" s="39"/>
      <c r="G350" s="32"/>
      <c r="H350" s="32"/>
      <c r="I350" s="888" t="s">
        <v>2182</v>
      </c>
      <c r="J350" s="888"/>
      <c r="K350" s="888"/>
      <c r="L350" s="140"/>
      <c r="M350" s="141"/>
      <c r="N350" s="140"/>
      <c r="O350" s="661" t="str">
        <f>+IF(SUM(O351:O357)=0,"",SUM(O351:O357))</f>
        <v/>
      </c>
      <c r="P350" s="582" t="str">
        <f>+IF(SUM(P351:P357)=0,"",SUM(P351:P357))</f>
        <v/>
      </c>
      <c r="Q350" s="32"/>
      <c r="R350" s="24"/>
    </row>
    <row r="351" spans="2:18" s="9" customFormat="1" ht="22.5" customHeight="1" x14ac:dyDescent="0.2">
      <c r="B351" s="137"/>
      <c r="C351" s="39"/>
      <c r="D351" s="5"/>
      <c r="E351" s="39"/>
      <c r="F351" s="39"/>
      <c r="G351" s="32"/>
      <c r="H351" s="32"/>
      <c r="I351" s="869" t="s">
        <v>2183</v>
      </c>
      <c r="J351" s="869"/>
      <c r="K351" s="869"/>
      <c r="L351" s="139" t="s">
        <v>2166</v>
      </c>
      <c r="M351" s="148"/>
      <c r="N351" s="139" t="s">
        <v>2166</v>
      </c>
      <c r="O351" s="148"/>
      <c r="P351" s="143"/>
      <c r="Q351" s="32"/>
      <c r="R351" s="24"/>
    </row>
    <row r="352" spans="2:18" s="9" customFormat="1" ht="22.5" customHeight="1" x14ac:dyDescent="0.2">
      <c r="B352" s="137"/>
      <c r="C352" s="39"/>
      <c r="D352" s="5"/>
      <c r="E352" s="39"/>
      <c r="F352" s="39"/>
      <c r="G352" s="32"/>
      <c r="H352" s="32"/>
      <c r="I352" s="869" t="s">
        <v>2184</v>
      </c>
      <c r="J352" s="869"/>
      <c r="K352" s="869"/>
      <c r="L352" s="139" t="s">
        <v>2166</v>
      </c>
      <c r="M352" s="148"/>
      <c r="N352" s="139" t="s">
        <v>2166</v>
      </c>
      <c r="O352" s="148"/>
      <c r="P352" s="143"/>
      <c r="Q352" s="32"/>
      <c r="R352" s="24"/>
    </row>
    <row r="353" spans="2:18" s="9" customFormat="1" ht="22.5" customHeight="1" x14ac:dyDescent="0.2">
      <c r="B353" s="137"/>
      <c r="C353" s="39"/>
      <c r="D353" s="5"/>
      <c r="E353" s="39"/>
      <c r="F353" s="39"/>
      <c r="G353" s="32"/>
      <c r="H353" s="32"/>
      <c r="I353" s="869" t="s">
        <v>2185</v>
      </c>
      <c r="J353" s="869"/>
      <c r="K353" s="869"/>
      <c r="L353" s="139" t="s">
        <v>2166</v>
      </c>
      <c r="M353" s="148"/>
      <c r="N353" s="139" t="s">
        <v>2166</v>
      </c>
      <c r="O353" s="148"/>
      <c r="P353" s="143"/>
      <c r="Q353" s="32"/>
      <c r="R353" s="24"/>
    </row>
    <row r="354" spans="2:18" s="9" customFormat="1" ht="22.5" customHeight="1" x14ac:dyDescent="0.2">
      <c r="B354" s="137"/>
      <c r="C354" s="39"/>
      <c r="D354" s="5"/>
      <c r="E354" s="39"/>
      <c r="F354" s="39"/>
      <c r="G354" s="32"/>
      <c r="H354" s="32"/>
      <c r="I354" s="869" t="s">
        <v>2186</v>
      </c>
      <c r="J354" s="869"/>
      <c r="K354" s="869"/>
      <c r="L354" s="139" t="s">
        <v>2166</v>
      </c>
      <c r="M354" s="148"/>
      <c r="N354" s="139" t="s">
        <v>2166</v>
      </c>
      <c r="O354" s="148"/>
      <c r="P354" s="143"/>
      <c r="Q354" s="32"/>
      <c r="R354" s="24"/>
    </row>
    <row r="355" spans="2:18" s="9" customFormat="1" ht="22.5" customHeight="1" x14ac:dyDescent="0.2">
      <c r="B355" s="137"/>
      <c r="C355" s="39"/>
      <c r="D355" s="5"/>
      <c r="E355" s="39"/>
      <c r="F355" s="39"/>
      <c r="G355" s="32"/>
      <c r="H355" s="32"/>
      <c r="I355" s="869" t="s">
        <v>2187</v>
      </c>
      <c r="J355" s="869"/>
      <c r="K355" s="869"/>
      <c r="L355" s="139" t="s">
        <v>2166</v>
      </c>
      <c r="M355" s="148"/>
      <c r="N355" s="139" t="s">
        <v>2166</v>
      </c>
      <c r="O355" s="148"/>
      <c r="P355" s="143"/>
      <c r="Q355" s="32"/>
      <c r="R355" s="24"/>
    </row>
    <row r="356" spans="2:18" s="9" customFormat="1" ht="22.5" customHeight="1" x14ac:dyDescent="0.2">
      <c r="B356" s="137"/>
      <c r="C356" s="39"/>
      <c r="D356" s="5"/>
      <c r="E356" s="39"/>
      <c r="F356" s="39"/>
      <c r="G356" s="32"/>
      <c r="H356" s="32"/>
      <c r="I356" s="869" t="s">
        <v>2188</v>
      </c>
      <c r="J356" s="869"/>
      <c r="K356" s="869"/>
      <c r="L356" s="139" t="s">
        <v>2166</v>
      </c>
      <c r="M356" s="148"/>
      <c r="N356" s="139" t="s">
        <v>2166</v>
      </c>
      <c r="O356" s="148"/>
      <c r="P356" s="143"/>
      <c r="Q356" s="32"/>
      <c r="R356" s="24"/>
    </row>
    <row r="357" spans="2:18" s="9" customFormat="1" ht="22.5" customHeight="1" x14ac:dyDescent="0.2">
      <c r="B357" s="137"/>
      <c r="C357" s="39"/>
      <c r="D357" s="5"/>
      <c r="E357" s="39"/>
      <c r="F357" s="39"/>
      <c r="G357" s="32"/>
      <c r="H357" s="32"/>
      <c r="I357" s="869" t="s">
        <v>2189</v>
      </c>
      <c r="J357" s="869"/>
      <c r="K357" s="869"/>
      <c r="L357" s="139" t="s">
        <v>2166</v>
      </c>
      <c r="M357" s="148"/>
      <c r="N357" s="139" t="s">
        <v>2166</v>
      </c>
      <c r="O357" s="148"/>
      <c r="P357" s="143"/>
      <c r="Q357" s="32"/>
      <c r="R357" s="24"/>
    </row>
    <row r="358" spans="2:18" s="9" customFormat="1" ht="22.5" customHeight="1" x14ac:dyDescent="0.2">
      <c r="B358" s="137"/>
      <c r="C358" s="39"/>
      <c r="D358" s="5"/>
      <c r="E358" s="39"/>
      <c r="F358" s="39"/>
      <c r="G358" s="32"/>
      <c r="H358" s="32"/>
      <c r="I358" s="888" t="s">
        <v>2190</v>
      </c>
      <c r="J358" s="888"/>
      <c r="K358" s="888"/>
      <c r="L358" s="140"/>
      <c r="M358" s="141"/>
      <c r="N358" s="140"/>
      <c r="O358" s="141" t="str">
        <f>+IF(SUM(O359)=0,"",SUM(O359))</f>
        <v/>
      </c>
      <c r="P358" s="549" t="str">
        <f>+IF(P359=0,"",P359)</f>
        <v/>
      </c>
      <c r="Q358" s="32"/>
      <c r="R358" s="24"/>
    </row>
    <row r="359" spans="2:18" s="9" customFormat="1" ht="22.5" customHeight="1" x14ac:dyDescent="0.2">
      <c r="B359" s="137"/>
      <c r="C359" s="39"/>
      <c r="D359" s="5"/>
      <c r="E359" s="39"/>
      <c r="F359" s="39"/>
      <c r="G359" s="32"/>
      <c r="H359" s="32"/>
      <c r="I359" s="869" t="s">
        <v>2191</v>
      </c>
      <c r="J359" s="869"/>
      <c r="K359" s="869"/>
      <c r="L359" s="139" t="s">
        <v>2166</v>
      </c>
      <c r="M359" s="148"/>
      <c r="N359" s="139" t="s">
        <v>2166</v>
      </c>
      <c r="O359" s="148"/>
      <c r="P359" s="143"/>
      <c r="Q359" s="32"/>
      <c r="R359" s="24"/>
    </row>
    <row r="360" spans="2:18" s="9" customFormat="1" ht="22.5" customHeight="1" x14ac:dyDescent="0.2">
      <c r="B360" s="137"/>
      <c r="C360" s="39"/>
      <c r="D360" s="5"/>
      <c r="E360" s="39"/>
      <c r="F360" s="39"/>
      <c r="G360" s="32"/>
      <c r="H360" s="32"/>
      <c r="I360" s="891" t="s">
        <v>2192</v>
      </c>
      <c r="J360" s="891"/>
      <c r="K360" s="891"/>
      <c r="L360" s="140"/>
      <c r="M360" s="141"/>
      <c r="N360" s="140"/>
      <c r="O360" s="582" t="str">
        <f>+IF(SUM(O361:O364)=0,"",SUM(O361:O364))</f>
        <v/>
      </c>
      <c r="P360" s="662" t="str">
        <f>+IF(SUM(P361:P364)=0,"",SUM(P361:P364))</f>
        <v/>
      </c>
      <c r="Q360" s="32"/>
      <c r="R360" s="24"/>
    </row>
    <row r="361" spans="2:18" s="9" customFormat="1" ht="22.5" customHeight="1" x14ac:dyDescent="0.2">
      <c r="B361" s="137"/>
      <c r="C361" s="39"/>
      <c r="D361" s="5"/>
      <c r="E361" s="39"/>
      <c r="F361" s="39"/>
      <c r="G361" s="32"/>
      <c r="H361" s="32"/>
      <c r="I361" s="856" t="s">
        <v>2193</v>
      </c>
      <c r="J361" s="856"/>
      <c r="K361" s="856"/>
      <c r="L361" s="139" t="s">
        <v>2166</v>
      </c>
      <c r="M361" s="148"/>
      <c r="N361" s="139" t="s">
        <v>2166</v>
      </c>
      <c r="O361" s="148"/>
      <c r="P361" s="143"/>
      <c r="Q361" s="32"/>
      <c r="R361" s="24"/>
    </row>
    <row r="362" spans="2:18" s="9" customFormat="1" ht="22.5" customHeight="1" x14ac:dyDescent="0.2">
      <c r="B362" s="137"/>
      <c r="C362" s="39"/>
      <c r="D362" s="5"/>
      <c r="E362" s="39"/>
      <c r="F362" s="39"/>
      <c r="G362" s="32"/>
      <c r="H362" s="32"/>
      <c r="I362" s="856" t="s">
        <v>2196</v>
      </c>
      <c r="J362" s="856"/>
      <c r="K362" s="856"/>
      <c r="L362" s="139" t="s">
        <v>2166</v>
      </c>
      <c r="M362" s="148"/>
      <c r="N362" s="139" t="s">
        <v>2166</v>
      </c>
      <c r="O362" s="148"/>
      <c r="P362" s="143"/>
      <c r="Q362" s="32"/>
      <c r="R362" s="24"/>
    </row>
    <row r="363" spans="2:18" s="9" customFormat="1" ht="22.5" customHeight="1" x14ac:dyDescent="0.2">
      <c r="B363" s="137"/>
      <c r="C363" s="39"/>
      <c r="D363" s="5"/>
      <c r="E363" s="39"/>
      <c r="F363" s="39"/>
      <c r="G363" s="32"/>
      <c r="H363" s="32"/>
      <c r="I363" s="856" t="s">
        <v>2195</v>
      </c>
      <c r="J363" s="856"/>
      <c r="K363" s="856"/>
      <c r="L363" s="139" t="s">
        <v>2166</v>
      </c>
      <c r="M363" s="148"/>
      <c r="N363" s="139" t="s">
        <v>2166</v>
      </c>
      <c r="O363" s="148"/>
      <c r="P363" s="143"/>
      <c r="Q363" s="32"/>
      <c r="R363" s="24"/>
    </row>
    <row r="364" spans="2:18" s="9" customFormat="1" ht="22.5" customHeight="1" x14ac:dyDescent="0.2">
      <c r="B364" s="137"/>
      <c r="C364" s="39"/>
      <c r="D364" s="5"/>
      <c r="E364" s="39"/>
      <c r="F364" s="39"/>
      <c r="G364" s="32"/>
      <c r="H364" s="32"/>
      <c r="I364" s="856" t="s">
        <v>2194</v>
      </c>
      <c r="J364" s="856"/>
      <c r="K364" s="856"/>
      <c r="L364" s="139" t="s">
        <v>2166</v>
      </c>
      <c r="M364" s="148"/>
      <c r="N364" s="139" t="s">
        <v>2166</v>
      </c>
      <c r="O364" s="148"/>
      <c r="P364" s="143"/>
      <c r="Q364" s="32"/>
      <c r="R364" s="24"/>
    </row>
    <row r="365" spans="2:18" s="9" customFormat="1" ht="22.5" customHeight="1" x14ac:dyDescent="0.2">
      <c r="B365" s="137"/>
      <c r="C365" s="39"/>
      <c r="D365" s="5"/>
      <c r="E365" s="39"/>
      <c r="F365" s="39"/>
      <c r="G365" s="32"/>
      <c r="H365" s="32"/>
      <c r="I365" s="891" t="s">
        <v>2197</v>
      </c>
      <c r="J365" s="891"/>
      <c r="K365" s="891"/>
      <c r="L365" s="140"/>
      <c r="M365" s="141"/>
      <c r="N365" s="140"/>
      <c r="O365" s="141" t="str">
        <f>+IF(SUM(O366:O368)=0,"",SUM(O366:O368))</f>
        <v/>
      </c>
      <c r="P365" s="662" t="str">
        <f>+IF(SUM(P366:P368)=0,"",SUM(P366:P368))</f>
        <v/>
      </c>
      <c r="Q365" s="32"/>
      <c r="R365" s="24"/>
    </row>
    <row r="366" spans="2:18" s="9" customFormat="1" ht="22.5" customHeight="1" x14ac:dyDescent="0.2">
      <c r="B366" s="137"/>
      <c r="C366" s="39"/>
      <c r="D366" s="5"/>
      <c r="E366" s="39"/>
      <c r="F366" s="39"/>
      <c r="G366" s="32"/>
      <c r="H366" s="32"/>
      <c r="I366" s="856" t="s">
        <v>2198</v>
      </c>
      <c r="J366" s="856"/>
      <c r="K366" s="856"/>
      <c r="L366" s="139" t="s">
        <v>2166</v>
      </c>
      <c r="M366" s="148"/>
      <c r="N366" s="139" t="s">
        <v>2166</v>
      </c>
      <c r="O366" s="148"/>
      <c r="P366" s="143"/>
      <c r="Q366" s="32"/>
      <c r="R366" s="24"/>
    </row>
    <row r="367" spans="2:18" s="9" customFormat="1" ht="22.5" customHeight="1" x14ac:dyDescent="0.2">
      <c r="B367" s="137"/>
      <c r="C367" s="39"/>
      <c r="D367" s="5"/>
      <c r="E367" s="39"/>
      <c r="F367" s="39"/>
      <c r="G367" s="32"/>
      <c r="H367" s="32"/>
      <c r="I367" s="856" t="s">
        <v>2199</v>
      </c>
      <c r="J367" s="856"/>
      <c r="K367" s="856"/>
      <c r="L367" s="139" t="s">
        <v>2166</v>
      </c>
      <c r="M367" s="148"/>
      <c r="N367" s="139" t="s">
        <v>2166</v>
      </c>
      <c r="O367" s="148"/>
      <c r="P367" s="143"/>
      <c r="Q367" s="32"/>
      <c r="R367" s="24"/>
    </row>
    <row r="368" spans="2:18" s="9" customFormat="1" ht="22.5" customHeight="1" x14ac:dyDescent="0.2">
      <c r="B368" s="137"/>
      <c r="C368" s="39"/>
      <c r="D368" s="5"/>
      <c r="E368" s="39"/>
      <c r="F368" s="39"/>
      <c r="G368" s="32"/>
      <c r="H368" s="32"/>
      <c r="I368" s="856" t="s">
        <v>2200</v>
      </c>
      <c r="J368" s="856"/>
      <c r="K368" s="856"/>
      <c r="L368" s="139" t="s">
        <v>2166</v>
      </c>
      <c r="M368" s="148"/>
      <c r="N368" s="139" t="s">
        <v>2166</v>
      </c>
      <c r="O368" s="148"/>
      <c r="P368" s="143"/>
      <c r="Q368" s="32"/>
      <c r="R368" s="24"/>
    </row>
    <row r="369" spans="2:19" s="9" customFormat="1" ht="22.5" customHeight="1" x14ac:dyDescent="0.2">
      <c r="B369" s="137"/>
      <c r="C369" s="39"/>
      <c r="D369" s="5"/>
      <c r="E369" s="39"/>
      <c r="F369" s="39"/>
      <c r="G369" s="32"/>
      <c r="H369" s="32"/>
      <c r="I369" s="891" t="s">
        <v>2201</v>
      </c>
      <c r="J369" s="891"/>
      <c r="K369" s="891"/>
      <c r="L369" s="140"/>
      <c r="M369" s="141"/>
      <c r="N369" s="140"/>
      <c r="O369" s="582" t="str">
        <f>+IF(SUM(O370:O374)=0,"",SUM(O370:O374))</f>
        <v/>
      </c>
      <c r="P369" s="582" t="str">
        <f>+IF(SUM(P370:P374)=0,"",SUM(P370:P374))</f>
        <v/>
      </c>
      <c r="Q369" s="32"/>
      <c r="R369" s="24"/>
    </row>
    <row r="370" spans="2:19" s="9" customFormat="1" ht="22.5" customHeight="1" x14ac:dyDescent="0.2">
      <c r="B370" s="137"/>
      <c r="C370" s="39"/>
      <c r="D370" s="5"/>
      <c r="E370" s="39"/>
      <c r="F370" s="39"/>
      <c r="G370" s="32"/>
      <c r="H370" s="32"/>
      <c r="I370" s="856" t="s">
        <v>2202</v>
      </c>
      <c r="J370" s="856"/>
      <c r="K370" s="856"/>
      <c r="L370" s="139" t="s">
        <v>2203</v>
      </c>
      <c r="M370" s="148"/>
      <c r="N370" s="139" t="s">
        <v>2203</v>
      </c>
      <c r="O370" s="148"/>
      <c r="P370" s="143"/>
      <c r="Q370" s="32"/>
      <c r="R370" s="24"/>
    </row>
    <row r="371" spans="2:19" s="9" customFormat="1" ht="22.5" customHeight="1" x14ac:dyDescent="0.2">
      <c r="B371" s="137"/>
      <c r="C371" s="39"/>
      <c r="D371" s="5"/>
      <c r="E371" s="39"/>
      <c r="F371" s="39"/>
      <c r="G371" s="32"/>
      <c r="H371" s="32"/>
      <c r="I371" s="856" t="s">
        <v>2204</v>
      </c>
      <c r="J371" s="856"/>
      <c r="K371" s="856"/>
      <c r="L371" s="139" t="s">
        <v>2203</v>
      </c>
      <c r="M371" s="148"/>
      <c r="N371" s="139" t="s">
        <v>2203</v>
      </c>
      <c r="O371" s="148"/>
      <c r="P371" s="143"/>
      <c r="Q371" s="32"/>
      <c r="R371" s="24"/>
    </row>
    <row r="372" spans="2:19" s="9" customFormat="1" ht="22.5" customHeight="1" x14ac:dyDescent="0.2">
      <c r="B372" s="137"/>
      <c r="C372" s="39"/>
      <c r="D372" s="5"/>
      <c r="E372" s="39"/>
      <c r="F372" s="39"/>
      <c r="G372" s="32"/>
      <c r="H372" s="32"/>
      <c r="I372" s="856" t="s">
        <v>2205</v>
      </c>
      <c r="J372" s="856"/>
      <c r="K372" s="856"/>
      <c r="L372" s="139" t="s">
        <v>2203</v>
      </c>
      <c r="M372" s="148"/>
      <c r="N372" s="139" t="s">
        <v>2203</v>
      </c>
      <c r="O372" s="148"/>
      <c r="P372" s="143"/>
      <c r="Q372" s="32"/>
      <c r="R372" s="24"/>
    </row>
    <row r="373" spans="2:19" s="9" customFormat="1" ht="22.5" customHeight="1" x14ac:dyDescent="0.2">
      <c r="B373" s="137"/>
      <c r="C373" s="39"/>
      <c r="D373" s="5"/>
      <c r="E373" s="39"/>
      <c r="F373" s="39"/>
      <c r="G373" s="32"/>
      <c r="H373" s="32"/>
      <c r="I373" s="856" t="s">
        <v>2206</v>
      </c>
      <c r="J373" s="856"/>
      <c r="K373" s="856"/>
      <c r="L373" s="139" t="s">
        <v>2203</v>
      </c>
      <c r="M373" s="148"/>
      <c r="N373" s="139" t="s">
        <v>2203</v>
      </c>
      <c r="O373" s="148"/>
      <c r="P373" s="143"/>
      <c r="Q373" s="32"/>
      <c r="R373" s="24"/>
    </row>
    <row r="374" spans="2:19" s="9" customFormat="1" ht="22.5" customHeight="1" x14ac:dyDescent="0.2">
      <c r="B374" s="137"/>
      <c r="C374" s="39"/>
      <c r="D374" s="5"/>
      <c r="E374" s="39"/>
      <c r="F374" s="39"/>
      <c r="G374" s="32"/>
      <c r="H374" s="32"/>
      <c r="I374" s="856" t="s">
        <v>2207</v>
      </c>
      <c r="J374" s="856"/>
      <c r="K374" s="856"/>
      <c r="L374" s="139" t="s">
        <v>2203</v>
      </c>
      <c r="M374" s="148"/>
      <c r="N374" s="139" t="s">
        <v>2203</v>
      </c>
      <c r="O374" s="148"/>
      <c r="P374" s="143"/>
      <c r="Q374" s="32"/>
      <c r="R374" s="24"/>
    </row>
    <row r="375" spans="2:19" s="9" customFormat="1" ht="22.5" customHeight="1" x14ac:dyDescent="0.2">
      <c r="B375" s="137"/>
      <c r="C375" s="39"/>
      <c r="D375" s="5"/>
      <c r="E375" s="39"/>
      <c r="F375" s="39"/>
      <c r="G375" s="32"/>
      <c r="H375" s="32"/>
      <c r="I375" s="840" t="s">
        <v>2208</v>
      </c>
      <c r="J375" s="840"/>
      <c r="K375" s="840"/>
      <c r="L375" s="890"/>
      <c r="M375" s="864"/>
      <c r="N375" s="864"/>
      <c r="O375" s="864"/>
      <c r="P375" s="865"/>
      <c r="Q375" s="32"/>
      <c r="R375" s="24"/>
    </row>
    <row r="376" spans="2:19" s="9" customFormat="1" ht="22.5" customHeight="1" x14ac:dyDescent="0.2">
      <c r="B376" s="137"/>
      <c r="C376" s="39"/>
      <c r="D376" s="5"/>
      <c r="E376" s="39"/>
      <c r="F376" s="39"/>
      <c r="G376" s="32"/>
      <c r="H376" s="32"/>
      <c r="I376" s="841" t="s">
        <v>2209</v>
      </c>
      <c r="J376" s="841"/>
      <c r="K376" s="841"/>
      <c r="L376" s="566" t="s">
        <v>126</v>
      </c>
      <c r="M376" s="567"/>
      <c r="N376" s="566" t="s">
        <v>126</v>
      </c>
      <c r="O376" s="567"/>
      <c r="P376" s="549"/>
      <c r="Q376" s="32"/>
      <c r="R376" s="24"/>
    </row>
    <row r="377" spans="2:19" s="9" customFormat="1" ht="22.5" customHeight="1" x14ac:dyDescent="0.2">
      <c r="B377" s="1069" t="s">
        <v>2484</v>
      </c>
      <c r="C377" s="1069"/>
      <c r="D377" s="1069"/>
      <c r="E377" s="1069"/>
      <c r="F377" s="1069"/>
      <c r="G377" s="1069"/>
      <c r="H377" s="1069"/>
      <c r="I377" s="1069"/>
      <c r="J377" s="1069"/>
      <c r="K377" s="1069"/>
      <c r="L377" s="1069"/>
      <c r="M377" s="1069"/>
      <c r="N377" s="1069"/>
      <c r="O377" s="1069"/>
      <c r="P377" s="664" t="str">
        <f>+H315</f>
        <v/>
      </c>
      <c r="Q377" s="32"/>
      <c r="R377" s="24"/>
    </row>
    <row r="378" spans="2:19" s="9" customFormat="1" ht="22.5" customHeight="1" x14ac:dyDescent="0.2">
      <c r="B378" s="1069" t="s">
        <v>2491</v>
      </c>
      <c r="C378" s="1069"/>
      <c r="D378" s="1069"/>
      <c r="E378" s="1069"/>
      <c r="F378" s="1069"/>
      <c r="G378" s="1069"/>
      <c r="H378" s="1069"/>
      <c r="I378" s="1069"/>
      <c r="J378" s="1069"/>
      <c r="K378" s="1069"/>
      <c r="L378" s="1069"/>
      <c r="M378" s="1069"/>
      <c r="N378" s="1069"/>
      <c r="O378" s="1069"/>
      <c r="P378" s="665"/>
      <c r="Q378" s="32"/>
      <c r="R378" s="24"/>
    </row>
    <row r="379" spans="2:19" s="9" customFormat="1" ht="22.5" customHeight="1" x14ac:dyDescent="0.25">
      <c r="B379" s="1078" t="s">
        <v>2486</v>
      </c>
      <c r="C379" s="1078"/>
      <c r="D379" s="1078"/>
      <c r="E379" s="1078"/>
      <c r="F379" s="1078"/>
      <c r="G379" s="1078"/>
      <c r="H379" s="1078"/>
      <c r="I379" s="1078"/>
      <c r="J379" s="1078"/>
      <c r="K379" s="1078"/>
      <c r="L379" s="1078"/>
      <c r="M379" s="1078"/>
      <c r="N379" s="1078"/>
      <c r="O379" s="1079" t="str">
        <f>+IF(SUM(P377,P378)=0,"",P377+P378)</f>
        <v/>
      </c>
      <c r="P379" s="1080"/>
      <c r="Q379" s="32"/>
      <c r="R379" s="24"/>
    </row>
    <row r="380" spans="2:19" s="9" customFormat="1" ht="8.25" customHeight="1" x14ac:dyDescent="0.2">
      <c r="B380" s="156"/>
      <c r="C380" s="162"/>
      <c r="D380" s="162"/>
      <c r="E380" s="162"/>
      <c r="F380" s="163"/>
      <c r="G380" s="164"/>
      <c r="H380" s="165"/>
      <c r="I380" s="39"/>
      <c r="J380" s="39"/>
      <c r="K380" s="5"/>
      <c r="L380" s="39"/>
      <c r="M380" s="39"/>
      <c r="N380" s="32"/>
      <c r="O380" s="32"/>
      <c r="P380" s="32"/>
      <c r="Q380" s="32"/>
      <c r="R380" s="24"/>
    </row>
    <row r="381" spans="2:19" s="9" customFormat="1" ht="15" customHeight="1" x14ac:dyDescent="0.25">
      <c r="B381" s="176" t="s">
        <v>2424</v>
      </c>
      <c r="C381" s="8"/>
      <c r="D381" s="8"/>
      <c r="E381" s="8"/>
      <c r="F381" s="8"/>
      <c r="G381" s="8"/>
      <c r="H381" s="8"/>
      <c r="I381" s="8"/>
      <c r="J381" s="8"/>
    </row>
    <row r="382" spans="2:19" s="9" customFormat="1" ht="15" customHeight="1" x14ac:dyDescent="0.25">
      <c r="B382" s="8"/>
      <c r="C382" s="42"/>
      <c r="D382" s="42"/>
      <c r="E382" s="42"/>
      <c r="F382" s="42"/>
      <c r="G382" s="42"/>
      <c r="H382" s="42"/>
      <c r="I382" s="42"/>
      <c r="J382" s="42"/>
      <c r="S382" s="42"/>
    </row>
    <row r="383" spans="2:19" s="9" customFormat="1" ht="15" customHeight="1" x14ac:dyDescent="0.2">
      <c r="B383" s="1046" t="s">
        <v>2488</v>
      </c>
      <c r="C383" s="1113" t="s">
        <v>2487</v>
      </c>
      <c r="D383" s="1114"/>
      <c r="E383" s="847" t="s">
        <v>2299</v>
      </c>
      <c r="F383" s="847" t="s">
        <v>2300</v>
      </c>
      <c r="G383" s="878" t="s">
        <v>26</v>
      </c>
      <c r="H383" s="879"/>
      <c r="I383" s="879"/>
      <c r="J383" s="879"/>
      <c r="K383" s="879"/>
      <c r="L383" s="879"/>
      <c r="M383" s="879"/>
      <c r="N383" s="880"/>
      <c r="O383" s="62"/>
      <c r="R383" s="42"/>
      <c r="S383" s="24"/>
    </row>
    <row r="384" spans="2:19" s="9" customFormat="1" ht="15" customHeight="1" x14ac:dyDescent="0.25">
      <c r="B384" s="1066"/>
      <c r="C384" s="1115"/>
      <c r="D384" s="1116"/>
      <c r="E384" s="915"/>
      <c r="F384" s="915"/>
      <c r="G384" s="878" t="s">
        <v>2260</v>
      </c>
      <c r="H384" s="879"/>
      <c r="I384" s="879"/>
      <c r="J384" s="880"/>
      <c r="K384" s="878" t="s">
        <v>2261</v>
      </c>
      <c r="L384" s="879"/>
      <c r="M384" s="879"/>
      <c r="N384" s="880"/>
      <c r="O384" s="200"/>
      <c r="R384" s="42"/>
      <c r="S384" s="24"/>
    </row>
    <row r="385" spans="2:19" s="9" customFormat="1" ht="15" customHeight="1" x14ac:dyDescent="0.2">
      <c r="B385" s="1066"/>
      <c r="C385" s="1117"/>
      <c r="D385" s="1118"/>
      <c r="E385" s="915"/>
      <c r="F385" s="915"/>
      <c r="G385" s="75" t="s">
        <v>2256</v>
      </c>
      <c r="H385" s="75" t="s">
        <v>2257</v>
      </c>
      <c r="I385" s="75" t="s">
        <v>2258</v>
      </c>
      <c r="J385" s="75" t="s">
        <v>2259</v>
      </c>
      <c r="K385" s="75" t="s">
        <v>2256</v>
      </c>
      <c r="L385" s="75" t="s">
        <v>2257</v>
      </c>
      <c r="M385" s="75" t="s">
        <v>2258</v>
      </c>
      <c r="N385" s="75" t="s">
        <v>2259</v>
      </c>
      <c r="O385" s="201"/>
      <c r="R385" s="24"/>
      <c r="S385" s="31"/>
    </row>
    <row r="386" spans="2:19" s="9" customFormat="1" ht="20.100000000000001" customHeight="1" x14ac:dyDescent="0.2">
      <c r="B386" s="569" t="s">
        <v>2478</v>
      </c>
      <c r="C386" s="1070" t="str">
        <f>IF(F315=0,"",F315)</f>
        <v/>
      </c>
      <c r="D386" s="1071"/>
      <c r="E386" s="625"/>
      <c r="F386" s="625"/>
      <c r="G386" s="627"/>
      <c r="H386" s="627"/>
      <c r="I386" s="627"/>
      <c r="J386" s="627"/>
      <c r="K386" s="627"/>
      <c r="L386" s="627"/>
      <c r="M386" s="627"/>
      <c r="N386" s="630"/>
      <c r="O386" s="25"/>
      <c r="R386" s="25"/>
      <c r="S386" s="25"/>
    </row>
    <row r="387" spans="2:19" s="9" customFormat="1" ht="20.100000000000001" customHeight="1" x14ac:dyDescent="0.2">
      <c r="B387" s="569" t="s">
        <v>2483</v>
      </c>
      <c r="C387" s="1070" t="str">
        <f>IF(SUM(P349,P360,P365,F322)=0,"",SUM(P349,P360,P365,F322))</f>
        <v/>
      </c>
      <c r="D387" s="1071"/>
      <c r="E387" s="626"/>
      <c r="F387" s="626"/>
      <c r="G387" s="627"/>
      <c r="H387" s="627"/>
      <c r="I387" s="627"/>
      <c r="J387" s="627"/>
      <c r="K387" s="627"/>
      <c r="L387" s="627"/>
      <c r="M387" s="627"/>
      <c r="N387" s="630"/>
      <c r="O387" s="25"/>
      <c r="R387" s="25"/>
      <c r="S387" s="25"/>
    </row>
    <row r="388" spans="2:19" s="9" customFormat="1" ht="20.100000000000001" customHeight="1" x14ac:dyDescent="0.2">
      <c r="B388" s="569" t="s">
        <v>2482</v>
      </c>
      <c r="C388" s="1070" t="str">
        <f>+P332</f>
        <v/>
      </c>
      <c r="D388" s="1071"/>
      <c r="E388" s="626"/>
      <c r="F388" s="626"/>
      <c r="G388" s="627"/>
      <c r="H388" s="627"/>
      <c r="I388" s="627"/>
      <c r="J388" s="627"/>
      <c r="K388" s="627"/>
      <c r="L388" s="627"/>
      <c r="M388" s="627"/>
      <c r="N388" s="630"/>
      <c r="O388" s="25"/>
      <c r="R388" s="25"/>
      <c r="S388" s="25"/>
    </row>
    <row r="389" spans="2:19" s="9" customFormat="1" ht="20.100000000000001" customHeight="1" x14ac:dyDescent="0.2">
      <c r="B389" s="569" t="s">
        <v>139</v>
      </c>
      <c r="C389" s="1070" t="str">
        <f>+IF(P369=0,"",P369)</f>
        <v/>
      </c>
      <c r="D389" s="1071"/>
      <c r="E389" s="626"/>
      <c r="F389" s="626"/>
      <c r="G389" s="627"/>
      <c r="H389" s="627"/>
      <c r="I389" s="627"/>
      <c r="J389" s="627"/>
      <c r="K389" s="627"/>
      <c r="L389" s="627"/>
      <c r="M389" s="627"/>
      <c r="N389" s="630"/>
      <c r="O389" s="25"/>
      <c r="R389" s="25"/>
      <c r="S389" s="25"/>
    </row>
    <row r="390" spans="2:19" s="9" customFormat="1" ht="20.100000000000001" customHeight="1" x14ac:dyDescent="0.2">
      <c r="B390" s="569" t="s">
        <v>2485</v>
      </c>
      <c r="C390" s="1070" t="str">
        <f>IF(SUM(C386:D389)=0,"",SUM(C386:D389))</f>
        <v/>
      </c>
      <c r="D390" s="1071"/>
      <c r="E390" s="607"/>
      <c r="F390" s="607"/>
      <c r="G390" s="627"/>
      <c r="H390" s="627"/>
      <c r="I390" s="627"/>
      <c r="J390" s="627"/>
      <c r="K390" s="627"/>
      <c r="L390" s="627"/>
      <c r="M390" s="627"/>
      <c r="N390" s="630"/>
      <c r="O390" s="25"/>
      <c r="R390" s="25"/>
      <c r="S390" s="25"/>
    </row>
    <row r="391" spans="2:19" s="9" customFormat="1" ht="20.100000000000001" customHeight="1" x14ac:dyDescent="0.2">
      <c r="B391" s="569" t="s">
        <v>2491</v>
      </c>
      <c r="C391" s="1070" t="str">
        <f>+IF(P378=0,"",P378)</f>
        <v/>
      </c>
      <c r="D391" s="1071"/>
      <c r="E391" s="626"/>
      <c r="F391" s="626"/>
      <c r="G391" s="627"/>
      <c r="H391" s="627"/>
      <c r="I391" s="627"/>
      <c r="J391" s="627"/>
      <c r="K391" s="627"/>
      <c r="L391" s="627"/>
      <c r="M391" s="627"/>
      <c r="N391" s="630"/>
      <c r="O391" s="25"/>
      <c r="R391" s="25"/>
      <c r="S391" s="25"/>
    </row>
    <row r="392" spans="2:19" s="9" customFormat="1" ht="20.100000000000001" customHeight="1" x14ac:dyDescent="0.2">
      <c r="B392" s="569" t="s">
        <v>2486</v>
      </c>
      <c r="C392" s="1110" t="str">
        <f>IF(SUM(C390:D391)=0,"",SUM(C390:D391))</f>
        <v/>
      </c>
      <c r="D392" s="1111"/>
      <c r="E392" s="626"/>
      <c r="F392" s="626"/>
      <c r="G392" s="628" t="str">
        <f t="shared" ref="G392:N392" si="17">+IF(SUM(G386:G391)=0,"",SUM(G386:G391))</f>
        <v/>
      </c>
      <c r="H392" s="628" t="str">
        <f t="shared" si="17"/>
        <v/>
      </c>
      <c r="I392" s="628" t="str">
        <f t="shared" si="17"/>
        <v/>
      </c>
      <c r="J392" s="628" t="str">
        <f t="shared" si="17"/>
        <v/>
      </c>
      <c r="K392" s="629" t="str">
        <f t="shared" si="17"/>
        <v/>
      </c>
      <c r="L392" s="629" t="str">
        <f t="shared" si="17"/>
        <v/>
      </c>
      <c r="M392" s="629" t="str">
        <f t="shared" si="17"/>
        <v/>
      </c>
      <c r="N392" s="629" t="str">
        <f t="shared" si="17"/>
        <v/>
      </c>
      <c r="O392" s="25"/>
      <c r="P392" s="19"/>
      <c r="Q392" s="19"/>
      <c r="R392" s="25"/>
      <c r="S392" s="25"/>
    </row>
    <row r="393" spans="2:19" s="9" customFormat="1" ht="15" customHeight="1" x14ac:dyDescent="0.2">
      <c r="B393" s="69"/>
      <c r="C393" s="19"/>
      <c r="D393" s="70"/>
      <c r="E393" s="70"/>
      <c r="F393" s="70"/>
      <c r="G393" s="70"/>
      <c r="H393" s="70"/>
      <c r="I393" s="19"/>
      <c r="J393" s="19"/>
      <c r="K393" s="25"/>
      <c r="L393" s="64"/>
      <c r="M393" s="19"/>
      <c r="N393" s="19"/>
      <c r="O393" s="19"/>
      <c r="P393" s="19"/>
      <c r="Q393" s="19"/>
      <c r="R393" s="25"/>
      <c r="S393" s="25"/>
    </row>
    <row r="394" spans="2:19" s="9" customFormat="1" ht="15" customHeight="1" x14ac:dyDescent="0.2">
      <c r="B394" s="534" t="s">
        <v>2425</v>
      </c>
      <c r="C394" s="19"/>
      <c r="D394" s="70"/>
      <c r="E394" s="70"/>
      <c r="F394" s="70"/>
      <c r="G394" s="70"/>
      <c r="H394" s="70"/>
      <c r="I394" s="19"/>
      <c r="J394" s="19"/>
      <c r="K394" s="25"/>
      <c r="L394" s="64"/>
      <c r="M394" s="19"/>
      <c r="N394" s="19"/>
      <c r="O394" s="19"/>
      <c r="P394" s="19"/>
      <c r="Q394" s="19"/>
      <c r="R394" s="25"/>
      <c r="S394" s="25"/>
    </row>
    <row r="395" spans="2:19" s="9" customFormat="1" ht="15" customHeight="1" x14ac:dyDescent="0.2">
      <c r="B395" s="69"/>
      <c r="C395" s="19"/>
      <c r="D395" s="70"/>
      <c r="E395" s="70"/>
      <c r="F395" s="70"/>
      <c r="G395" s="70"/>
      <c r="H395" s="70"/>
      <c r="I395" s="19"/>
      <c r="J395" s="19"/>
      <c r="K395" s="25"/>
      <c r="L395" s="64"/>
      <c r="M395" s="19"/>
      <c r="N395" s="19"/>
      <c r="O395" s="19"/>
      <c r="P395" s="19"/>
      <c r="Q395" s="19"/>
      <c r="R395" s="25"/>
      <c r="S395" s="25"/>
    </row>
    <row r="396" spans="2:19" s="9" customFormat="1" ht="15" customHeight="1" x14ac:dyDescent="0.2">
      <c r="B396" s="1046" t="s">
        <v>2298</v>
      </c>
      <c r="C396" s="1089" t="s">
        <v>2301</v>
      </c>
      <c r="D396" s="1089"/>
      <c r="E396" s="1107" t="s">
        <v>2302</v>
      </c>
      <c r="F396" s="1087" t="s">
        <v>2303</v>
      </c>
      <c r="G396" s="1087" t="s">
        <v>2489</v>
      </c>
      <c r="H396" s="1088" t="s">
        <v>22</v>
      </c>
      <c r="I396" s="1088"/>
      <c r="J396" s="1088"/>
      <c r="K396" s="1088"/>
      <c r="L396" s="1088"/>
      <c r="M396" s="1088"/>
      <c r="N396" s="1088"/>
      <c r="O396" s="1088"/>
      <c r="P396" s="25"/>
      <c r="Q396" s="19"/>
      <c r="R396" s="25"/>
      <c r="S396" s="25"/>
    </row>
    <row r="397" spans="2:19" s="9" customFormat="1" ht="15" customHeight="1" x14ac:dyDescent="0.25">
      <c r="B397" s="1066"/>
      <c r="C397" s="1089"/>
      <c r="D397" s="1089"/>
      <c r="E397" s="1108"/>
      <c r="F397" s="849"/>
      <c r="G397" s="849"/>
      <c r="H397" s="878" t="s">
        <v>2260</v>
      </c>
      <c r="I397" s="879"/>
      <c r="J397" s="879"/>
      <c r="K397" s="880"/>
      <c r="L397" s="1092" t="s">
        <v>2261</v>
      </c>
      <c r="M397" s="1092"/>
      <c r="N397" s="1092"/>
      <c r="O397" s="1092"/>
      <c r="P397" s="200"/>
      <c r="Q397" s="19"/>
      <c r="R397" s="25"/>
      <c r="S397" s="25"/>
    </row>
    <row r="398" spans="2:19" s="9" customFormat="1" ht="15" customHeight="1" x14ac:dyDescent="0.2">
      <c r="B398" s="1066"/>
      <c r="C398" s="1089"/>
      <c r="D398" s="1089"/>
      <c r="E398" s="1109"/>
      <c r="F398" s="849"/>
      <c r="G398" s="849"/>
      <c r="H398" s="75" t="s">
        <v>2256</v>
      </c>
      <c r="I398" s="75" t="s">
        <v>2257</v>
      </c>
      <c r="J398" s="75" t="s">
        <v>2258</v>
      </c>
      <c r="K398" s="75" t="s">
        <v>2259</v>
      </c>
      <c r="L398" s="75" t="s">
        <v>2256</v>
      </c>
      <c r="M398" s="75" t="s">
        <v>2257</v>
      </c>
      <c r="N398" s="75" t="s">
        <v>2258</v>
      </c>
      <c r="O398" s="75" t="s">
        <v>2259</v>
      </c>
      <c r="P398" s="201"/>
      <c r="Q398" s="19"/>
      <c r="R398" s="25"/>
      <c r="S398" s="25"/>
    </row>
    <row r="399" spans="2:19" s="9" customFormat="1" ht="20.100000000000001" customHeight="1" x14ac:dyDescent="0.2">
      <c r="B399" s="569" t="s">
        <v>2478</v>
      </c>
      <c r="C399" s="1074"/>
      <c r="D399" s="1075"/>
      <c r="E399" s="608" t="str">
        <f>+E318</f>
        <v/>
      </c>
      <c r="F399" s="626"/>
      <c r="G399" s="626"/>
      <c r="H399" s="631"/>
      <c r="I399" s="631"/>
      <c r="J399" s="631"/>
      <c r="K399" s="631"/>
      <c r="L399" s="631"/>
      <c r="M399" s="631"/>
      <c r="N399" s="631"/>
      <c r="O399" s="631"/>
      <c r="P399" s="25"/>
      <c r="Q399" s="19"/>
      <c r="R399" s="25"/>
      <c r="S399" s="25"/>
    </row>
    <row r="400" spans="2:19" s="9" customFormat="1" ht="20.100000000000001" customHeight="1" x14ac:dyDescent="0.2">
      <c r="B400" s="569" t="s">
        <v>2483</v>
      </c>
      <c r="C400" s="1074"/>
      <c r="D400" s="1075"/>
      <c r="E400" s="608" t="str">
        <f>+IF(SUM(E324,E325,E326)=0,"",SUM(E324,E325,E326))</f>
        <v/>
      </c>
      <c r="F400" s="626"/>
      <c r="G400" s="626"/>
      <c r="H400" s="631"/>
      <c r="I400" s="631"/>
      <c r="J400" s="631"/>
      <c r="K400" s="631"/>
      <c r="L400" s="632"/>
      <c r="M400" s="633"/>
      <c r="N400" s="634"/>
      <c r="O400" s="634"/>
      <c r="P400" s="25"/>
      <c r="Q400" s="19"/>
      <c r="R400" s="25"/>
      <c r="S400" s="25"/>
    </row>
    <row r="401" spans="2:19" s="9" customFormat="1" ht="20.100000000000001" customHeight="1" x14ac:dyDescent="0.2">
      <c r="B401" s="569" t="s">
        <v>2482</v>
      </c>
      <c r="C401" s="1074"/>
      <c r="D401" s="1075"/>
      <c r="E401" s="610" t="str">
        <f>+IF(E323=0,"",E323)</f>
        <v/>
      </c>
      <c r="F401" s="626"/>
      <c r="G401" s="626"/>
      <c r="H401" s="631"/>
      <c r="I401" s="631"/>
      <c r="J401" s="631"/>
      <c r="K401" s="631"/>
      <c r="L401" s="632"/>
      <c r="M401" s="633"/>
      <c r="N401" s="634"/>
      <c r="O401" s="634"/>
      <c r="P401" s="71"/>
      <c r="Q401" s="19"/>
      <c r="R401" s="25"/>
      <c r="S401" s="25"/>
    </row>
    <row r="402" spans="2:19" s="9" customFormat="1" ht="20.100000000000001" customHeight="1" x14ac:dyDescent="0.2">
      <c r="B402" s="569" t="s">
        <v>139</v>
      </c>
      <c r="C402" s="1074"/>
      <c r="D402" s="1075"/>
      <c r="E402" s="608" t="str">
        <f>+IF(E327=0,"",E327)</f>
        <v/>
      </c>
      <c r="F402" s="626"/>
      <c r="G402" s="626"/>
      <c r="H402" s="631"/>
      <c r="I402" s="631"/>
      <c r="J402" s="631"/>
      <c r="K402" s="631"/>
      <c r="L402" s="632"/>
      <c r="M402" s="633"/>
      <c r="N402" s="634"/>
      <c r="O402" s="634"/>
      <c r="P402" s="71"/>
      <c r="Q402" s="19"/>
      <c r="R402" s="25"/>
      <c r="S402" s="25"/>
    </row>
    <row r="403" spans="2:19" s="9" customFormat="1" ht="20.100000000000001" customHeight="1" x14ac:dyDescent="0.2">
      <c r="B403" s="569" t="s">
        <v>2485</v>
      </c>
      <c r="C403" s="878"/>
      <c r="D403" s="880"/>
      <c r="E403" s="610"/>
      <c r="F403" s="609"/>
      <c r="G403" s="609"/>
      <c r="H403" s="631"/>
      <c r="I403" s="631"/>
      <c r="J403" s="631"/>
      <c r="K403" s="631"/>
      <c r="L403" s="635"/>
      <c r="M403" s="632"/>
      <c r="N403" s="634"/>
      <c r="O403" s="634"/>
      <c r="P403" s="71"/>
      <c r="Q403" s="19"/>
      <c r="R403" s="25"/>
      <c r="S403" s="25"/>
    </row>
    <row r="404" spans="2:19" s="9" customFormat="1" ht="20.100000000000001" customHeight="1" x14ac:dyDescent="0.2">
      <c r="B404" s="569" t="s">
        <v>2491</v>
      </c>
      <c r="C404" s="878"/>
      <c r="D404" s="880"/>
      <c r="E404" s="610"/>
      <c r="F404" s="626"/>
      <c r="G404" s="626"/>
      <c r="H404" s="631"/>
      <c r="I404" s="631"/>
      <c r="J404" s="631"/>
      <c r="K404" s="631"/>
      <c r="L404" s="635"/>
      <c r="M404" s="632"/>
      <c r="N404" s="634"/>
      <c r="O404" s="634"/>
      <c r="P404" s="71"/>
      <c r="Q404" s="19"/>
      <c r="R404" s="25"/>
      <c r="S404" s="25"/>
    </row>
    <row r="405" spans="2:19" s="9" customFormat="1" ht="20.100000000000001" customHeight="1" x14ac:dyDescent="0.2">
      <c r="B405" s="569" t="s">
        <v>0</v>
      </c>
      <c r="C405" s="878"/>
      <c r="D405" s="880"/>
      <c r="E405" s="610"/>
      <c r="F405" s="626"/>
      <c r="G405" s="626"/>
      <c r="H405" s="611"/>
      <c r="I405" s="612"/>
      <c r="J405" s="612"/>
      <c r="K405" s="612"/>
      <c r="L405" s="612"/>
      <c r="M405" s="612"/>
      <c r="N405" s="584"/>
      <c r="O405" s="584"/>
      <c r="P405" s="25"/>
      <c r="Q405" s="19"/>
      <c r="R405" s="25"/>
      <c r="S405" s="25"/>
    </row>
    <row r="406" spans="2:19" s="9" customFormat="1" ht="15" customHeight="1" x14ac:dyDescent="0.25">
      <c r="B406" s="989"/>
      <c r="C406" s="989"/>
      <c r="D406" s="989"/>
      <c r="E406" s="989"/>
      <c r="F406" s="989"/>
      <c r="G406" s="989"/>
      <c r="H406" s="989"/>
      <c r="I406" s="989"/>
      <c r="J406" s="989"/>
      <c r="K406" s="989"/>
      <c r="L406" s="19"/>
      <c r="M406" s="19"/>
      <c r="N406" s="19"/>
      <c r="O406" s="19"/>
      <c r="P406" s="19"/>
      <c r="Q406" s="24"/>
      <c r="R406" s="25"/>
      <c r="S406" s="25"/>
    </row>
    <row r="407" spans="2:19" s="9" customFormat="1" ht="15" customHeight="1" x14ac:dyDescent="0.25">
      <c r="B407" s="176" t="s">
        <v>2415</v>
      </c>
      <c r="C407" s="8"/>
      <c r="D407" s="8"/>
      <c r="E407" s="8"/>
      <c r="F407" s="8"/>
      <c r="G407" s="8"/>
      <c r="H407" s="8"/>
      <c r="I407" s="8"/>
      <c r="J407" s="8"/>
      <c r="N407" s="30"/>
      <c r="O407" s="30"/>
      <c r="P407" s="30"/>
      <c r="Q407" s="30"/>
      <c r="R407" s="24"/>
      <c r="S407" s="24"/>
    </row>
    <row r="408" spans="2:19" s="9" customFormat="1" ht="15" customHeight="1" x14ac:dyDescent="0.25">
      <c r="B408" s="48"/>
      <c r="C408" s="8"/>
      <c r="D408" s="8"/>
      <c r="E408" s="8"/>
      <c r="F408" s="8"/>
      <c r="G408" s="8"/>
      <c r="H408" s="8"/>
      <c r="I408" s="8"/>
      <c r="J408" s="8"/>
      <c r="N408" s="30"/>
      <c r="O408" s="30"/>
      <c r="P408" s="30"/>
      <c r="Q408" s="30"/>
      <c r="R408" s="24"/>
      <c r="S408" s="24"/>
    </row>
    <row r="409" spans="2:19" s="9" customFormat="1" ht="15" customHeight="1" x14ac:dyDescent="0.25">
      <c r="B409" s="961" t="s">
        <v>103</v>
      </c>
      <c r="C409" s="962"/>
      <c r="D409" s="44">
        <v>1</v>
      </c>
      <c r="E409" s="44">
        <v>2</v>
      </c>
      <c r="F409" s="44">
        <v>3</v>
      </c>
      <c r="G409" s="44">
        <v>4</v>
      </c>
      <c r="H409" s="44">
        <v>5</v>
      </c>
      <c r="I409" s="44">
        <v>6</v>
      </c>
      <c r="J409" s="44">
        <v>7</v>
      </c>
      <c r="K409" s="44">
        <v>8</v>
      </c>
      <c r="L409" s="44">
        <v>9</v>
      </c>
      <c r="M409" s="44">
        <v>10</v>
      </c>
      <c r="N409" s="30"/>
      <c r="O409" s="30"/>
      <c r="P409" s="30"/>
      <c r="Q409" s="30"/>
      <c r="R409" s="24"/>
      <c r="S409" s="24"/>
    </row>
    <row r="410" spans="2:19" s="9" customFormat="1" ht="20.100000000000001" customHeight="1" x14ac:dyDescent="0.2">
      <c r="B410" s="1086" t="s">
        <v>138</v>
      </c>
      <c r="C410" s="1086"/>
      <c r="D410" s="583"/>
      <c r="E410" s="583"/>
      <c r="F410" s="583"/>
      <c r="G410" s="583"/>
      <c r="H410" s="583"/>
      <c r="I410" s="583"/>
      <c r="J410" s="583"/>
      <c r="K410" s="583"/>
      <c r="L410" s="583"/>
      <c r="M410" s="583"/>
      <c r="N410" s="30"/>
      <c r="O410" s="30"/>
      <c r="P410" s="30"/>
      <c r="Q410" s="30"/>
      <c r="R410" s="24"/>
      <c r="S410" s="24"/>
    </row>
    <row r="411" spans="2:19" s="9" customFormat="1" ht="20.100000000000001" customHeight="1" x14ac:dyDescent="0.2">
      <c r="B411" s="1086" t="s">
        <v>139</v>
      </c>
      <c r="C411" s="1086"/>
      <c r="D411" s="583"/>
      <c r="E411" s="583"/>
      <c r="F411" s="583"/>
      <c r="G411" s="583"/>
      <c r="H411" s="583"/>
      <c r="I411" s="583"/>
      <c r="J411" s="583"/>
      <c r="K411" s="583"/>
      <c r="L411" s="583"/>
      <c r="M411" s="583"/>
      <c r="N411" s="30"/>
      <c r="O411" s="30"/>
      <c r="P411" s="30"/>
      <c r="Q411" s="30"/>
      <c r="R411" s="24"/>
      <c r="S411" s="24"/>
    </row>
    <row r="412" spans="2:19" s="9" customFormat="1" ht="20.100000000000001" customHeight="1" x14ac:dyDescent="0.25">
      <c r="B412" s="961" t="s">
        <v>137</v>
      </c>
      <c r="C412" s="962"/>
      <c r="D412" s="586">
        <f>+D410+D411</f>
        <v>0</v>
      </c>
      <c r="E412" s="586">
        <f t="shared" ref="E412:M412" si="18">+E410+E411</f>
        <v>0</v>
      </c>
      <c r="F412" s="586">
        <f t="shared" si="18"/>
        <v>0</v>
      </c>
      <c r="G412" s="586">
        <f t="shared" si="18"/>
        <v>0</v>
      </c>
      <c r="H412" s="586">
        <f t="shared" si="18"/>
        <v>0</v>
      </c>
      <c r="I412" s="586">
        <f t="shared" si="18"/>
        <v>0</v>
      </c>
      <c r="J412" s="586">
        <f t="shared" si="18"/>
        <v>0</v>
      </c>
      <c r="K412" s="586">
        <f t="shared" si="18"/>
        <v>0</v>
      </c>
      <c r="L412" s="586">
        <f t="shared" si="18"/>
        <v>0</v>
      </c>
      <c r="M412" s="586">
        <f t="shared" si="18"/>
        <v>0</v>
      </c>
      <c r="N412" s="30"/>
      <c r="O412" s="30"/>
      <c r="P412" s="30"/>
      <c r="Q412" s="30"/>
      <c r="R412" s="24"/>
      <c r="S412" s="24"/>
    </row>
    <row r="413" spans="2:19" s="9" customFormat="1" ht="6.75" customHeight="1" x14ac:dyDescent="0.2">
      <c r="B413" s="57"/>
      <c r="C413" s="30"/>
      <c r="D413" s="30"/>
      <c r="E413" s="30"/>
      <c r="F413" s="30"/>
      <c r="G413" s="30"/>
      <c r="H413" s="30"/>
      <c r="I413" s="30"/>
      <c r="J413" s="30"/>
      <c r="K413" s="42"/>
      <c r="L413" s="30"/>
      <c r="M413" s="30"/>
      <c r="N413" s="30"/>
      <c r="O413" s="30"/>
      <c r="P413" s="30"/>
      <c r="Q413" s="30"/>
      <c r="R413" s="24"/>
      <c r="S413" s="24"/>
    </row>
    <row r="414" spans="2:19" s="9" customFormat="1" ht="15" customHeight="1" x14ac:dyDescent="0.25">
      <c r="B414" s="570" t="s">
        <v>2426</v>
      </c>
      <c r="C414" s="8"/>
      <c r="D414" s="8"/>
      <c r="E414" s="8"/>
      <c r="F414" s="8"/>
      <c r="G414" s="8"/>
      <c r="H414" s="8"/>
      <c r="I414" s="8"/>
      <c r="J414" s="8"/>
      <c r="R414" s="24"/>
      <c r="S414" s="24"/>
    </row>
    <row r="415" spans="2:19" s="9" customFormat="1" ht="6.75" customHeight="1" x14ac:dyDescent="0.25">
      <c r="B415" s="48"/>
      <c r="C415" s="8"/>
      <c r="D415" s="8"/>
      <c r="E415" s="8"/>
      <c r="F415" s="8"/>
      <c r="G415" s="8"/>
      <c r="H415" s="8"/>
      <c r="I415" s="8"/>
      <c r="J415" s="8"/>
      <c r="R415" s="24"/>
      <c r="S415" s="24"/>
    </row>
    <row r="416" spans="2:19" s="9" customFormat="1" ht="15" customHeight="1" x14ac:dyDescent="0.25">
      <c r="B416" s="535" t="s">
        <v>135</v>
      </c>
      <c r="C416" s="8"/>
      <c r="D416" s="8"/>
      <c r="E416" s="8"/>
      <c r="F416" s="8"/>
      <c r="G416" s="8"/>
      <c r="H416" s="8"/>
      <c r="I416" s="8"/>
      <c r="J416" s="8"/>
      <c r="R416" s="24"/>
      <c r="S416" s="24"/>
    </row>
    <row r="417" spans="2:19" s="9" customFormat="1" ht="7.5" customHeight="1" x14ac:dyDescent="0.25">
      <c r="B417" s="48"/>
      <c r="C417" s="8"/>
      <c r="D417" s="8"/>
      <c r="E417" s="8"/>
      <c r="F417" s="8"/>
      <c r="G417" s="8"/>
      <c r="H417" s="8"/>
      <c r="I417" s="8"/>
      <c r="J417" s="8"/>
      <c r="R417" s="24"/>
      <c r="S417" s="24"/>
    </row>
    <row r="418" spans="2:19" s="9" customFormat="1" ht="20.100000000000001" customHeight="1" x14ac:dyDescent="0.25">
      <c r="B418" s="1067" t="s">
        <v>103</v>
      </c>
      <c r="C418" s="1068"/>
      <c r="D418" s="44">
        <v>1</v>
      </c>
      <c r="E418" s="44">
        <v>2</v>
      </c>
      <c r="F418" s="44">
        <v>3</v>
      </c>
      <c r="G418" s="44">
        <v>4</v>
      </c>
      <c r="H418" s="44">
        <v>5</v>
      </c>
      <c r="I418" s="44">
        <v>6</v>
      </c>
      <c r="J418" s="44">
        <v>7</v>
      </c>
      <c r="K418" s="44">
        <v>8</v>
      </c>
      <c r="L418" s="44">
        <v>9</v>
      </c>
      <c r="M418" s="44">
        <v>10</v>
      </c>
      <c r="N418" s="30"/>
      <c r="O418" s="30"/>
      <c r="P418" s="30"/>
      <c r="Q418" s="30"/>
      <c r="R418" s="24"/>
      <c r="S418" s="24"/>
    </row>
    <row r="419" spans="2:19" s="9" customFormat="1" ht="20.100000000000001" customHeight="1" x14ac:dyDescent="0.2">
      <c r="B419" s="1072" t="s">
        <v>125</v>
      </c>
      <c r="C419" s="1073"/>
      <c r="D419" s="638" t="str">
        <f>+IF(SUM(D420:D424)=0,"",SUM(D420:D424))</f>
        <v/>
      </c>
      <c r="E419" s="638" t="str">
        <f t="shared" ref="E419:M419" si="19">+IF(SUM(E420:E424)=0,"",SUM(E420:E424))</f>
        <v/>
      </c>
      <c r="F419" s="638" t="str">
        <f t="shared" si="19"/>
        <v/>
      </c>
      <c r="G419" s="638" t="str">
        <f t="shared" si="19"/>
        <v/>
      </c>
      <c r="H419" s="638" t="str">
        <f t="shared" si="19"/>
        <v/>
      </c>
      <c r="I419" s="638" t="str">
        <f t="shared" si="19"/>
        <v/>
      </c>
      <c r="J419" s="638" t="str">
        <f t="shared" si="19"/>
        <v/>
      </c>
      <c r="K419" s="638" t="str">
        <f t="shared" si="19"/>
        <v/>
      </c>
      <c r="L419" s="638" t="str">
        <f t="shared" si="19"/>
        <v/>
      </c>
      <c r="M419" s="638" t="str">
        <f t="shared" si="19"/>
        <v/>
      </c>
      <c r="N419" s="30"/>
      <c r="O419" s="30"/>
      <c r="P419" s="30"/>
      <c r="Q419" s="30"/>
      <c r="R419" s="24"/>
      <c r="S419" s="24"/>
    </row>
    <row r="420" spans="2:19" s="9" customFormat="1" ht="20.100000000000001" customHeight="1" x14ac:dyDescent="0.2">
      <c r="B420" s="863" t="s">
        <v>126</v>
      </c>
      <c r="C420" s="863"/>
      <c r="D420" s="636"/>
      <c r="E420" s="637"/>
      <c r="F420" s="637"/>
      <c r="G420" s="637"/>
      <c r="H420" s="637"/>
      <c r="I420" s="637"/>
      <c r="J420" s="637"/>
      <c r="K420" s="637"/>
      <c r="L420" s="637"/>
      <c r="M420" s="637"/>
      <c r="N420" s="30"/>
      <c r="O420" s="30"/>
      <c r="P420" s="30"/>
      <c r="Q420" s="30"/>
      <c r="R420" s="24"/>
      <c r="S420" s="24"/>
    </row>
    <row r="421" spans="2:19" s="9" customFormat="1" ht="20.100000000000001" customHeight="1" x14ac:dyDescent="0.2">
      <c r="B421" s="863" t="s">
        <v>127</v>
      </c>
      <c r="C421" s="863"/>
      <c r="D421" s="636"/>
      <c r="E421" s="637"/>
      <c r="F421" s="637"/>
      <c r="G421" s="637"/>
      <c r="H421" s="637"/>
      <c r="I421" s="637"/>
      <c r="J421" s="637"/>
      <c r="K421" s="637"/>
      <c r="L421" s="637"/>
      <c r="M421" s="637"/>
      <c r="N421" s="30"/>
      <c r="O421" s="30"/>
      <c r="P421" s="30"/>
      <c r="Q421" s="30"/>
      <c r="R421" s="24"/>
      <c r="S421" s="24"/>
    </row>
    <row r="422" spans="2:19" s="9" customFormat="1" ht="20.100000000000001" customHeight="1" x14ac:dyDescent="0.2">
      <c r="B422" s="863" t="s">
        <v>128</v>
      </c>
      <c r="C422" s="863"/>
      <c r="D422" s="636"/>
      <c r="E422" s="637"/>
      <c r="F422" s="637"/>
      <c r="G422" s="637"/>
      <c r="H422" s="637"/>
      <c r="I422" s="637"/>
      <c r="J422" s="637"/>
      <c r="K422" s="637"/>
      <c r="L422" s="637"/>
      <c r="M422" s="637"/>
      <c r="N422" s="30"/>
      <c r="O422" s="30"/>
      <c r="P422" s="30"/>
      <c r="Q422" s="30"/>
      <c r="R422" s="24"/>
      <c r="S422" s="24"/>
    </row>
    <row r="423" spans="2:19" s="9" customFormat="1" ht="20.100000000000001" customHeight="1" x14ac:dyDescent="0.2">
      <c r="B423" s="863" t="s">
        <v>129</v>
      </c>
      <c r="C423" s="863"/>
      <c r="D423" s="636"/>
      <c r="E423" s="637"/>
      <c r="F423" s="637"/>
      <c r="G423" s="637"/>
      <c r="H423" s="637"/>
      <c r="I423" s="637"/>
      <c r="J423" s="637"/>
      <c r="K423" s="637"/>
      <c r="L423" s="637"/>
      <c r="M423" s="637"/>
      <c r="N423" s="30"/>
      <c r="O423" s="30"/>
      <c r="P423" s="30"/>
      <c r="Q423" s="30"/>
      <c r="R423" s="24"/>
      <c r="S423" s="24"/>
    </row>
    <row r="424" spans="2:19" s="9" customFormat="1" ht="20.100000000000001" customHeight="1" x14ac:dyDescent="0.2">
      <c r="B424" s="863" t="s">
        <v>2220</v>
      </c>
      <c r="C424" s="863"/>
      <c r="D424" s="636"/>
      <c r="E424" s="636"/>
      <c r="F424" s="636"/>
      <c r="G424" s="636"/>
      <c r="H424" s="636"/>
      <c r="I424" s="636"/>
      <c r="J424" s="636"/>
      <c r="K424" s="636"/>
      <c r="L424" s="636"/>
      <c r="M424" s="636"/>
      <c r="N424" s="30"/>
      <c r="O424" s="30"/>
      <c r="P424" s="30"/>
      <c r="Q424" s="30"/>
      <c r="R424" s="24"/>
      <c r="S424" s="24"/>
    </row>
    <row r="425" spans="2:19" s="9" customFormat="1" ht="20.100000000000001" customHeight="1" x14ac:dyDescent="0.2">
      <c r="B425" s="1072" t="s">
        <v>130</v>
      </c>
      <c r="C425" s="1073"/>
      <c r="D425" s="638" t="str">
        <f>+IF(SUM(D426:D428)=0,"",SUM(D426:D428))</f>
        <v/>
      </c>
      <c r="E425" s="638" t="str">
        <f t="shared" ref="E425:M425" si="20">+IF(SUM(E426:E428)=0,"",SUM(E426:E428))</f>
        <v/>
      </c>
      <c r="F425" s="638" t="str">
        <f t="shared" si="20"/>
        <v/>
      </c>
      <c r="G425" s="638" t="str">
        <f t="shared" si="20"/>
        <v/>
      </c>
      <c r="H425" s="638" t="str">
        <f t="shared" si="20"/>
        <v/>
      </c>
      <c r="I425" s="638" t="str">
        <f t="shared" si="20"/>
        <v/>
      </c>
      <c r="J425" s="638" t="str">
        <f t="shared" si="20"/>
        <v/>
      </c>
      <c r="K425" s="638" t="str">
        <f t="shared" si="20"/>
        <v/>
      </c>
      <c r="L425" s="638" t="str">
        <f t="shared" si="20"/>
        <v/>
      </c>
      <c r="M425" s="638" t="str">
        <f t="shared" si="20"/>
        <v/>
      </c>
      <c r="N425" s="30"/>
      <c r="O425" s="30"/>
      <c r="P425" s="30"/>
      <c r="Q425" s="30"/>
      <c r="R425" s="24"/>
      <c r="S425" s="24"/>
    </row>
    <row r="426" spans="2:19" s="9" customFormat="1" ht="20.100000000000001" customHeight="1" x14ac:dyDescent="0.2">
      <c r="B426" s="863" t="s">
        <v>131</v>
      </c>
      <c r="C426" s="863"/>
      <c r="D426" s="636"/>
      <c r="E426" s="637"/>
      <c r="F426" s="637"/>
      <c r="G426" s="637"/>
      <c r="H426" s="637"/>
      <c r="I426" s="637"/>
      <c r="J426" s="637"/>
      <c r="K426" s="637"/>
      <c r="L426" s="637"/>
      <c r="M426" s="637"/>
      <c r="N426" s="30"/>
      <c r="O426" s="30"/>
      <c r="P426" s="30"/>
      <c r="Q426" s="30"/>
      <c r="R426" s="24"/>
      <c r="S426" s="24"/>
    </row>
    <row r="427" spans="2:19" s="9" customFormat="1" ht="20.100000000000001" customHeight="1" x14ac:dyDescent="0.2">
      <c r="B427" s="863" t="s">
        <v>132</v>
      </c>
      <c r="C427" s="863"/>
      <c r="D427" s="636"/>
      <c r="E427" s="637"/>
      <c r="F427" s="637"/>
      <c r="G427" s="637"/>
      <c r="H427" s="637"/>
      <c r="I427" s="637"/>
      <c r="J427" s="637"/>
      <c r="K427" s="637"/>
      <c r="L427" s="637"/>
      <c r="M427" s="637"/>
      <c r="N427" s="30"/>
      <c r="O427" s="30"/>
      <c r="P427" s="30"/>
      <c r="Q427" s="30"/>
      <c r="R427" s="24"/>
      <c r="S427" s="24"/>
    </row>
    <row r="428" spans="2:19" s="9" customFormat="1" ht="20.100000000000001" customHeight="1" x14ac:dyDescent="0.2">
      <c r="B428" s="863" t="s">
        <v>133</v>
      </c>
      <c r="C428" s="863"/>
      <c r="D428" s="636"/>
      <c r="E428" s="636"/>
      <c r="F428" s="636"/>
      <c r="G428" s="636"/>
      <c r="H428" s="636"/>
      <c r="I428" s="636"/>
      <c r="J428" s="636"/>
      <c r="K428" s="636"/>
      <c r="L428" s="636"/>
      <c r="M428" s="636"/>
      <c r="N428" s="30"/>
      <c r="O428" s="30"/>
      <c r="P428" s="30"/>
      <c r="Q428" s="30"/>
      <c r="R428" s="24"/>
      <c r="S428" s="24"/>
    </row>
    <row r="429" spans="2:19" s="9" customFormat="1" ht="27" customHeight="1" x14ac:dyDescent="0.2">
      <c r="B429" s="870" t="s">
        <v>2221</v>
      </c>
      <c r="C429" s="870"/>
      <c r="D429" s="674">
        <f>IF(SUM(D419,D425)="","",SUM(D419,D425))</f>
        <v>0</v>
      </c>
      <c r="E429" s="674">
        <f t="shared" ref="E429:M429" si="21">IF(SUM(E419,E425)="","",SUM(E419,E425))</f>
        <v>0</v>
      </c>
      <c r="F429" s="674">
        <f t="shared" si="21"/>
        <v>0</v>
      </c>
      <c r="G429" s="674">
        <f t="shared" si="21"/>
        <v>0</v>
      </c>
      <c r="H429" s="674">
        <f t="shared" si="21"/>
        <v>0</v>
      </c>
      <c r="I429" s="674">
        <f t="shared" si="21"/>
        <v>0</v>
      </c>
      <c r="J429" s="674">
        <f t="shared" si="21"/>
        <v>0</v>
      </c>
      <c r="K429" s="674">
        <f t="shared" si="21"/>
        <v>0</v>
      </c>
      <c r="L429" s="674">
        <f t="shared" si="21"/>
        <v>0</v>
      </c>
      <c r="M429" s="674">
        <f t="shared" si="21"/>
        <v>0</v>
      </c>
      <c r="N429" s="30"/>
      <c r="O429" s="30"/>
      <c r="P429" s="30"/>
      <c r="Q429" s="30"/>
      <c r="R429" s="24"/>
      <c r="S429" s="24"/>
    </row>
    <row r="430" spans="2:19" s="9" customFormat="1" ht="27.75" customHeight="1" x14ac:dyDescent="0.2">
      <c r="B430" s="870" t="s">
        <v>2222</v>
      </c>
      <c r="C430" s="870"/>
      <c r="D430" s="636"/>
      <c r="E430" s="637"/>
      <c r="F430" s="637"/>
      <c r="G430" s="637"/>
      <c r="H430" s="637"/>
      <c r="I430" s="637"/>
      <c r="J430" s="637"/>
      <c r="K430" s="637"/>
      <c r="L430" s="637"/>
      <c r="M430" s="637"/>
      <c r="N430" s="30"/>
      <c r="O430" s="30"/>
      <c r="P430" s="30"/>
      <c r="Q430" s="30"/>
      <c r="R430" s="24"/>
      <c r="S430" s="24"/>
    </row>
    <row r="431" spans="2:19" s="9" customFormat="1" ht="6.75" customHeight="1" x14ac:dyDescent="0.2">
      <c r="B431" s="57"/>
      <c r="C431" s="30"/>
      <c r="D431" s="30"/>
      <c r="E431" s="30"/>
      <c r="F431" s="30"/>
      <c r="G431" s="30"/>
      <c r="H431" s="30"/>
      <c r="I431" s="30"/>
      <c r="J431" s="30"/>
      <c r="K431" s="42"/>
      <c r="L431" s="30"/>
      <c r="M431" s="30"/>
      <c r="N431" s="30"/>
      <c r="O431" s="30"/>
      <c r="P431" s="30"/>
      <c r="Q431" s="30"/>
      <c r="R431" s="24"/>
      <c r="S431" s="24"/>
    </row>
    <row r="432" spans="2:19" s="9" customFormat="1" ht="15" customHeight="1" x14ac:dyDescent="0.25">
      <c r="B432" s="535" t="s">
        <v>136</v>
      </c>
      <c r="C432" s="8"/>
      <c r="D432" s="8"/>
      <c r="E432" s="8"/>
      <c r="F432" s="8"/>
      <c r="G432" s="8"/>
      <c r="H432" s="8"/>
      <c r="I432" s="8"/>
      <c r="J432" s="8"/>
      <c r="N432" s="30"/>
      <c r="O432" s="30"/>
      <c r="P432" s="30"/>
      <c r="Q432" s="30"/>
      <c r="R432" s="24"/>
      <c r="S432" s="24"/>
    </row>
    <row r="433" spans="2:19" s="9" customFormat="1" ht="8.25" customHeight="1" x14ac:dyDescent="0.25">
      <c r="B433" s="48"/>
      <c r="C433" s="8"/>
      <c r="D433" s="8"/>
      <c r="E433" s="8"/>
      <c r="F433" s="8"/>
      <c r="G433" s="8"/>
      <c r="H433" s="8"/>
      <c r="I433" s="8"/>
      <c r="J433" s="8"/>
      <c r="N433" s="30"/>
      <c r="O433" s="30"/>
      <c r="P433" s="30"/>
      <c r="Q433" s="30"/>
      <c r="R433" s="24"/>
      <c r="S433" s="24"/>
    </row>
    <row r="434" spans="2:19" s="9" customFormat="1" ht="20.100000000000001" customHeight="1" x14ac:dyDescent="0.25">
      <c r="B434" s="1067" t="s">
        <v>103</v>
      </c>
      <c r="C434" s="1068"/>
      <c r="D434" s="44">
        <v>1</v>
      </c>
      <c r="E434" s="44">
        <v>2</v>
      </c>
      <c r="F434" s="44">
        <v>3</v>
      </c>
      <c r="G434" s="44">
        <v>4</v>
      </c>
      <c r="H434" s="44">
        <v>5</v>
      </c>
      <c r="I434" s="44">
        <v>6</v>
      </c>
      <c r="J434" s="44">
        <v>7</v>
      </c>
      <c r="K434" s="44">
        <v>8</v>
      </c>
      <c r="L434" s="44">
        <v>9</v>
      </c>
      <c r="M434" s="44">
        <v>10</v>
      </c>
      <c r="N434" s="30"/>
      <c r="O434" s="30"/>
      <c r="P434" s="30"/>
      <c r="Q434" s="30"/>
      <c r="R434" s="24"/>
      <c r="S434" s="24"/>
    </row>
    <row r="435" spans="2:19" s="9" customFormat="1" ht="20.100000000000001" customHeight="1" x14ac:dyDescent="0.2">
      <c r="B435" s="1072" t="s">
        <v>125</v>
      </c>
      <c r="C435" s="1073"/>
      <c r="D435" s="638" t="str">
        <f>+IF(SUM(D436:D440)=0,"",SUM(D436:D440))</f>
        <v/>
      </c>
      <c r="E435" s="638" t="str">
        <f t="shared" ref="E435:M435" si="22">+IF(SUM(E436:E440)=0,"",SUM(E436:E440))</f>
        <v/>
      </c>
      <c r="F435" s="638" t="str">
        <f t="shared" si="22"/>
        <v/>
      </c>
      <c r="G435" s="638" t="str">
        <f t="shared" si="22"/>
        <v/>
      </c>
      <c r="H435" s="638" t="str">
        <f t="shared" si="22"/>
        <v/>
      </c>
      <c r="I435" s="638" t="str">
        <f t="shared" si="22"/>
        <v/>
      </c>
      <c r="J435" s="638" t="str">
        <f t="shared" si="22"/>
        <v/>
      </c>
      <c r="K435" s="638" t="str">
        <f t="shared" si="22"/>
        <v/>
      </c>
      <c r="L435" s="638" t="str">
        <f t="shared" si="22"/>
        <v/>
      </c>
      <c r="M435" s="638" t="str">
        <f t="shared" si="22"/>
        <v/>
      </c>
      <c r="N435" s="30"/>
      <c r="O435" s="30"/>
      <c r="P435" s="30"/>
      <c r="Q435" s="30"/>
      <c r="R435" s="24"/>
      <c r="S435" s="24"/>
    </row>
    <row r="436" spans="2:19" s="9" customFormat="1" ht="20.100000000000001" customHeight="1" x14ac:dyDescent="0.2">
      <c r="B436" s="863" t="s">
        <v>126</v>
      </c>
      <c r="C436" s="863"/>
      <c r="D436" s="637"/>
      <c r="E436" s="637"/>
      <c r="F436" s="637"/>
      <c r="G436" s="637"/>
      <c r="H436" s="637"/>
      <c r="I436" s="637"/>
      <c r="J436" s="637"/>
      <c r="K436" s="637"/>
      <c r="L436" s="637"/>
      <c r="M436" s="637"/>
      <c r="N436" s="30"/>
      <c r="O436" s="30"/>
      <c r="P436" s="30"/>
      <c r="Q436" s="30"/>
      <c r="R436" s="24"/>
      <c r="S436" s="24"/>
    </row>
    <row r="437" spans="2:19" s="9" customFormat="1" ht="20.100000000000001" customHeight="1" x14ac:dyDescent="0.2">
      <c r="B437" s="863" t="s">
        <v>127</v>
      </c>
      <c r="C437" s="863"/>
      <c r="D437" s="637"/>
      <c r="E437" s="637"/>
      <c r="F437" s="637"/>
      <c r="G437" s="637"/>
      <c r="H437" s="637"/>
      <c r="I437" s="637"/>
      <c r="J437" s="637"/>
      <c r="K437" s="637"/>
      <c r="L437" s="637"/>
      <c r="M437" s="637"/>
      <c r="N437" s="30"/>
      <c r="O437" s="30"/>
      <c r="P437" s="30"/>
      <c r="Q437" s="30"/>
      <c r="R437" s="24"/>
      <c r="S437" s="24"/>
    </row>
    <row r="438" spans="2:19" s="9" customFormat="1" ht="20.100000000000001" customHeight="1" x14ac:dyDescent="0.2">
      <c r="B438" s="863" t="s">
        <v>128</v>
      </c>
      <c r="C438" s="863"/>
      <c r="D438" s="637"/>
      <c r="E438" s="637"/>
      <c r="F438" s="637"/>
      <c r="G438" s="637"/>
      <c r="H438" s="637"/>
      <c r="I438" s="637"/>
      <c r="J438" s="637"/>
      <c r="K438" s="637"/>
      <c r="L438" s="637"/>
      <c r="M438" s="637"/>
      <c r="N438" s="30"/>
      <c r="O438" s="30"/>
      <c r="P438" s="30"/>
      <c r="Q438" s="30"/>
      <c r="R438" s="24"/>
      <c r="S438" s="24"/>
    </row>
    <row r="439" spans="2:19" s="9" customFormat="1" ht="20.100000000000001" customHeight="1" x14ac:dyDescent="0.2">
      <c r="B439" s="863" t="s">
        <v>129</v>
      </c>
      <c r="C439" s="863"/>
      <c r="D439" s="636"/>
      <c r="E439" s="637"/>
      <c r="F439" s="637"/>
      <c r="G439" s="637"/>
      <c r="H439" s="637"/>
      <c r="I439" s="637"/>
      <c r="J439" s="637"/>
      <c r="K439" s="637"/>
      <c r="L439" s="637"/>
      <c r="M439" s="637"/>
      <c r="N439" s="30"/>
      <c r="O439" s="30"/>
      <c r="P439" s="30"/>
      <c r="Q439" s="30"/>
      <c r="R439" s="24"/>
      <c r="S439" s="24"/>
    </row>
    <row r="440" spans="2:19" s="9" customFormat="1" ht="20.100000000000001" customHeight="1" x14ac:dyDescent="0.2">
      <c r="B440" s="863" t="s">
        <v>2220</v>
      </c>
      <c r="C440" s="863"/>
      <c r="D440" s="636"/>
      <c r="E440" s="639"/>
      <c r="F440" s="639"/>
      <c r="G440" s="639"/>
      <c r="H440" s="639"/>
      <c r="I440" s="639"/>
      <c r="J440" s="639"/>
      <c r="K440" s="639"/>
      <c r="L440" s="639"/>
      <c r="M440" s="639"/>
      <c r="N440" s="30"/>
      <c r="O440" s="30"/>
      <c r="P440" s="30"/>
      <c r="Q440" s="30"/>
      <c r="R440" s="24"/>
      <c r="S440" s="24"/>
    </row>
    <row r="441" spans="2:19" s="9" customFormat="1" ht="20.100000000000001" customHeight="1" x14ac:dyDescent="0.2">
      <c r="B441" s="1072" t="s">
        <v>130</v>
      </c>
      <c r="C441" s="1073"/>
      <c r="D441" s="638" t="str">
        <f>+IF(SUM(D442:D444)=0,"",SUM(D442:D444))</f>
        <v/>
      </c>
      <c r="E441" s="638" t="str">
        <f t="shared" ref="E441:M441" si="23">+IF(SUM(E442:E444)=0,"",SUM(E442:E444))</f>
        <v/>
      </c>
      <c r="F441" s="638" t="str">
        <f t="shared" si="23"/>
        <v/>
      </c>
      <c r="G441" s="638" t="str">
        <f t="shared" si="23"/>
        <v/>
      </c>
      <c r="H441" s="638" t="str">
        <f t="shared" si="23"/>
        <v/>
      </c>
      <c r="I441" s="638" t="str">
        <f t="shared" si="23"/>
        <v/>
      </c>
      <c r="J441" s="638" t="str">
        <f t="shared" si="23"/>
        <v/>
      </c>
      <c r="K441" s="638" t="str">
        <f t="shared" si="23"/>
        <v/>
      </c>
      <c r="L441" s="638" t="str">
        <f t="shared" si="23"/>
        <v/>
      </c>
      <c r="M441" s="638" t="str">
        <f t="shared" si="23"/>
        <v/>
      </c>
      <c r="N441" s="30"/>
      <c r="O441" s="30"/>
      <c r="P441" s="30"/>
      <c r="Q441" s="30"/>
      <c r="R441" s="24"/>
      <c r="S441" s="24"/>
    </row>
    <row r="442" spans="2:19" s="9" customFormat="1" ht="20.100000000000001" customHeight="1" x14ac:dyDescent="0.2">
      <c r="B442" s="863" t="s">
        <v>131</v>
      </c>
      <c r="C442" s="863"/>
      <c r="D442" s="636"/>
      <c r="E442" s="637"/>
      <c r="F442" s="637"/>
      <c r="G442" s="637"/>
      <c r="H442" s="637"/>
      <c r="I442" s="637"/>
      <c r="J442" s="637"/>
      <c r="K442" s="637"/>
      <c r="L442" s="637"/>
      <c r="M442" s="637"/>
      <c r="N442" s="30"/>
      <c r="O442" s="30"/>
      <c r="P442" s="30"/>
      <c r="Q442" s="30"/>
      <c r="R442" s="24"/>
      <c r="S442" s="24"/>
    </row>
    <row r="443" spans="2:19" s="9" customFormat="1" ht="20.100000000000001" customHeight="1" x14ac:dyDescent="0.2">
      <c r="B443" s="863" t="s">
        <v>132</v>
      </c>
      <c r="C443" s="863"/>
      <c r="D443" s="636"/>
      <c r="E443" s="637"/>
      <c r="F443" s="637"/>
      <c r="G443" s="637"/>
      <c r="H443" s="637"/>
      <c r="I443" s="637"/>
      <c r="J443" s="637"/>
      <c r="K443" s="637"/>
      <c r="L443" s="637"/>
      <c r="M443" s="637"/>
      <c r="N443" s="30"/>
      <c r="O443" s="30"/>
      <c r="P443" s="30"/>
      <c r="Q443" s="30"/>
      <c r="R443" s="24"/>
      <c r="S443" s="24"/>
    </row>
    <row r="444" spans="2:19" s="9" customFormat="1" ht="20.100000000000001" customHeight="1" x14ac:dyDescent="0.2">
      <c r="B444" s="863" t="s">
        <v>133</v>
      </c>
      <c r="C444" s="863"/>
      <c r="D444" s="636"/>
      <c r="E444" s="639"/>
      <c r="F444" s="639"/>
      <c r="G444" s="639"/>
      <c r="H444" s="639"/>
      <c r="I444" s="639"/>
      <c r="J444" s="639"/>
      <c r="K444" s="639"/>
      <c r="L444" s="639"/>
      <c r="M444" s="639"/>
      <c r="N444" s="30"/>
      <c r="O444" s="30"/>
      <c r="P444" s="30"/>
      <c r="Q444" s="30"/>
      <c r="R444" s="24"/>
      <c r="S444" s="24"/>
    </row>
    <row r="445" spans="2:19" s="9" customFormat="1" ht="29.25" customHeight="1" x14ac:dyDescent="0.2">
      <c r="B445" s="870" t="s">
        <v>2221</v>
      </c>
      <c r="C445" s="870"/>
      <c r="D445" s="674">
        <f>IF(SUM(D435,D441)="","",SUM(D435,D441))</f>
        <v>0</v>
      </c>
      <c r="E445" s="674">
        <f t="shared" ref="E445:M445" si="24">IF(SUM(E435,E441)="","",SUM(E435,E441))</f>
        <v>0</v>
      </c>
      <c r="F445" s="674">
        <f t="shared" si="24"/>
        <v>0</v>
      </c>
      <c r="G445" s="674">
        <f t="shared" si="24"/>
        <v>0</v>
      </c>
      <c r="H445" s="674">
        <f t="shared" si="24"/>
        <v>0</v>
      </c>
      <c r="I445" s="674">
        <f t="shared" si="24"/>
        <v>0</v>
      </c>
      <c r="J445" s="674">
        <f t="shared" si="24"/>
        <v>0</v>
      </c>
      <c r="K445" s="674">
        <f t="shared" si="24"/>
        <v>0</v>
      </c>
      <c r="L445" s="674">
        <f t="shared" si="24"/>
        <v>0</v>
      </c>
      <c r="M445" s="674">
        <f t="shared" si="24"/>
        <v>0</v>
      </c>
      <c r="N445" s="30"/>
      <c r="O445" s="30"/>
      <c r="P445" s="30"/>
      <c r="Q445" s="30"/>
      <c r="R445" s="24"/>
      <c r="S445" s="24"/>
    </row>
    <row r="446" spans="2:19" s="9" customFormat="1" ht="27" customHeight="1" x14ac:dyDescent="0.2">
      <c r="B446" s="870" t="s">
        <v>2222</v>
      </c>
      <c r="C446" s="870"/>
      <c r="D446" s="636"/>
      <c r="E446" s="637"/>
      <c r="F446" s="637"/>
      <c r="G446" s="637"/>
      <c r="H446" s="637"/>
      <c r="I446" s="637"/>
      <c r="J446" s="637"/>
      <c r="K446" s="637"/>
      <c r="L446" s="637"/>
      <c r="M446" s="637"/>
      <c r="N446" s="30"/>
      <c r="O446" s="30"/>
      <c r="P446" s="30"/>
      <c r="Q446" s="30"/>
      <c r="R446" s="24"/>
      <c r="S446" s="24"/>
    </row>
    <row r="447" spans="2:19" s="9" customFormat="1" ht="6.75" customHeight="1" x14ac:dyDescent="0.2">
      <c r="B447" s="57"/>
      <c r="C447" s="30"/>
      <c r="D447" s="30"/>
      <c r="E447" s="30"/>
      <c r="F447" s="30"/>
      <c r="G447" s="30"/>
      <c r="H447" s="30"/>
      <c r="I447" s="30"/>
      <c r="J447" s="30"/>
      <c r="K447" s="42"/>
      <c r="L447" s="30"/>
      <c r="M447" s="30"/>
      <c r="N447" s="30"/>
      <c r="O447" s="30"/>
      <c r="P447" s="30"/>
      <c r="Q447" s="30"/>
      <c r="R447" s="24"/>
      <c r="S447" s="24"/>
    </row>
    <row r="448" spans="2:19" s="9" customFormat="1" ht="15" customHeight="1" x14ac:dyDescent="0.25">
      <c r="B448" s="50" t="s">
        <v>2306</v>
      </c>
      <c r="C448" s="30"/>
      <c r="D448" s="30"/>
      <c r="E448" s="30"/>
      <c r="F448" s="30"/>
      <c r="G448" s="30"/>
      <c r="H448" s="30"/>
      <c r="I448" s="30"/>
      <c r="J448" s="30"/>
      <c r="K448" s="42"/>
      <c r="L448" s="30"/>
      <c r="M448" s="30"/>
      <c r="N448" s="30"/>
      <c r="O448" s="30"/>
      <c r="P448" s="30"/>
      <c r="Q448" s="30"/>
      <c r="R448" s="24"/>
      <c r="S448" s="24"/>
    </row>
    <row r="449" spans="2:19" s="9" customFormat="1" ht="15" customHeight="1" x14ac:dyDescent="0.2">
      <c r="B449" s="587" t="s">
        <v>2304</v>
      </c>
      <c r="C449" s="30"/>
      <c r="D449" s="30"/>
      <c r="E449" s="30"/>
      <c r="F449" s="30"/>
      <c r="G449" s="30"/>
      <c r="H449" s="30"/>
      <c r="I449" s="30"/>
      <c r="J449" s="30"/>
      <c r="K449" s="42"/>
      <c r="L449" s="30"/>
      <c r="M449" s="30"/>
      <c r="N449" s="30"/>
      <c r="O449" s="30"/>
      <c r="P449" s="30"/>
      <c r="Q449" s="30"/>
      <c r="R449" s="24"/>
      <c r="S449" s="24"/>
    </row>
    <row r="450" spans="2:19" s="9" customFormat="1" ht="20.100000000000001" customHeight="1" x14ac:dyDescent="0.25">
      <c r="B450" s="1067" t="s">
        <v>103</v>
      </c>
      <c r="C450" s="1068"/>
      <c r="D450" s="44">
        <v>1</v>
      </c>
      <c r="E450" s="44">
        <v>2</v>
      </c>
      <c r="F450" s="44">
        <v>3</v>
      </c>
      <c r="G450" s="44">
        <v>4</v>
      </c>
      <c r="H450" s="44">
        <v>5</v>
      </c>
      <c r="I450" s="44">
        <v>6</v>
      </c>
      <c r="J450" s="44">
        <v>7</v>
      </c>
      <c r="K450" s="44">
        <v>8</v>
      </c>
      <c r="L450" s="44">
        <v>9</v>
      </c>
      <c r="M450" s="44">
        <v>10</v>
      </c>
      <c r="N450" s="44">
        <v>11</v>
      </c>
      <c r="O450" s="44">
        <v>12</v>
      </c>
      <c r="P450" s="30"/>
      <c r="Q450" s="30"/>
      <c r="R450" s="24"/>
      <c r="S450" s="24"/>
    </row>
    <row r="451" spans="2:19" s="9" customFormat="1" ht="20.100000000000001" customHeight="1" x14ac:dyDescent="0.2">
      <c r="B451" s="1138" t="s">
        <v>2223</v>
      </c>
      <c r="C451" s="1139"/>
      <c r="D451" s="673">
        <f>+SUM(G392:J392)</f>
        <v>0</v>
      </c>
      <c r="E451" s="672">
        <f>+SUM(K392:N392)</f>
        <v>0</v>
      </c>
      <c r="F451" s="673"/>
      <c r="G451" s="673"/>
      <c r="H451" s="673"/>
      <c r="I451" s="673"/>
      <c r="J451" s="673"/>
      <c r="K451" s="673"/>
      <c r="L451" s="673"/>
      <c r="M451" s="673"/>
      <c r="N451" s="673"/>
      <c r="O451" s="673"/>
      <c r="P451" s="30"/>
      <c r="Q451" s="30"/>
      <c r="R451" s="24"/>
      <c r="S451" s="24"/>
    </row>
    <row r="452" spans="2:19" s="9" customFormat="1" ht="20.100000000000001" customHeight="1" x14ac:dyDescent="0.2">
      <c r="B452" s="1081" t="s">
        <v>2224</v>
      </c>
      <c r="C452" s="1081"/>
      <c r="D452" s="673"/>
      <c r="E452" s="673"/>
      <c r="F452" s="673">
        <f>IF((D445-D429)="","",(D445-D429))</f>
        <v>0</v>
      </c>
      <c r="G452" s="673">
        <f t="shared" ref="G452:O452" si="25">IF((E445-E429)="","",(E445-E429))</f>
        <v>0</v>
      </c>
      <c r="H452" s="673">
        <f t="shared" si="25"/>
        <v>0</v>
      </c>
      <c r="I452" s="673">
        <f t="shared" si="25"/>
        <v>0</v>
      </c>
      <c r="J452" s="673">
        <f t="shared" si="25"/>
        <v>0</v>
      </c>
      <c r="K452" s="673">
        <f t="shared" si="25"/>
        <v>0</v>
      </c>
      <c r="L452" s="673">
        <f t="shared" si="25"/>
        <v>0</v>
      </c>
      <c r="M452" s="673">
        <f t="shared" si="25"/>
        <v>0</v>
      </c>
      <c r="N452" s="673">
        <f t="shared" si="25"/>
        <v>0</v>
      </c>
      <c r="O452" s="673">
        <f t="shared" si="25"/>
        <v>0</v>
      </c>
      <c r="P452" s="30"/>
      <c r="Q452" s="30"/>
      <c r="R452" s="24"/>
      <c r="S452" s="24"/>
    </row>
    <row r="453" spans="2:19" s="9" customFormat="1" ht="20.100000000000001" customHeight="1" x14ac:dyDescent="0.2">
      <c r="B453" s="1081" t="s">
        <v>2225</v>
      </c>
      <c r="C453" s="1081"/>
      <c r="D453" s="673"/>
      <c r="E453" s="673"/>
      <c r="F453" s="673">
        <f>+D412</f>
        <v>0</v>
      </c>
      <c r="G453" s="673">
        <f t="shared" ref="G453:O453" si="26">+E412</f>
        <v>0</v>
      </c>
      <c r="H453" s="673">
        <f t="shared" si="26"/>
        <v>0</v>
      </c>
      <c r="I453" s="673">
        <f t="shared" si="26"/>
        <v>0</v>
      </c>
      <c r="J453" s="673">
        <f t="shared" si="26"/>
        <v>0</v>
      </c>
      <c r="K453" s="673">
        <f t="shared" si="26"/>
        <v>0</v>
      </c>
      <c r="L453" s="673">
        <f t="shared" si="26"/>
        <v>0</v>
      </c>
      <c r="M453" s="673">
        <f t="shared" si="26"/>
        <v>0</v>
      </c>
      <c r="N453" s="673">
        <f t="shared" si="26"/>
        <v>0</v>
      </c>
      <c r="O453" s="673">
        <f t="shared" si="26"/>
        <v>0</v>
      </c>
      <c r="P453" s="30"/>
      <c r="Q453" s="30"/>
      <c r="R453" s="24"/>
      <c r="S453" s="24"/>
    </row>
    <row r="454" spans="2:19" s="9" customFormat="1" ht="20.100000000000001" customHeight="1" x14ac:dyDescent="0.2">
      <c r="B454" s="1082" t="s">
        <v>2226</v>
      </c>
      <c r="C454" s="1082"/>
      <c r="D454" s="673">
        <f>+D451-D452+D453</f>
        <v>0</v>
      </c>
      <c r="E454" s="673">
        <f>+E451-E452+E453</f>
        <v>0</v>
      </c>
      <c r="F454" s="673">
        <f>+F452+F453</f>
        <v>0</v>
      </c>
      <c r="G454" s="673">
        <f t="shared" ref="G454:O454" si="27">+G452+G453</f>
        <v>0</v>
      </c>
      <c r="H454" s="673">
        <f t="shared" si="27"/>
        <v>0</v>
      </c>
      <c r="I454" s="673">
        <f t="shared" si="27"/>
        <v>0</v>
      </c>
      <c r="J454" s="673">
        <f t="shared" si="27"/>
        <v>0</v>
      </c>
      <c r="K454" s="673">
        <f t="shared" si="27"/>
        <v>0</v>
      </c>
      <c r="L454" s="673">
        <f t="shared" si="27"/>
        <v>0</v>
      </c>
      <c r="M454" s="673">
        <f t="shared" si="27"/>
        <v>0</v>
      </c>
      <c r="N454" s="673">
        <f t="shared" si="27"/>
        <v>0</v>
      </c>
      <c r="O454" s="673">
        <f t="shared" si="27"/>
        <v>0</v>
      </c>
      <c r="P454" s="30"/>
      <c r="Q454" s="30"/>
      <c r="R454" s="24"/>
      <c r="S454" s="24"/>
    </row>
    <row r="455" spans="2:19" s="9" customFormat="1" ht="5.25" customHeight="1" x14ac:dyDescent="0.2">
      <c r="B455" s="57"/>
      <c r="C455" s="30"/>
      <c r="D455" s="30"/>
      <c r="E455" s="30"/>
      <c r="F455" s="30"/>
      <c r="G455" s="30"/>
      <c r="H455" s="30"/>
      <c r="I455" s="30"/>
      <c r="J455" s="30"/>
      <c r="K455" s="42"/>
      <c r="L455" s="30"/>
      <c r="M455" s="30"/>
      <c r="N455" s="30"/>
      <c r="O455" s="30"/>
      <c r="P455" s="30"/>
      <c r="Q455" s="30"/>
      <c r="R455" s="24"/>
      <c r="S455" s="24"/>
    </row>
    <row r="456" spans="2:19" s="9" customFormat="1" ht="15" customHeight="1" x14ac:dyDescent="0.2">
      <c r="B456" s="587" t="s">
        <v>2305</v>
      </c>
      <c r="C456" s="30"/>
      <c r="D456" s="30"/>
      <c r="E456" s="30"/>
      <c r="F456" s="30"/>
      <c r="G456" s="30"/>
      <c r="H456" s="30"/>
      <c r="I456" s="30"/>
      <c r="J456" s="30"/>
      <c r="K456" s="42"/>
      <c r="L456" s="30"/>
      <c r="M456" s="30"/>
      <c r="N456" s="30"/>
      <c r="O456" s="30"/>
      <c r="P456" s="30"/>
      <c r="Q456" s="30"/>
      <c r="R456" s="24"/>
      <c r="S456" s="24"/>
    </row>
    <row r="457" spans="2:19" s="9" customFormat="1" ht="20.100000000000001" customHeight="1" x14ac:dyDescent="0.25">
      <c r="B457" s="1067" t="s">
        <v>103</v>
      </c>
      <c r="C457" s="1068"/>
      <c r="D457" s="44">
        <v>1</v>
      </c>
      <c r="E457" s="44">
        <v>2</v>
      </c>
      <c r="F457" s="44">
        <v>3</v>
      </c>
      <c r="G457" s="44">
        <v>4</v>
      </c>
      <c r="H457" s="44">
        <v>5</v>
      </c>
      <c r="I457" s="44">
        <v>6</v>
      </c>
      <c r="J457" s="44">
        <v>7</v>
      </c>
      <c r="K457" s="44">
        <v>8</v>
      </c>
      <c r="L457" s="44">
        <v>9</v>
      </c>
      <c r="M457" s="44">
        <v>10</v>
      </c>
      <c r="N457" s="44">
        <v>11</v>
      </c>
      <c r="O457" s="44">
        <v>12</v>
      </c>
      <c r="P457" s="30"/>
      <c r="Q457" s="30"/>
      <c r="R457" s="24"/>
      <c r="S457" s="24"/>
    </row>
    <row r="458" spans="2:19" s="9" customFormat="1" ht="20.100000000000001" customHeight="1" x14ac:dyDescent="0.2">
      <c r="B458" s="1076" t="s">
        <v>2223</v>
      </c>
      <c r="C458" s="1077"/>
      <c r="D458" s="640"/>
      <c r="E458" s="641"/>
      <c r="F458" s="641"/>
      <c r="G458" s="641"/>
      <c r="H458" s="641"/>
      <c r="I458" s="641"/>
      <c r="J458" s="641"/>
      <c r="K458" s="641"/>
      <c r="L458" s="641"/>
      <c r="M458" s="641"/>
      <c r="N458" s="641"/>
      <c r="O458" s="641"/>
      <c r="P458" s="30"/>
      <c r="Q458" s="30"/>
      <c r="R458" s="24"/>
      <c r="S458" s="24"/>
    </row>
    <row r="459" spans="2:19" s="9" customFormat="1" ht="20.100000000000001" customHeight="1" x14ac:dyDescent="0.2">
      <c r="B459" s="871" t="s">
        <v>2224</v>
      </c>
      <c r="C459" s="871"/>
      <c r="D459" s="640"/>
      <c r="E459" s="641"/>
      <c r="F459" s="641"/>
      <c r="G459" s="641"/>
      <c r="H459" s="641"/>
      <c r="I459" s="641"/>
      <c r="J459" s="641"/>
      <c r="K459" s="641"/>
      <c r="L459" s="641"/>
      <c r="M459" s="641"/>
      <c r="N459" s="641"/>
      <c r="O459" s="641"/>
      <c r="P459" s="30"/>
      <c r="Q459" s="30"/>
      <c r="R459" s="24"/>
      <c r="S459" s="24"/>
    </row>
    <row r="460" spans="2:19" s="9" customFormat="1" ht="20.100000000000001" customHeight="1" x14ac:dyDescent="0.2">
      <c r="B460" s="871" t="s">
        <v>2225</v>
      </c>
      <c r="C460" s="871"/>
      <c r="D460" s="640"/>
      <c r="E460" s="640"/>
      <c r="F460" s="640"/>
      <c r="G460" s="640"/>
      <c r="H460" s="641"/>
      <c r="I460" s="641"/>
      <c r="J460" s="641"/>
      <c r="K460" s="641"/>
      <c r="L460" s="641"/>
      <c r="M460" s="640"/>
      <c r="N460" s="640"/>
      <c r="O460" s="640"/>
      <c r="P460" s="30"/>
      <c r="Q460" s="30"/>
      <c r="R460" s="24"/>
      <c r="S460" s="24"/>
    </row>
    <row r="461" spans="2:19" s="9" customFormat="1" ht="20.100000000000001" customHeight="1" x14ac:dyDescent="0.2">
      <c r="B461" s="863" t="s">
        <v>2226</v>
      </c>
      <c r="C461" s="863"/>
      <c r="D461" s="673">
        <f>+D458-D459+D460</f>
        <v>0</v>
      </c>
      <c r="E461" s="673">
        <f>+E458-E459+E460</f>
        <v>0</v>
      </c>
      <c r="F461" s="673">
        <f>+F459+F460</f>
        <v>0</v>
      </c>
      <c r="G461" s="673">
        <f t="shared" ref="G461:O461" si="28">+G459+G460</f>
        <v>0</v>
      </c>
      <c r="H461" s="673">
        <f t="shared" si="28"/>
        <v>0</v>
      </c>
      <c r="I461" s="673">
        <f t="shared" si="28"/>
        <v>0</v>
      </c>
      <c r="J461" s="673">
        <f t="shared" si="28"/>
        <v>0</v>
      </c>
      <c r="K461" s="673">
        <f t="shared" si="28"/>
        <v>0</v>
      </c>
      <c r="L461" s="673">
        <f t="shared" si="28"/>
        <v>0</v>
      </c>
      <c r="M461" s="673">
        <f t="shared" si="28"/>
        <v>0</v>
      </c>
      <c r="N461" s="673">
        <f t="shared" si="28"/>
        <v>0</v>
      </c>
      <c r="O461" s="673">
        <f t="shared" si="28"/>
        <v>0</v>
      </c>
      <c r="P461" s="30"/>
      <c r="Q461" s="30"/>
      <c r="R461" s="24"/>
      <c r="S461" s="24"/>
    </row>
    <row r="462" spans="2:19" s="9" customFormat="1" ht="15" customHeight="1" x14ac:dyDescent="0.2">
      <c r="B462" s="57"/>
      <c r="C462" s="30"/>
      <c r="D462" s="30"/>
      <c r="E462" s="30"/>
      <c r="F462" s="30"/>
      <c r="G462" s="30"/>
      <c r="H462" s="30"/>
      <c r="I462" s="30"/>
      <c r="J462" s="30"/>
      <c r="K462" s="42"/>
      <c r="L462" s="30"/>
      <c r="M462" s="30"/>
      <c r="N462" s="30"/>
      <c r="O462" s="30"/>
      <c r="P462" s="30"/>
      <c r="Q462" s="30"/>
      <c r="R462" s="24"/>
      <c r="S462" s="24"/>
    </row>
    <row r="463" spans="2:19" s="9" customFormat="1" ht="15" customHeight="1" x14ac:dyDescent="0.25">
      <c r="B463" s="55" t="s">
        <v>2307</v>
      </c>
      <c r="C463" s="8"/>
      <c r="D463" s="8"/>
      <c r="E463" s="8"/>
      <c r="F463" s="8"/>
      <c r="G463" s="8"/>
      <c r="H463" s="8"/>
      <c r="I463" s="8"/>
      <c r="J463" s="8"/>
      <c r="L463" s="30"/>
      <c r="M463" s="30"/>
      <c r="N463" s="30"/>
      <c r="O463" s="30"/>
      <c r="P463" s="30"/>
      <c r="Q463" s="30"/>
      <c r="R463" s="24"/>
      <c r="S463" s="24"/>
    </row>
    <row r="464" spans="2:19" s="9" customFormat="1" ht="20.100000000000001" customHeight="1" x14ac:dyDescent="0.25">
      <c r="B464" s="199" t="s">
        <v>2308</v>
      </c>
      <c r="C464" s="8"/>
      <c r="D464" s="8"/>
      <c r="E464" s="8"/>
      <c r="F464" s="1065" t="str">
        <f>+IF(NPV(0.08,D461:O461)=0,"",NPV(0.08,D461:O461))</f>
        <v/>
      </c>
      <c r="G464" s="873"/>
      <c r="H464" s="874"/>
      <c r="I464" s="8"/>
      <c r="J464" s="8"/>
      <c r="L464" s="30"/>
      <c r="M464" s="30"/>
      <c r="N464" s="30"/>
      <c r="O464" s="30"/>
      <c r="P464" s="30"/>
      <c r="Q464" s="30"/>
      <c r="R464" s="24"/>
      <c r="S464" s="24"/>
    </row>
    <row r="465" spans="2:19" s="9" customFormat="1" ht="20.100000000000001" customHeight="1" x14ac:dyDescent="0.2">
      <c r="B465" s="199" t="s">
        <v>2309</v>
      </c>
      <c r="C465" s="30"/>
      <c r="D465" s="30"/>
      <c r="E465" s="30"/>
      <c r="F465" s="872" t="str">
        <f>+IF(I209=0,"",I209*(1+H207)^(12))</f>
        <v/>
      </c>
      <c r="G465" s="873"/>
      <c r="H465" s="874"/>
      <c r="I465" s="858" t="s">
        <v>2312</v>
      </c>
      <c r="J465" s="859"/>
      <c r="K465" s="859"/>
      <c r="L465" s="859"/>
      <c r="M465" s="859"/>
      <c r="N465" s="860"/>
      <c r="O465" s="30"/>
      <c r="P465" s="30"/>
      <c r="Q465" s="30"/>
      <c r="R465" s="24"/>
      <c r="S465" s="24"/>
    </row>
    <row r="466" spans="2:19" s="9" customFormat="1" ht="20.100000000000001" customHeight="1" x14ac:dyDescent="0.2">
      <c r="B466" s="199" t="s">
        <v>2310</v>
      </c>
      <c r="C466" s="30"/>
      <c r="D466" s="30"/>
      <c r="E466" s="30"/>
      <c r="F466" s="875" t="str">
        <f>+IF(F464="","",F464/F465)</f>
        <v/>
      </c>
      <c r="G466" s="876"/>
      <c r="H466" s="877"/>
      <c r="I466" s="30"/>
      <c r="J466" s="30"/>
      <c r="K466" s="42"/>
      <c r="L466" s="30"/>
      <c r="M466" s="30"/>
      <c r="N466" s="30"/>
      <c r="O466" s="30"/>
      <c r="P466" s="30"/>
      <c r="Q466" s="30"/>
      <c r="R466" s="24"/>
      <c r="S466" s="24"/>
    </row>
    <row r="467" spans="2:19" s="9" customFormat="1" ht="15" customHeight="1" x14ac:dyDescent="0.2">
      <c r="B467" s="57"/>
      <c r="C467" s="30"/>
      <c r="D467" s="30"/>
      <c r="E467" s="30"/>
      <c r="F467" s="30"/>
      <c r="G467" s="30"/>
      <c r="H467" s="30"/>
      <c r="I467" s="30"/>
      <c r="J467" s="30"/>
      <c r="K467" s="42"/>
      <c r="L467" s="30"/>
      <c r="M467" s="30"/>
      <c r="N467" s="30"/>
      <c r="O467" s="30"/>
      <c r="P467" s="30"/>
      <c r="Q467" s="30"/>
      <c r="R467" s="24"/>
      <c r="S467" s="24"/>
    </row>
    <row r="468" spans="2:19" s="9" customFormat="1" ht="15" customHeight="1" x14ac:dyDescent="0.25">
      <c r="B468" s="536" t="s">
        <v>2313</v>
      </c>
      <c r="C468" s="8"/>
      <c r="D468" s="8"/>
      <c r="E468" s="8"/>
      <c r="F468" s="8"/>
      <c r="G468" s="8"/>
      <c r="H468" s="8"/>
      <c r="I468" s="8"/>
      <c r="J468" s="8"/>
      <c r="L468" s="30"/>
      <c r="M468" s="30"/>
      <c r="N468" s="30"/>
      <c r="O468" s="30"/>
      <c r="P468" s="30"/>
      <c r="Q468" s="30"/>
      <c r="R468" s="24"/>
      <c r="S468" s="24"/>
    </row>
    <row r="469" spans="2:19" s="9" customFormat="1" ht="15" customHeight="1" x14ac:dyDescent="0.2">
      <c r="B469" s="57"/>
      <c r="C469" s="30"/>
      <c r="D469" s="30"/>
      <c r="E469" s="30"/>
      <c r="F469" s="30"/>
      <c r="G469" s="30"/>
      <c r="H469" s="30"/>
      <c r="I469" s="30"/>
      <c r="J469" s="30"/>
      <c r="K469" s="42"/>
      <c r="L469" s="30"/>
      <c r="M469" s="30"/>
      <c r="N469" s="30"/>
      <c r="O469" s="30"/>
      <c r="P469" s="30"/>
      <c r="Q469" s="30"/>
      <c r="R469" s="24"/>
      <c r="S469" s="24"/>
    </row>
    <row r="470" spans="2:19" s="9" customFormat="1" ht="15" customHeight="1" x14ac:dyDescent="0.2">
      <c r="B470" s="504" t="s">
        <v>2314</v>
      </c>
      <c r="C470" s="30"/>
      <c r="D470" s="30"/>
      <c r="E470" s="30"/>
      <c r="F470" s="30"/>
      <c r="G470" s="30"/>
      <c r="H470" s="30"/>
      <c r="I470" s="30"/>
      <c r="J470" s="30"/>
      <c r="K470" s="42"/>
      <c r="L470" s="30"/>
      <c r="M470" s="30"/>
      <c r="N470" s="30"/>
      <c r="O470" s="30"/>
      <c r="P470" s="30"/>
      <c r="Q470" s="30"/>
      <c r="R470" s="24"/>
      <c r="S470" s="24"/>
    </row>
    <row r="471" spans="2:19" s="9" customFormat="1" ht="15" customHeight="1" x14ac:dyDescent="0.2">
      <c r="B471" s="57"/>
      <c r="C471" s="30"/>
      <c r="D471" s="30"/>
      <c r="E471" s="30"/>
      <c r="F471" s="30"/>
      <c r="G471" s="30"/>
      <c r="H471" s="30"/>
      <c r="I471" s="30"/>
      <c r="J471" s="30"/>
      <c r="K471" s="42"/>
      <c r="L471" s="30"/>
      <c r="M471" s="30"/>
      <c r="N471" s="30"/>
      <c r="O471" s="30"/>
      <c r="P471" s="30"/>
      <c r="Q471" s="30"/>
      <c r="R471" s="24"/>
      <c r="S471" s="24"/>
    </row>
    <row r="472" spans="2:19" s="9" customFormat="1" ht="20.100000000000001" customHeight="1" x14ac:dyDescent="0.2">
      <c r="B472" s="861"/>
      <c r="C472" s="862"/>
      <c r="D472" s="862"/>
      <c r="E472" s="862"/>
      <c r="F472" s="862"/>
      <c r="G472" s="862"/>
      <c r="H472" s="862"/>
      <c r="I472" s="862"/>
      <c r="J472" s="862"/>
      <c r="K472" s="862"/>
      <c r="L472" s="862"/>
      <c r="M472" s="862"/>
      <c r="N472" s="862"/>
      <c r="O472" s="862"/>
      <c r="P472" s="862"/>
      <c r="Q472" s="30"/>
      <c r="R472" s="24"/>
      <c r="S472" s="24"/>
    </row>
    <row r="473" spans="2:19" s="9" customFormat="1" ht="15" customHeight="1" x14ac:dyDescent="0.2">
      <c r="B473" s="57"/>
      <c r="C473" s="30"/>
      <c r="D473" s="30"/>
      <c r="E473" s="30"/>
      <c r="F473" s="30"/>
      <c r="G473" s="30"/>
      <c r="H473" s="30"/>
      <c r="I473" s="30"/>
      <c r="J473" s="30"/>
      <c r="K473" s="42"/>
      <c r="L473" s="30"/>
      <c r="M473" s="30"/>
      <c r="N473" s="30"/>
      <c r="O473" s="30"/>
      <c r="P473" s="30"/>
      <c r="Q473" s="30"/>
      <c r="R473" s="24"/>
      <c r="S473" s="24"/>
    </row>
    <row r="474" spans="2:19" s="9" customFormat="1" ht="15" customHeight="1" x14ac:dyDescent="0.2">
      <c r="B474" s="527" t="s">
        <v>2427</v>
      </c>
      <c r="C474" s="30"/>
      <c r="D474" s="30"/>
      <c r="E474" s="30"/>
      <c r="F474" s="30"/>
      <c r="G474" s="30"/>
      <c r="H474" s="30"/>
      <c r="I474" s="30"/>
      <c r="J474" s="30"/>
      <c r="K474" s="42"/>
      <c r="L474" s="30"/>
      <c r="M474" s="30"/>
      <c r="N474" s="30"/>
      <c r="O474" s="30"/>
      <c r="P474" s="30"/>
      <c r="Q474" s="30"/>
      <c r="R474" s="24"/>
      <c r="S474" s="24"/>
    </row>
    <row r="475" spans="2:19" s="9" customFormat="1" ht="15" customHeight="1" x14ac:dyDescent="0.2">
      <c r="B475" s="57"/>
      <c r="C475" s="30"/>
      <c r="D475" s="30"/>
      <c r="E475" s="30"/>
      <c r="F475" s="30"/>
      <c r="G475" s="30"/>
      <c r="H475" s="30"/>
      <c r="I475" s="30"/>
      <c r="J475" s="30"/>
      <c r="K475" s="42"/>
      <c r="L475" s="30"/>
      <c r="M475" s="30"/>
      <c r="N475" s="30"/>
      <c r="O475" s="30"/>
      <c r="P475" s="30"/>
      <c r="Q475" s="30"/>
      <c r="R475" s="24"/>
      <c r="S475" s="24"/>
    </row>
    <row r="476" spans="2:19" s="9" customFormat="1" ht="20.100000000000001" customHeight="1" x14ac:dyDescent="0.2">
      <c r="B476" s="57"/>
      <c r="C476" s="30"/>
      <c r="D476" s="30"/>
      <c r="E476" s="203"/>
      <c r="F476" s="851"/>
      <c r="G476" s="851"/>
      <c r="H476" s="851"/>
      <c r="I476" s="30"/>
      <c r="J476" s="30"/>
      <c r="K476" s="42"/>
      <c r="L476" s="30"/>
      <c r="M476" s="30"/>
      <c r="N476" s="30"/>
      <c r="O476" s="30"/>
      <c r="P476" s="30"/>
      <c r="Q476" s="30"/>
      <c r="R476" s="24"/>
      <c r="S476" s="24"/>
    </row>
    <row r="477" spans="2:19" s="9" customFormat="1" ht="15" customHeight="1" x14ac:dyDescent="0.2">
      <c r="B477" s="57"/>
      <c r="C477" s="30"/>
      <c r="D477" s="30"/>
      <c r="E477" s="30"/>
      <c r="F477" s="30"/>
      <c r="G477" s="30"/>
      <c r="H477" s="30"/>
      <c r="I477" s="30"/>
      <c r="J477" s="30"/>
      <c r="K477" s="42"/>
      <c r="L477" s="30"/>
      <c r="M477" s="30"/>
      <c r="N477" s="30"/>
      <c r="O477" s="30"/>
      <c r="P477" s="30"/>
      <c r="Q477" s="30"/>
      <c r="R477" s="24"/>
      <c r="S477" s="24"/>
    </row>
    <row r="478" spans="2:19" s="9" customFormat="1" ht="15" customHeight="1" x14ac:dyDescent="0.2">
      <c r="B478" s="30" t="s">
        <v>2316</v>
      </c>
      <c r="C478" s="30"/>
      <c r="D478" s="30"/>
      <c r="E478" s="30"/>
      <c r="F478" s="30"/>
      <c r="G478" s="30"/>
      <c r="H478" s="30"/>
      <c r="I478" s="30"/>
      <c r="J478" s="30"/>
      <c r="K478" s="42"/>
      <c r="L478" s="30"/>
      <c r="M478" s="30"/>
      <c r="N478" s="30"/>
      <c r="O478" s="30"/>
      <c r="P478" s="30"/>
      <c r="Q478" s="30"/>
      <c r="R478" s="24"/>
      <c r="S478" s="24"/>
    </row>
    <row r="479" spans="2:19" s="9" customFormat="1" ht="15" customHeight="1" x14ac:dyDescent="0.2">
      <c r="B479" s="57"/>
      <c r="C479" s="30"/>
      <c r="D479" s="30"/>
      <c r="E479" s="30"/>
      <c r="F479" s="30"/>
      <c r="G479" s="30"/>
      <c r="H479" s="30"/>
      <c r="I479" s="30"/>
      <c r="J479" s="30"/>
      <c r="K479" s="42"/>
      <c r="L479" s="30"/>
      <c r="M479" s="30"/>
      <c r="N479" s="30"/>
      <c r="O479" s="30"/>
      <c r="P479" s="30"/>
      <c r="Q479" s="30"/>
      <c r="R479" s="24"/>
      <c r="S479" s="24"/>
    </row>
    <row r="480" spans="2:19" s="9" customFormat="1" ht="20.100000000000001" customHeight="1" x14ac:dyDescent="0.2">
      <c r="B480" s="57"/>
      <c r="C480" s="30"/>
      <c r="D480" s="30"/>
      <c r="E480" s="30"/>
      <c r="F480" s="916" t="s">
        <v>2317</v>
      </c>
      <c r="G480" s="1026"/>
      <c r="H480" s="917"/>
      <c r="I480" s="915" t="s">
        <v>2318</v>
      </c>
      <c r="J480" s="915"/>
      <c r="K480" s="915"/>
      <c r="L480" s="916" t="s">
        <v>2319</v>
      </c>
      <c r="M480" s="1026"/>
      <c r="N480" s="1026"/>
      <c r="O480" s="1026"/>
      <c r="P480" s="917"/>
      <c r="Q480" s="30"/>
      <c r="R480" s="24"/>
      <c r="S480" s="24"/>
    </row>
    <row r="481" spans="2:19" s="9" customFormat="1" ht="20.100000000000001" customHeight="1" x14ac:dyDescent="0.2">
      <c r="B481" s="57"/>
      <c r="C481" s="30"/>
      <c r="D481" s="30"/>
      <c r="E481" s="30"/>
      <c r="F481" s="995"/>
      <c r="G481" s="996"/>
      <c r="H481" s="997"/>
      <c r="I481" s="958"/>
      <c r="J481" s="958"/>
      <c r="K481" s="958"/>
      <c r="L481" s="995"/>
      <c r="M481" s="996"/>
      <c r="N481" s="996"/>
      <c r="O481" s="996"/>
      <c r="P481" s="997"/>
      <c r="Q481" s="30"/>
      <c r="R481" s="24"/>
      <c r="S481" s="24"/>
    </row>
    <row r="482" spans="2:19" s="9" customFormat="1" ht="15" customHeight="1" x14ac:dyDescent="0.2">
      <c r="B482" s="57"/>
      <c r="C482" s="30"/>
      <c r="D482" s="30"/>
      <c r="E482" s="30"/>
      <c r="F482" s="30"/>
      <c r="G482" s="30"/>
      <c r="H482" s="30"/>
      <c r="I482" s="30"/>
      <c r="J482" s="30"/>
      <c r="K482" s="42"/>
      <c r="L482" s="30"/>
      <c r="M482" s="30"/>
      <c r="N482" s="30"/>
      <c r="O482" s="30"/>
      <c r="P482" s="30"/>
      <c r="Q482" s="30"/>
      <c r="R482" s="24"/>
      <c r="S482" s="24"/>
    </row>
    <row r="483" spans="2:19" s="9" customFormat="1" ht="15" customHeight="1" x14ac:dyDescent="0.2">
      <c r="B483" s="202" t="s">
        <v>2428</v>
      </c>
      <c r="C483" s="30"/>
      <c r="D483" s="30"/>
      <c r="E483" s="30"/>
      <c r="F483" s="30"/>
      <c r="G483" s="30"/>
      <c r="H483" s="30"/>
      <c r="I483" s="30"/>
      <c r="J483" s="30"/>
      <c r="K483" s="42"/>
      <c r="L483" s="30"/>
      <c r="M483" s="30"/>
      <c r="N483" s="30"/>
      <c r="O483" s="30"/>
      <c r="P483" s="30"/>
      <c r="Q483" s="30"/>
      <c r="R483" s="24"/>
      <c r="S483" s="24"/>
    </row>
    <row r="484" spans="2:19" ht="15" customHeight="1" x14ac:dyDescent="0.2">
      <c r="B484" s="27"/>
      <c r="C484" s="27"/>
      <c r="D484" s="27"/>
      <c r="E484" s="20"/>
      <c r="F484" s="20"/>
      <c r="G484" s="20"/>
      <c r="H484" s="20"/>
      <c r="I484" s="20"/>
      <c r="J484" s="20"/>
      <c r="K484" s="20"/>
      <c r="L484" s="20"/>
      <c r="M484" s="20"/>
      <c r="N484" s="28"/>
      <c r="O484" s="28"/>
      <c r="P484" s="28"/>
      <c r="Q484" s="28"/>
      <c r="R484" s="5"/>
    </row>
    <row r="485" spans="2:19" ht="25.5" customHeight="1" x14ac:dyDescent="0.2">
      <c r="B485" s="155" t="s">
        <v>81</v>
      </c>
      <c r="C485" s="154" t="s">
        <v>92</v>
      </c>
      <c r="D485" s="573" t="s">
        <v>88</v>
      </c>
      <c r="E485" s="572" t="s">
        <v>93</v>
      </c>
      <c r="F485" s="1012" t="s">
        <v>104</v>
      </c>
      <c r="G485" s="1013"/>
      <c r="H485" s="1013"/>
      <c r="I485" s="1014"/>
      <c r="J485" s="1023" t="s">
        <v>94</v>
      </c>
      <c r="K485" s="1024"/>
      <c r="L485" s="1024"/>
      <c r="M485" s="1024"/>
      <c r="N485" s="1024"/>
      <c r="O485" s="1024"/>
      <c r="P485" s="1025"/>
      <c r="Q485" s="66"/>
      <c r="R485" s="5"/>
    </row>
    <row r="486" spans="2:19" ht="15" customHeight="1" x14ac:dyDescent="0.2">
      <c r="B486" s="127" t="s">
        <v>82</v>
      </c>
      <c r="C486" s="157"/>
      <c r="D486" s="157"/>
      <c r="E486" s="125"/>
      <c r="F486" s="861"/>
      <c r="G486" s="862"/>
      <c r="H486" s="862"/>
      <c r="I486" s="1015"/>
      <c r="J486" s="861"/>
      <c r="K486" s="862"/>
      <c r="L486" s="862"/>
      <c r="M486" s="862"/>
      <c r="N486" s="862"/>
      <c r="O486" s="862"/>
      <c r="P486" s="1015"/>
      <c r="Q486" s="66"/>
      <c r="R486" s="5"/>
    </row>
    <row r="487" spans="2:19" ht="15" customHeight="1" x14ac:dyDescent="0.2">
      <c r="B487" s="127" t="s">
        <v>83</v>
      </c>
      <c r="C487" s="157"/>
      <c r="D487" s="157"/>
      <c r="E487" s="125"/>
      <c r="F487" s="861"/>
      <c r="G487" s="862"/>
      <c r="H487" s="862"/>
      <c r="I487" s="1015"/>
      <c r="J487" s="861"/>
      <c r="K487" s="862"/>
      <c r="L487" s="862"/>
      <c r="M487" s="862"/>
      <c r="N487" s="862"/>
      <c r="O487" s="862"/>
      <c r="P487" s="1015"/>
      <c r="Q487" s="66"/>
      <c r="R487" s="5"/>
    </row>
    <row r="488" spans="2:19" ht="15" customHeight="1" x14ac:dyDescent="0.2">
      <c r="B488" s="127" t="s">
        <v>84</v>
      </c>
      <c r="C488" s="157"/>
      <c r="D488" s="157"/>
      <c r="E488" s="125"/>
      <c r="F488" s="861"/>
      <c r="G488" s="862"/>
      <c r="H488" s="862"/>
      <c r="I488" s="1015"/>
      <c r="J488" s="861"/>
      <c r="K488" s="862"/>
      <c r="L488" s="862"/>
      <c r="M488" s="862"/>
      <c r="N488" s="862"/>
      <c r="O488" s="862"/>
      <c r="P488" s="1015"/>
      <c r="Q488" s="66"/>
      <c r="R488" s="5"/>
    </row>
    <row r="489" spans="2:19" ht="15" customHeight="1" x14ac:dyDescent="0.2">
      <c r="B489" s="127" t="s">
        <v>85</v>
      </c>
      <c r="C489" s="157"/>
      <c r="D489" s="157"/>
      <c r="E489" s="125"/>
      <c r="F489" s="861"/>
      <c r="G489" s="862"/>
      <c r="H489" s="862"/>
      <c r="I489" s="1015"/>
      <c r="J489" s="861"/>
      <c r="K489" s="862"/>
      <c r="L489" s="862"/>
      <c r="M489" s="862"/>
      <c r="N489" s="862"/>
      <c r="O489" s="862"/>
      <c r="P489" s="1015"/>
      <c r="Q489" s="66"/>
      <c r="R489" s="5"/>
    </row>
    <row r="490" spans="2:19" ht="15" customHeight="1" x14ac:dyDescent="0.2">
      <c r="B490" s="127" t="s">
        <v>86</v>
      </c>
      <c r="C490" s="157"/>
      <c r="D490" s="157"/>
      <c r="E490" s="125"/>
      <c r="F490" s="861"/>
      <c r="G490" s="862"/>
      <c r="H490" s="862"/>
      <c r="I490" s="1015"/>
      <c r="J490" s="1020"/>
      <c r="K490" s="1021"/>
      <c r="L490" s="1021"/>
      <c r="M490" s="1021"/>
      <c r="N490" s="1021"/>
      <c r="O490" s="1021"/>
      <c r="P490" s="1022"/>
      <c r="Q490" s="66"/>
      <c r="R490" s="5"/>
    </row>
    <row r="491" spans="2:19" ht="15" customHeight="1" x14ac:dyDescent="0.2">
      <c r="B491" s="127" t="s">
        <v>87</v>
      </c>
      <c r="C491" s="157"/>
      <c r="D491" s="157"/>
      <c r="E491" s="125"/>
      <c r="F491" s="861"/>
      <c r="G491" s="862"/>
      <c r="H491" s="862"/>
      <c r="I491" s="1015"/>
      <c r="J491" s="861"/>
      <c r="K491" s="862"/>
      <c r="L491" s="862"/>
      <c r="M491" s="862"/>
      <c r="N491" s="862"/>
      <c r="O491" s="862"/>
      <c r="P491" s="1015"/>
      <c r="Q491" s="66"/>
      <c r="R491" s="5"/>
    </row>
    <row r="492" spans="2:19" s="9" customFormat="1" ht="15" customHeight="1" x14ac:dyDescent="0.2">
      <c r="B492" s="57"/>
      <c r="C492" s="30"/>
      <c r="D492" s="30"/>
      <c r="E492" s="30"/>
      <c r="F492" s="30"/>
      <c r="G492" s="30"/>
      <c r="H492" s="30"/>
      <c r="I492" s="30"/>
      <c r="J492" s="30"/>
      <c r="K492" s="42"/>
      <c r="L492" s="30"/>
      <c r="M492" s="30"/>
      <c r="N492" s="30"/>
      <c r="O492" s="30"/>
      <c r="P492" s="30"/>
      <c r="Q492" s="30"/>
      <c r="R492" s="24"/>
      <c r="S492" s="24"/>
    </row>
    <row r="493" spans="2:19" s="9" customFormat="1" ht="15" customHeight="1" x14ac:dyDescent="0.25">
      <c r="B493" s="537" t="s">
        <v>2320</v>
      </c>
      <c r="C493" s="30"/>
      <c r="D493" s="1004"/>
      <c r="E493" s="1004"/>
      <c r="F493" s="1004"/>
      <c r="G493" s="1004"/>
      <c r="H493" s="1004"/>
      <c r="I493" s="1004"/>
      <c r="J493" s="30"/>
      <c r="K493" s="42"/>
      <c r="L493" s="30"/>
      <c r="M493" s="30"/>
      <c r="N493" s="30"/>
      <c r="O493" s="30"/>
      <c r="P493" s="30"/>
      <c r="Q493" s="30"/>
      <c r="R493" s="24"/>
      <c r="S493" s="24"/>
    </row>
    <row r="494" spans="2:19" s="9" customFormat="1" ht="15" customHeight="1" x14ac:dyDescent="0.2">
      <c r="B494" s="57"/>
      <c r="C494" s="30"/>
      <c r="D494" s="30"/>
      <c r="E494" s="30"/>
      <c r="F494" s="30"/>
      <c r="G494" s="30"/>
      <c r="H494" s="30"/>
      <c r="I494" s="30"/>
      <c r="J494" s="30"/>
      <c r="K494" s="42"/>
      <c r="L494" s="30"/>
      <c r="M494" s="30"/>
      <c r="N494" s="30"/>
      <c r="O494" s="30"/>
      <c r="P494" s="30"/>
      <c r="Q494" s="30"/>
      <c r="R494" s="24"/>
      <c r="S494" s="24"/>
    </row>
    <row r="495" spans="2:19" s="9" customFormat="1" ht="15" customHeight="1" x14ac:dyDescent="0.25">
      <c r="B495" s="56" t="s">
        <v>2326</v>
      </c>
      <c r="C495" s="30"/>
      <c r="D495" s="30"/>
      <c r="E495" s="30"/>
      <c r="F495" s="30"/>
      <c r="G495" s="30"/>
      <c r="H495" s="30"/>
      <c r="I495" s="30"/>
      <c r="J495" s="30"/>
      <c r="K495" s="42"/>
      <c r="L495" s="30"/>
      <c r="M495" s="30"/>
      <c r="N495" s="30"/>
      <c r="O495" s="30"/>
      <c r="P495" s="30"/>
      <c r="Q495" s="30"/>
      <c r="R495" s="24"/>
      <c r="S495" s="24"/>
    </row>
    <row r="496" spans="2:19" s="9" customFormat="1" ht="15" customHeight="1" x14ac:dyDescent="0.2">
      <c r="B496" s="57"/>
      <c r="C496" s="30"/>
      <c r="D496" s="30"/>
      <c r="E496" s="30"/>
      <c r="F496" s="30"/>
      <c r="G496" s="30"/>
      <c r="H496" s="30"/>
      <c r="I496" s="30"/>
      <c r="J496" s="30"/>
      <c r="K496" s="42"/>
      <c r="L496" s="30"/>
      <c r="M496" s="30"/>
      <c r="N496" s="30"/>
      <c r="O496" s="30"/>
      <c r="P496" s="30"/>
      <c r="Q496" s="30"/>
      <c r="R496" s="24"/>
      <c r="S496" s="24"/>
    </row>
    <row r="497" spans="2:19" s="9" customFormat="1" ht="15" customHeight="1" x14ac:dyDescent="0.2">
      <c r="B497" s="189" t="s">
        <v>2327</v>
      </c>
      <c r="C497" s="915" t="s">
        <v>2328</v>
      </c>
      <c r="D497" s="915"/>
      <c r="E497" s="915"/>
      <c r="F497" s="915"/>
      <c r="G497" s="915"/>
      <c r="H497" s="915"/>
      <c r="I497" s="186" t="s">
        <v>2329</v>
      </c>
      <c r="J497" s="30"/>
      <c r="K497" s="42"/>
      <c r="L497" s="30"/>
      <c r="M497" s="30"/>
      <c r="N497" s="30"/>
      <c r="O497" s="30"/>
      <c r="P497" s="30"/>
      <c r="Q497" s="30"/>
      <c r="R497" s="24"/>
      <c r="S497" s="24"/>
    </row>
    <row r="498" spans="2:19" s="9" customFormat="1" ht="15" customHeight="1" x14ac:dyDescent="0.2">
      <c r="B498" s="189" t="s">
        <v>2330</v>
      </c>
      <c r="C498" s="916"/>
      <c r="D498" s="1026"/>
      <c r="E498" s="1026"/>
      <c r="F498" s="1026"/>
      <c r="G498" s="1026"/>
      <c r="H498" s="917"/>
      <c r="I498" s="585">
        <f>+SUM(I499:I502)</f>
        <v>0</v>
      </c>
      <c r="J498" s="30"/>
      <c r="K498" s="42"/>
      <c r="L498" s="30"/>
      <c r="M498" s="30"/>
      <c r="N498" s="30"/>
      <c r="O498" s="30"/>
      <c r="P498" s="30"/>
      <c r="Q498" s="30"/>
      <c r="R498" s="24"/>
      <c r="S498" s="24"/>
    </row>
    <row r="499" spans="2:19" s="9" customFormat="1" ht="15" customHeight="1" x14ac:dyDescent="0.2">
      <c r="B499" s="197"/>
      <c r="C499" s="1016"/>
      <c r="D499" s="1017"/>
      <c r="E499" s="1017"/>
      <c r="F499" s="1017"/>
      <c r="G499" s="1017"/>
      <c r="H499" s="1018"/>
      <c r="I499" s="149"/>
      <c r="J499" s="30"/>
      <c r="K499" s="42"/>
      <c r="L499" s="30"/>
      <c r="M499" s="30"/>
      <c r="N499" s="30"/>
      <c r="O499" s="30"/>
      <c r="P499" s="30"/>
      <c r="Q499" s="30"/>
      <c r="R499" s="24"/>
      <c r="S499" s="24"/>
    </row>
    <row r="500" spans="2:19" s="9" customFormat="1" ht="15" customHeight="1" x14ac:dyDescent="0.2">
      <c r="B500" s="197"/>
      <c r="C500" s="191"/>
      <c r="D500" s="193"/>
      <c r="E500" s="193"/>
      <c r="F500" s="193"/>
      <c r="G500" s="193"/>
      <c r="H500" s="192"/>
      <c r="I500" s="149"/>
      <c r="J500" s="30"/>
      <c r="K500" s="42"/>
      <c r="L500" s="30"/>
      <c r="M500" s="30"/>
      <c r="N500" s="30"/>
      <c r="O500" s="30"/>
      <c r="P500" s="30"/>
      <c r="Q500" s="30"/>
      <c r="R500" s="24"/>
      <c r="S500" s="24"/>
    </row>
    <row r="501" spans="2:19" s="9" customFormat="1" ht="15" customHeight="1" x14ac:dyDescent="0.2">
      <c r="B501" s="197"/>
      <c r="C501" s="1016"/>
      <c r="D501" s="1017"/>
      <c r="E501" s="1017"/>
      <c r="F501" s="1017"/>
      <c r="G501" s="1017"/>
      <c r="H501" s="1018"/>
      <c r="I501" s="149"/>
      <c r="J501" s="30"/>
      <c r="K501" s="42"/>
      <c r="L501" s="30"/>
      <c r="M501" s="30"/>
      <c r="N501" s="30"/>
      <c r="O501" s="30"/>
      <c r="P501" s="30"/>
      <c r="Q501" s="30"/>
      <c r="R501" s="24"/>
      <c r="S501" s="24"/>
    </row>
    <row r="502" spans="2:19" s="9" customFormat="1" ht="15" customHeight="1" x14ac:dyDescent="0.2">
      <c r="B502" s="197"/>
      <c r="C502" s="1016"/>
      <c r="D502" s="1017"/>
      <c r="E502" s="1017"/>
      <c r="F502" s="1017"/>
      <c r="G502" s="1017"/>
      <c r="H502" s="1018"/>
      <c r="I502" s="149"/>
      <c r="J502" s="30"/>
      <c r="K502" s="42"/>
      <c r="L502" s="30"/>
      <c r="M502" s="30"/>
      <c r="N502" s="30"/>
      <c r="O502" s="30"/>
      <c r="P502" s="30"/>
      <c r="Q502" s="30"/>
      <c r="R502" s="24"/>
      <c r="S502" s="24"/>
    </row>
    <row r="503" spans="2:19" s="9" customFormat="1" ht="15" customHeight="1" x14ac:dyDescent="0.2">
      <c r="B503" s="588" t="s">
        <v>2331</v>
      </c>
      <c r="C503" s="916"/>
      <c r="D503" s="1026"/>
      <c r="E503" s="1026"/>
      <c r="F503" s="1026"/>
      <c r="G503" s="1026"/>
      <c r="H503" s="917"/>
      <c r="I503" s="585">
        <f>+SUM(I504:I505)</f>
        <v>0</v>
      </c>
      <c r="J503" s="30"/>
      <c r="K503" s="42"/>
      <c r="L503" s="30"/>
      <c r="M503" s="30"/>
      <c r="N503" s="30"/>
      <c r="O503" s="30"/>
      <c r="P503" s="30"/>
      <c r="Q503" s="30"/>
      <c r="R503" s="24"/>
      <c r="S503" s="24"/>
    </row>
    <row r="504" spans="2:19" s="9" customFormat="1" ht="15" customHeight="1" x14ac:dyDescent="0.2">
      <c r="B504" s="197"/>
      <c r="C504" s="1016"/>
      <c r="D504" s="1017"/>
      <c r="E504" s="1017"/>
      <c r="F504" s="1017"/>
      <c r="G504" s="1017"/>
      <c r="H504" s="1018"/>
      <c r="I504" s="149"/>
      <c r="J504" s="30"/>
      <c r="K504" s="42"/>
      <c r="L504" s="30"/>
      <c r="M504" s="30"/>
      <c r="N504" s="30"/>
      <c r="O504" s="30"/>
      <c r="P504" s="30"/>
      <c r="Q504" s="30"/>
      <c r="R504" s="24"/>
      <c r="S504" s="24"/>
    </row>
    <row r="505" spans="2:19" s="9" customFormat="1" ht="15" customHeight="1" x14ac:dyDescent="0.2">
      <c r="B505" s="197"/>
      <c r="C505" s="1016"/>
      <c r="D505" s="1017"/>
      <c r="E505" s="1017"/>
      <c r="F505" s="1017"/>
      <c r="G505" s="1017"/>
      <c r="H505" s="1018"/>
      <c r="I505" s="149"/>
      <c r="J505" s="30"/>
      <c r="K505" s="42"/>
      <c r="L505" s="30"/>
      <c r="M505" s="30"/>
      <c r="N505" s="30"/>
      <c r="O505" s="30"/>
      <c r="P505" s="30"/>
      <c r="Q505" s="30"/>
      <c r="R505" s="24"/>
      <c r="S505" s="24"/>
    </row>
    <row r="506" spans="2:19" s="9" customFormat="1" ht="15" customHeight="1" x14ac:dyDescent="0.2">
      <c r="B506" s="57"/>
      <c r="C506" s="30"/>
      <c r="D506" s="30"/>
      <c r="E506" s="30"/>
      <c r="F506" s="30"/>
      <c r="G506" s="30"/>
      <c r="H506" s="30"/>
      <c r="I506" s="30"/>
      <c r="J506" s="30"/>
      <c r="K506" s="42"/>
      <c r="L506" s="30"/>
      <c r="M506" s="30"/>
      <c r="N506" s="30"/>
      <c r="O506" s="30"/>
      <c r="P506" s="30"/>
      <c r="Q506" s="30"/>
      <c r="R506" s="24"/>
      <c r="S506" s="24"/>
    </row>
    <row r="507" spans="2:19" s="9" customFormat="1" ht="15" customHeight="1" x14ac:dyDescent="0.25">
      <c r="B507" s="55" t="s">
        <v>2311</v>
      </c>
      <c r="C507" s="30"/>
      <c r="D507" s="30"/>
      <c r="E507" s="30"/>
      <c r="F507" s="30"/>
      <c r="G507" s="30"/>
      <c r="H507" s="30"/>
      <c r="I507" s="30"/>
      <c r="J507" s="30"/>
      <c r="K507" s="42"/>
      <c r="L507" s="30"/>
      <c r="M507" s="30"/>
      <c r="N507" s="30"/>
      <c r="O507" s="30"/>
      <c r="P507" s="30"/>
      <c r="Q507" s="30"/>
      <c r="R507" s="24"/>
      <c r="S507" s="24"/>
    </row>
    <row r="508" spans="2:19" s="9" customFormat="1" ht="15" customHeight="1" x14ac:dyDescent="0.2">
      <c r="B508" s="57"/>
      <c r="C508" s="30"/>
      <c r="D508" s="30"/>
      <c r="E508" s="30"/>
      <c r="F508" s="30"/>
      <c r="G508" s="30"/>
      <c r="H508" s="30"/>
      <c r="I508" s="30"/>
      <c r="J508" s="30"/>
      <c r="K508" s="42"/>
      <c r="L508" s="30"/>
      <c r="M508" s="30"/>
      <c r="N508" s="30"/>
      <c r="O508" s="30"/>
      <c r="P508" s="30"/>
      <c r="Q508" s="30"/>
      <c r="R508" s="24"/>
      <c r="S508" s="24"/>
    </row>
    <row r="509" spans="2:19" s="9" customFormat="1" ht="60" customHeight="1" x14ac:dyDescent="0.2">
      <c r="C509" s="1019" t="s">
        <v>145</v>
      </c>
      <c r="D509" s="1019"/>
      <c r="E509" s="1019"/>
      <c r="F509" s="1019"/>
      <c r="G509" s="1019" t="s">
        <v>146</v>
      </c>
      <c r="H509" s="1019"/>
      <c r="I509" s="1019"/>
      <c r="J509" s="1019" t="s">
        <v>147</v>
      </c>
      <c r="K509" s="1019"/>
      <c r="L509" s="1019"/>
      <c r="M509" s="1019"/>
      <c r="N509" s="1019" t="s">
        <v>148</v>
      </c>
      <c r="O509" s="1019"/>
      <c r="P509" s="1019"/>
      <c r="R509" s="24"/>
    </row>
    <row r="510" spans="2:19" s="9" customFormat="1" ht="102.75" customHeight="1" x14ac:dyDescent="0.2">
      <c r="B510" s="128" t="s">
        <v>149</v>
      </c>
      <c r="C510" s="1009" t="str">
        <f>+IF(B167="","",B167)</f>
        <v/>
      </c>
      <c r="D510" s="1010"/>
      <c r="E510" s="1010"/>
      <c r="F510" s="1011"/>
      <c r="G510" s="1027"/>
      <c r="H510" s="1028"/>
      <c r="I510" s="1029"/>
      <c r="J510" s="1027"/>
      <c r="K510" s="1028"/>
      <c r="L510" s="1028"/>
      <c r="M510" s="1029"/>
      <c r="N510" s="1027"/>
      <c r="O510" s="1028"/>
      <c r="P510" s="1029"/>
      <c r="Q510" s="72"/>
      <c r="R510" s="24"/>
    </row>
    <row r="511" spans="2:19" s="9" customFormat="1" ht="238.5" customHeight="1" x14ac:dyDescent="0.2">
      <c r="B511" s="128" t="s">
        <v>150</v>
      </c>
      <c r="C511" s="1009" t="str">
        <f>IF(B148="","",B148)</f>
        <v/>
      </c>
      <c r="D511" s="1010"/>
      <c r="E511" s="1010"/>
      <c r="F511" s="1011"/>
      <c r="G511" s="1027"/>
      <c r="H511" s="1028"/>
      <c r="I511" s="1029"/>
      <c r="J511" s="1027"/>
      <c r="K511" s="1028"/>
      <c r="L511" s="1028"/>
      <c r="M511" s="1029"/>
      <c r="N511" s="1027"/>
      <c r="O511" s="1028"/>
      <c r="P511" s="1029"/>
      <c r="Q511" s="72"/>
      <c r="R511" s="24"/>
    </row>
    <row r="512" spans="2:19" s="9" customFormat="1" ht="159" customHeight="1" x14ac:dyDescent="0.2">
      <c r="B512" s="1173" t="s">
        <v>2122</v>
      </c>
      <c r="C512" s="1009" t="str">
        <f>+IF(B155="","",B155)</f>
        <v/>
      </c>
      <c r="D512" s="1010"/>
      <c r="E512" s="1010"/>
      <c r="F512" s="1011"/>
      <c r="G512" s="1027"/>
      <c r="H512" s="1028"/>
      <c r="I512" s="1029"/>
      <c r="J512" s="1027"/>
      <c r="K512" s="1028"/>
      <c r="L512" s="1028"/>
      <c r="M512" s="1029"/>
      <c r="N512" s="1027"/>
      <c r="O512" s="1028"/>
      <c r="P512" s="1029"/>
      <c r="Q512" s="72"/>
      <c r="R512" s="24"/>
    </row>
    <row r="513" spans="2:18" s="9" customFormat="1" ht="136.5" customHeight="1" x14ac:dyDescent="0.2">
      <c r="B513" s="1174"/>
      <c r="C513" s="1009" t="str">
        <f>+IF(B156="","",B156)</f>
        <v/>
      </c>
      <c r="D513" s="1010"/>
      <c r="E513" s="1010"/>
      <c r="F513" s="1011"/>
      <c r="G513" s="1027"/>
      <c r="H513" s="1028"/>
      <c r="I513" s="1029"/>
      <c r="J513" s="1143"/>
      <c r="K513" s="1144"/>
      <c r="L513" s="1144"/>
      <c r="M513" s="1145"/>
      <c r="N513" s="1143"/>
      <c r="O513" s="1144"/>
      <c r="P513" s="1145"/>
      <c r="Q513" s="72"/>
      <c r="R513" s="24"/>
    </row>
    <row r="514" spans="2:18" s="9" customFormat="1" ht="144" customHeight="1" x14ac:dyDescent="0.2">
      <c r="B514" s="1175"/>
      <c r="C514" s="1009" t="str">
        <f>+IF(B157="","",B157)</f>
        <v/>
      </c>
      <c r="D514" s="1010"/>
      <c r="E514" s="1010"/>
      <c r="F514" s="1011"/>
      <c r="G514" s="1027"/>
      <c r="H514" s="1028"/>
      <c r="I514" s="1029"/>
      <c r="J514" s="1143"/>
      <c r="K514" s="1144"/>
      <c r="L514" s="1144"/>
      <c r="M514" s="1145"/>
      <c r="N514" s="1143"/>
      <c r="O514" s="1144"/>
      <c r="P514" s="1145"/>
      <c r="Q514" s="72"/>
      <c r="R514" s="24"/>
    </row>
    <row r="515" spans="2:18" s="9" customFormat="1" ht="200.25" customHeight="1" x14ac:dyDescent="0.2">
      <c r="B515" s="1159" t="s">
        <v>151</v>
      </c>
      <c r="C515" s="1161"/>
      <c r="D515" s="1162"/>
      <c r="E515" s="1162"/>
      <c r="F515" s="1163"/>
      <c r="G515" s="1167"/>
      <c r="H515" s="1168"/>
      <c r="I515" s="1169"/>
      <c r="J515" s="666"/>
      <c r="K515" s="667"/>
      <c r="L515" s="667"/>
      <c r="M515" s="668"/>
      <c r="N515" s="666"/>
      <c r="O515" s="667"/>
      <c r="P515" s="668"/>
      <c r="Q515" s="72"/>
      <c r="R515" s="24"/>
    </row>
    <row r="516" spans="2:18" s="9" customFormat="1" ht="409.5" customHeight="1" x14ac:dyDescent="0.2">
      <c r="B516" s="1160"/>
      <c r="C516" s="1164"/>
      <c r="D516" s="1165"/>
      <c r="E516" s="1165"/>
      <c r="F516" s="1166"/>
      <c r="G516" s="1170"/>
      <c r="H516" s="1171"/>
      <c r="I516" s="1172"/>
      <c r="J516" s="1027"/>
      <c r="K516" s="1028"/>
      <c r="L516" s="1028"/>
      <c r="M516" s="1029"/>
      <c r="N516" s="1027"/>
      <c r="O516" s="1028"/>
      <c r="P516" s="1029"/>
      <c r="Q516" s="72"/>
      <c r="R516" s="24"/>
    </row>
    <row r="517" spans="2:18" s="9" customFormat="1" ht="15" customHeight="1" x14ac:dyDescent="0.2">
      <c r="B517" s="57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P517" s="30"/>
      <c r="Q517" s="30"/>
      <c r="R517" s="24"/>
    </row>
    <row r="518" spans="2:18" s="9" customFormat="1" ht="15" customHeight="1" x14ac:dyDescent="0.25">
      <c r="B518" s="56" t="s">
        <v>2332</v>
      </c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P518" s="30"/>
      <c r="Q518" s="30"/>
      <c r="R518" s="24"/>
    </row>
    <row r="519" spans="2:18" s="9" customFormat="1" ht="15" customHeight="1" x14ac:dyDescent="0.2">
      <c r="B519" s="1147"/>
      <c r="C519" s="1148"/>
      <c r="D519" s="1148"/>
      <c r="E519" s="1148"/>
      <c r="F519" s="1148"/>
      <c r="G519" s="1148"/>
      <c r="H519" s="1148"/>
      <c r="I519" s="1148"/>
      <c r="J519" s="1148"/>
      <c r="K519" s="1148"/>
      <c r="L519" s="1148"/>
      <c r="M519" s="1148"/>
      <c r="N519" s="1148"/>
      <c r="O519" s="1148"/>
      <c r="P519" s="1149"/>
      <c r="Q519" s="30"/>
      <c r="R519" s="24"/>
    </row>
    <row r="520" spans="2:18" s="9" customFormat="1" ht="15" customHeight="1" x14ac:dyDescent="0.2">
      <c r="B520" s="1150"/>
      <c r="C520" s="1151"/>
      <c r="D520" s="1151"/>
      <c r="E520" s="1151"/>
      <c r="F520" s="1151"/>
      <c r="G520" s="1151"/>
      <c r="H520" s="1151"/>
      <c r="I520" s="1151"/>
      <c r="J520" s="1151"/>
      <c r="K520" s="1151"/>
      <c r="L520" s="1151"/>
      <c r="M520" s="1151"/>
      <c r="N520" s="1151"/>
      <c r="O520" s="1151"/>
      <c r="P520" s="1152"/>
      <c r="Q520" s="30"/>
      <c r="R520" s="24"/>
    </row>
    <row r="521" spans="2:18" s="9" customFormat="1" ht="15" customHeight="1" x14ac:dyDescent="0.2">
      <c r="B521" s="1150"/>
      <c r="C521" s="1151"/>
      <c r="D521" s="1151"/>
      <c r="E521" s="1151"/>
      <c r="F521" s="1151"/>
      <c r="G521" s="1151"/>
      <c r="H521" s="1151"/>
      <c r="I521" s="1151"/>
      <c r="J521" s="1151"/>
      <c r="K521" s="1151"/>
      <c r="L521" s="1151"/>
      <c r="M521" s="1151"/>
      <c r="N521" s="1151"/>
      <c r="O521" s="1151"/>
      <c r="P521" s="1152"/>
      <c r="Q521" s="30"/>
      <c r="R521" s="24"/>
    </row>
    <row r="522" spans="2:18" s="9" customFormat="1" ht="15" customHeight="1" x14ac:dyDescent="0.2">
      <c r="B522" s="1150"/>
      <c r="C522" s="1151"/>
      <c r="D522" s="1151"/>
      <c r="E522" s="1151"/>
      <c r="F522" s="1151"/>
      <c r="G522" s="1151"/>
      <c r="H522" s="1151"/>
      <c r="I522" s="1151"/>
      <c r="J522" s="1151"/>
      <c r="K522" s="1151"/>
      <c r="L522" s="1151"/>
      <c r="M522" s="1151"/>
      <c r="N522" s="1151"/>
      <c r="O522" s="1151"/>
      <c r="P522" s="1152"/>
      <c r="Q522" s="30"/>
      <c r="R522" s="24"/>
    </row>
    <row r="523" spans="2:18" s="9" customFormat="1" ht="15" customHeight="1" x14ac:dyDescent="0.2">
      <c r="B523" s="1150"/>
      <c r="C523" s="1151"/>
      <c r="D523" s="1151"/>
      <c r="E523" s="1151"/>
      <c r="F523" s="1151"/>
      <c r="G523" s="1151"/>
      <c r="H523" s="1151"/>
      <c r="I523" s="1151"/>
      <c r="J523" s="1151"/>
      <c r="K523" s="1151"/>
      <c r="L523" s="1151"/>
      <c r="M523" s="1151"/>
      <c r="N523" s="1151"/>
      <c r="O523" s="1151"/>
      <c r="P523" s="1152"/>
      <c r="Q523" s="30"/>
      <c r="R523" s="24"/>
    </row>
    <row r="524" spans="2:18" s="9" customFormat="1" ht="15" customHeight="1" x14ac:dyDescent="0.2">
      <c r="B524" s="1150"/>
      <c r="C524" s="1151"/>
      <c r="D524" s="1151"/>
      <c r="E524" s="1151"/>
      <c r="F524" s="1151"/>
      <c r="G524" s="1151"/>
      <c r="H524" s="1151"/>
      <c r="I524" s="1151"/>
      <c r="J524" s="1151"/>
      <c r="K524" s="1151"/>
      <c r="L524" s="1151"/>
      <c r="M524" s="1151"/>
      <c r="N524" s="1151"/>
      <c r="O524" s="1151"/>
      <c r="P524" s="1152"/>
      <c r="Q524" s="30"/>
      <c r="R524" s="24"/>
    </row>
    <row r="525" spans="2:18" s="9" customFormat="1" ht="15" customHeight="1" x14ac:dyDescent="0.2">
      <c r="B525" s="1153"/>
      <c r="C525" s="1154"/>
      <c r="D525" s="1154"/>
      <c r="E525" s="1154"/>
      <c r="F525" s="1154"/>
      <c r="G525" s="1154"/>
      <c r="H525" s="1154"/>
      <c r="I525" s="1154"/>
      <c r="J525" s="1154"/>
      <c r="K525" s="1154"/>
      <c r="L525" s="1154"/>
      <c r="M525" s="1154"/>
      <c r="N525" s="1154"/>
      <c r="O525" s="1154"/>
      <c r="P525" s="1155"/>
      <c r="Q525" s="30"/>
      <c r="R525" s="24"/>
    </row>
    <row r="526" spans="2:18" s="9" customFormat="1" ht="15" customHeight="1" x14ac:dyDescent="0.2">
      <c r="B526" s="57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P526" s="30"/>
      <c r="Q526" s="30"/>
      <c r="R526" s="24"/>
    </row>
    <row r="527" spans="2:18" s="9" customFormat="1" ht="15" customHeight="1" x14ac:dyDescent="0.25">
      <c r="B527" s="24"/>
      <c r="C527" s="3"/>
      <c r="D527" s="3"/>
      <c r="E527" s="3"/>
      <c r="F527" s="3"/>
      <c r="G527" s="3"/>
      <c r="H527" s="3"/>
      <c r="I527" s="3"/>
      <c r="J527" s="3"/>
      <c r="L527" s="24"/>
      <c r="M527" s="3"/>
      <c r="N527" s="3"/>
      <c r="O527" s="3"/>
      <c r="P527" s="3"/>
      <c r="Q527" s="3"/>
    </row>
    <row r="528" spans="2:18" ht="15" customHeight="1" x14ac:dyDescent="0.25">
      <c r="B528" s="508" t="s">
        <v>2333</v>
      </c>
      <c r="Q528" s="5"/>
    </row>
    <row r="529" spans="2:17" ht="15" customHeight="1" x14ac:dyDescent="0.2">
      <c r="B529" s="970"/>
      <c r="C529" s="971"/>
      <c r="D529" s="971"/>
      <c r="E529" s="971"/>
      <c r="F529" s="971"/>
      <c r="G529" s="971"/>
      <c r="H529" s="971"/>
      <c r="I529" s="971"/>
      <c r="J529" s="971"/>
      <c r="K529" s="971"/>
      <c r="L529" s="971"/>
      <c r="M529" s="971"/>
      <c r="N529" s="971"/>
      <c r="O529" s="971"/>
      <c r="P529" s="972"/>
      <c r="Q529" s="19"/>
    </row>
    <row r="530" spans="2:17" ht="15" customHeight="1" x14ac:dyDescent="0.2">
      <c r="B530" s="973"/>
      <c r="C530" s="974"/>
      <c r="D530" s="974"/>
      <c r="E530" s="974"/>
      <c r="F530" s="974"/>
      <c r="G530" s="974"/>
      <c r="H530" s="974"/>
      <c r="I530" s="974"/>
      <c r="J530" s="974"/>
      <c r="K530" s="974"/>
      <c r="L530" s="974"/>
      <c r="M530" s="974"/>
      <c r="N530" s="974"/>
      <c r="O530" s="974"/>
      <c r="P530" s="975"/>
      <c r="Q530" s="19"/>
    </row>
    <row r="531" spans="2:17" ht="15" customHeight="1" x14ac:dyDescent="0.2">
      <c r="B531" s="973"/>
      <c r="C531" s="974"/>
      <c r="D531" s="974"/>
      <c r="E531" s="974"/>
      <c r="F531" s="974"/>
      <c r="G531" s="974"/>
      <c r="H531" s="974"/>
      <c r="I531" s="974"/>
      <c r="J531" s="974"/>
      <c r="K531" s="974"/>
      <c r="L531" s="974"/>
      <c r="M531" s="974"/>
      <c r="N531" s="974"/>
      <c r="O531" s="974"/>
      <c r="P531" s="975"/>
      <c r="Q531" s="19"/>
    </row>
    <row r="532" spans="2:17" ht="15" customHeight="1" x14ac:dyDescent="0.2">
      <c r="B532" s="973"/>
      <c r="C532" s="974"/>
      <c r="D532" s="974"/>
      <c r="E532" s="974"/>
      <c r="F532" s="974"/>
      <c r="G532" s="974"/>
      <c r="H532" s="974"/>
      <c r="I532" s="974"/>
      <c r="J532" s="974"/>
      <c r="K532" s="974"/>
      <c r="L532" s="974"/>
      <c r="M532" s="974"/>
      <c r="N532" s="974"/>
      <c r="O532" s="974"/>
      <c r="P532" s="975"/>
      <c r="Q532" s="19"/>
    </row>
    <row r="533" spans="2:17" ht="15" customHeight="1" x14ac:dyDescent="0.2">
      <c r="B533" s="973"/>
      <c r="C533" s="974"/>
      <c r="D533" s="974"/>
      <c r="E533" s="974"/>
      <c r="F533" s="974"/>
      <c r="G533" s="974"/>
      <c r="H533" s="974"/>
      <c r="I533" s="974"/>
      <c r="J533" s="974"/>
      <c r="K533" s="974"/>
      <c r="L533" s="974"/>
      <c r="M533" s="974"/>
      <c r="N533" s="974"/>
      <c r="O533" s="974"/>
      <c r="P533" s="975"/>
      <c r="Q533" s="19"/>
    </row>
    <row r="534" spans="2:17" ht="15" customHeight="1" x14ac:dyDescent="0.2">
      <c r="B534" s="973"/>
      <c r="C534" s="974"/>
      <c r="D534" s="974"/>
      <c r="E534" s="974"/>
      <c r="F534" s="974"/>
      <c r="G534" s="974"/>
      <c r="H534" s="974"/>
      <c r="I534" s="974"/>
      <c r="J534" s="974"/>
      <c r="K534" s="974"/>
      <c r="L534" s="974"/>
      <c r="M534" s="974"/>
      <c r="N534" s="974"/>
      <c r="O534" s="974"/>
      <c r="P534" s="975"/>
      <c r="Q534" s="19"/>
    </row>
    <row r="535" spans="2:17" ht="15" customHeight="1" x14ac:dyDescent="0.2">
      <c r="B535" s="973"/>
      <c r="C535" s="974"/>
      <c r="D535" s="974"/>
      <c r="E535" s="974"/>
      <c r="F535" s="974"/>
      <c r="G535" s="974"/>
      <c r="H535" s="974"/>
      <c r="I535" s="974"/>
      <c r="J535" s="974"/>
      <c r="K535" s="974"/>
      <c r="L535" s="974"/>
      <c r="M535" s="974"/>
      <c r="N535" s="974"/>
      <c r="O535" s="974"/>
      <c r="P535" s="975"/>
      <c r="Q535" s="19"/>
    </row>
    <row r="536" spans="2:17" ht="15" customHeight="1" x14ac:dyDescent="0.2">
      <c r="B536" s="973"/>
      <c r="C536" s="974"/>
      <c r="D536" s="974"/>
      <c r="E536" s="974"/>
      <c r="F536" s="974"/>
      <c r="G536" s="974"/>
      <c r="H536" s="974"/>
      <c r="I536" s="974"/>
      <c r="J536" s="974"/>
      <c r="K536" s="974"/>
      <c r="L536" s="974"/>
      <c r="M536" s="974"/>
      <c r="N536" s="974"/>
      <c r="O536" s="974"/>
      <c r="P536" s="975"/>
      <c r="Q536" s="19"/>
    </row>
    <row r="537" spans="2:17" s="581" customFormat="1" ht="15" customHeight="1" x14ac:dyDescent="0.2">
      <c r="B537" s="973"/>
      <c r="C537" s="974"/>
      <c r="D537" s="974"/>
      <c r="E537" s="974"/>
      <c r="F537" s="974"/>
      <c r="G537" s="974"/>
      <c r="H537" s="974"/>
      <c r="I537" s="974"/>
      <c r="J537" s="974"/>
      <c r="K537" s="974"/>
      <c r="L537" s="974"/>
      <c r="M537" s="974"/>
      <c r="N537" s="974"/>
      <c r="O537" s="974"/>
      <c r="P537" s="975"/>
      <c r="Q537" s="19"/>
    </row>
    <row r="538" spans="2:17" s="581" customFormat="1" ht="15" customHeight="1" x14ac:dyDescent="0.2">
      <c r="B538" s="973"/>
      <c r="C538" s="974"/>
      <c r="D538" s="974"/>
      <c r="E538" s="974"/>
      <c r="F538" s="974"/>
      <c r="G538" s="974"/>
      <c r="H538" s="974"/>
      <c r="I538" s="974"/>
      <c r="J538" s="974"/>
      <c r="K538" s="974"/>
      <c r="L538" s="974"/>
      <c r="M538" s="974"/>
      <c r="N538" s="974"/>
      <c r="O538" s="974"/>
      <c r="P538" s="975"/>
      <c r="Q538" s="19"/>
    </row>
    <row r="539" spans="2:17" s="581" customFormat="1" ht="15" customHeight="1" x14ac:dyDescent="0.2">
      <c r="B539" s="973"/>
      <c r="C539" s="974"/>
      <c r="D539" s="974"/>
      <c r="E539" s="974"/>
      <c r="F539" s="974"/>
      <c r="G539" s="974"/>
      <c r="H539" s="974"/>
      <c r="I539" s="974"/>
      <c r="J539" s="974"/>
      <c r="K539" s="974"/>
      <c r="L539" s="974"/>
      <c r="M539" s="974"/>
      <c r="N539" s="974"/>
      <c r="O539" s="974"/>
      <c r="P539" s="975"/>
      <c r="Q539" s="19"/>
    </row>
    <row r="540" spans="2:17" s="581" customFormat="1" ht="15" customHeight="1" x14ac:dyDescent="0.2">
      <c r="B540" s="973"/>
      <c r="C540" s="974"/>
      <c r="D540" s="974"/>
      <c r="E540" s="974"/>
      <c r="F540" s="974"/>
      <c r="G540" s="974"/>
      <c r="H540" s="974"/>
      <c r="I540" s="974"/>
      <c r="J540" s="974"/>
      <c r="K540" s="974"/>
      <c r="L540" s="974"/>
      <c r="M540" s="974"/>
      <c r="N540" s="974"/>
      <c r="O540" s="974"/>
      <c r="P540" s="975"/>
      <c r="Q540" s="19"/>
    </row>
    <row r="541" spans="2:17" s="581" customFormat="1" ht="15" customHeight="1" x14ac:dyDescent="0.2">
      <c r="B541" s="973"/>
      <c r="C541" s="974"/>
      <c r="D541" s="974"/>
      <c r="E541" s="974"/>
      <c r="F541" s="974"/>
      <c r="G541" s="974"/>
      <c r="H541" s="974"/>
      <c r="I541" s="974"/>
      <c r="J541" s="974"/>
      <c r="K541" s="974"/>
      <c r="L541" s="974"/>
      <c r="M541" s="974"/>
      <c r="N541" s="974"/>
      <c r="O541" s="974"/>
      <c r="P541" s="975"/>
      <c r="Q541" s="19"/>
    </row>
    <row r="542" spans="2:17" ht="15" customHeight="1" x14ac:dyDescent="0.2">
      <c r="B542" s="973"/>
      <c r="C542" s="974"/>
      <c r="D542" s="974"/>
      <c r="E542" s="974"/>
      <c r="F542" s="974"/>
      <c r="G542" s="974"/>
      <c r="H542" s="974"/>
      <c r="I542" s="974"/>
      <c r="J542" s="974"/>
      <c r="K542" s="974"/>
      <c r="L542" s="974"/>
      <c r="M542" s="974"/>
      <c r="N542" s="974"/>
      <c r="O542" s="974"/>
      <c r="P542" s="975"/>
      <c r="Q542" s="19"/>
    </row>
    <row r="543" spans="2:17" s="581" customFormat="1" ht="15" customHeight="1" x14ac:dyDescent="0.2">
      <c r="B543" s="973"/>
      <c r="C543" s="974"/>
      <c r="D543" s="974"/>
      <c r="E543" s="974"/>
      <c r="F543" s="974"/>
      <c r="G543" s="974"/>
      <c r="H543" s="974"/>
      <c r="I543" s="974"/>
      <c r="J543" s="974"/>
      <c r="K543" s="974"/>
      <c r="L543" s="974"/>
      <c r="M543" s="974"/>
      <c r="N543" s="974"/>
      <c r="O543" s="974"/>
      <c r="P543" s="975"/>
      <c r="Q543" s="19"/>
    </row>
    <row r="544" spans="2:17" s="581" customFormat="1" ht="15" customHeight="1" x14ac:dyDescent="0.2">
      <c r="B544" s="973"/>
      <c r="C544" s="974"/>
      <c r="D544" s="974"/>
      <c r="E544" s="974"/>
      <c r="F544" s="974"/>
      <c r="G544" s="974"/>
      <c r="H544" s="974"/>
      <c r="I544" s="974"/>
      <c r="J544" s="974"/>
      <c r="K544" s="974"/>
      <c r="L544" s="974"/>
      <c r="M544" s="974"/>
      <c r="N544" s="974"/>
      <c r="O544" s="974"/>
      <c r="P544" s="975"/>
      <c r="Q544" s="19"/>
    </row>
    <row r="545" spans="2:17" s="581" customFormat="1" ht="15" customHeight="1" x14ac:dyDescent="0.2">
      <c r="B545" s="973"/>
      <c r="C545" s="974"/>
      <c r="D545" s="974"/>
      <c r="E545" s="974"/>
      <c r="F545" s="974"/>
      <c r="G545" s="974"/>
      <c r="H545" s="974"/>
      <c r="I545" s="974"/>
      <c r="J545" s="974"/>
      <c r="K545" s="974"/>
      <c r="L545" s="974"/>
      <c r="M545" s="974"/>
      <c r="N545" s="974"/>
      <c r="O545" s="974"/>
      <c r="P545" s="975"/>
      <c r="Q545" s="19"/>
    </row>
    <row r="546" spans="2:17" s="581" customFormat="1" ht="15" customHeight="1" x14ac:dyDescent="0.2">
      <c r="B546" s="973"/>
      <c r="C546" s="974"/>
      <c r="D546" s="974"/>
      <c r="E546" s="974"/>
      <c r="F546" s="974"/>
      <c r="G546" s="974"/>
      <c r="H546" s="974"/>
      <c r="I546" s="974"/>
      <c r="J546" s="974"/>
      <c r="K546" s="974"/>
      <c r="L546" s="974"/>
      <c r="M546" s="974"/>
      <c r="N546" s="974"/>
      <c r="O546" s="974"/>
      <c r="P546" s="975"/>
      <c r="Q546" s="19"/>
    </row>
    <row r="547" spans="2:17" s="581" customFormat="1" ht="15" customHeight="1" x14ac:dyDescent="0.2">
      <c r="B547" s="973"/>
      <c r="C547" s="974"/>
      <c r="D547" s="974"/>
      <c r="E547" s="974"/>
      <c r="F547" s="974"/>
      <c r="G547" s="974"/>
      <c r="H547" s="974"/>
      <c r="I547" s="974"/>
      <c r="J547" s="974"/>
      <c r="K547" s="974"/>
      <c r="L547" s="974"/>
      <c r="M547" s="974"/>
      <c r="N547" s="974"/>
      <c r="O547" s="974"/>
      <c r="P547" s="975"/>
      <c r="Q547" s="19"/>
    </row>
    <row r="548" spans="2:17" ht="15" customHeight="1" x14ac:dyDescent="0.2">
      <c r="B548" s="973"/>
      <c r="C548" s="974"/>
      <c r="D548" s="974"/>
      <c r="E548" s="974"/>
      <c r="F548" s="974"/>
      <c r="G548" s="974"/>
      <c r="H548" s="974"/>
      <c r="I548" s="974"/>
      <c r="J548" s="974"/>
      <c r="K548" s="974"/>
      <c r="L548" s="974"/>
      <c r="M548" s="974"/>
      <c r="N548" s="974"/>
      <c r="O548" s="974"/>
      <c r="P548" s="975"/>
      <c r="Q548" s="19"/>
    </row>
    <row r="549" spans="2:17" ht="15" customHeight="1" x14ac:dyDescent="0.2">
      <c r="B549" s="973"/>
      <c r="C549" s="974"/>
      <c r="D549" s="974"/>
      <c r="E549" s="974"/>
      <c r="F549" s="974"/>
      <c r="G549" s="974"/>
      <c r="H549" s="974"/>
      <c r="I549" s="974"/>
      <c r="J549" s="974"/>
      <c r="K549" s="974"/>
      <c r="L549" s="974"/>
      <c r="M549" s="974"/>
      <c r="N549" s="974"/>
      <c r="O549" s="974"/>
      <c r="P549" s="975"/>
      <c r="Q549" s="19"/>
    </row>
    <row r="550" spans="2:17" ht="15" customHeight="1" x14ac:dyDescent="0.2">
      <c r="B550" s="973"/>
      <c r="C550" s="974"/>
      <c r="D550" s="974"/>
      <c r="E550" s="974"/>
      <c r="F550" s="974"/>
      <c r="G550" s="974"/>
      <c r="H550" s="974"/>
      <c r="I550" s="974"/>
      <c r="J550" s="974"/>
      <c r="K550" s="974"/>
      <c r="L550" s="974"/>
      <c r="M550" s="974"/>
      <c r="N550" s="974"/>
      <c r="O550" s="974"/>
      <c r="P550" s="975"/>
      <c r="Q550" s="19"/>
    </row>
    <row r="551" spans="2:17" ht="15" customHeight="1" x14ac:dyDescent="0.2">
      <c r="B551" s="973"/>
      <c r="C551" s="974"/>
      <c r="D551" s="974"/>
      <c r="E551" s="974"/>
      <c r="F551" s="974"/>
      <c r="G551" s="974"/>
      <c r="H551" s="974"/>
      <c r="I551" s="974"/>
      <c r="J551" s="974"/>
      <c r="K551" s="974"/>
      <c r="L551" s="974"/>
      <c r="M551" s="974"/>
      <c r="N551" s="974"/>
      <c r="O551" s="974"/>
      <c r="P551" s="975"/>
      <c r="Q551" s="19"/>
    </row>
    <row r="552" spans="2:17" ht="15" customHeight="1" x14ac:dyDescent="0.2">
      <c r="B552" s="973"/>
      <c r="C552" s="974"/>
      <c r="D552" s="974"/>
      <c r="E552" s="974"/>
      <c r="F552" s="974"/>
      <c r="G552" s="974"/>
      <c r="H552" s="974"/>
      <c r="I552" s="974"/>
      <c r="J552" s="974"/>
      <c r="K552" s="974"/>
      <c r="L552" s="974"/>
      <c r="M552" s="974"/>
      <c r="N552" s="974"/>
      <c r="O552" s="974"/>
      <c r="P552" s="975"/>
      <c r="Q552" s="19"/>
    </row>
    <row r="553" spans="2:17" ht="15" customHeight="1" x14ac:dyDescent="0.2">
      <c r="B553" s="973"/>
      <c r="C553" s="974"/>
      <c r="D553" s="974"/>
      <c r="E553" s="974"/>
      <c r="F553" s="974"/>
      <c r="G553" s="974"/>
      <c r="H553" s="974"/>
      <c r="I553" s="974"/>
      <c r="J553" s="974"/>
      <c r="K553" s="974"/>
      <c r="L553" s="974"/>
      <c r="M553" s="974"/>
      <c r="N553" s="974"/>
      <c r="O553" s="974"/>
      <c r="P553" s="975"/>
      <c r="Q553" s="19"/>
    </row>
    <row r="554" spans="2:17" ht="15" customHeight="1" x14ac:dyDescent="0.2">
      <c r="B554" s="973"/>
      <c r="C554" s="974"/>
      <c r="D554" s="974"/>
      <c r="E554" s="974"/>
      <c r="F554" s="974"/>
      <c r="G554" s="974"/>
      <c r="H554" s="974"/>
      <c r="I554" s="974"/>
      <c r="J554" s="974"/>
      <c r="K554" s="974"/>
      <c r="L554" s="974"/>
      <c r="M554" s="974"/>
      <c r="N554" s="974"/>
      <c r="O554" s="974"/>
      <c r="P554" s="975"/>
      <c r="Q554" s="19"/>
    </row>
    <row r="555" spans="2:17" ht="15" customHeight="1" x14ac:dyDescent="0.2">
      <c r="B555" s="976"/>
      <c r="C555" s="977"/>
      <c r="D555" s="977"/>
      <c r="E555" s="977"/>
      <c r="F555" s="977"/>
      <c r="G555" s="977"/>
      <c r="H555" s="977"/>
      <c r="I555" s="977"/>
      <c r="J555" s="977"/>
      <c r="K555" s="977"/>
      <c r="L555" s="977"/>
      <c r="M555" s="977"/>
      <c r="N555" s="977"/>
      <c r="O555" s="977"/>
      <c r="P555" s="978"/>
      <c r="Q555" s="19"/>
    </row>
    <row r="556" spans="2:17" ht="15" customHeight="1" x14ac:dyDescent="0.25">
      <c r="B556" s="508" t="s">
        <v>2450</v>
      </c>
      <c r="Q556" s="5"/>
    </row>
    <row r="557" spans="2:17" ht="15" customHeight="1" x14ac:dyDescent="0.2">
      <c r="B557" s="968"/>
      <c r="C557" s="968"/>
      <c r="D557" s="968"/>
      <c r="E557" s="968"/>
      <c r="F557" s="968"/>
      <c r="G557" s="968"/>
      <c r="H557" s="968"/>
      <c r="I557" s="968"/>
      <c r="J557" s="968"/>
      <c r="K557" s="968"/>
      <c r="L557" s="968"/>
      <c r="M557" s="968"/>
      <c r="N557" s="968"/>
      <c r="O557" s="968"/>
      <c r="P557" s="968"/>
      <c r="Q557" s="19"/>
    </row>
    <row r="558" spans="2:17" ht="15" customHeight="1" x14ac:dyDescent="0.2">
      <c r="B558" s="968"/>
      <c r="C558" s="968"/>
      <c r="D558" s="968"/>
      <c r="E558" s="968"/>
      <c r="F558" s="968"/>
      <c r="G558" s="968"/>
      <c r="H558" s="968"/>
      <c r="I558" s="968"/>
      <c r="J558" s="968"/>
      <c r="K558" s="968"/>
      <c r="L558" s="968"/>
      <c r="M558" s="968"/>
      <c r="N558" s="968"/>
      <c r="O558" s="968"/>
      <c r="P558" s="968"/>
      <c r="Q558" s="19"/>
    </row>
    <row r="559" spans="2:17" ht="15" customHeight="1" x14ac:dyDescent="0.2">
      <c r="B559" s="968"/>
      <c r="C559" s="968"/>
      <c r="D559" s="968"/>
      <c r="E559" s="968"/>
      <c r="F559" s="968"/>
      <c r="G559" s="968"/>
      <c r="H559" s="968"/>
      <c r="I559" s="968"/>
      <c r="J559" s="968"/>
      <c r="K559" s="968"/>
      <c r="L559" s="968"/>
      <c r="M559" s="968"/>
      <c r="N559" s="968"/>
      <c r="O559" s="968"/>
      <c r="P559" s="968"/>
      <c r="Q559" s="19"/>
    </row>
    <row r="560" spans="2:17" ht="15" customHeight="1" x14ac:dyDescent="0.2">
      <c r="B560" s="968"/>
      <c r="C560" s="968"/>
      <c r="D560" s="968"/>
      <c r="E560" s="968"/>
      <c r="F560" s="968"/>
      <c r="G560" s="968"/>
      <c r="H560" s="968"/>
      <c r="I560" s="968"/>
      <c r="J560" s="968"/>
      <c r="K560" s="968"/>
      <c r="L560" s="968"/>
      <c r="M560" s="968"/>
      <c r="N560" s="968"/>
      <c r="O560" s="968"/>
      <c r="P560" s="968"/>
      <c r="Q560" s="19"/>
    </row>
    <row r="561" spans="2:17" ht="15" customHeight="1" x14ac:dyDescent="0.2">
      <c r="B561" s="968"/>
      <c r="C561" s="968"/>
      <c r="D561" s="968"/>
      <c r="E561" s="968"/>
      <c r="F561" s="968"/>
      <c r="G561" s="968"/>
      <c r="H561" s="968"/>
      <c r="I561" s="968"/>
      <c r="J561" s="968"/>
      <c r="K561" s="968"/>
      <c r="L561" s="968"/>
      <c r="M561" s="968"/>
      <c r="N561" s="968"/>
      <c r="O561" s="968"/>
      <c r="P561" s="968"/>
      <c r="Q561" s="19"/>
    </row>
    <row r="562" spans="2:17" ht="15" customHeight="1" x14ac:dyDescent="0.2">
      <c r="B562" s="968"/>
      <c r="C562" s="968"/>
      <c r="D562" s="968"/>
      <c r="E562" s="968"/>
      <c r="F562" s="968"/>
      <c r="G562" s="968"/>
      <c r="H562" s="968"/>
      <c r="I562" s="968"/>
      <c r="J562" s="968"/>
      <c r="K562" s="968"/>
      <c r="L562" s="968"/>
      <c r="M562" s="968"/>
      <c r="N562" s="968"/>
      <c r="O562" s="968"/>
      <c r="P562" s="968"/>
      <c r="Q562" s="19"/>
    </row>
    <row r="563" spans="2:17" s="581" customFormat="1" ht="15" customHeight="1" x14ac:dyDescent="0.2">
      <c r="B563" s="968"/>
      <c r="C563" s="968"/>
      <c r="D563" s="968"/>
      <c r="E563" s="968"/>
      <c r="F563" s="968"/>
      <c r="G563" s="968"/>
      <c r="H563" s="968"/>
      <c r="I563" s="968"/>
      <c r="J563" s="968"/>
      <c r="K563" s="968"/>
      <c r="L563" s="968"/>
      <c r="M563" s="968"/>
      <c r="N563" s="968"/>
      <c r="O563" s="968"/>
      <c r="P563" s="968"/>
      <c r="Q563" s="19"/>
    </row>
    <row r="564" spans="2:17" s="581" customFormat="1" ht="15" customHeight="1" x14ac:dyDescent="0.2">
      <c r="B564" s="968"/>
      <c r="C564" s="968"/>
      <c r="D564" s="968"/>
      <c r="E564" s="968"/>
      <c r="F564" s="968"/>
      <c r="G564" s="968"/>
      <c r="H564" s="968"/>
      <c r="I564" s="968"/>
      <c r="J564" s="968"/>
      <c r="K564" s="968"/>
      <c r="L564" s="968"/>
      <c r="M564" s="968"/>
      <c r="N564" s="968"/>
      <c r="O564" s="968"/>
      <c r="P564" s="968"/>
      <c r="Q564" s="19"/>
    </row>
    <row r="565" spans="2:17" s="581" customFormat="1" ht="15" customHeight="1" x14ac:dyDescent="0.2">
      <c r="B565" s="968"/>
      <c r="C565" s="968"/>
      <c r="D565" s="968"/>
      <c r="E565" s="968"/>
      <c r="F565" s="968"/>
      <c r="G565" s="968"/>
      <c r="H565" s="968"/>
      <c r="I565" s="968"/>
      <c r="J565" s="968"/>
      <c r="K565" s="968"/>
      <c r="L565" s="968"/>
      <c r="M565" s="968"/>
      <c r="N565" s="968"/>
      <c r="O565" s="968"/>
      <c r="P565" s="968"/>
      <c r="Q565" s="19"/>
    </row>
    <row r="566" spans="2:17" s="581" customFormat="1" ht="15" customHeight="1" x14ac:dyDescent="0.2">
      <c r="B566" s="968"/>
      <c r="C566" s="968"/>
      <c r="D566" s="968"/>
      <c r="E566" s="968"/>
      <c r="F566" s="968"/>
      <c r="G566" s="968"/>
      <c r="H566" s="968"/>
      <c r="I566" s="968"/>
      <c r="J566" s="968"/>
      <c r="K566" s="968"/>
      <c r="L566" s="968"/>
      <c r="M566" s="968"/>
      <c r="N566" s="968"/>
      <c r="O566" s="968"/>
      <c r="P566" s="968"/>
      <c r="Q566" s="19"/>
    </row>
    <row r="567" spans="2:17" s="581" customFormat="1" ht="15" customHeight="1" x14ac:dyDescent="0.2">
      <c r="B567" s="968"/>
      <c r="C567" s="968"/>
      <c r="D567" s="968"/>
      <c r="E567" s="968"/>
      <c r="F567" s="968"/>
      <c r="G567" s="968"/>
      <c r="H567" s="968"/>
      <c r="I567" s="968"/>
      <c r="J567" s="968"/>
      <c r="K567" s="968"/>
      <c r="L567" s="968"/>
      <c r="M567" s="968"/>
      <c r="N567" s="968"/>
      <c r="O567" s="968"/>
      <c r="P567" s="968"/>
      <c r="Q567" s="19"/>
    </row>
    <row r="568" spans="2:17" s="581" customFormat="1" ht="15" customHeight="1" x14ac:dyDescent="0.2">
      <c r="B568" s="968"/>
      <c r="C568" s="968"/>
      <c r="D568" s="968"/>
      <c r="E568" s="968"/>
      <c r="F568" s="968"/>
      <c r="G568" s="968"/>
      <c r="H568" s="968"/>
      <c r="I568" s="968"/>
      <c r="J568" s="968"/>
      <c r="K568" s="968"/>
      <c r="L568" s="968"/>
      <c r="M568" s="968"/>
      <c r="N568" s="968"/>
      <c r="O568" s="968"/>
      <c r="P568" s="968"/>
      <c r="Q568" s="19"/>
    </row>
    <row r="569" spans="2:17" s="581" customFormat="1" ht="15" customHeight="1" x14ac:dyDescent="0.2">
      <c r="B569" s="968"/>
      <c r="C569" s="968"/>
      <c r="D569" s="968"/>
      <c r="E569" s="968"/>
      <c r="F569" s="968"/>
      <c r="G569" s="968"/>
      <c r="H569" s="968"/>
      <c r="I569" s="968"/>
      <c r="J569" s="968"/>
      <c r="K569" s="968"/>
      <c r="L569" s="968"/>
      <c r="M569" s="968"/>
      <c r="N569" s="968"/>
      <c r="O569" s="968"/>
      <c r="P569" s="968"/>
      <c r="Q569" s="19"/>
    </row>
    <row r="570" spans="2:17" s="581" customFormat="1" ht="15" customHeight="1" x14ac:dyDescent="0.2">
      <c r="B570" s="968"/>
      <c r="C570" s="968"/>
      <c r="D570" s="968"/>
      <c r="E570" s="968"/>
      <c r="F570" s="968"/>
      <c r="G570" s="968"/>
      <c r="H570" s="968"/>
      <c r="I570" s="968"/>
      <c r="J570" s="968"/>
      <c r="K570" s="968"/>
      <c r="L570" s="968"/>
      <c r="M570" s="968"/>
      <c r="N570" s="968"/>
      <c r="O570" s="968"/>
      <c r="P570" s="968"/>
      <c r="Q570" s="19"/>
    </row>
    <row r="571" spans="2:17" ht="15" customHeight="1" x14ac:dyDescent="0.2">
      <c r="B571" s="968"/>
      <c r="C571" s="968"/>
      <c r="D571" s="968"/>
      <c r="E571" s="968"/>
      <c r="F571" s="968"/>
      <c r="G571" s="968"/>
      <c r="H571" s="968"/>
      <c r="I571" s="968"/>
      <c r="J571" s="968"/>
      <c r="K571" s="968"/>
      <c r="L571" s="968"/>
      <c r="M571" s="968"/>
      <c r="N571" s="968"/>
      <c r="O571" s="968"/>
      <c r="P571" s="968"/>
      <c r="Q571" s="19"/>
    </row>
    <row r="572" spans="2:17" ht="15" customHeight="1" x14ac:dyDescent="0.2">
      <c r="B572" s="968"/>
      <c r="C572" s="968"/>
      <c r="D572" s="968"/>
      <c r="E572" s="968"/>
      <c r="F572" s="968"/>
      <c r="G572" s="968"/>
      <c r="H572" s="968"/>
      <c r="I572" s="968"/>
      <c r="J572" s="968"/>
      <c r="K572" s="968"/>
      <c r="L572" s="968"/>
      <c r="M572" s="968"/>
      <c r="N572" s="968"/>
      <c r="O572" s="968"/>
      <c r="P572" s="968"/>
      <c r="Q572" s="19"/>
    </row>
    <row r="573" spans="2:17" ht="15" customHeight="1" x14ac:dyDescent="0.2">
      <c r="B573" s="968"/>
      <c r="C573" s="968"/>
      <c r="D573" s="968"/>
      <c r="E573" s="968"/>
      <c r="F573" s="968"/>
      <c r="G573" s="968"/>
      <c r="H573" s="968"/>
      <c r="I573" s="968"/>
      <c r="J573" s="968"/>
      <c r="K573" s="968"/>
      <c r="L573" s="968"/>
      <c r="M573" s="968"/>
      <c r="N573" s="968"/>
      <c r="O573" s="968"/>
      <c r="P573" s="968"/>
      <c r="Q573" s="19"/>
    </row>
    <row r="574" spans="2:17" ht="15" customHeight="1" x14ac:dyDescent="0.2">
      <c r="B574" s="968"/>
      <c r="C574" s="968"/>
      <c r="D574" s="968"/>
      <c r="E574" s="968"/>
      <c r="F574" s="968"/>
      <c r="G574" s="968"/>
      <c r="H574" s="968"/>
      <c r="I574" s="968"/>
      <c r="J574" s="968"/>
      <c r="K574" s="968"/>
      <c r="L574" s="968"/>
      <c r="M574" s="968"/>
      <c r="N574" s="968"/>
      <c r="O574" s="968"/>
      <c r="P574" s="968"/>
      <c r="Q574" s="19"/>
    </row>
    <row r="575" spans="2:17" ht="15" customHeight="1" x14ac:dyDescent="0.2">
      <c r="B575" s="968"/>
      <c r="C575" s="968"/>
      <c r="D575" s="968"/>
      <c r="E575" s="968"/>
      <c r="F575" s="968"/>
      <c r="G575" s="968"/>
      <c r="H575" s="968"/>
      <c r="I575" s="968"/>
      <c r="J575" s="968"/>
      <c r="K575" s="968"/>
      <c r="L575" s="968"/>
      <c r="M575" s="968"/>
      <c r="N575" s="968"/>
      <c r="O575" s="968"/>
      <c r="P575" s="968"/>
      <c r="Q575" s="19"/>
    </row>
    <row r="576" spans="2:17" ht="15" customHeight="1" x14ac:dyDescent="0.2">
      <c r="B576" s="968"/>
      <c r="C576" s="968"/>
      <c r="D576" s="968"/>
      <c r="E576" s="968"/>
      <c r="F576" s="968"/>
      <c r="G576" s="968"/>
      <c r="H576" s="968"/>
      <c r="I576" s="968"/>
      <c r="J576" s="968"/>
      <c r="K576" s="968"/>
      <c r="L576" s="968"/>
      <c r="M576" s="968"/>
      <c r="N576" s="968"/>
      <c r="O576" s="968"/>
      <c r="P576" s="968"/>
      <c r="Q576" s="19"/>
    </row>
    <row r="577" spans="2:19" ht="15" customHeight="1" x14ac:dyDescent="0.2">
      <c r="B577" s="968"/>
      <c r="C577" s="968"/>
      <c r="D577" s="968"/>
      <c r="E577" s="968"/>
      <c r="F577" s="968"/>
      <c r="G577" s="968"/>
      <c r="H577" s="968"/>
      <c r="I577" s="968"/>
      <c r="J577" s="968"/>
      <c r="K577" s="968"/>
      <c r="L577" s="968"/>
      <c r="M577" s="968"/>
      <c r="N577" s="968"/>
      <c r="O577" s="968"/>
      <c r="P577" s="968"/>
      <c r="Q577" s="19"/>
    </row>
    <row r="578" spans="2:19" ht="15" customHeight="1" x14ac:dyDescent="0.2">
      <c r="B578" s="968"/>
      <c r="C578" s="968"/>
      <c r="D578" s="968"/>
      <c r="E578" s="968"/>
      <c r="F578" s="968"/>
      <c r="G578" s="968"/>
      <c r="H578" s="968"/>
      <c r="I578" s="968"/>
      <c r="J578" s="968"/>
      <c r="K578" s="968"/>
      <c r="L578" s="968"/>
      <c r="M578" s="968"/>
      <c r="N578" s="968"/>
      <c r="O578" s="968"/>
      <c r="P578" s="968"/>
      <c r="Q578" s="19"/>
    </row>
    <row r="579" spans="2:19" ht="15" customHeight="1" x14ac:dyDescent="0.2">
      <c r="B579" s="968"/>
      <c r="C579" s="968"/>
      <c r="D579" s="968"/>
      <c r="E579" s="968"/>
      <c r="F579" s="968"/>
      <c r="G579" s="968"/>
      <c r="H579" s="968"/>
      <c r="I579" s="968"/>
      <c r="J579" s="968"/>
      <c r="K579" s="968"/>
      <c r="L579" s="968"/>
      <c r="M579" s="968"/>
      <c r="N579" s="968"/>
      <c r="O579" s="968"/>
      <c r="P579" s="968"/>
      <c r="Q579" s="19"/>
    </row>
    <row r="580" spans="2:19" ht="15" customHeight="1" x14ac:dyDescent="0.2">
      <c r="B580" s="968"/>
      <c r="C580" s="968"/>
      <c r="D580" s="968"/>
      <c r="E580" s="968"/>
      <c r="F580" s="968"/>
      <c r="G580" s="968"/>
      <c r="H580" s="968"/>
      <c r="I580" s="968"/>
      <c r="J580" s="968"/>
      <c r="K580" s="968"/>
      <c r="L580" s="968"/>
      <c r="M580" s="968"/>
      <c r="N580" s="968"/>
      <c r="O580" s="968"/>
      <c r="P580" s="968"/>
      <c r="Q580" s="19"/>
    </row>
    <row r="581" spans="2:19" ht="15" customHeight="1" x14ac:dyDescent="0.2">
      <c r="B581" s="968"/>
      <c r="C581" s="968"/>
      <c r="D581" s="968"/>
      <c r="E581" s="968"/>
      <c r="F581" s="968"/>
      <c r="G581" s="968"/>
      <c r="H581" s="968"/>
      <c r="I581" s="968"/>
      <c r="J581" s="968"/>
      <c r="K581" s="968"/>
      <c r="L581" s="968"/>
      <c r="M581" s="968"/>
      <c r="N581" s="968"/>
      <c r="O581" s="968"/>
      <c r="P581" s="968"/>
      <c r="Q581" s="19"/>
    </row>
    <row r="582" spans="2:19" s="9" customFormat="1" ht="15" customHeight="1" x14ac:dyDescent="0.2">
      <c r="B582" s="969" t="s">
        <v>2334</v>
      </c>
      <c r="C582" s="969"/>
      <c r="D582" s="969"/>
      <c r="E582" s="969"/>
      <c r="F582" s="969"/>
      <c r="G582" s="969"/>
      <c r="H582" s="969"/>
      <c r="I582" s="969"/>
      <c r="J582" s="969"/>
      <c r="K582" s="969"/>
      <c r="L582" s="969"/>
      <c r="M582" s="969"/>
      <c r="N582" s="969"/>
      <c r="O582" s="969"/>
      <c r="P582" s="969"/>
      <c r="Q582" s="73"/>
      <c r="R582" s="24"/>
      <c r="S582" s="24"/>
    </row>
    <row r="583" spans="2:19" s="9" customFormat="1" ht="15" customHeight="1" x14ac:dyDescent="0.2"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5"/>
    </row>
    <row r="584" spans="2:19" s="9" customFormat="1" ht="15" customHeight="1" x14ac:dyDescent="0.2">
      <c r="B584" s="137" t="s">
        <v>2497</v>
      </c>
      <c r="C584" s="137"/>
      <c r="D584" s="137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6"/>
      <c r="Q584" s="15"/>
    </row>
    <row r="585" spans="2:19" s="9" customFormat="1" ht="15" customHeight="1" x14ac:dyDescent="0.2">
      <c r="B585" s="1140" t="s">
        <v>2346</v>
      </c>
      <c r="C585" s="1141"/>
      <c r="D585" s="1141"/>
      <c r="E585" s="1141"/>
      <c r="F585" s="1141"/>
      <c r="G585" s="15"/>
      <c r="H585" s="15"/>
      <c r="I585" s="15"/>
      <c r="J585" s="15"/>
      <c r="K585" s="15"/>
      <c r="L585" s="15"/>
      <c r="M585" s="15"/>
      <c r="N585" s="15"/>
      <c r="O585" s="15"/>
      <c r="P585" s="16"/>
      <c r="Q585" s="15"/>
    </row>
    <row r="586" spans="2:19" s="9" customFormat="1" ht="15" customHeight="1" x14ac:dyDescent="0.2">
      <c r="B586" s="1140" t="s">
        <v>2347</v>
      </c>
      <c r="C586" s="1141"/>
      <c r="D586" s="1141"/>
      <c r="E586" s="1141"/>
      <c r="F586" s="1141"/>
      <c r="G586" s="15"/>
      <c r="H586" s="15"/>
      <c r="I586" s="15"/>
      <c r="J586" s="15"/>
      <c r="K586" s="15"/>
      <c r="L586" s="15"/>
      <c r="M586" s="15"/>
      <c r="N586" s="15"/>
      <c r="O586" s="15"/>
      <c r="P586" s="16"/>
      <c r="Q586" s="15"/>
    </row>
    <row r="587" spans="2:19" s="9" customFormat="1" ht="8.25" customHeight="1" x14ac:dyDescent="0.2">
      <c r="B587" s="580"/>
      <c r="C587" s="156"/>
      <c r="D587" s="156"/>
      <c r="E587" s="156"/>
      <c r="F587" s="156"/>
      <c r="G587" s="15"/>
      <c r="H587" s="15"/>
      <c r="I587" s="15"/>
      <c r="J587" s="15"/>
      <c r="K587" s="15"/>
      <c r="L587" s="15"/>
      <c r="M587" s="15"/>
      <c r="N587" s="15"/>
      <c r="O587" s="15"/>
      <c r="P587" s="16"/>
      <c r="Q587" s="15"/>
    </row>
    <row r="588" spans="2:19" s="9" customFormat="1" ht="15" customHeight="1" x14ac:dyDescent="0.2">
      <c r="B588" s="1140" t="s">
        <v>2496</v>
      </c>
      <c r="C588" s="1141"/>
      <c r="D588" s="1141"/>
      <c r="E588" s="156"/>
      <c r="F588" s="156"/>
      <c r="G588" s="15"/>
      <c r="H588" s="15"/>
      <c r="I588" s="15"/>
      <c r="J588" s="15"/>
      <c r="K588" s="15"/>
      <c r="L588" s="15"/>
      <c r="M588" s="15"/>
      <c r="N588" s="15"/>
      <c r="O588" s="15"/>
      <c r="P588" s="16"/>
      <c r="Q588" s="15"/>
    </row>
    <row r="589" spans="2:19" s="9" customFormat="1" ht="15" customHeight="1" x14ac:dyDescent="0.2">
      <c r="B589" s="137" t="s">
        <v>2444</v>
      </c>
      <c r="C589" s="137"/>
      <c r="D589" s="137"/>
      <c r="E589" s="137"/>
      <c r="F589" s="137"/>
      <c r="G589" s="137"/>
      <c r="H589" s="15"/>
      <c r="I589" s="15"/>
      <c r="J589" s="15"/>
      <c r="K589" s="15"/>
      <c r="L589" s="15"/>
      <c r="M589" s="15"/>
      <c r="N589" s="15"/>
      <c r="O589" s="15"/>
      <c r="P589" s="16"/>
      <c r="Q589" s="15"/>
    </row>
    <row r="590" spans="2:19" s="9" customFormat="1" ht="15" customHeight="1" x14ac:dyDescent="0.2">
      <c r="B590" s="578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6"/>
      <c r="Q590" s="15"/>
    </row>
    <row r="591" spans="2:19" s="9" customFormat="1" ht="15" customHeight="1" x14ac:dyDescent="0.2">
      <c r="B591" s="1140" t="s">
        <v>2348</v>
      </c>
      <c r="C591" s="1141"/>
      <c r="D591" s="1141"/>
      <c r="E591" s="1141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6"/>
      <c r="Q591" s="15"/>
    </row>
    <row r="592" spans="2:19" s="9" customFormat="1" ht="15" customHeight="1" x14ac:dyDescent="0.2">
      <c r="B592" s="137" t="s">
        <v>2349</v>
      </c>
      <c r="C592" s="39"/>
      <c r="D592" s="39"/>
      <c r="E592" s="39"/>
      <c r="F592" s="39"/>
      <c r="G592" s="15"/>
      <c r="H592" s="15"/>
      <c r="I592" s="15"/>
      <c r="J592" s="15"/>
      <c r="K592" s="15"/>
      <c r="L592" s="15"/>
      <c r="M592" s="15"/>
      <c r="N592" s="15"/>
      <c r="O592" s="15"/>
      <c r="P592" s="16"/>
      <c r="Q592" s="15"/>
    </row>
    <row r="593" spans="2:17" s="9" customFormat="1" ht="15" customHeight="1" x14ac:dyDescent="0.2">
      <c r="B593" s="137" t="s">
        <v>2442</v>
      </c>
      <c r="C593" s="39"/>
      <c r="D593" s="39"/>
      <c r="E593" s="39"/>
      <c r="F593" s="39"/>
      <c r="G593" s="39"/>
      <c r="H593" s="15"/>
      <c r="I593" s="15"/>
      <c r="J593" s="15"/>
      <c r="K593" s="15"/>
      <c r="L593" s="15"/>
      <c r="M593" s="15"/>
      <c r="N593" s="15"/>
      <c r="O593" s="15"/>
      <c r="P593" s="16"/>
      <c r="Q593" s="15"/>
    </row>
    <row r="594" spans="2:17" s="9" customFormat="1" ht="15" customHeight="1" x14ac:dyDescent="0.2">
      <c r="B594" s="137" t="s">
        <v>2443</v>
      </c>
      <c r="C594" s="39"/>
      <c r="D594" s="39"/>
      <c r="E594" s="39"/>
      <c r="F594" s="39"/>
      <c r="G594" s="39"/>
      <c r="H594" s="15"/>
      <c r="I594" s="15"/>
      <c r="J594" s="15"/>
      <c r="K594" s="15"/>
      <c r="L594" s="15"/>
      <c r="M594" s="15"/>
      <c r="N594" s="15"/>
      <c r="O594" s="15"/>
      <c r="P594" s="16"/>
      <c r="Q594" s="15"/>
    </row>
    <row r="595" spans="2:17" s="9" customFormat="1" ht="15" customHeight="1" x14ac:dyDescent="0.2">
      <c r="B595" s="578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6"/>
      <c r="Q595" s="15"/>
    </row>
    <row r="596" spans="2:17" s="9" customFormat="1" ht="15" customHeight="1" x14ac:dyDescent="0.2">
      <c r="B596" s="1140" t="s">
        <v>2350</v>
      </c>
      <c r="C596" s="1141"/>
      <c r="D596" s="1141"/>
      <c r="E596" s="1141"/>
      <c r="F596" s="1141"/>
      <c r="G596" s="1141"/>
      <c r="H596" s="15"/>
      <c r="I596" s="15"/>
      <c r="J596" s="15"/>
      <c r="K596" s="15"/>
      <c r="L596" s="15"/>
      <c r="M596" s="15"/>
      <c r="N596" s="15"/>
      <c r="O596" s="15"/>
      <c r="P596" s="16"/>
      <c r="Q596" s="15"/>
    </row>
    <row r="597" spans="2:17" s="9" customFormat="1" ht="15" customHeight="1" x14ac:dyDescent="0.2">
      <c r="B597" s="137" t="s">
        <v>2351</v>
      </c>
      <c r="C597" s="39"/>
      <c r="D597" s="39"/>
      <c r="E597" s="39"/>
      <c r="F597" s="39"/>
      <c r="G597" s="15"/>
      <c r="H597" s="15"/>
      <c r="I597" s="15"/>
      <c r="J597" s="15"/>
      <c r="K597" s="15"/>
      <c r="L597" s="15"/>
      <c r="M597" s="15"/>
      <c r="N597" s="15"/>
      <c r="O597" s="15"/>
      <c r="P597" s="16"/>
      <c r="Q597" s="15"/>
    </row>
    <row r="598" spans="2:17" s="9" customFormat="1" ht="15" customHeight="1" x14ac:dyDescent="0.2">
      <c r="B598" s="137" t="s">
        <v>2430</v>
      </c>
      <c r="C598" s="39"/>
      <c r="D598" s="39"/>
      <c r="E598" s="39"/>
      <c r="F598" s="39"/>
      <c r="G598" s="39"/>
      <c r="H598" s="15"/>
      <c r="I598" s="15"/>
      <c r="J598" s="15"/>
      <c r="K598" s="15"/>
      <c r="L598" s="15"/>
      <c r="M598" s="15"/>
      <c r="N598" s="15"/>
      <c r="O598" s="15"/>
      <c r="P598" s="16"/>
      <c r="Q598" s="15"/>
    </row>
    <row r="599" spans="2:17" s="9" customFormat="1" ht="15" customHeight="1" x14ac:dyDescent="0.2">
      <c r="B599" s="137" t="s">
        <v>2431</v>
      </c>
      <c r="C599" s="39"/>
      <c r="D599" s="39"/>
      <c r="E599" s="39"/>
      <c r="F599" s="39"/>
      <c r="G599" s="39"/>
      <c r="H599" s="15"/>
      <c r="I599" s="15"/>
      <c r="J599" s="15"/>
      <c r="K599" s="15"/>
      <c r="L599" s="15"/>
      <c r="M599" s="15"/>
      <c r="N599" s="15"/>
      <c r="O599" s="15"/>
      <c r="P599" s="16"/>
      <c r="Q599" s="15"/>
    </row>
    <row r="600" spans="2:17" s="9" customFormat="1" ht="15" customHeight="1" x14ac:dyDescent="0.2">
      <c r="B600" s="137" t="s">
        <v>2432</v>
      </c>
      <c r="C600" s="39"/>
      <c r="D600" s="39"/>
      <c r="E600" s="39"/>
      <c r="F600" s="39"/>
      <c r="G600" s="39"/>
      <c r="H600" s="15"/>
      <c r="I600" s="15"/>
      <c r="J600" s="15"/>
      <c r="K600" s="15"/>
      <c r="L600" s="15"/>
      <c r="M600" s="15"/>
      <c r="N600" s="15"/>
      <c r="O600" s="15"/>
      <c r="P600" s="16"/>
      <c r="Q600" s="15"/>
    </row>
    <row r="601" spans="2:17" s="9" customFormat="1" ht="15" customHeight="1" x14ac:dyDescent="0.2">
      <c r="B601" s="137" t="s">
        <v>2433</v>
      </c>
      <c r="C601" s="39"/>
      <c r="D601" s="39"/>
      <c r="E601" s="39"/>
      <c r="F601" s="39"/>
      <c r="G601" s="39"/>
      <c r="H601" s="15"/>
      <c r="I601" s="15"/>
      <c r="J601" s="15"/>
      <c r="K601" s="15"/>
      <c r="L601" s="15"/>
      <c r="M601" s="15"/>
      <c r="N601" s="15"/>
      <c r="O601" s="15"/>
      <c r="P601" s="16"/>
      <c r="Q601" s="15"/>
    </row>
    <row r="602" spans="2:17" s="9" customFormat="1" ht="15" customHeight="1" x14ac:dyDescent="0.2">
      <c r="B602" s="137" t="s">
        <v>2434</v>
      </c>
      <c r="C602" s="39"/>
      <c r="D602" s="39"/>
      <c r="E602" s="39"/>
      <c r="F602" s="39"/>
      <c r="G602" s="39"/>
      <c r="H602" s="15"/>
      <c r="I602" s="15"/>
      <c r="J602" s="15"/>
      <c r="K602" s="15"/>
      <c r="L602" s="15"/>
      <c r="M602" s="15"/>
      <c r="N602" s="15"/>
      <c r="O602" s="15"/>
      <c r="P602" s="16"/>
      <c r="Q602" s="15"/>
    </row>
    <row r="603" spans="2:17" s="9" customFormat="1" ht="15" customHeight="1" x14ac:dyDescent="0.2">
      <c r="B603" s="137" t="s">
        <v>2435</v>
      </c>
      <c r="C603" s="39"/>
      <c r="D603" s="39"/>
      <c r="E603" s="39"/>
      <c r="F603" s="39"/>
      <c r="G603" s="39"/>
      <c r="H603" s="15"/>
      <c r="I603" s="15"/>
      <c r="J603" s="15"/>
      <c r="K603" s="15"/>
      <c r="L603" s="15"/>
      <c r="M603" s="15"/>
      <c r="N603" s="15"/>
      <c r="O603" s="15"/>
      <c r="P603" s="16"/>
      <c r="Q603" s="15"/>
    </row>
    <row r="604" spans="2:17" s="9" customFormat="1" ht="15" customHeight="1" x14ac:dyDescent="0.2">
      <c r="B604" s="579" t="s">
        <v>2495</v>
      </c>
      <c r="C604" s="39"/>
      <c r="D604" s="39"/>
      <c r="E604" s="39"/>
      <c r="F604" s="39"/>
      <c r="G604" s="39"/>
      <c r="H604" s="15"/>
      <c r="I604" s="15"/>
      <c r="J604" s="15"/>
      <c r="K604" s="15"/>
      <c r="L604" s="15"/>
      <c r="M604" s="15"/>
      <c r="N604" s="15"/>
      <c r="O604" s="15"/>
      <c r="P604" s="16"/>
      <c r="Q604" s="15"/>
    </row>
    <row r="605" spans="2:17" s="9" customFormat="1" ht="15" customHeight="1" x14ac:dyDescent="0.2">
      <c r="B605" s="137" t="s">
        <v>2436</v>
      </c>
      <c r="C605" s="39"/>
      <c r="D605" s="39"/>
      <c r="E605" s="39"/>
      <c r="F605" s="39"/>
      <c r="G605" s="39"/>
      <c r="H605" s="15"/>
      <c r="I605" s="15"/>
      <c r="J605" s="15"/>
      <c r="K605" s="15"/>
      <c r="L605" s="15"/>
      <c r="M605" s="15"/>
      <c r="N605" s="15"/>
      <c r="O605" s="15"/>
      <c r="P605" s="16"/>
      <c r="Q605" s="15"/>
    </row>
    <row r="606" spans="2:17" s="9" customFormat="1" ht="15" customHeight="1" x14ac:dyDescent="0.2">
      <c r="B606" s="137" t="s">
        <v>2437</v>
      </c>
      <c r="C606" s="39"/>
      <c r="D606" s="39"/>
      <c r="E606" s="39"/>
      <c r="F606" s="39"/>
      <c r="G606" s="39"/>
      <c r="H606" s="15"/>
      <c r="I606" s="15"/>
      <c r="J606" s="15"/>
      <c r="K606" s="15"/>
      <c r="L606" s="15"/>
      <c r="M606" s="15"/>
      <c r="N606" s="15"/>
      <c r="O606" s="15"/>
      <c r="P606" s="16"/>
      <c r="Q606" s="15"/>
    </row>
    <row r="607" spans="2:17" s="9" customFormat="1" ht="15" customHeight="1" x14ac:dyDescent="0.2">
      <c r="B607" s="579" t="s">
        <v>2438</v>
      </c>
      <c r="C607" s="39"/>
      <c r="D607" s="39"/>
      <c r="E607" s="39"/>
      <c r="F607" s="39"/>
      <c r="G607" s="39"/>
      <c r="H607" s="15"/>
      <c r="I607" s="15"/>
      <c r="J607" s="15"/>
      <c r="K607" s="15"/>
      <c r="L607" s="15"/>
      <c r="M607" s="15"/>
      <c r="N607" s="15"/>
      <c r="O607" s="15"/>
      <c r="P607" s="16"/>
      <c r="Q607" s="15"/>
    </row>
    <row r="608" spans="2:17" s="9" customFormat="1" ht="15" customHeight="1" x14ac:dyDescent="0.2">
      <c r="B608" s="137" t="s">
        <v>2439</v>
      </c>
      <c r="C608" s="39"/>
      <c r="D608" s="39"/>
      <c r="E608" s="39"/>
      <c r="F608" s="39"/>
      <c r="G608" s="39"/>
      <c r="H608" s="15"/>
      <c r="I608" s="15"/>
      <c r="J608" s="15"/>
      <c r="K608" s="15"/>
      <c r="L608" s="15"/>
      <c r="M608" s="15"/>
      <c r="N608" s="15"/>
      <c r="O608" s="15"/>
      <c r="P608" s="16"/>
      <c r="Q608" s="15"/>
    </row>
    <row r="609" spans="2:18" s="9" customFormat="1" ht="15" customHeight="1" x14ac:dyDescent="0.2">
      <c r="B609" s="137" t="s">
        <v>2440</v>
      </c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6"/>
      <c r="Q609" s="15"/>
    </row>
    <row r="610" spans="2:18" s="9" customFormat="1" ht="15" customHeight="1" x14ac:dyDescent="0.2">
      <c r="B610" s="575" t="s">
        <v>2441</v>
      </c>
      <c r="C610" s="576"/>
      <c r="D610" s="576"/>
      <c r="E610" s="576"/>
      <c r="F610" s="576"/>
      <c r="G610" s="576"/>
      <c r="H610" s="576"/>
      <c r="I610" s="576"/>
      <c r="J610" s="576"/>
      <c r="K610" s="576"/>
      <c r="L610" s="576"/>
      <c r="M610" s="576"/>
      <c r="N610" s="576"/>
      <c r="O610" s="576"/>
      <c r="P610" s="577"/>
      <c r="Q610" s="15"/>
    </row>
    <row r="611" spans="2:18" s="9" customFormat="1" ht="15" customHeight="1" x14ac:dyDescent="0.2">
      <c r="B611" s="14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6"/>
      <c r="Q611" s="15"/>
    </row>
    <row r="612" spans="2:18" ht="15" customHeight="1" x14ac:dyDescent="0.25">
      <c r="B612" s="985" t="s">
        <v>2451</v>
      </c>
      <c r="C612" s="985"/>
      <c r="D612" s="985"/>
      <c r="E612" s="985"/>
      <c r="F612" s="985"/>
      <c r="G612" s="985"/>
      <c r="H612" s="985"/>
      <c r="I612" s="985"/>
      <c r="J612" s="985"/>
      <c r="K612" s="985"/>
      <c r="L612" s="985"/>
      <c r="M612" s="985"/>
      <c r="N612" s="985"/>
      <c r="O612" s="985"/>
      <c r="P612" s="985"/>
      <c r="Q612" s="985"/>
    </row>
    <row r="613" spans="2:18" ht="33" customHeight="1" x14ac:dyDescent="0.2">
      <c r="B613" s="979" t="s">
        <v>2498</v>
      </c>
      <c r="C613" s="980"/>
      <c r="D613" s="980"/>
      <c r="E613" s="980"/>
      <c r="F613" s="980"/>
      <c r="G613" s="980"/>
      <c r="H613" s="980"/>
      <c r="I613" s="980"/>
      <c r="J613" s="980"/>
      <c r="K613" s="980"/>
      <c r="L613" s="980"/>
      <c r="M613" s="980"/>
      <c r="N613" s="980"/>
      <c r="O613" s="980"/>
      <c r="P613" s="981"/>
      <c r="Q613" s="4"/>
    </row>
    <row r="614" spans="2:18" ht="15" customHeight="1" x14ac:dyDescent="0.2"/>
    <row r="615" spans="2:18" ht="15" customHeight="1" thickBot="1" x14ac:dyDescent="0.25"/>
    <row r="616" spans="2:18" ht="15" customHeight="1" thickBot="1" x14ac:dyDescent="0.25">
      <c r="B616" s="986" t="s">
        <v>2335</v>
      </c>
      <c r="C616" s="987"/>
      <c r="D616" s="987"/>
      <c r="E616" s="987"/>
      <c r="F616" s="988"/>
      <c r="G616" s="58"/>
      <c r="H616" s="58"/>
      <c r="J616" s="1156" t="s">
        <v>2336</v>
      </c>
      <c r="K616" s="1157"/>
      <c r="L616" s="1157"/>
      <c r="M616" s="1157"/>
      <c r="N616" s="1157"/>
      <c r="O616" s="1158"/>
    </row>
    <row r="617" spans="2:18" ht="43.5" customHeight="1" x14ac:dyDescent="0.25">
      <c r="B617" s="59"/>
      <c r="C617" s="60"/>
      <c r="D617" s="60"/>
      <c r="E617" s="60"/>
      <c r="F617" s="61"/>
      <c r="G617" s="60"/>
      <c r="H617" s="60"/>
      <c r="J617" s="207"/>
      <c r="K617" s="208"/>
      <c r="L617" s="959"/>
      <c r="M617" s="959"/>
      <c r="N617" s="959"/>
      <c r="O617" s="960"/>
    </row>
    <row r="618" spans="2:18" ht="15" customHeight="1" thickBot="1" x14ac:dyDescent="0.3">
      <c r="B618" s="204" t="s">
        <v>38</v>
      </c>
      <c r="C618" s="205"/>
      <c r="D618" s="205"/>
      <c r="E618" s="205"/>
      <c r="F618" s="206"/>
      <c r="G618" s="3"/>
      <c r="H618" s="3"/>
      <c r="I618" s="5"/>
      <c r="J618" s="217" t="s">
        <v>10</v>
      </c>
      <c r="K618" s="205"/>
      <c r="L618" s="209"/>
      <c r="M618" s="205"/>
      <c r="N618" s="205"/>
      <c r="O618" s="206"/>
    </row>
    <row r="619" spans="2:18" ht="15" customHeight="1" x14ac:dyDescent="0.2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</row>
    <row r="620" spans="2:18" ht="15" customHeight="1" x14ac:dyDescent="0.2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</row>
    <row r="621" spans="2:18" ht="15" customHeight="1" x14ac:dyDescent="0.2"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5"/>
    </row>
    <row r="622" spans="2:18" s="9" customFormat="1" ht="15" customHeight="1" x14ac:dyDescent="0.25">
      <c r="B622" s="8" t="s">
        <v>2337</v>
      </c>
    </row>
    <row r="623" spans="2:18" s="9" customFormat="1" ht="15" customHeight="1" x14ac:dyDescent="0.25">
      <c r="B623" s="8"/>
    </row>
    <row r="624" spans="2:18" s="9" customFormat="1" ht="15" customHeight="1" x14ac:dyDescent="0.2">
      <c r="B624" s="218" t="s">
        <v>24</v>
      </c>
      <c r="C624" s="915"/>
      <c r="D624" s="915"/>
      <c r="E624" s="915"/>
      <c r="F624" s="915"/>
      <c r="G624" s="915"/>
      <c r="H624" s="46"/>
      <c r="I624" s="46"/>
      <c r="J624" s="46"/>
      <c r="K624" s="24"/>
      <c r="L624" s="24"/>
      <c r="M624" s="24"/>
      <c r="N624" s="24"/>
      <c r="O624" s="24"/>
      <c r="P624" s="24"/>
      <c r="Q624" s="24"/>
    </row>
    <row r="625" spans="2:18" ht="15" customHeight="1" x14ac:dyDescent="0.2"/>
    <row r="626" spans="2:18" ht="24.75" customHeight="1" x14ac:dyDescent="0.2">
      <c r="B626" s="963" t="s">
        <v>2493</v>
      </c>
      <c r="C626" s="963"/>
      <c r="D626" s="963"/>
      <c r="E626" s="963"/>
      <c r="F626" s="963"/>
      <c r="G626" s="963"/>
      <c r="H626" s="963"/>
      <c r="I626" s="963"/>
      <c r="J626" s="963"/>
      <c r="K626" s="963"/>
      <c r="L626" s="963"/>
      <c r="M626" s="963"/>
      <c r="N626" s="963"/>
      <c r="O626" s="963"/>
      <c r="P626" s="963"/>
      <c r="Q626" s="4"/>
      <c r="R626" s="5"/>
    </row>
    <row r="627" spans="2:18" ht="25.5" customHeight="1" x14ac:dyDescent="0.2">
      <c r="B627" s="963"/>
      <c r="C627" s="963"/>
      <c r="D627" s="963"/>
      <c r="E627" s="963"/>
      <c r="F627" s="963"/>
      <c r="G627" s="963"/>
      <c r="H627" s="963"/>
      <c r="I627" s="963"/>
      <c r="J627" s="963"/>
      <c r="K627" s="963"/>
      <c r="L627" s="963"/>
      <c r="M627" s="963"/>
      <c r="N627" s="963"/>
      <c r="O627" s="963"/>
      <c r="P627" s="963"/>
      <c r="Q627" s="4"/>
      <c r="R627" s="5"/>
    </row>
    <row r="628" spans="2:18" ht="11.25" customHeight="1" x14ac:dyDescent="0.2">
      <c r="B628" s="963"/>
      <c r="C628" s="963"/>
      <c r="D628" s="963"/>
      <c r="E628" s="963"/>
      <c r="F628" s="963"/>
      <c r="G628" s="963"/>
      <c r="H628" s="963"/>
      <c r="I628" s="963"/>
      <c r="J628" s="963"/>
      <c r="K628" s="963"/>
      <c r="L628" s="963"/>
      <c r="M628" s="963"/>
      <c r="N628" s="963"/>
      <c r="O628" s="963"/>
      <c r="P628" s="963"/>
      <c r="Q628" s="4"/>
    </row>
    <row r="629" spans="2:18" ht="15" customHeight="1" x14ac:dyDescent="0.2">
      <c r="B629" s="963"/>
      <c r="C629" s="963"/>
      <c r="D629" s="963"/>
      <c r="E629" s="963"/>
      <c r="F629" s="963"/>
      <c r="G629" s="963"/>
      <c r="H629" s="963"/>
      <c r="I629" s="963"/>
      <c r="J629" s="963"/>
      <c r="K629" s="963"/>
      <c r="L629" s="963"/>
      <c r="M629" s="963"/>
      <c r="N629" s="963"/>
      <c r="O629" s="963"/>
      <c r="P629" s="963"/>
      <c r="Q629" s="4"/>
    </row>
    <row r="630" spans="2:18" ht="15" customHeight="1" x14ac:dyDescent="0.2">
      <c r="B630" s="45"/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</row>
    <row r="631" spans="2:18" x14ac:dyDescent="0.2"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5"/>
    </row>
  </sheetData>
  <sheetProtection password="816A" sheet="1" scenarios="1" insertRows="0"/>
  <protectedRanges>
    <protectedRange sqref="C399:D402" name="Rango170"/>
    <protectedRange sqref="D221:E228" name="Rango167"/>
    <protectedRange sqref="A229:XFD230" name="Rango166"/>
    <protectedRange sqref="A225:XFD228" name="Rango165"/>
    <protectedRange sqref="N167:P167" name="Rango163"/>
    <protectedRange sqref="L124:P124" name="Rango161"/>
    <protectedRange sqref="N59:P60" name="Rango159"/>
    <protectedRange sqref="D493:I493" name="Rango157"/>
    <protectedRange sqref="D493:I493" name="Rango156"/>
    <protectedRange sqref="D221:E228" name="Rango154"/>
    <protectedRange sqref="C173:P173" name="Rango152"/>
    <protectedRange sqref="N64:P65" name="Rango148"/>
    <protectedRange sqref="C515 D516:F516" name="Rango146"/>
    <protectedRange sqref="F481:P481" name="Rango144"/>
    <protectedRange sqref="D458:O460" name="Rango142"/>
    <protectedRange sqref="D446:M446" name="Rango140"/>
    <protectedRange sqref="D436:M440" name="Rango138"/>
    <protectedRange sqref="D426:M428" name="Rango136"/>
    <protectedRange sqref="F399:G405" name="Rango133"/>
    <protectedRange sqref="G386:N391" name="Rango132"/>
    <protectedRange sqref="B177" name="Rango129"/>
    <protectedRange sqref="B177:P183" name="Rango128"/>
    <protectedRange sqref="G263:I265" name="Rango126"/>
    <protectedRange sqref="B285" name="Rango124"/>
    <protectedRange sqref="B293" name="Rango123"/>
    <protectedRange sqref="M316:M317 O316:P317" name="Rango78_2"/>
    <protectedRange sqref="M319 O319:P319" name="Rango79_2"/>
    <protectedRange sqref="M321:M330 O321:P330" name="Rango80_2"/>
    <protectedRange sqref="M334:M341 O334:P341" name="Rango81_2"/>
    <protectedRange sqref="M347:M348 O347:P348" name="Rango82_2"/>
    <protectedRange sqref="M319 O319:P319" name="Rango83_2"/>
    <protectedRange sqref="M319 O319:P319" name="Rango84_2"/>
    <protectedRange sqref="M321:M330 O321:P330" name="Rango85_2"/>
    <protectedRange sqref="M334:M341 O334:P341" name="Rango86_2"/>
    <protectedRange sqref="M334:M341 O334:P341" name="Rango87_2"/>
    <protectedRange sqref="M343:M345 O343:P345" name="Rango88_2"/>
    <protectedRange sqref="M347:M348 O347:P348" name="Rango89_2"/>
    <protectedRange sqref="M351:M357 O351:P357" name="Rango90_2"/>
    <protectedRange sqref="M359 O359:P359" name="Rango91_2"/>
    <protectedRange sqref="O361:P364 M361:M364" name="Rango92_2"/>
    <protectedRange sqref="M366:M368 O366:P368" name="Rango93_2"/>
    <protectedRange sqref="M370:M374 O370:P374" name="Rango94_2"/>
    <protectedRange sqref="M376 O376" name="Rango95_2"/>
    <protectedRange sqref="F34" name="Rango121"/>
    <protectedRange sqref="F49:P49" name="Rango119"/>
    <protectedRange sqref="F52:P54" name="Rango117"/>
    <protectedRange sqref="J510:P516" name="Rango116"/>
    <protectedRange sqref="H12:I12" name="Rango114"/>
    <protectedRange sqref="J618:O618" name="Rango112"/>
    <protectedRange sqref="B618:F618" name="Rango111"/>
    <protectedRange sqref="B519:P525" name="Rango108"/>
    <protectedRange sqref="B504:I505" name="Rango106"/>
    <protectedRange sqref="B499:I502" name="Rango105"/>
    <protectedRange sqref="E386:N392" name="Rango99"/>
    <protectedRange sqref="B141:H143" name="Rango76"/>
    <protectedRange sqref="C134:H136" name="Rango75"/>
    <protectedRange sqref="C129:H131" name="Rango74"/>
    <protectedRange sqref="M221:M228" name="Rango72"/>
    <protectedRange sqref="K221:K228" name="Rango71"/>
    <protectedRange sqref="I221:I228" name="Rango70"/>
    <protectedRange sqref="C261:F265" name="Rango33"/>
    <protectedRange sqref="C247:C249" name="Rango32"/>
    <protectedRange sqref="C237:D241" name="Rango31"/>
    <protectedRange sqref="F221:H228" name="Rango30"/>
    <protectedRange sqref="H205:I207" name="Rango29"/>
    <protectedRange sqref="M167" name="Rango28"/>
    <protectedRange sqref="M164:M165" name="Rango27"/>
    <protectedRange sqref="M161:M162" name="Rango26"/>
    <protectedRange sqref="M161:M162" name="Rango25"/>
    <protectedRange sqref="M155:M157" name="Rango24"/>
    <protectedRange sqref="M155:M157" name="Rango23"/>
    <protectedRange sqref="M151:M153" name="Rango22"/>
    <protectedRange sqref="I118:P123" name="Rango21"/>
    <protectedRange sqref="M111:M112 M114" name="Rango20"/>
    <protectedRange sqref="M108:M109" name="Rango19"/>
    <protectedRange sqref="M103:M105" name="Rango18"/>
    <protectedRange sqref="M99:M101" name="Rango17"/>
    <protectedRange sqref="C486:P491" name="Rango16"/>
    <protectedRange sqref="B93" name="Rango15"/>
    <protectedRange sqref="B90" name="Rango14"/>
    <protectedRange sqref="B87" name="Rango13"/>
    <protectedRange sqref="M83" name="Rango12"/>
    <protectedRange sqref="B73" name="Rango11"/>
    <protectedRange sqref="C65:C67" name="Rango9"/>
    <protectedRange sqref="C62:C64" name="Rango8"/>
    <protectedRange sqref="N43:P43" name="Rango7"/>
    <protectedRange sqref="N42:P42" name="Rango6"/>
    <protectedRange sqref="F52:F54" name="Rango5"/>
    <protectedRange sqref="F20:P20" name="Rango2"/>
    <protectedRange sqref="F19" name="Rango35"/>
    <protectedRange sqref="D24:P28" name="Rango36"/>
    <protectedRange sqref="D38" name="Rango37"/>
    <protectedRange sqref="J38" name="Rango38"/>
    <protectedRange sqref="J42:J43" name="Rango39"/>
    <protectedRange sqref="C59:I61" name="Rango40"/>
    <protectedRange sqref="J71" name="Rango41"/>
    <protectedRange sqref="I75" name="Rango42"/>
    <protectedRange sqref="I77" name="Rango43"/>
    <protectedRange sqref="I77" name="Rango44"/>
    <protectedRange sqref="K79" name="Rango45"/>
    <protectedRange sqref="G83" name="Rango46"/>
    <protectedRange sqref="B97" name="Rango47"/>
    <protectedRange sqref="B99:L101" name="Rango48"/>
    <protectedRange sqref="N99:P101" name="Rango49"/>
    <protectedRange sqref="B103:L105" name="Rango50"/>
    <protectedRange sqref="N103:P105" name="Rango51"/>
    <protectedRange sqref="B108:L109" name="Rango52"/>
    <protectedRange sqref="N108:P109" name="Rango53"/>
    <protectedRange sqref="B111:L112 B114:L114" name="Rango54"/>
    <protectedRange sqref="N111:P112 N114:P114" name="Rango55"/>
    <protectedRange sqref="B118:H123" name="Rango56"/>
    <protectedRange sqref="B148" name="Rango57"/>
    <protectedRange sqref="B151:L153" name="Rango58"/>
    <protectedRange sqref="N151:P153" name="Rango59"/>
    <protectedRange sqref="B155:L157" name="Rango60"/>
    <protectedRange sqref="N155:P157" name="Rango61"/>
    <protectedRange sqref="B161:L162" name="Rango62"/>
    <protectedRange sqref="N161:P162" name="Rango63"/>
    <protectedRange sqref="B164:L165" name="Rango64"/>
    <protectedRange sqref="N164:P165" name="Rango65"/>
    <protectedRange sqref="B167" name="Rango66"/>
    <protectedRange sqref="I209" name="Rango67"/>
    <protectedRange sqref="D247:D249" name="Rango73"/>
    <protectedRange sqref="C277:L302" name="Rango77"/>
    <protectedRange sqref="E386:N392" name="Rango98"/>
    <protectedRange sqref="A225:XFD228" name="Rango104"/>
    <protectedRange sqref="B519:P525" name="Rango107"/>
    <protectedRange sqref="B529:P555" name="Rango109"/>
    <protectedRange sqref="B557" name="Rango110"/>
    <protectedRange sqref="C624:G624" name="Rango113"/>
    <protectedRange sqref="H12:I12" name="Rango115"/>
    <protectedRange sqref="F47:P47" name="Rango118"/>
    <protectedRange sqref="F32" name="Rango120"/>
    <protectedRange sqref="H14:P14" name="Rango122"/>
    <protectedRange sqref="B281:L283" name="Rango125"/>
    <protectedRange sqref="B196" name="Rango127"/>
    <protectedRange sqref="B124:H124" name="Rango130"/>
    <protectedRange sqref="H399:O404" name="Rango134"/>
    <protectedRange sqref="D420:M424" name="Rango135"/>
    <protectedRange sqref="D430:M430" name="Rango137"/>
    <protectedRange sqref="D442:M444" name="Rango139"/>
    <protectedRange sqref="D410:M411" name="Rango141"/>
    <protectedRange sqref="B472:P472" name="Rango143"/>
    <protectedRange sqref="H510:I516 G510:G515" name="Rango145"/>
    <protectedRange sqref="N61:P62" name="Rango147"/>
    <protectedRange sqref="P378" name="Rango149"/>
    <protectedRange sqref="O277" name="Rango150"/>
    <protectedRange sqref="O277" name="Rango151"/>
    <protectedRange sqref="F190" name="Rango153"/>
    <protectedRange sqref="F476:H476" name="Rango155"/>
    <protectedRange sqref="F17:P17" name="Rango158"/>
    <protectedRange sqref="N63:P63" name="Rango160"/>
    <protectedRange sqref="I167:L167" name="Rango162"/>
    <protectedRange sqref="I124:K124" name="Rango164"/>
  </protectedRanges>
  <dataConsolidate/>
  <mergeCells count="590">
    <mergeCell ref="C624:G624"/>
    <mergeCell ref="B596:G596"/>
    <mergeCell ref="B586:F586"/>
    <mergeCell ref="B585:F585"/>
    <mergeCell ref="B519:P525"/>
    <mergeCell ref="J616:O616"/>
    <mergeCell ref="D493:I493"/>
    <mergeCell ref="C497:H497"/>
    <mergeCell ref="C498:H498"/>
    <mergeCell ref="C499:H499"/>
    <mergeCell ref="C501:H501"/>
    <mergeCell ref="C502:H502"/>
    <mergeCell ref="C503:H503"/>
    <mergeCell ref="C504:H504"/>
    <mergeCell ref="N511:P511"/>
    <mergeCell ref="N512:P512"/>
    <mergeCell ref="N516:P516"/>
    <mergeCell ref="G511:I511"/>
    <mergeCell ref="C513:F513"/>
    <mergeCell ref="J516:M516"/>
    <mergeCell ref="B515:B516"/>
    <mergeCell ref="C515:F516"/>
    <mergeCell ref="G515:I516"/>
    <mergeCell ref="B512:B514"/>
    <mergeCell ref="B450:C450"/>
    <mergeCell ref="B451:C451"/>
    <mergeCell ref="B591:E591"/>
    <mergeCell ref="C511:F511"/>
    <mergeCell ref="B588:D588"/>
    <mergeCell ref="N510:P510"/>
    <mergeCell ref="F38:I38"/>
    <mergeCell ref="N61:P61"/>
    <mergeCell ref="N62:P62"/>
    <mergeCell ref="N63:P63"/>
    <mergeCell ref="N64:P64"/>
    <mergeCell ref="N65:P65"/>
    <mergeCell ref="G514:I514"/>
    <mergeCell ref="J514:M514"/>
    <mergeCell ref="N514:P514"/>
    <mergeCell ref="J510:M510"/>
    <mergeCell ref="J511:M511"/>
    <mergeCell ref="J512:M512"/>
    <mergeCell ref="G513:I513"/>
    <mergeCell ref="J513:M513"/>
    <mergeCell ref="N513:P513"/>
    <mergeCell ref="J489:P489"/>
    <mergeCell ref="L124:N124"/>
    <mergeCell ref="N257:P257"/>
    <mergeCell ref="F19:P19"/>
    <mergeCell ref="F24:P24"/>
    <mergeCell ref="F34:P34"/>
    <mergeCell ref="C129:H129"/>
    <mergeCell ref="C130:H130"/>
    <mergeCell ref="C131:H131"/>
    <mergeCell ref="C134:H134"/>
    <mergeCell ref="B163:H163"/>
    <mergeCell ref="L121:N121"/>
    <mergeCell ref="B154:H154"/>
    <mergeCell ref="N104:P104"/>
    <mergeCell ref="B110:H110"/>
    <mergeCell ref="O119:P119"/>
    <mergeCell ref="O120:P120"/>
    <mergeCell ref="K152:L152"/>
    <mergeCell ref="B38:C38"/>
    <mergeCell ref="B95:Q95"/>
    <mergeCell ref="N59:P59"/>
    <mergeCell ref="O124:P124"/>
    <mergeCell ref="F142:H142"/>
    <mergeCell ref="F141:H141"/>
    <mergeCell ref="F143:H143"/>
    <mergeCell ref="L59:M59"/>
    <mergeCell ref="I122:K122"/>
    <mergeCell ref="E261:F261"/>
    <mergeCell ref="D224:E224"/>
    <mergeCell ref="H12:I12"/>
    <mergeCell ref="F16:H16"/>
    <mergeCell ref="I16:K16"/>
    <mergeCell ref="F17:H17"/>
    <mergeCell ref="I17:K17"/>
    <mergeCell ref="H14:P14"/>
    <mergeCell ref="F47:P47"/>
    <mergeCell ref="F49:P49"/>
    <mergeCell ref="N60:P60"/>
    <mergeCell ref="F52:P54"/>
    <mergeCell ref="L16:P16"/>
    <mergeCell ref="L17:P17"/>
    <mergeCell ref="N42:P42"/>
    <mergeCell ref="N43:P43"/>
    <mergeCell ref="K42:M42"/>
    <mergeCell ref="K43:M43"/>
    <mergeCell ref="B42:I42"/>
    <mergeCell ref="B36:F36"/>
    <mergeCell ref="F25:P25"/>
    <mergeCell ref="F26:P26"/>
    <mergeCell ref="C24:E24"/>
    <mergeCell ref="C25:E25"/>
    <mergeCell ref="C405:D405"/>
    <mergeCell ref="E396:E398"/>
    <mergeCell ref="C392:D392"/>
    <mergeCell ref="E383:E385"/>
    <mergeCell ref="F383:F385"/>
    <mergeCell ref="G383:N383"/>
    <mergeCell ref="B304:C304"/>
    <mergeCell ref="C383:D385"/>
    <mergeCell ref="C386:D386"/>
    <mergeCell ref="C387:D387"/>
    <mergeCell ref="C388:D388"/>
    <mergeCell ref="B313:H313"/>
    <mergeCell ref="I329:K329"/>
    <mergeCell ref="C26:E26"/>
    <mergeCell ref="C27:E27"/>
    <mergeCell ref="C28:E28"/>
    <mergeCell ref="C63:I63"/>
    <mergeCell ref="C64:I64"/>
    <mergeCell ref="B124:H124"/>
    <mergeCell ref="I124:K124"/>
    <mergeCell ref="F27:P27"/>
    <mergeCell ref="F28:P28"/>
    <mergeCell ref="I117:K117"/>
    <mergeCell ref="K112:L112"/>
    <mergeCell ref="N98:P98"/>
    <mergeCell ref="K110:L110"/>
    <mergeCell ref="K99:L99"/>
    <mergeCell ref="B103:H103"/>
    <mergeCell ref="I112:J112"/>
    <mergeCell ref="N114:P114"/>
    <mergeCell ref="N99:P99"/>
    <mergeCell ref="K101:L101"/>
    <mergeCell ref="K102:L102"/>
    <mergeCell ref="N100:P100"/>
    <mergeCell ref="K109:L109"/>
    <mergeCell ref="K114:L114"/>
    <mergeCell ref="B114:H114"/>
    <mergeCell ref="L397:O397"/>
    <mergeCell ref="M275:N276"/>
    <mergeCell ref="E266:F266"/>
    <mergeCell ref="M277:N277"/>
    <mergeCell ref="I338:K338"/>
    <mergeCell ref="I339:K339"/>
    <mergeCell ref="I340:K340"/>
    <mergeCell ref="I341:K341"/>
    <mergeCell ref="I342:K342"/>
    <mergeCell ref="I343:K343"/>
    <mergeCell ref="K308:M308"/>
    <mergeCell ref="B321:E321"/>
    <mergeCell ref="I323:K323"/>
    <mergeCell ref="C275:L276"/>
    <mergeCell ref="I319:K319"/>
    <mergeCell ref="K310:M310"/>
    <mergeCell ref="G266:H266"/>
    <mergeCell ref="B284:C284"/>
    <mergeCell ref="B292:C292"/>
    <mergeCell ref="B412:C412"/>
    <mergeCell ref="L375:P375"/>
    <mergeCell ref="B281:L283"/>
    <mergeCell ref="C266:D266"/>
    <mergeCell ref="B285:L290"/>
    <mergeCell ref="B293:L302"/>
    <mergeCell ref="B421:C421"/>
    <mergeCell ref="C403:D403"/>
    <mergeCell ref="I345:K345"/>
    <mergeCell ref="I335:K335"/>
    <mergeCell ref="I336:K336"/>
    <mergeCell ref="I337:K337"/>
    <mergeCell ref="I366:K366"/>
    <mergeCell ref="I367:K367"/>
    <mergeCell ref="I368:K368"/>
    <mergeCell ref="I369:K369"/>
    <mergeCell ref="I370:K370"/>
    <mergeCell ref="I371:K371"/>
    <mergeCell ref="I363:K363"/>
    <mergeCell ref="I364:K364"/>
    <mergeCell ref="I365:K365"/>
    <mergeCell ref="I372:K372"/>
    <mergeCell ref="O275:O276"/>
    <mergeCell ref="B410:C410"/>
    <mergeCell ref="O379:P379"/>
    <mergeCell ref="B452:C452"/>
    <mergeCell ref="B453:C453"/>
    <mergeCell ref="B440:C440"/>
    <mergeCell ref="B441:C441"/>
    <mergeCell ref="B438:C438"/>
    <mergeCell ref="B435:C435"/>
    <mergeCell ref="B436:C436"/>
    <mergeCell ref="B427:C427"/>
    <mergeCell ref="B428:C428"/>
    <mergeCell ref="C404:D404"/>
    <mergeCell ref="B423:C423"/>
    <mergeCell ref="B424:C424"/>
    <mergeCell ref="B420:C420"/>
    <mergeCell ref="B434:C434"/>
    <mergeCell ref="C400:D400"/>
    <mergeCell ref="K384:N384"/>
    <mergeCell ref="H397:K397"/>
    <mergeCell ref="B406:K406"/>
    <mergeCell ref="B411:C411"/>
    <mergeCell ref="B419:C419"/>
    <mergeCell ref="F396:F398"/>
    <mergeCell ref="G396:G398"/>
    <mergeCell ref="H396:O396"/>
    <mergeCell ref="J488:P488"/>
    <mergeCell ref="J487:P487"/>
    <mergeCell ref="I330:K330"/>
    <mergeCell ref="I331:K331"/>
    <mergeCell ref="I332:K332"/>
    <mergeCell ref="I333:K333"/>
    <mergeCell ref="B396:B398"/>
    <mergeCell ref="B422:C422"/>
    <mergeCell ref="B418:C418"/>
    <mergeCell ref="I360:K360"/>
    <mergeCell ref="I361:K361"/>
    <mergeCell ref="I362:K362"/>
    <mergeCell ref="B377:O377"/>
    <mergeCell ref="C390:D390"/>
    <mergeCell ref="C391:D391"/>
    <mergeCell ref="B425:C425"/>
    <mergeCell ref="C399:D399"/>
    <mergeCell ref="B383:B385"/>
    <mergeCell ref="F476:H476"/>
    <mergeCell ref="B458:C458"/>
    <mergeCell ref="B443:C443"/>
    <mergeCell ref="C389:D389"/>
    <mergeCell ref="B378:O378"/>
    <mergeCell ref="B379:N379"/>
    <mergeCell ref="G264:H264"/>
    <mergeCell ref="C216:H216"/>
    <mergeCell ref="H204:I204"/>
    <mergeCell ref="E242:F242"/>
    <mergeCell ref="C264:D264"/>
    <mergeCell ref="I163:J163"/>
    <mergeCell ref="B164:H164"/>
    <mergeCell ref="F464:H464"/>
    <mergeCell ref="B439:C439"/>
    <mergeCell ref="B429:C429"/>
    <mergeCell ref="B454:C454"/>
    <mergeCell ref="B457:C457"/>
    <mergeCell ref="B320:D320"/>
    <mergeCell ref="B322:D322"/>
    <mergeCell ref="I322:K322"/>
    <mergeCell ref="B323:D323"/>
    <mergeCell ref="B325:D325"/>
    <mergeCell ref="I325:K325"/>
    <mergeCell ref="I334:K334"/>
    <mergeCell ref="C396:D398"/>
    <mergeCell ref="I346:K346"/>
    <mergeCell ref="I347:K347"/>
    <mergeCell ref="C401:D401"/>
    <mergeCell ref="C402:D402"/>
    <mergeCell ref="I327:K327"/>
    <mergeCell ref="I328:K328"/>
    <mergeCell ref="C277:L277"/>
    <mergeCell ref="B275:B276"/>
    <mergeCell ref="B314:D314"/>
    <mergeCell ref="I314:K314"/>
    <mergeCell ref="B315:E315"/>
    <mergeCell ref="G315:G328"/>
    <mergeCell ref="H315:H328"/>
    <mergeCell ref="B316:D316"/>
    <mergeCell ref="I313:K313"/>
    <mergeCell ref="B317:D317"/>
    <mergeCell ref="B318:D318"/>
    <mergeCell ref="I320:K320"/>
    <mergeCell ref="N107:P107"/>
    <mergeCell ref="N112:P112"/>
    <mergeCell ref="K111:L111"/>
    <mergeCell ref="K79:L79"/>
    <mergeCell ref="B97:P97"/>
    <mergeCell ref="B99:H99"/>
    <mergeCell ref="I99:J99"/>
    <mergeCell ref="K103:L103"/>
    <mergeCell ref="K104:L104"/>
    <mergeCell ref="K105:L105"/>
    <mergeCell ref="K108:L108"/>
    <mergeCell ref="N108:P108"/>
    <mergeCell ref="B98:H98"/>
    <mergeCell ref="B100:H100"/>
    <mergeCell ref="I100:J100"/>
    <mergeCell ref="B101:H101"/>
    <mergeCell ref="I102:J102"/>
    <mergeCell ref="N103:P103"/>
    <mergeCell ref="N105:P105"/>
    <mergeCell ref="B104:H104"/>
    <mergeCell ref="B112:H112"/>
    <mergeCell ref="I98:J98"/>
    <mergeCell ref="I104:J104"/>
    <mergeCell ref="M219:M220"/>
    <mergeCell ref="C509:F509"/>
    <mergeCell ref="C510:F510"/>
    <mergeCell ref="F480:H480"/>
    <mergeCell ref="F490:I490"/>
    <mergeCell ref="F491:I491"/>
    <mergeCell ref="G510:I510"/>
    <mergeCell ref="G509:I509"/>
    <mergeCell ref="I77:J77"/>
    <mergeCell ref="I101:J101"/>
    <mergeCell ref="B111:H111"/>
    <mergeCell ref="I109:J109"/>
    <mergeCell ref="I111:J111"/>
    <mergeCell ref="B105:H105"/>
    <mergeCell ref="I105:J105"/>
    <mergeCell ref="B102:H102"/>
    <mergeCell ref="I103:J103"/>
    <mergeCell ref="B109:H109"/>
    <mergeCell ref="B107:H107"/>
    <mergeCell ref="I107:J107"/>
    <mergeCell ref="B108:H108"/>
    <mergeCell ref="I108:J108"/>
    <mergeCell ref="I110:J110"/>
    <mergeCell ref="B121:H121"/>
    <mergeCell ref="B43:I43"/>
    <mergeCell ref="B56:Q56"/>
    <mergeCell ref="C62:I62"/>
    <mergeCell ref="C514:F514"/>
    <mergeCell ref="F485:I485"/>
    <mergeCell ref="F486:I486"/>
    <mergeCell ref="F487:I487"/>
    <mergeCell ref="F488:I488"/>
    <mergeCell ref="F489:I489"/>
    <mergeCell ref="I480:K480"/>
    <mergeCell ref="J486:P486"/>
    <mergeCell ref="C505:H505"/>
    <mergeCell ref="J509:M509"/>
    <mergeCell ref="J490:P490"/>
    <mergeCell ref="J491:P491"/>
    <mergeCell ref="N509:P509"/>
    <mergeCell ref="L481:P481"/>
    <mergeCell ref="J485:P485"/>
    <mergeCell ref="L480:P480"/>
    <mergeCell ref="F481:H481"/>
    <mergeCell ref="I481:K481"/>
    <mergeCell ref="G512:I512"/>
    <mergeCell ref="C512:F512"/>
    <mergeCell ref="O230:P230"/>
    <mergeCell ref="C235:D235"/>
    <mergeCell ref="B626:P627"/>
    <mergeCell ref="B612:Q612"/>
    <mergeCell ref="B616:F616"/>
    <mergeCell ref="K100:L100"/>
    <mergeCell ref="B3:P3"/>
    <mergeCell ref="B4:P4"/>
    <mergeCell ref="B5:P5"/>
    <mergeCell ref="B6:P6"/>
    <mergeCell ref="K107:L107"/>
    <mergeCell ref="B73:P73"/>
    <mergeCell ref="M83:P83"/>
    <mergeCell ref="B87:P87"/>
    <mergeCell ref="B90:P90"/>
    <mergeCell ref="B93:P93"/>
    <mergeCell ref="N101:P101"/>
    <mergeCell ref="C59:I59"/>
    <mergeCell ref="C60:I60"/>
    <mergeCell ref="C61:I61"/>
    <mergeCell ref="B52:E52"/>
    <mergeCell ref="G83:H83"/>
    <mergeCell ref="K98:L98"/>
    <mergeCell ref="N102:P102"/>
    <mergeCell ref="B40:J40"/>
    <mergeCell ref="B221:C221"/>
    <mergeCell ref="N166:P166"/>
    <mergeCell ref="N219:N220"/>
    <mergeCell ref="F32:P32"/>
    <mergeCell ref="L617:O617"/>
    <mergeCell ref="B409:C409"/>
    <mergeCell ref="B628:P629"/>
    <mergeCell ref="O117:P117"/>
    <mergeCell ref="I123:K123"/>
    <mergeCell ref="L118:N118"/>
    <mergeCell ref="L119:N119"/>
    <mergeCell ref="B120:H120"/>
    <mergeCell ref="B557:P581"/>
    <mergeCell ref="B582:P582"/>
    <mergeCell ref="B529:P555"/>
    <mergeCell ref="B613:P613"/>
    <mergeCell ref="B117:H117"/>
    <mergeCell ref="L120:N120"/>
    <mergeCell ref="B222:C222"/>
    <mergeCell ref="B223:C223"/>
    <mergeCell ref="B224:C224"/>
    <mergeCell ref="B225:C225"/>
    <mergeCell ref="N150:P150"/>
    <mergeCell ref="G261:H261"/>
    <mergeCell ref="D251:E251"/>
    <mergeCell ref="C135:H135"/>
    <mergeCell ref="C136:H136"/>
    <mergeCell ref="D223:E223"/>
    <mergeCell ref="B201:Q201"/>
    <mergeCell ref="K151:L151"/>
    <mergeCell ref="B160:H160"/>
    <mergeCell ref="N160:P160"/>
    <mergeCell ref="N161:P161"/>
    <mergeCell ref="N162:P162"/>
    <mergeCell ref="I167:J167"/>
    <mergeCell ref="B166:H166"/>
    <mergeCell ref="B167:H167"/>
    <mergeCell ref="D219:E220"/>
    <mergeCell ref="K157:L157"/>
    <mergeCell ref="I154:J154"/>
    <mergeCell ref="K154:L154"/>
    <mergeCell ref="B177:P183"/>
    <mergeCell ref="B196:P199"/>
    <mergeCell ref="H206:I206"/>
    <mergeCell ref="N165:P165"/>
    <mergeCell ref="B148:P148"/>
    <mergeCell ref="N164:P164"/>
    <mergeCell ref="B153:H153"/>
    <mergeCell ref="K209:L209"/>
    <mergeCell ref="J263:L265"/>
    <mergeCell ref="B251:C251"/>
    <mergeCell ref="F222:G222"/>
    <mergeCell ref="F223:G223"/>
    <mergeCell ref="B226:C226"/>
    <mergeCell ref="K164:L164"/>
    <mergeCell ref="L219:L220"/>
    <mergeCell ref="G209:H209"/>
    <mergeCell ref="G265:H265"/>
    <mergeCell ref="C265:D265"/>
    <mergeCell ref="C263:D263"/>
    <mergeCell ref="E263:F263"/>
    <mergeCell ref="G263:H263"/>
    <mergeCell ref="G260:H260"/>
    <mergeCell ref="C261:D261"/>
    <mergeCell ref="B233:F233"/>
    <mergeCell ref="D225:E225"/>
    <mergeCell ref="F225:G225"/>
    <mergeCell ref="C173:P173"/>
    <mergeCell ref="B231:Q231"/>
    <mergeCell ref="E264:F264"/>
    <mergeCell ref="K167:L167"/>
    <mergeCell ref="C262:D262"/>
    <mergeCell ref="N111:P111"/>
    <mergeCell ref="B162:H162"/>
    <mergeCell ref="I162:J162"/>
    <mergeCell ref="B155:H155"/>
    <mergeCell ref="B156:H156"/>
    <mergeCell ref="K153:L153"/>
    <mergeCell ref="B151:H151"/>
    <mergeCell ref="I165:J165"/>
    <mergeCell ref="C141:E141"/>
    <mergeCell ref="I118:K118"/>
    <mergeCell ref="I121:K121"/>
    <mergeCell ref="O121:P121"/>
    <mergeCell ref="O118:P118"/>
    <mergeCell ref="B119:H119"/>
    <mergeCell ref="N153:P153"/>
    <mergeCell ref="N157:P157"/>
    <mergeCell ref="K150:L150"/>
    <mergeCell ref="I120:K120"/>
    <mergeCell ref="I151:J151"/>
    <mergeCell ref="B157:H157"/>
    <mergeCell ref="I157:J157"/>
    <mergeCell ref="I153:J153"/>
    <mergeCell ref="I150:J150"/>
    <mergeCell ref="C142:E142"/>
    <mergeCell ref="I119:K119"/>
    <mergeCell ref="I166:J166"/>
    <mergeCell ref="L117:N117"/>
    <mergeCell ref="B113:H113"/>
    <mergeCell ref="I113:J113"/>
    <mergeCell ref="K113:L113"/>
    <mergeCell ref="N113:P113"/>
    <mergeCell ref="K166:L166"/>
    <mergeCell ref="K165:L165"/>
    <mergeCell ref="K163:L163"/>
    <mergeCell ref="I144:J144"/>
    <mergeCell ref="B118:H118"/>
    <mergeCell ref="I114:J114"/>
    <mergeCell ref="F140:H140"/>
    <mergeCell ref="B144:H144"/>
    <mergeCell ref="C140:E140"/>
    <mergeCell ref="C143:E143"/>
    <mergeCell ref="I152:J152"/>
    <mergeCell ref="B123:H123"/>
    <mergeCell ref="B122:H122"/>
    <mergeCell ref="N163:P163"/>
    <mergeCell ref="I164:J164"/>
    <mergeCell ref="B165:H165"/>
    <mergeCell ref="B268:Q268"/>
    <mergeCell ref="L122:N122"/>
    <mergeCell ref="L123:N123"/>
    <mergeCell ref="B152:H152"/>
    <mergeCell ref="N151:P151"/>
    <mergeCell ref="N152:P152"/>
    <mergeCell ref="B171:B172"/>
    <mergeCell ref="C171:P172"/>
    <mergeCell ref="D226:E226"/>
    <mergeCell ref="F226:G226"/>
    <mergeCell ref="B227:C227"/>
    <mergeCell ref="D227:E227"/>
    <mergeCell ref="F227:G227"/>
    <mergeCell ref="B228:C228"/>
    <mergeCell ref="D228:E228"/>
    <mergeCell ref="F228:G228"/>
    <mergeCell ref="F224:G224"/>
    <mergeCell ref="N167:P167"/>
    <mergeCell ref="C259:F259"/>
    <mergeCell ref="G259:I259"/>
    <mergeCell ref="N154:P154"/>
    <mergeCell ref="I155:J155"/>
    <mergeCell ref="I156:J156"/>
    <mergeCell ref="N155:P155"/>
    <mergeCell ref="N156:P156"/>
    <mergeCell ref="I350:K350"/>
    <mergeCell ref="I351:K351"/>
    <mergeCell ref="C271:D271"/>
    <mergeCell ref="B319:D319"/>
    <mergeCell ref="B219:C220"/>
    <mergeCell ref="K162:L162"/>
    <mergeCell ref="K219:K220"/>
    <mergeCell ref="F219:G220"/>
    <mergeCell ref="F221:G221"/>
    <mergeCell ref="H207:I207"/>
    <mergeCell ref="H219:H220"/>
    <mergeCell ref="D221:E221"/>
    <mergeCell ref="D222:E222"/>
    <mergeCell ref="I219:I220"/>
    <mergeCell ref="J219:J220"/>
    <mergeCell ref="O219:P219"/>
    <mergeCell ref="H205:I205"/>
    <mergeCell ref="P275:P276"/>
    <mergeCell ref="C260:D260"/>
    <mergeCell ref="E260:F260"/>
    <mergeCell ref="E262:F262"/>
    <mergeCell ref="G262:H262"/>
    <mergeCell ref="I356:K356"/>
    <mergeCell ref="I358:K358"/>
    <mergeCell ref="I359:K359"/>
    <mergeCell ref="E265:F265"/>
    <mergeCell ref="L318:P318"/>
    <mergeCell ref="L315:P315"/>
    <mergeCell ref="L331:P331"/>
    <mergeCell ref="I348:K348"/>
    <mergeCell ref="I349:K349"/>
    <mergeCell ref="I352:K352"/>
    <mergeCell ref="I353:K353"/>
    <mergeCell ref="I354:K354"/>
    <mergeCell ref="I355:K355"/>
    <mergeCell ref="I344:K344"/>
    <mergeCell ref="B324:D324"/>
    <mergeCell ref="C272:D272"/>
    <mergeCell ref="C270:D270"/>
    <mergeCell ref="B326:D326"/>
    <mergeCell ref="B327:D327"/>
    <mergeCell ref="I465:N465"/>
    <mergeCell ref="B472:P472"/>
    <mergeCell ref="B437:C437"/>
    <mergeCell ref="I315:K315"/>
    <mergeCell ref="I316:K316"/>
    <mergeCell ref="I317:K317"/>
    <mergeCell ref="I318:K318"/>
    <mergeCell ref="B426:C426"/>
    <mergeCell ref="I373:K373"/>
    <mergeCell ref="I374:K374"/>
    <mergeCell ref="I357:K357"/>
    <mergeCell ref="B444:C444"/>
    <mergeCell ref="B446:C446"/>
    <mergeCell ref="B442:C442"/>
    <mergeCell ref="B445:C445"/>
    <mergeCell ref="B430:C430"/>
    <mergeCell ref="B461:C461"/>
    <mergeCell ref="B459:C459"/>
    <mergeCell ref="F465:H465"/>
    <mergeCell ref="F466:H466"/>
    <mergeCell ref="B460:C460"/>
    <mergeCell ref="G384:J384"/>
    <mergeCell ref="B328:D328"/>
    <mergeCell ref="I326:K326"/>
    <mergeCell ref="F20:P20"/>
    <mergeCell ref="K155:L155"/>
    <mergeCell ref="K156:L156"/>
    <mergeCell ref="I375:K375"/>
    <mergeCell ref="I376:K376"/>
    <mergeCell ref="L312:M312"/>
    <mergeCell ref="N312:O312"/>
    <mergeCell ref="L60:M60"/>
    <mergeCell ref="L61:M61"/>
    <mergeCell ref="L62:M62"/>
    <mergeCell ref="L63:M63"/>
    <mergeCell ref="L64:M64"/>
    <mergeCell ref="B150:H150"/>
    <mergeCell ref="O122:P122"/>
    <mergeCell ref="O123:P123"/>
    <mergeCell ref="I160:J160"/>
    <mergeCell ref="K160:L160"/>
    <mergeCell ref="B161:H161"/>
    <mergeCell ref="I161:J161"/>
    <mergeCell ref="K161:L161"/>
    <mergeCell ref="N109:P109"/>
    <mergeCell ref="N110:P110"/>
    <mergeCell ref="I321:K321"/>
    <mergeCell ref="I324:K324"/>
  </mergeCells>
  <phoneticPr fontId="0" type="noConversion"/>
  <dataValidations count="4">
    <dataValidation type="list" allowBlank="1" showInputMessage="1" showErrorMessage="1" sqref="C59:I59">
      <formula1>DEPARTAMENTOS</formula1>
    </dataValidation>
    <dataValidation type="list" allowBlank="1" showInputMessage="1" showErrorMessage="1" sqref="C60:I60">
      <formula1>INDIRECT($C$59)</formula1>
    </dataValidation>
    <dataValidation type="list" allowBlank="1" showInputMessage="1" showErrorMessage="1" sqref="C61:I61">
      <formula1>INDIRECT($C$60)</formula1>
    </dataValidation>
    <dataValidation type="list" allowBlank="1" showInputMessage="1" showErrorMessage="1" sqref="J103">
      <formula1>$I$21:$I$27</formula1>
    </dataValidation>
  </dataValidations>
  <printOptions horizontalCentered="1"/>
  <pageMargins left="0.25" right="0.25" top="0.75" bottom="0.75" header="0.3" footer="0.3"/>
  <pageSetup paperSize="9" scale="47" fitToHeight="0" orientation="portrait" r:id="rId1"/>
  <headerFooter alignWithMargins="0">
    <oddFooter>&amp;RPágina &amp;P de &amp;N</oddFooter>
  </headerFooter>
  <rowBreaks count="8" manualBreakCount="8">
    <brk id="84" min="1" max="15" man="1"/>
    <brk id="144" min="1" max="16" man="1"/>
    <brk id="230" min="1" max="16" man="1"/>
    <brk id="311" min="1" max="16" man="1"/>
    <brk id="379" min="1" max="15" man="1"/>
    <brk id="467" min="1" max="16" man="1"/>
    <brk id="514" min="1" max="15" man="1"/>
    <brk id="555" min="1" max="15" man="1"/>
  </rowBreaks>
  <ignoredErrors>
    <ignoredError sqref="M320 O320:P320" formulaRange="1"/>
    <ignoredError sqref="F240" formula="1"/>
  </ignoredErrors>
  <drawing r:id="rId2"/>
  <legacyDrawing r:id="rId3"/>
  <controls>
    <mc:AlternateContent xmlns:mc="http://schemas.openxmlformats.org/markup-compatibility/2006">
      <mc:Choice Requires="x14">
        <control shapeId="2049" r:id="rId4" name="TextBox1">
          <controlPr defaultSize="0" autoLine="0" r:id="rId5">
            <anchor moveWithCells="1" sizeWithCells="1">
              <from>
                <xdr:col>17</xdr:col>
                <xdr:colOff>0</xdr:colOff>
                <xdr:row>631</xdr:row>
                <xdr:rowOff>0</xdr:rowOff>
              </from>
              <to>
                <xdr:col>17</xdr:col>
                <xdr:colOff>0</xdr:colOff>
                <xdr:row>631</xdr:row>
                <xdr:rowOff>0</xdr:rowOff>
              </to>
            </anchor>
          </controlPr>
        </control>
      </mc:Choice>
      <mc:Fallback>
        <control shapeId="2049" r:id="rId4" name="TextBox1"/>
      </mc:Fallback>
    </mc:AlternateContent>
    <mc:AlternateContent xmlns:mc="http://schemas.openxmlformats.org/markup-compatibility/2006">
      <mc:Choice Requires="x14">
        <control shapeId="2050" r:id="rId6" name="SpinButton1">
          <controlPr defaultSize="0" autoLine="0" r:id="rId7">
            <anchor moveWithCells="1" sizeWithCells="1">
              <from>
                <xdr:col>17</xdr:col>
                <xdr:colOff>0</xdr:colOff>
                <xdr:row>631</xdr:row>
                <xdr:rowOff>0</xdr:rowOff>
              </from>
              <to>
                <xdr:col>17</xdr:col>
                <xdr:colOff>0</xdr:colOff>
                <xdr:row>631</xdr:row>
                <xdr:rowOff>0</xdr:rowOff>
              </to>
            </anchor>
          </controlPr>
        </control>
      </mc:Choice>
      <mc:Fallback>
        <control shapeId="2050" r:id="rId6" name="SpinButton1"/>
      </mc:Fallback>
    </mc:AlternateContent>
    <mc:AlternateContent xmlns:mc="http://schemas.openxmlformats.org/markup-compatibility/2006">
      <mc:Choice Requires="x14">
        <control shapeId="2051" r:id="rId8" name="TextBox2">
          <controlPr defaultSize="0" autoLine="0" r:id="rId9">
            <anchor moveWithCells="1" sizeWithCells="1">
              <from>
                <xdr:col>17</xdr:col>
                <xdr:colOff>0</xdr:colOff>
                <xdr:row>631</xdr:row>
                <xdr:rowOff>0</xdr:rowOff>
              </from>
              <to>
                <xdr:col>17</xdr:col>
                <xdr:colOff>0</xdr:colOff>
                <xdr:row>631</xdr:row>
                <xdr:rowOff>0</xdr:rowOff>
              </to>
            </anchor>
          </controlPr>
        </control>
      </mc:Choice>
      <mc:Fallback>
        <control shapeId="2051" r:id="rId8" name="TextBox2"/>
      </mc:Fallback>
    </mc:AlternateContent>
    <mc:AlternateContent xmlns:mc="http://schemas.openxmlformats.org/markup-compatibility/2006">
      <mc:Choice Requires="x14">
        <control shapeId="2052" r:id="rId10" name="SpinButton2">
          <controlPr defaultSize="0" autoLine="0" r:id="rId7">
            <anchor moveWithCells="1" sizeWithCells="1">
              <from>
                <xdr:col>17</xdr:col>
                <xdr:colOff>0</xdr:colOff>
                <xdr:row>631</xdr:row>
                <xdr:rowOff>0</xdr:rowOff>
              </from>
              <to>
                <xdr:col>17</xdr:col>
                <xdr:colOff>0</xdr:colOff>
                <xdr:row>631</xdr:row>
                <xdr:rowOff>0</xdr:rowOff>
              </to>
            </anchor>
          </controlPr>
        </control>
      </mc:Choice>
      <mc:Fallback>
        <control shapeId="2052" r:id="rId10" name="SpinButton2"/>
      </mc:Fallback>
    </mc:AlternateContent>
    <mc:AlternateContent xmlns:mc="http://schemas.openxmlformats.org/markup-compatibility/2006">
      <mc:Choice Requires="x14">
        <control shapeId="2053" r:id="rId11" name="TextBox3">
          <controlPr defaultSize="0" autoLine="0" r:id="rId12">
            <anchor moveWithCells="1" sizeWithCells="1">
              <from>
                <xdr:col>17</xdr:col>
                <xdr:colOff>0</xdr:colOff>
                <xdr:row>631</xdr:row>
                <xdr:rowOff>0</xdr:rowOff>
              </from>
              <to>
                <xdr:col>17</xdr:col>
                <xdr:colOff>0</xdr:colOff>
                <xdr:row>631</xdr:row>
                <xdr:rowOff>0</xdr:rowOff>
              </to>
            </anchor>
          </controlPr>
        </control>
      </mc:Choice>
      <mc:Fallback>
        <control shapeId="2053" r:id="rId11" name="TextBox3"/>
      </mc:Fallback>
    </mc:AlternateContent>
    <mc:AlternateContent xmlns:mc="http://schemas.openxmlformats.org/markup-compatibility/2006">
      <mc:Choice Requires="x14">
        <control shapeId="2054" r:id="rId13" name="SpinButton3">
          <controlPr defaultSize="0" autoLine="0" r:id="rId7">
            <anchor moveWithCells="1" sizeWithCells="1">
              <from>
                <xdr:col>17</xdr:col>
                <xdr:colOff>0</xdr:colOff>
                <xdr:row>631</xdr:row>
                <xdr:rowOff>0</xdr:rowOff>
              </from>
              <to>
                <xdr:col>17</xdr:col>
                <xdr:colOff>0</xdr:colOff>
                <xdr:row>631</xdr:row>
                <xdr:rowOff>0</xdr:rowOff>
              </to>
            </anchor>
          </controlPr>
        </control>
      </mc:Choice>
      <mc:Fallback>
        <control shapeId="2054" r:id="rId13" name="SpinButton3"/>
      </mc:Fallback>
    </mc:AlternateContent>
    <mc:AlternateContent xmlns:mc="http://schemas.openxmlformats.org/markup-compatibility/2006">
      <mc:Choice Requires="x14">
        <control shapeId="2055" r:id="rId14" name="TextBox4">
          <controlPr defaultSize="0" autoLine="0" r:id="rId15">
            <anchor moveWithCells="1" sizeWithCells="1">
              <from>
                <xdr:col>4</xdr:col>
                <xdr:colOff>381000</xdr:colOff>
                <xdr:row>631</xdr:row>
                <xdr:rowOff>0</xdr:rowOff>
              </from>
              <to>
                <xdr:col>4</xdr:col>
                <xdr:colOff>381000</xdr:colOff>
                <xdr:row>631</xdr:row>
                <xdr:rowOff>0</xdr:rowOff>
              </to>
            </anchor>
          </controlPr>
        </control>
      </mc:Choice>
      <mc:Fallback>
        <control shapeId="2055" r:id="rId14" name="TextBox4"/>
      </mc:Fallback>
    </mc:AlternateContent>
    <mc:AlternateContent xmlns:mc="http://schemas.openxmlformats.org/markup-compatibility/2006">
      <mc:Choice Requires="x14">
        <control shapeId="2056" r:id="rId16" name="SpinButton4">
          <controlPr defaultSize="0" autoLine="0" r:id="rId7">
            <anchor moveWithCells="1" sizeWithCells="1">
              <from>
                <xdr:col>5</xdr:col>
                <xdr:colOff>228600</xdr:colOff>
                <xdr:row>631</xdr:row>
                <xdr:rowOff>0</xdr:rowOff>
              </from>
              <to>
                <xdr:col>5</xdr:col>
                <xdr:colOff>228600</xdr:colOff>
                <xdr:row>631</xdr:row>
                <xdr:rowOff>0</xdr:rowOff>
              </to>
            </anchor>
          </controlPr>
        </control>
      </mc:Choice>
      <mc:Fallback>
        <control shapeId="2056" r:id="rId16" name="SpinButton4"/>
      </mc:Fallback>
    </mc:AlternateContent>
    <mc:AlternateContent xmlns:mc="http://schemas.openxmlformats.org/markup-compatibility/2006">
      <mc:Choice Requires="x14">
        <control shapeId="2057" r:id="rId17" name="TextBox5">
          <controlPr defaultSize="0" autoLine="0" autoPict="0" r:id="rId18">
            <anchor moveWithCells="1" sizeWithCells="1">
              <from>
                <xdr:col>10</xdr:col>
                <xdr:colOff>333375</xdr:colOff>
                <xdr:row>631</xdr:row>
                <xdr:rowOff>0</xdr:rowOff>
              </from>
              <to>
                <xdr:col>10</xdr:col>
                <xdr:colOff>523875</xdr:colOff>
                <xdr:row>631</xdr:row>
                <xdr:rowOff>0</xdr:rowOff>
              </to>
            </anchor>
          </controlPr>
        </control>
      </mc:Choice>
      <mc:Fallback>
        <control shapeId="2057" r:id="rId17" name="TextBox5"/>
      </mc:Fallback>
    </mc:AlternateContent>
    <mc:AlternateContent xmlns:mc="http://schemas.openxmlformats.org/markup-compatibility/2006">
      <mc:Choice Requires="x14">
        <control shapeId="2058" r:id="rId19" name="SpinButton5">
          <controlPr defaultSize="0" autoLine="0" r:id="rId7">
            <anchor moveWithCells="1" sizeWithCells="1">
              <from>
                <xdr:col>11</xdr:col>
                <xdr:colOff>314325</xdr:colOff>
                <xdr:row>631</xdr:row>
                <xdr:rowOff>0</xdr:rowOff>
              </from>
              <to>
                <xdr:col>11</xdr:col>
                <xdr:colOff>314325</xdr:colOff>
                <xdr:row>631</xdr:row>
                <xdr:rowOff>0</xdr:rowOff>
              </to>
            </anchor>
          </controlPr>
        </control>
      </mc:Choice>
      <mc:Fallback>
        <control shapeId="2058" r:id="rId19" name="SpinButton5"/>
      </mc:Fallback>
    </mc:AlternateContent>
    <mc:AlternateContent xmlns:mc="http://schemas.openxmlformats.org/markup-compatibility/2006">
      <mc:Choice Requires="x14">
        <control shapeId="2059" r:id="rId20" name="TextBox6">
          <controlPr defaultSize="0" autoLine="0" autoPict="0" r:id="rId21">
            <anchor moveWithCells="1" sizeWithCells="1">
              <from>
                <xdr:col>14</xdr:col>
                <xdr:colOff>0</xdr:colOff>
                <xdr:row>631</xdr:row>
                <xdr:rowOff>0</xdr:rowOff>
              </from>
              <to>
                <xdr:col>16</xdr:col>
                <xdr:colOff>228600</xdr:colOff>
                <xdr:row>631</xdr:row>
                <xdr:rowOff>0</xdr:rowOff>
              </to>
            </anchor>
          </controlPr>
        </control>
      </mc:Choice>
      <mc:Fallback>
        <control shapeId="2059" r:id="rId20" name="TextBox6"/>
      </mc:Fallback>
    </mc:AlternateContent>
    <mc:AlternateContent xmlns:mc="http://schemas.openxmlformats.org/markup-compatibility/2006">
      <mc:Choice Requires="x14">
        <control shapeId="2060" r:id="rId22" name="SpinButton6">
          <controlPr defaultSize="0" autoLine="0" autoPict="0" r:id="rId23">
            <anchor moveWithCells="1" sizeWithCells="1">
              <from>
                <xdr:col>16</xdr:col>
                <xdr:colOff>66675</xdr:colOff>
                <xdr:row>631</xdr:row>
                <xdr:rowOff>0</xdr:rowOff>
              </from>
              <to>
                <xdr:col>16</xdr:col>
                <xdr:colOff>238125</xdr:colOff>
                <xdr:row>631</xdr:row>
                <xdr:rowOff>0</xdr:rowOff>
              </to>
            </anchor>
          </controlPr>
        </control>
      </mc:Choice>
      <mc:Fallback>
        <control shapeId="2060" r:id="rId22" name="Spin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5">
        <x14:dataValidation type="list" allowBlank="1" showInputMessage="1" showErrorMessage="1">
          <x14:formula1>
            <xm:f>base1!$J$63:$J$64</xm:f>
          </x14:formula1>
          <xm:sqref>J71</xm:sqref>
        </x14:dataValidation>
        <x14:dataValidation type="list" allowBlank="1" showInputMessage="1" showErrorMessage="1">
          <x14:formula1>
            <xm:f>base1!$I$68:$I$69</xm:f>
          </x14:formula1>
          <xm:sqref>I75</xm:sqref>
        </x14:dataValidation>
        <x14:dataValidation type="list" allowBlank="1" showInputMessage="1" showErrorMessage="1">
          <x14:formula1>
            <xm:f>base1!$I$71:$I$72</xm:f>
          </x14:formula1>
          <xm:sqref>I77</xm:sqref>
        </x14:dataValidation>
        <x14:dataValidation type="list" allowBlank="1" showInputMessage="1" showErrorMessage="1">
          <x14:formula1>
            <xm:f>base1!$J$75:$M$75</xm:f>
          </x14:formula1>
          <xm:sqref>K79:L79</xm:sqref>
        </x14:dataValidation>
        <x14:dataValidation type="list" allowBlank="1" showInputMessage="1" showErrorMessage="1">
          <x14:formula1>
            <xm:f>base1!$G$80:$G$81</xm:f>
          </x14:formula1>
          <xm:sqref>G83:H83</xm:sqref>
        </x14:dataValidation>
        <x14:dataValidation type="list" allowBlank="1" showInputMessage="1" showErrorMessage="1">
          <x14:formula1>
            <xm:f>base1!$F$11:$F$15</xm:f>
          </x14:formula1>
          <xm:sqref>F19:P19</xm:sqref>
        </x14:dataValidation>
        <x14:dataValidation type="list" allowBlank="1" showInputMessage="1" showErrorMessage="1">
          <x14:formula1>
            <xm:f>base1!$D$42:$D$43</xm:f>
          </x14:formula1>
          <xm:sqref>D38</xm:sqref>
        </x14:dataValidation>
        <x14:dataValidation type="list" allowBlank="1" showInputMessage="1" showErrorMessage="1">
          <x14:formula1>
            <xm:f>base1!$J$42:$J$43</xm:f>
          </x14:formula1>
          <xm:sqref>J38</xm:sqref>
        </x14:dataValidation>
        <x14:dataValidation type="list" allowBlank="1" showInputMessage="1" showErrorMessage="1">
          <x14:formula1>
            <xm:f>base1!$J$47:$J$48</xm:f>
          </x14:formula1>
          <xm:sqref>J42</xm:sqref>
        </x14:dataValidation>
        <x14:dataValidation type="list" allowBlank="1" showInputMessage="1" showErrorMessage="1">
          <x14:formula1>
            <xm:f>base1!$J$49:$J$50</xm:f>
          </x14:formula1>
          <xm:sqref>J43</xm:sqref>
        </x14:dataValidation>
        <x14:dataValidation type="list" allowBlank="1" showInputMessage="1" showErrorMessage="1">
          <x14:formula1>
            <xm:f>base!$B$14:$B$15</xm:f>
          </x14:formula1>
          <xm:sqref>B97:P97</xm:sqref>
        </x14:dataValidation>
        <x14:dataValidation type="list" allowBlank="1" showInputMessage="1" showErrorMessage="1">
          <x14:formula1>
            <xm:f>base!$J$18:$J$19</xm:f>
          </x14:formula1>
          <xm:sqref>K99:L101</xm:sqref>
        </x14:dataValidation>
        <x14:dataValidation type="list" allowBlank="1" showInputMessage="1" showErrorMessage="1">
          <x14:formula1>
            <xm:f>base!$M$18:$M$19</xm:f>
          </x14:formula1>
          <xm:sqref>N99:P101</xm:sqref>
        </x14:dataValidation>
        <x14:dataValidation type="list" allowBlank="1" showInputMessage="1" showErrorMessage="1">
          <x14:formula1>
            <xm:f>base!$I$28:$I$34</xm:f>
          </x14:formula1>
          <xm:sqref>I103:I105</xm:sqref>
        </x14:dataValidation>
        <x14:dataValidation type="list" allowBlank="1" showInputMessage="1" showErrorMessage="1">
          <x14:formula1>
            <xm:f>base!$J$28:$J$29</xm:f>
          </x14:formula1>
          <xm:sqref>K103:L105</xm:sqref>
        </x14:dataValidation>
        <x14:dataValidation type="list" allowBlank="1" showInputMessage="1" showErrorMessage="1">
          <x14:formula1>
            <xm:f>base!$B$42:$B$44</xm:f>
          </x14:formula1>
          <xm:sqref>B108:H109</xm:sqref>
        </x14:dataValidation>
        <x14:dataValidation type="list" allowBlank="1" showInputMessage="1" showErrorMessage="1">
          <x14:formula1>
            <xm:f>base!$B$45:$B$47</xm:f>
          </x14:formula1>
          <xm:sqref>B111:H112</xm:sqref>
        </x14:dataValidation>
        <x14:dataValidation type="list" allowBlank="1" showInputMessage="1" showErrorMessage="1">
          <x14:formula1>
            <xm:f>base1!$B$126:$B$131</xm:f>
          </x14:formula1>
          <xm:sqref>B118:H123</xm:sqref>
        </x14:dataValidation>
        <x14:dataValidation type="list" allowBlank="1" showInputMessage="1" showErrorMessage="1">
          <x14:formula1>
            <xm:f>base!$B$55:$B$56</xm:f>
          </x14:formula1>
          <xm:sqref>B148:P148</xm:sqref>
        </x14:dataValidation>
        <x14:dataValidation type="list" allowBlank="1" showInputMessage="1" showErrorMessage="1">
          <x14:formula1>
            <xm:f>base!$B$83:$B$85</xm:f>
          </x14:formula1>
          <xm:sqref>B161:H162</xm:sqref>
        </x14:dataValidation>
        <x14:dataValidation type="list" allowBlank="1" showInputMessage="1" showErrorMessage="1">
          <x14:formula1>
            <xm:f>base!$B$86:$B$88</xm:f>
          </x14:formula1>
          <xm:sqref>B164:H165</xm:sqref>
        </x14:dataValidation>
        <x14:dataValidation type="list" allowBlank="1" showInputMessage="1" showErrorMessage="1">
          <x14:formula1>
            <xm:f>base!$B$89</xm:f>
          </x14:formula1>
          <xm:sqref>B167:H167</xm:sqref>
        </x14:dataValidation>
        <x14:dataValidation type="list" allowBlank="1" showInputMessage="1" showErrorMessage="1">
          <x14:formula1>
            <xm:f>base1!$D$195:$D$196</xm:f>
          </x14:formula1>
          <xm:sqref>D221:E228</xm:sqref>
        </x14:dataValidation>
        <x14:dataValidation type="list" allowBlank="1" showInputMessage="1" showErrorMessage="1">
          <x14:formula1>
            <xm:f>base1!$I$195:$I$196</xm:f>
          </x14:formula1>
          <xm:sqref>I221:I228</xm:sqref>
        </x14:dataValidation>
        <x14:dataValidation type="list" allowBlank="1" showInputMessage="1" showErrorMessage="1">
          <x14:formula1>
            <xm:f>base1!$K$195:$K$196</xm:f>
          </x14:formula1>
          <xm:sqref>K221:K228</xm:sqref>
        </x14:dataValidation>
        <x14:dataValidation type="list" allowBlank="1" showInputMessage="1" showErrorMessage="1">
          <x14:formula1>
            <xm:f>base1!$M$195:$M$196</xm:f>
          </x14:formula1>
          <xm:sqref>M221:M228</xm:sqref>
        </x14:dataValidation>
        <x14:dataValidation type="list" allowBlank="1" showInputMessage="1" showErrorMessage="1">
          <x14:formula1>
            <xm:f>base1!$S$194:$S$195</xm:f>
          </x14:formula1>
          <xm:sqref>D247</xm:sqref>
        </x14:dataValidation>
        <x14:dataValidation type="list" allowBlank="1" showInputMessage="1" showErrorMessage="1">
          <x14:formula1>
            <xm:f>base1!$T$194:$T$195</xm:f>
          </x14:formula1>
          <xm:sqref>D248</xm:sqref>
        </x14:dataValidation>
        <x14:dataValidation type="list" allowBlank="1" showInputMessage="1" showErrorMessage="1">
          <x14:formula1>
            <xm:f>base1!$U$194</xm:f>
          </x14:formula1>
          <xm:sqref>D249</xm:sqref>
        </x14:dataValidation>
        <x14:dataValidation type="list" allowBlank="1" showInputMessage="1" showErrorMessage="1">
          <x14:formula1>
            <xm:f>base1!$C$28:$C$30</xm:f>
          </x14:formula1>
          <xm:sqref>F24</xm:sqref>
        </x14:dataValidation>
        <x14:dataValidation type="list" allowBlank="1" showInputMessage="1" showErrorMessage="1">
          <x14:formula1>
            <xm:f>base1!$C$31</xm:f>
          </x14:formula1>
          <xm:sqref>F25</xm:sqref>
        </x14:dataValidation>
        <x14:dataValidation type="list" allowBlank="1" showInputMessage="1" showErrorMessage="1">
          <x14:formula1>
            <xm:f>base1!$C$32</xm:f>
          </x14:formula1>
          <xm:sqref>F26</xm:sqref>
        </x14:dataValidation>
        <x14:dataValidation type="list" allowBlank="1" showInputMessage="1" showErrorMessage="1">
          <x14:formula1>
            <xm:f>base1!$C$33</xm:f>
          </x14:formula1>
          <xm:sqref>F27</xm:sqref>
        </x14:dataValidation>
        <x14:dataValidation type="list" allowBlank="1" showInputMessage="1" showErrorMessage="1">
          <x14:formula1>
            <xm:f>base1!$C$34</xm:f>
          </x14:formula1>
          <xm:sqref>F28</xm:sqref>
        </x14:dataValidation>
        <x14:dataValidation type="list" allowBlank="1" showInputMessage="1" showErrorMessage="1">
          <x14:formula1>
            <xm:f>base!$I$42:$I$45</xm:f>
          </x14:formula1>
          <xm:sqref>I161:J162 I108:J109 I111:J112</xm:sqref>
        </x14:dataValidation>
        <x14:dataValidation type="list" allowBlank="1" showInputMessage="1" showErrorMessage="1">
          <x14:formula1>
            <xm:f>base!$J$42</xm:f>
          </x14:formula1>
          <xm:sqref>K161:L162 K108:L109 K111:L112 K114:L114 K167:L167</xm:sqref>
        </x14:dataValidation>
        <x14:dataValidation type="list" allowBlank="1" showInputMessage="1" showErrorMessage="1">
          <x14:formula1>
            <xm:f>base!$M$42:$M$44</xm:f>
          </x14:formula1>
          <xm:sqref>N161:P162 N108:P109 N111:P112</xm:sqref>
        </x14:dataValidation>
        <x14:dataValidation type="list" allowBlank="1" showInputMessage="1" showErrorMessage="1">
          <x14:formula1>
            <xm:f>base1!$C$101:$D$101</xm:f>
          </x14:formula1>
          <xm:sqref>C486:C491</xm:sqref>
        </x14:dataValidation>
        <x14:dataValidation type="list" allowBlank="1" showInputMessage="1" showErrorMessage="1">
          <x14:formula1>
            <xm:f>base1!$F$101:$G$101</xm:f>
          </x14:formula1>
          <xm:sqref>D486:D491</xm:sqref>
        </x14:dataValidation>
        <x14:dataValidation type="list" allowBlank="1" showInputMessage="1" showErrorMessage="1">
          <x14:formula1>
            <xm:f>base1!$H$101:$J$101</xm:f>
          </x14:formula1>
          <xm:sqref>E486:E491</xm:sqref>
        </x14:dataValidation>
        <x14:dataValidation type="list" allowBlank="1" showInputMessage="1" showErrorMessage="1">
          <x14:formula1>
            <xm:f>base!$B$18:$B$20</xm:f>
          </x14:formula1>
          <xm:sqref>B99:H101</xm:sqref>
        </x14:dataValidation>
        <x14:dataValidation type="list" allowBlank="1" showInputMessage="1" showErrorMessage="1">
          <x14:formula1>
            <xm:f>base!$B$28:$B$31</xm:f>
          </x14:formula1>
          <xm:sqref>B103:H103</xm:sqref>
        </x14:dataValidation>
        <x14:dataValidation type="list" allowBlank="1" showInputMessage="1" showErrorMessage="1">
          <x14:formula1>
            <xm:f>base!$B$32:$B$37</xm:f>
          </x14:formula1>
          <xm:sqref>B104:H104</xm:sqref>
        </x14:dataValidation>
        <x14:dataValidation type="list" allowBlank="1" showInputMessage="1" showErrorMessage="1">
          <x14:formula1>
            <xm:f>base!$B$38:$B$39</xm:f>
          </x14:formula1>
          <xm:sqref>B105:H105</xm:sqref>
        </x14:dataValidation>
        <x14:dataValidation type="list" allowBlank="1" showInputMessage="1" showErrorMessage="1">
          <x14:formula1>
            <xm:f>base!$B$59:$B$61</xm:f>
          </x14:formula1>
          <xm:sqref>B151:H153</xm:sqref>
        </x14:dataValidation>
        <x14:dataValidation type="list" allowBlank="1" showInputMessage="1" showErrorMessage="1">
          <x14:formula1>
            <xm:f>base!$B$69:$B$72</xm:f>
          </x14:formula1>
          <xm:sqref>B155:H155</xm:sqref>
        </x14:dataValidation>
        <x14:dataValidation type="list" allowBlank="1" showInputMessage="1" showErrorMessage="1">
          <x14:formula1>
            <xm:f>base!$B$73:$B$78</xm:f>
          </x14:formula1>
          <xm:sqref>B156:H156</xm:sqref>
        </x14:dataValidation>
        <x14:dataValidation type="list" allowBlank="1" showInputMessage="1" showErrorMessage="1">
          <x14:formula1>
            <xm:f>base!$B$79:$B$80</xm:f>
          </x14:formula1>
          <xm:sqref>B157:H157</xm:sqref>
        </x14:dataValidation>
        <x14:dataValidation type="list" allowBlank="1" showInputMessage="1" showErrorMessage="1">
          <x14:formula1>
            <xm:f>base1!$K$294:$K$298</xm:f>
          </x14:formula1>
          <xm:sqref>D493:I493</xm:sqref>
        </x14:dataValidation>
        <x14:dataValidation type="list" allowBlank="1" showInputMessage="1" showErrorMessage="1">
          <x14:formula1>
            <xm:f>base1!$F$7</xm:f>
          </x14:formula1>
          <xm:sqref>H12:I12</xm:sqref>
        </x14:dataValidation>
        <x14:dataValidation type="list" allowBlank="1" showInputMessage="1" showErrorMessage="1">
          <x14:formula1>
            <xm:f>base1!$C$242:$C$243</xm:f>
          </x14:formula1>
          <xm:sqref>C173:P173</xm:sqref>
        </x14:dataValidation>
        <x14:dataValidation type="list" allowBlank="1" showInputMessage="1" showErrorMessage="1">
          <x14:formula1>
            <xm:f>base1!$D$365:$D$367</xm:f>
          </x14:formula1>
          <xm:sqref>F476:H476</xm:sqref>
        </x14:dataValidation>
        <x14:dataValidation type="list" allowBlank="1" showInputMessage="1" showErrorMessage="1">
          <x14:formula1>
            <xm:f>base1!$F$9</xm:f>
          </x14:formula1>
          <xm:sqref>H14:P14</xm:sqref>
        </x14:dataValidation>
        <x14:dataValidation type="list" allowBlank="1" showInputMessage="1" showErrorMessage="1">
          <x14:formula1>
            <xm:f>base1!$F$18:$F$20</xm:f>
          </x14:formula1>
          <xm:sqref>F17:H17</xm:sqref>
        </x14:dataValidation>
        <x14:dataValidation type="list" allowBlank="1" showInputMessage="1" showErrorMessage="1">
          <x14:formula1>
            <xm:f>base!$B$8</xm:f>
          </x14:formula1>
          <xm:sqref>L17:P17</xm:sqref>
        </x14:dataValidation>
        <x14:dataValidation type="list" allowBlank="1" showInputMessage="1" showErrorMessage="1">
          <x14:formula1>
            <xm:f>base1!$I$19</xm:f>
          </x14:formula1>
          <xm:sqref>I17:K17</xm:sqref>
        </x14:dataValidation>
        <x14:dataValidation type="list" allowBlank="1" showInputMessage="1" showErrorMessage="1">
          <x14:formula1>
            <xm:f>base!$B$48</xm:f>
          </x14:formula1>
          <xm:sqref>B114:H114</xm:sqref>
        </x14:dataValidation>
        <x14:dataValidation type="list" allowBlank="1" showInputMessage="1" showErrorMessage="1">
          <x14:formula1>
            <xm:f>base!$I$18:$I$20</xm:f>
          </x14:formula1>
          <xm:sqref>I99:J101</xm:sqref>
        </x14:dataValidation>
        <x14:dataValidation type="list" allowBlank="1" showInputMessage="1" showErrorMessage="1">
          <x14:formula1>
            <xm:f>base!$M$28:$M$30</xm:f>
          </x14:formula1>
          <xm:sqref>N103:P105</xm:sqref>
        </x14:dataValidation>
        <x14:dataValidation type="list" allowBlank="1" showInputMessage="1" showErrorMessage="1">
          <x14:formula1>
            <xm:f>base!$I$45</xm:f>
          </x14:formula1>
          <xm:sqref>I114:J114 I167:J167</xm:sqref>
        </x14:dataValidation>
        <x14:dataValidation type="list" allowBlank="1" showInputMessage="1" showErrorMessage="1">
          <x14:formula1>
            <xm:f>base!$M$42</xm:f>
          </x14:formula1>
          <xm:sqref>N114:P114</xm:sqref>
        </x14:dataValidation>
        <x14:dataValidation type="list" allowBlank="1" showInputMessage="1" showErrorMessage="1">
          <x14:formula1>
            <xm:f>base1!$I$126:$I$129</xm:f>
          </x14:formula1>
          <xm:sqref>I118:K124</xm:sqref>
        </x14:dataValidation>
        <x14:dataValidation type="list" allowBlank="1" showInputMessage="1" showErrorMessage="1">
          <x14:formula1>
            <xm:f>base1!$C$158</xm:f>
          </x14:formula1>
          <xm:sqref>C129:H129</xm:sqref>
        </x14:dataValidation>
        <x14:dataValidation type="list" allowBlank="1" showInputMessage="1" showErrorMessage="1">
          <x14:formula1>
            <xm:f>base1!$C$160</xm:f>
          </x14:formula1>
          <xm:sqref>C131:H131</xm:sqref>
        </x14:dataValidation>
        <x14:dataValidation type="list" allowBlank="1" showInputMessage="1" showErrorMessage="1">
          <x14:formula1>
            <xm:f>base1!$C$162</xm:f>
          </x14:formula1>
          <xm:sqref>C134:H134</xm:sqref>
        </x14:dataValidation>
        <x14:dataValidation type="list" allowBlank="1" showInputMessage="1" showErrorMessage="1">
          <x14:formula1>
            <xm:f>base1!$C$164</xm:f>
          </x14:formula1>
          <xm:sqref>C136:H136</xm:sqref>
        </x14:dataValidation>
        <x14:dataValidation type="list" allowBlank="1" showInputMessage="1" showErrorMessage="1">
          <x14:formula1>
            <xm:f>base!$B$94:$B$103</xm:f>
          </x14:formula1>
          <xm:sqref>N59:P59</xm:sqref>
        </x14:dataValidation>
        <x14:dataValidation type="list" allowBlank="1" showInputMessage="1" showErrorMessage="1">
          <x14:formula1>
            <xm:f>base1!$C$311</xm:f>
          </x14:formula1>
          <xm:sqref>C399:D399</xm:sqref>
        </x14:dataValidation>
        <x14:dataValidation type="list" allowBlank="1" showInputMessage="1" showErrorMessage="1">
          <x14:formula1>
            <xm:f>base1!$C$312</xm:f>
          </x14:formula1>
          <xm:sqref>C400:D400</xm:sqref>
        </x14:dataValidation>
        <x14:dataValidation type="list" allowBlank="1" showInputMessage="1" showErrorMessage="1">
          <x14:formula1>
            <xm:f>base1!$C$313</xm:f>
          </x14:formula1>
          <xm:sqref>C401:D401</xm:sqref>
        </x14:dataValidation>
        <x14:dataValidation type="list" allowBlank="1" showInputMessage="1" showErrorMessage="1">
          <x14:formula1>
            <xm:f>base1!$C$314</xm:f>
          </x14:formula1>
          <xm:sqref>C402:D402</xm:sqref>
        </x14:dataValidation>
        <x14:dataValidation type="list" allowBlank="1" showInputMessage="1" showErrorMessage="1">
          <x14:formula1>
            <xm:f>base1!$C$166</xm:f>
          </x14:formula1>
          <xm:sqref>F190</xm:sqref>
        </x14:dataValidation>
        <x14:dataValidation type="list" allowBlank="1" showInputMessage="1" showErrorMessage="1">
          <x14:formula1>
            <xm:f>base!$I$60:$I$62</xm:f>
          </x14:formula1>
          <xm:sqref>I151:J153</xm:sqref>
        </x14:dataValidation>
        <x14:dataValidation type="list" allowBlank="1" showInputMessage="1" showErrorMessage="1">
          <x14:formula1>
            <xm:f>base!$J$60:$J$61</xm:f>
          </x14:formula1>
          <xm:sqref>K151:L153</xm:sqref>
        </x14:dataValidation>
        <x14:dataValidation type="list" allowBlank="1" showInputMessage="1" showErrorMessage="1">
          <x14:formula1>
            <xm:f>base!$M$60:$M$61</xm:f>
          </x14:formula1>
          <xm:sqref>N151:P153 N155:P157</xm:sqref>
        </x14:dataValidation>
        <x14:dataValidation type="list" allowBlank="1" showInputMessage="1" showErrorMessage="1">
          <x14:formula1>
            <xm:f>base!$I$69:$I$75</xm:f>
          </x14:formula1>
          <xm:sqref>I155:J157</xm:sqref>
        </x14:dataValidation>
        <x14:dataValidation type="list" allowBlank="1" showInputMessage="1" showErrorMessage="1">
          <x14:formula1>
            <xm:f>base!$J$69:$J$70</xm:f>
          </x14:formula1>
          <xm:sqref>K155:L157</xm:sqref>
        </x14:dataValidation>
        <x14:dataValidation type="list" allowBlank="1" showInputMessage="1" showErrorMessage="1">
          <x14:formula1>
            <xm:f>base!$I$82:$I$85</xm:f>
          </x14:formula1>
          <xm:sqref>I164:J165</xm:sqref>
        </x14:dataValidation>
        <x14:dataValidation type="list" allowBlank="1" showInputMessage="1" showErrorMessage="1">
          <x14:formula1>
            <xm:f>base!$J$82</xm:f>
          </x14:formula1>
          <xm:sqref>K164:L165</xm:sqref>
        </x14:dataValidation>
        <x14:dataValidation type="list" allowBlank="1" showInputMessage="1" showErrorMessage="1">
          <x14:formula1>
            <xm:f>base!$M$82:$M$84</xm:f>
          </x14:formula1>
          <xm:sqref>N164:P165</xm:sqref>
        </x14:dataValidation>
        <x14:dataValidation type="list" allowBlank="1" showInputMessage="1" showErrorMessage="1">
          <x14:formula1>
            <xm:f>base!$M$82</xm:f>
          </x14:formula1>
          <xm:sqref>N167:P167</xm:sqref>
        </x14:dataValidation>
        <x14:dataValidation type="list" allowBlank="1" showInputMessage="1" showErrorMessage="1">
          <x14:formula1>
            <xm:f>base1!$N$60:$N$61</xm:f>
          </x14:formula1>
          <xm:sqref>N63:P63</xm:sqref>
        </x14:dataValidation>
        <x14:dataValidation type="list" allowBlank="1" showInputMessage="1" showErrorMessage="1">
          <x14:formula1>
            <xm:f>base1!$B$169:$B$171</xm:f>
          </x14:formula1>
          <xm:sqref>B141:B143</xm:sqref>
        </x14:dataValidation>
        <x14:dataValidation type="list" allowBlank="1" showInputMessage="1" showErrorMessage="1">
          <x14:formula1>
            <xm:f>base1!$F$169:$F$171</xm:f>
          </x14:formula1>
          <xm:sqref>F141:H143</xm:sqref>
        </x14:dataValidation>
        <x14:dataValidation type="list" allowBlank="1" showInputMessage="1" showErrorMessage="1">
          <x14:formula1>
            <xm:f>base!$B$105:$B$129</xm:f>
          </x14:formula1>
          <xm:sqref>N60:P60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232</vt:i4>
      </vt:variant>
    </vt:vector>
  </HeadingPairs>
  <TitlesOfParts>
    <vt:vector size="237" baseType="lpstr">
      <vt:lpstr>DISTRITO</vt:lpstr>
      <vt:lpstr>base</vt:lpstr>
      <vt:lpstr>PROV</vt:lpstr>
      <vt:lpstr>base1</vt:lpstr>
      <vt:lpstr>FORMATO INVIERTE.PE 1</vt:lpstr>
      <vt:lpstr>ABANCAY</vt:lpstr>
      <vt:lpstr>ACOBAMBA</vt:lpstr>
      <vt:lpstr>ACOMAYO</vt:lpstr>
      <vt:lpstr>AIJA</vt:lpstr>
      <vt:lpstr>ALTOAMAZONAS</vt:lpstr>
      <vt:lpstr>AMAZONAS</vt:lpstr>
      <vt:lpstr>AMBO</vt:lpstr>
      <vt:lpstr>ANCASH</vt:lpstr>
      <vt:lpstr>ANDAHUAYLAS</vt:lpstr>
      <vt:lpstr>ANGARAES</vt:lpstr>
      <vt:lpstr>ANTA</vt:lpstr>
      <vt:lpstr>ANTABAMBA</vt:lpstr>
      <vt:lpstr>ANTONIORAIMONDI</vt:lpstr>
      <vt:lpstr>APURIMAC</vt:lpstr>
      <vt:lpstr>base1!Área_de_impresión</vt:lpstr>
      <vt:lpstr>DISTRITO!Área_de_impresión</vt:lpstr>
      <vt:lpstr>'FORMATO INVIERTE.PE 1'!Área_de_impresión</vt:lpstr>
      <vt:lpstr>PROV!Área_de_impresión</vt:lpstr>
      <vt:lpstr>AREQUIPA</vt:lpstr>
      <vt:lpstr>AREQUIPA_</vt:lpstr>
      <vt:lpstr>ASCOPE</vt:lpstr>
      <vt:lpstr>ASUNCION</vt:lpstr>
      <vt:lpstr>ATALAYA</vt:lpstr>
      <vt:lpstr>AYABACA</vt:lpstr>
      <vt:lpstr>AYACUCHO</vt:lpstr>
      <vt:lpstr>AYMARAES</vt:lpstr>
      <vt:lpstr>AZANGARO</vt:lpstr>
      <vt:lpstr>BAGUA</vt:lpstr>
      <vt:lpstr>BARRANCA</vt:lpstr>
      <vt:lpstr>BELLAVISTA</vt:lpstr>
      <vt:lpstr>BOLIVAR</vt:lpstr>
      <vt:lpstr>BOLOGNESI</vt:lpstr>
      <vt:lpstr>BONGARA</vt:lpstr>
      <vt:lpstr>CAJABAMBA</vt:lpstr>
      <vt:lpstr>CAJAMARCA</vt:lpstr>
      <vt:lpstr>CAJAMARCA_</vt:lpstr>
      <vt:lpstr>CAJATAMBO</vt:lpstr>
      <vt:lpstr>CALCA</vt:lpstr>
      <vt:lpstr>CALLAO</vt:lpstr>
      <vt:lpstr>CALLAO_</vt:lpstr>
      <vt:lpstr>CAMANA</vt:lpstr>
      <vt:lpstr>CANAS</vt:lpstr>
      <vt:lpstr>CANCHIS</vt:lpstr>
      <vt:lpstr>CANDAVARE</vt:lpstr>
      <vt:lpstr>CANGALLO</vt:lpstr>
      <vt:lpstr>CANTA</vt:lpstr>
      <vt:lpstr>CAÑETE</vt:lpstr>
      <vt:lpstr>CARABAYA</vt:lpstr>
      <vt:lpstr>CARAVELI</vt:lpstr>
      <vt:lpstr>CARHUAZ</vt:lpstr>
      <vt:lpstr>CARLOSFITZCARRALD</vt:lpstr>
      <vt:lpstr>CASMA</vt:lpstr>
      <vt:lpstr>CASTILLA</vt:lpstr>
      <vt:lpstr>CASTROVIRREYNA</vt:lpstr>
      <vt:lpstr>CAYLLOMA</vt:lpstr>
      <vt:lpstr>CELENDIN</vt:lpstr>
      <vt:lpstr>CHACAS</vt:lpstr>
      <vt:lpstr>CHACHAPOYAS</vt:lpstr>
      <vt:lpstr>CHANCHAMAYO</vt:lpstr>
      <vt:lpstr>CHEPEN</vt:lpstr>
      <vt:lpstr>CHICLAYO</vt:lpstr>
      <vt:lpstr>CHINCHA</vt:lpstr>
      <vt:lpstr>CHINCHEROS</vt:lpstr>
      <vt:lpstr>CHOTA</vt:lpstr>
      <vt:lpstr>CHUCUITO</vt:lpstr>
      <vt:lpstr>CHUMBIVILCAS</vt:lpstr>
      <vt:lpstr>CHUPACA</vt:lpstr>
      <vt:lpstr>CHURCAMPA</vt:lpstr>
      <vt:lpstr>CIUDADES</vt:lpstr>
      <vt:lpstr>CONCEPCION</vt:lpstr>
      <vt:lpstr>CONDESUYOS</vt:lpstr>
      <vt:lpstr>CONDORCANQUI</vt:lpstr>
      <vt:lpstr>CONTRALMIRANTEVILLAR</vt:lpstr>
      <vt:lpstr>CONTUMAZA</vt:lpstr>
      <vt:lpstr>CORONELPORTILLO</vt:lpstr>
      <vt:lpstr>CORONGO</vt:lpstr>
      <vt:lpstr>COTABAMBAS</vt:lpstr>
      <vt:lpstr>CUSCO</vt:lpstr>
      <vt:lpstr>CUSCO_</vt:lpstr>
      <vt:lpstr>CUTERVO</vt:lpstr>
      <vt:lpstr>DANIELALCIDESCARRION</vt:lpstr>
      <vt:lpstr>DATEM</vt:lpstr>
      <vt:lpstr>DEPARTAMENTOS</vt:lpstr>
      <vt:lpstr>DOSDEMAYO</vt:lpstr>
      <vt:lpstr>ELCOLLAO</vt:lpstr>
      <vt:lpstr>ELDORADO</vt:lpstr>
      <vt:lpstr>ESPINAR</vt:lpstr>
      <vt:lpstr>FERREÑAFE</vt:lpstr>
      <vt:lpstr>GENERALSANCHEZCERRO</vt:lpstr>
      <vt:lpstr>GRANCHIMU</vt:lpstr>
      <vt:lpstr>GRAU</vt:lpstr>
      <vt:lpstr>HUACAYBAMBA</vt:lpstr>
      <vt:lpstr>HUALGAYOC</vt:lpstr>
      <vt:lpstr>HUALLAGA</vt:lpstr>
      <vt:lpstr>HUAMANGA</vt:lpstr>
      <vt:lpstr>HUANCABAMBA</vt:lpstr>
      <vt:lpstr>HUANCANE</vt:lpstr>
      <vt:lpstr>HUANCASACOS</vt:lpstr>
      <vt:lpstr>HUANCAVELICA</vt:lpstr>
      <vt:lpstr>HUANCAVELICA_</vt:lpstr>
      <vt:lpstr>HUANCAYO1</vt:lpstr>
      <vt:lpstr>HUANTA</vt:lpstr>
      <vt:lpstr>HUANUCO</vt:lpstr>
      <vt:lpstr>HUANUCO_</vt:lpstr>
      <vt:lpstr>HUARAL</vt:lpstr>
      <vt:lpstr>HUARAZ</vt:lpstr>
      <vt:lpstr>HUARI</vt:lpstr>
      <vt:lpstr>HUARMEY</vt:lpstr>
      <vt:lpstr>HUAROCHIRI</vt:lpstr>
      <vt:lpstr>HUAURA</vt:lpstr>
      <vt:lpstr>HUAYLAS</vt:lpstr>
      <vt:lpstr>HUAYTARA</vt:lpstr>
      <vt:lpstr>HUMALIES</vt:lpstr>
      <vt:lpstr>ICA</vt:lpstr>
      <vt:lpstr>ICA_</vt:lpstr>
      <vt:lpstr>ILO</vt:lpstr>
      <vt:lpstr>INICIO</vt:lpstr>
      <vt:lpstr>ISLAY</vt:lpstr>
      <vt:lpstr>JAEN</vt:lpstr>
      <vt:lpstr>JAUJA</vt:lpstr>
      <vt:lpstr>JORGEBASADRE</vt:lpstr>
      <vt:lpstr>JULCAN</vt:lpstr>
      <vt:lpstr>JUNIN</vt:lpstr>
      <vt:lpstr>JUNIN1</vt:lpstr>
      <vt:lpstr>LACONVENCION</vt:lpstr>
      <vt:lpstr>LALIBERTAD</vt:lpstr>
      <vt:lpstr>LAMAR</vt:lpstr>
      <vt:lpstr>LAMAS</vt:lpstr>
      <vt:lpstr>LAMBAYEQUE</vt:lpstr>
      <vt:lpstr>LAMBAYEQUE_</vt:lpstr>
      <vt:lpstr>LAMPA</vt:lpstr>
      <vt:lpstr>LAURICOCHA</vt:lpstr>
      <vt:lpstr>LEONCIOPRADO</vt:lpstr>
      <vt:lpstr>LIMA</vt:lpstr>
      <vt:lpstr>LIMA_</vt:lpstr>
      <vt:lpstr>LORETO</vt:lpstr>
      <vt:lpstr>LORETO_</vt:lpstr>
      <vt:lpstr>LUCANAS</vt:lpstr>
      <vt:lpstr>LUYA</vt:lpstr>
      <vt:lpstr>MADREDEDIOS</vt:lpstr>
      <vt:lpstr>MANU</vt:lpstr>
      <vt:lpstr>MARAÑON</vt:lpstr>
      <vt:lpstr>MARISCALCACERES</vt:lpstr>
      <vt:lpstr>MARISCALLUZURIAGA</vt:lpstr>
      <vt:lpstr>MARISCALNIETO</vt:lpstr>
      <vt:lpstr>MARISCALRAMONCASTILLA</vt:lpstr>
      <vt:lpstr>MAYNAS</vt:lpstr>
      <vt:lpstr>MELGAR</vt:lpstr>
      <vt:lpstr>MOHO</vt:lpstr>
      <vt:lpstr>MOQUEGUA</vt:lpstr>
      <vt:lpstr>MORROPON</vt:lpstr>
      <vt:lpstr>MOYOBAMBA</vt:lpstr>
      <vt:lpstr>NAZCA</vt:lpstr>
      <vt:lpstr>OBJETOS</vt:lpstr>
      <vt:lpstr>OCROS</vt:lpstr>
      <vt:lpstr>OTUZCO</vt:lpstr>
      <vt:lpstr>OXAPAMPA</vt:lpstr>
      <vt:lpstr>OYON</vt:lpstr>
      <vt:lpstr>PACASMAYO</vt:lpstr>
      <vt:lpstr>PACHITEA</vt:lpstr>
      <vt:lpstr>PADREABAD</vt:lpstr>
      <vt:lpstr>PAITA</vt:lpstr>
      <vt:lpstr>PALLASCA</vt:lpstr>
      <vt:lpstr>PALPA</vt:lpstr>
      <vt:lpstr>PARINACOCHAS</vt:lpstr>
      <vt:lpstr>PARURO</vt:lpstr>
      <vt:lpstr>PASCO</vt:lpstr>
      <vt:lpstr>PASCO_</vt:lpstr>
      <vt:lpstr>PATAZ</vt:lpstr>
      <vt:lpstr>PAUCARDELSARASARA</vt:lpstr>
      <vt:lpstr>PAUCARTAMBO</vt:lpstr>
      <vt:lpstr>PICOTA</vt:lpstr>
      <vt:lpstr>PISCO</vt:lpstr>
      <vt:lpstr>PIURA</vt:lpstr>
      <vt:lpstr>PIURA_</vt:lpstr>
      <vt:lpstr>POMABAMBA</vt:lpstr>
      <vt:lpstr>PUERTOINCA</vt:lpstr>
      <vt:lpstr>PUNO</vt:lpstr>
      <vt:lpstr>PUNO_</vt:lpstr>
      <vt:lpstr>PURUS</vt:lpstr>
      <vt:lpstr>QUISPICANCHI</vt:lpstr>
      <vt:lpstr>RECUAY</vt:lpstr>
      <vt:lpstr>REQUENA</vt:lpstr>
      <vt:lpstr>RIOJA</vt:lpstr>
      <vt:lpstr>RODRIGUEZ</vt:lpstr>
      <vt:lpstr>SANANTONIODEPUTINA</vt:lpstr>
      <vt:lpstr>SANCHEZCARRION</vt:lpstr>
      <vt:lpstr>SANDIA</vt:lpstr>
      <vt:lpstr>SANIGNACIO</vt:lpstr>
      <vt:lpstr>SANMARCOS</vt:lpstr>
      <vt:lpstr>SANMARTIN</vt:lpstr>
      <vt:lpstr>SANMARTIN_</vt:lpstr>
      <vt:lpstr>SANMIGUEL</vt:lpstr>
      <vt:lpstr>SANPABLO</vt:lpstr>
      <vt:lpstr>SANROMAN</vt:lpstr>
      <vt:lpstr>SANTA</vt:lpstr>
      <vt:lpstr>SANTACRUZ</vt:lpstr>
      <vt:lpstr>SANTIAGODECHUCO</vt:lpstr>
      <vt:lpstr>SATIPO</vt:lpstr>
      <vt:lpstr>SECHURA</vt:lpstr>
      <vt:lpstr>SECTORES</vt:lpstr>
      <vt:lpstr>SIHUAS</vt:lpstr>
      <vt:lpstr>SUCRE</vt:lpstr>
      <vt:lpstr>SULLANA</vt:lpstr>
      <vt:lpstr>TACNA</vt:lpstr>
      <vt:lpstr>TACNA_</vt:lpstr>
      <vt:lpstr>TAHUAMANU</vt:lpstr>
      <vt:lpstr>TALARA</vt:lpstr>
      <vt:lpstr>TAMBOPATA</vt:lpstr>
      <vt:lpstr>TARATA</vt:lpstr>
      <vt:lpstr>TARMA</vt:lpstr>
      <vt:lpstr>TAYACAJA</vt:lpstr>
      <vt:lpstr>DISTRITO!Títulos_a_imprimir</vt:lpstr>
      <vt:lpstr>PROV!Títulos_a_imprimir</vt:lpstr>
      <vt:lpstr>TOCACHE</vt:lpstr>
      <vt:lpstr>TRUJILLO</vt:lpstr>
      <vt:lpstr>TUMBES</vt:lpstr>
      <vt:lpstr>TUMBES_</vt:lpstr>
      <vt:lpstr>UCAYALI</vt:lpstr>
      <vt:lpstr>UCAYALI_</vt:lpstr>
      <vt:lpstr>UNION</vt:lpstr>
      <vt:lpstr>URUBAMBA</vt:lpstr>
      <vt:lpstr>UTCUBAMBA</vt:lpstr>
      <vt:lpstr>VICTORFAJARDO</vt:lpstr>
      <vt:lpstr>VILCASHUAMAN</vt:lpstr>
      <vt:lpstr>VIRU</vt:lpstr>
      <vt:lpstr>YAROHUILCA</vt:lpstr>
      <vt:lpstr>YAULI</vt:lpstr>
      <vt:lpstr>YAUYOS</vt:lpstr>
      <vt:lpstr>YUNGAY</vt:lpstr>
      <vt:lpstr>YUNGUYO</vt:lpstr>
      <vt:lpstr>ZARUMILLA</vt:lpstr>
    </vt:vector>
  </TitlesOfParts>
  <Company>Oficina de Inversiones MEF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Quintana S.</dc:creator>
  <cp:lastModifiedBy>Martin Cesar Quintana Saldarriaga</cp:lastModifiedBy>
  <cp:lastPrinted>2017-06-09T22:01:36Z</cp:lastPrinted>
  <dcterms:created xsi:type="dcterms:W3CDTF">2001-06-25T17:21:54Z</dcterms:created>
  <dcterms:modified xsi:type="dcterms:W3CDTF">2017-07-04T20:37:51Z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